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oksheet\"/>
    </mc:Choice>
  </mc:AlternateContent>
  <xr:revisionPtr revIDLastSave="0" documentId="13_ncr:1_{F728973C-3064-48D7-B351-F5A95B5D9045}" xr6:coauthVersionLast="47" xr6:coauthVersionMax="47" xr10:uidLastSave="{00000000-0000-0000-0000-000000000000}"/>
  <bookViews>
    <workbookView xWindow="5805" yWindow="90" windowWidth="7500" windowHeight="10620" firstSheet="3" activeTab="3" xr2:uid="{92AFEA67-FCE1-458C-9A7E-ADF426D7B024}"/>
  </bookViews>
  <sheets>
    <sheet name="Sheet1" sheetId="9" r:id="rId1"/>
    <sheet name="Weekly" sheetId="8" r:id="rId2"/>
    <sheet name="Data" sheetId="1" r:id="rId3"/>
    <sheet name="Dashboard" sheetId="7" r:id="rId4"/>
  </sheets>
  <definedNames>
    <definedName name="ExternalData_1" localSheetId="1" hidden="1">Weekly!$A$1:$B$108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4" i="1" l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15" i="1"/>
  <c r="C109" i="9"/>
  <c r="C117" i="9"/>
  <c r="C110" i="9"/>
  <c r="C118" i="9"/>
  <c r="C111" i="9"/>
  <c r="C119" i="9"/>
  <c r="C112" i="9"/>
  <c r="C120" i="9"/>
  <c r="C113" i="9"/>
  <c r="C114" i="9"/>
  <c r="C115" i="9"/>
  <c r="C116" i="9"/>
  <c r="A1" i="1" l="1" a="1"/>
  <c r="AA102" i="1" l="1"/>
  <c r="AA166" i="1"/>
  <c r="AA230" i="1"/>
  <c r="AA294" i="1"/>
  <c r="AA358" i="1"/>
  <c r="AA422" i="1"/>
  <c r="AA486" i="1"/>
  <c r="AA212" i="1"/>
  <c r="AA135" i="1"/>
  <c r="AA199" i="1"/>
  <c r="AA263" i="1"/>
  <c r="AA327" i="1"/>
  <c r="AA391" i="1"/>
  <c r="AA455" i="1"/>
  <c r="AA337" i="1"/>
  <c r="AA500" i="1"/>
  <c r="AA160" i="1"/>
  <c r="AA224" i="1"/>
  <c r="AA288" i="1"/>
  <c r="AA352" i="1"/>
  <c r="AA416" i="1"/>
  <c r="AA480" i="1"/>
  <c r="AA505" i="1"/>
  <c r="AA113" i="1"/>
  <c r="AA177" i="1"/>
  <c r="AA241" i="1"/>
  <c r="AA305" i="1"/>
  <c r="AA393" i="1"/>
  <c r="AA106" i="1"/>
  <c r="AA170" i="1"/>
  <c r="AA234" i="1"/>
  <c r="AA298" i="1"/>
  <c r="AA362" i="1"/>
  <c r="AA426" i="1"/>
  <c r="AA490" i="1"/>
  <c r="AA308" i="1"/>
  <c r="AA115" i="1"/>
  <c r="AA179" i="1"/>
  <c r="AA243" i="1"/>
  <c r="AA307" i="1"/>
  <c r="AA371" i="1"/>
  <c r="AA435" i="1"/>
  <c r="AA499" i="1"/>
  <c r="AA164" i="1"/>
  <c r="AA260" i="1"/>
  <c r="AA444" i="1"/>
  <c r="AA157" i="1"/>
  <c r="AA221" i="1"/>
  <c r="AA285" i="1"/>
  <c r="AA349" i="1"/>
  <c r="AA413" i="1"/>
  <c r="AA477" i="1"/>
  <c r="M6" i="1"/>
  <c r="M70" i="1"/>
  <c r="M134" i="1"/>
  <c r="M198" i="1"/>
  <c r="M262" i="1"/>
  <c r="M326" i="1"/>
  <c r="M390" i="1"/>
  <c r="M454" i="1"/>
  <c r="M7" i="1"/>
  <c r="M71" i="1"/>
  <c r="M135" i="1"/>
  <c r="M32" i="1"/>
  <c r="M96" i="1"/>
  <c r="M160" i="1"/>
  <c r="M224" i="1"/>
  <c r="M288" i="1"/>
  <c r="M26" i="1"/>
  <c r="M90" i="1"/>
  <c r="M154" i="1"/>
  <c r="M218" i="1"/>
  <c r="M282" i="1"/>
  <c r="M346" i="1"/>
  <c r="M410" i="1"/>
  <c r="M474" i="1"/>
  <c r="M27" i="1"/>
  <c r="M91" i="1"/>
  <c r="M155" i="1"/>
  <c r="M227" i="1"/>
  <c r="M29" i="1"/>
  <c r="M189" i="1"/>
  <c r="M292" i="1"/>
  <c r="M384" i="1"/>
  <c r="M469" i="1"/>
  <c r="AA110" i="1"/>
  <c r="AA174" i="1"/>
  <c r="AA238" i="1"/>
  <c r="AA302" i="1"/>
  <c r="AA366" i="1"/>
  <c r="AA430" i="1"/>
  <c r="AA494" i="1"/>
  <c r="AA380" i="1"/>
  <c r="AA143" i="1"/>
  <c r="AA207" i="1"/>
  <c r="AA271" i="1"/>
  <c r="AA335" i="1"/>
  <c r="AA399" i="1"/>
  <c r="AA463" i="1"/>
  <c r="AA433" i="1"/>
  <c r="AA104" i="1"/>
  <c r="AA168" i="1"/>
  <c r="AA232" i="1"/>
  <c r="AA296" i="1"/>
  <c r="AA360" i="1"/>
  <c r="AA424" i="1"/>
  <c r="AA488" i="1"/>
  <c r="AA513" i="1"/>
  <c r="AA121" i="1"/>
  <c r="AA185" i="1"/>
  <c r="AA249" i="1"/>
  <c r="AA313" i="1"/>
  <c r="AA401" i="1"/>
  <c r="AA114" i="1"/>
  <c r="AA178" i="1"/>
  <c r="AA242" i="1"/>
  <c r="AA306" i="1"/>
  <c r="AA370" i="1"/>
  <c r="AA434" i="1"/>
  <c r="AA498" i="1"/>
  <c r="AA324" i="1"/>
  <c r="AA123" i="1"/>
  <c r="AA187" i="1"/>
  <c r="AA251" i="1"/>
  <c r="AA315" i="1"/>
  <c r="AA379" i="1"/>
  <c r="AA443" i="1"/>
  <c r="AA507" i="1"/>
  <c r="AA172" i="1"/>
  <c r="AA284" i="1"/>
  <c r="AA492" i="1"/>
  <c r="AA165" i="1"/>
  <c r="AA229" i="1"/>
  <c r="AA293" i="1"/>
  <c r="AA357" i="1"/>
  <c r="AA421" i="1"/>
  <c r="AA485" i="1"/>
  <c r="M14" i="1"/>
  <c r="M78" i="1"/>
  <c r="M142" i="1"/>
  <c r="M206" i="1"/>
  <c r="M270" i="1"/>
  <c r="M334" i="1"/>
  <c r="M398" i="1"/>
  <c r="M462" i="1"/>
  <c r="M15" i="1"/>
  <c r="M79" i="1"/>
  <c r="M143" i="1"/>
  <c r="M40" i="1"/>
  <c r="M104" i="1"/>
  <c r="M168" i="1"/>
  <c r="M232" i="1"/>
  <c r="M296" i="1"/>
  <c r="M34" i="1"/>
  <c r="M98" i="1"/>
  <c r="M162" i="1"/>
  <c r="M226" i="1"/>
  <c r="M290" i="1"/>
  <c r="M354" i="1"/>
  <c r="M418" i="1"/>
  <c r="M482" i="1"/>
  <c r="M35" i="1"/>
  <c r="M99" i="1"/>
  <c r="M163" i="1"/>
  <c r="M291" i="1"/>
  <c r="M52" i="1"/>
  <c r="M203" i="1"/>
  <c r="M305" i="1"/>
  <c r="M395" i="1"/>
  <c r="M480" i="1"/>
  <c r="AA118" i="1"/>
  <c r="AA126" i="1"/>
  <c r="AA190" i="1"/>
  <c r="AA254" i="1"/>
  <c r="AA318" i="1"/>
  <c r="AA382" i="1"/>
  <c r="AA446" i="1"/>
  <c r="AA510" i="1"/>
  <c r="AA476" i="1"/>
  <c r="AA159" i="1"/>
  <c r="AA223" i="1"/>
  <c r="AA287" i="1"/>
  <c r="AA351" i="1"/>
  <c r="AA415" i="1"/>
  <c r="AA479" i="1"/>
  <c r="AA497" i="1"/>
  <c r="AA120" i="1"/>
  <c r="AA184" i="1"/>
  <c r="AA248" i="1"/>
  <c r="AA312" i="1"/>
  <c r="AA376" i="1"/>
  <c r="AA134" i="1"/>
  <c r="AA198" i="1"/>
  <c r="AA262" i="1"/>
  <c r="AA326" i="1"/>
  <c r="AA390" i="1"/>
  <c r="AA454" i="1"/>
  <c r="AA353" i="1"/>
  <c r="AA103" i="1"/>
  <c r="AA167" i="1"/>
  <c r="AA231" i="1"/>
  <c r="AA295" i="1"/>
  <c r="AA359" i="1"/>
  <c r="AA423" i="1"/>
  <c r="AA487" i="1"/>
  <c r="AA228" i="1"/>
  <c r="AA128" i="1"/>
  <c r="AA192" i="1"/>
  <c r="AA256" i="1"/>
  <c r="AA320" i="1"/>
  <c r="AA384" i="1"/>
  <c r="AA448" i="1"/>
  <c r="AA512" i="1"/>
  <c r="AA412" i="1"/>
  <c r="AA145" i="1"/>
  <c r="AA209" i="1"/>
  <c r="AA273" i="1"/>
  <c r="AA361" i="1"/>
  <c r="AA449" i="1"/>
  <c r="AA138" i="1"/>
  <c r="AA202" i="1"/>
  <c r="AA266" i="1"/>
  <c r="AA330" i="1"/>
  <c r="AA394" i="1"/>
  <c r="AA458" i="1"/>
  <c r="AA116" i="1"/>
  <c r="AA396" i="1"/>
  <c r="AA147" i="1"/>
  <c r="AA211" i="1"/>
  <c r="AA275" i="1"/>
  <c r="AA339" i="1"/>
  <c r="AA403" i="1"/>
  <c r="AA467" i="1"/>
  <c r="AA132" i="1"/>
  <c r="AA196" i="1"/>
  <c r="AA332" i="1"/>
  <c r="AA125" i="1"/>
  <c r="AA189" i="1"/>
  <c r="AA253" i="1"/>
  <c r="AA317" i="1"/>
  <c r="AA381" i="1"/>
  <c r="AA445" i="1"/>
  <c r="AA509" i="1"/>
  <c r="M38" i="1"/>
  <c r="M102" i="1"/>
  <c r="M166" i="1"/>
  <c r="M230" i="1"/>
  <c r="M294" i="1"/>
  <c r="M358" i="1"/>
  <c r="M422" i="1"/>
  <c r="M486" i="1"/>
  <c r="M39" i="1"/>
  <c r="M103" i="1"/>
  <c r="M167" i="1"/>
  <c r="M64" i="1"/>
  <c r="M128" i="1"/>
  <c r="M192" i="1"/>
  <c r="M256" i="1"/>
  <c r="M320" i="1"/>
  <c r="M58" i="1"/>
  <c r="M122" i="1"/>
  <c r="M186" i="1"/>
  <c r="M250" i="1"/>
  <c r="M314" i="1"/>
  <c r="M378" i="1"/>
  <c r="M442" i="1"/>
  <c r="M506" i="1"/>
  <c r="M59" i="1"/>
  <c r="AA142" i="1"/>
  <c r="AA206" i="1"/>
  <c r="AA270" i="1"/>
  <c r="AA334" i="1"/>
  <c r="AA398" i="1"/>
  <c r="AA462" i="1"/>
  <c r="AA425" i="1"/>
  <c r="AA111" i="1"/>
  <c r="AA175" i="1"/>
  <c r="AA239" i="1"/>
  <c r="AA303" i="1"/>
  <c r="AA367" i="1"/>
  <c r="AA431" i="1"/>
  <c r="AA495" i="1"/>
  <c r="AA388" i="1"/>
  <c r="AA136" i="1"/>
  <c r="AA200" i="1"/>
  <c r="AA264" i="1"/>
  <c r="AA328" i="1"/>
  <c r="AA392" i="1"/>
  <c r="AA456" i="1"/>
  <c r="AA345" i="1"/>
  <c r="AA468" i="1"/>
  <c r="AA153" i="1"/>
  <c r="AA217" i="1"/>
  <c r="AA281" i="1"/>
  <c r="AA369" i="1"/>
  <c r="AA481" i="1"/>
  <c r="AA146" i="1"/>
  <c r="AA210" i="1"/>
  <c r="AA274" i="1"/>
  <c r="AA338" i="1"/>
  <c r="AA402" i="1"/>
  <c r="AA466" i="1"/>
  <c r="AA244" i="1"/>
  <c r="AA436" i="1"/>
  <c r="AA155" i="1"/>
  <c r="AA219" i="1"/>
  <c r="AA283" i="1"/>
  <c r="AA347" i="1"/>
  <c r="AA411" i="1"/>
  <c r="AA475" i="1"/>
  <c r="AA140" i="1"/>
  <c r="AA204" i="1"/>
  <c r="AA348" i="1"/>
  <c r="AA133" i="1"/>
  <c r="AA197" i="1"/>
  <c r="AA261" i="1"/>
  <c r="AA325" i="1"/>
  <c r="AA389" i="1"/>
  <c r="AA150" i="1"/>
  <c r="AA214" i="1"/>
  <c r="AA278" i="1"/>
  <c r="AA342" i="1"/>
  <c r="AA406" i="1"/>
  <c r="AA470" i="1"/>
  <c r="AA457" i="1"/>
  <c r="AA119" i="1"/>
  <c r="AA183" i="1"/>
  <c r="AA247" i="1"/>
  <c r="AA311" i="1"/>
  <c r="AA375" i="1"/>
  <c r="AA439" i="1"/>
  <c r="AA503" i="1"/>
  <c r="AA428" i="1"/>
  <c r="AA144" i="1"/>
  <c r="AA208" i="1"/>
  <c r="AA272" i="1"/>
  <c r="AA336" i="1"/>
  <c r="AA400" i="1"/>
  <c r="AA464" i="1"/>
  <c r="AA441" i="1"/>
  <c r="AA508" i="1"/>
  <c r="AA161" i="1"/>
  <c r="AA225" i="1"/>
  <c r="AA289" i="1"/>
  <c r="AA377" i="1"/>
  <c r="AA268" i="1"/>
  <c r="AA154" i="1"/>
  <c r="AA218" i="1"/>
  <c r="AA282" i="1"/>
  <c r="AA346" i="1"/>
  <c r="AA410" i="1"/>
  <c r="AA474" i="1"/>
  <c r="AA276" i="1"/>
  <c r="AA484" i="1"/>
  <c r="AA163" i="1"/>
  <c r="AA227" i="1"/>
  <c r="AA291" i="1"/>
  <c r="AA355" i="1"/>
  <c r="AA419" i="1"/>
  <c r="AA483" i="1"/>
  <c r="AA148" i="1"/>
  <c r="AA236" i="1"/>
  <c r="AA372" i="1"/>
  <c r="AA141" i="1"/>
  <c r="AA205" i="1"/>
  <c r="AA269" i="1"/>
  <c r="AA333" i="1"/>
  <c r="AA397" i="1"/>
  <c r="AA461" i="1"/>
  <c r="W27" i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M54" i="1"/>
  <c r="M118" i="1"/>
  <c r="M182" i="1"/>
  <c r="M246" i="1"/>
  <c r="M310" i="1"/>
  <c r="M374" i="1"/>
  <c r="M438" i="1"/>
  <c r="M502" i="1"/>
  <c r="M55" i="1"/>
  <c r="M119" i="1"/>
  <c r="M16" i="1"/>
  <c r="M80" i="1"/>
  <c r="M144" i="1"/>
  <c r="M208" i="1"/>
  <c r="M272" i="1"/>
  <c r="M10" i="1"/>
  <c r="M74" i="1"/>
  <c r="M138" i="1"/>
  <c r="M202" i="1"/>
  <c r="M266" i="1"/>
  <c r="M330" i="1"/>
  <c r="M394" i="1"/>
  <c r="M458" i="1"/>
  <c r="M11" i="1"/>
  <c r="M75" i="1"/>
  <c r="M139" i="1"/>
  <c r="M49" i="1"/>
  <c r="M489" i="1"/>
  <c r="M157" i="1"/>
  <c r="M267" i="1"/>
  <c r="M363" i="1"/>
  <c r="M448" i="1"/>
  <c r="M33" i="1"/>
  <c r="AA158" i="1"/>
  <c r="AA222" i="1"/>
  <c r="AA286" i="1"/>
  <c r="AA350" i="1"/>
  <c r="AA414" i="1"/>
  <c r="AA478" i="1"/>
  <c r="AA489" i="1"/>
  <c r="AA127" i="1"/>
  <c r="AA191" i="1"/>
  <c r="AA255" i="1"/>
  <c r="AA319" i="1"/>
  <c r="AA383" i="1"/>
  <c r="AA447" i="1"/>
  <c r="AA182" i="1"/>
  <c r="AA215" i="1"/>
  <c r="AA112" i="1"/>
  <c r="AA368" i="1"/>
  <c r="AA220" i="1"/>
  <c r="AA233" i="1"/>
  <c r="AA417" i="1"/>
  <c r="AA250" i="1"/>
  <c r="AA418" i="1"/>
  <c r="AA356" i="1"/>
  <c r="AA259" i="1"/>
  <c r="AA427" i="1"/>
  <c r="AA188" i="1"/>
  <c r="AA173" i="1"/>
  <c r="AA341" i="1"/>
  <c r="AA493" i="1"/>
  <c r="M86" i="1"/>
  <c r="M214" i="1"/>
  <c r="M342" i="1"/>
  <c r="M470" i="1"/>
  <c r="M87" i="1"/>
  <c r="M48" i="1"/>
  <c r="M176" i="1"/>
  <c r="M304" i="1"/>
  <c r="M106" i="1"/>
  <c r="M234" i="1"/>
  <c r="M362" i="1"/>
  <c r="M490" i="1"/>
  <c r="M107" i="1"/>
  <c r="M456" i="1"/>
  <c r="M93" i="1"/>
  <c r="M279" i="1"/>
  <c r="M427" i="1"/>
  <c r="M76" i="1"/>
  <c r="M217" i="1"/>
  <c r="M319" i="1"/>
  <c r="M407" i="1"/>
  <c r="M492" i="1"/>
  <c r="M257" i="1"/>
  <c r="M419" i="1"/>
  <c r="M77" i="1"/>
  <c r="M295" i="1"/>
  <c r="M493" i="1"/>
  <c r="M145" i="1"/>
  <c r="M259" i="1"/>
  <c r="M356" i="1"/>
  <c r="M441" i="1"/>
  <c r="M325" i="1"/>
  <c r="M508" i="1"/>
  <c r="M276" i="1"/>
  <c r="M499" i="1"/>
  <c r="M303" i="1"/>
  <c r="M41" i="1"/>
  <c r="M196" i="1"/>
  <c r="M299" i="1"/>
  <c r="M389" i="1"/>
  <c r="M475" i="1"/>
  <c r="M108" i="1"/>
  <c r="M236" i="1"/>
  <c r="M380" i="1"/>
  <c r="M89" i="1"/>
  <c r="M327" i="1"/>
  <c r="M488" i="1"/>
  <c r="M277" i="1"/>
  <c r="J22" i="1"/>
  <c r="J86" i="1"/>
  <c r="J150" i="1"/>
  <c r="J214" i="1"/>
  <c r="J278" i="1"/>
  <c r="J342" i="1"/>
  <c r="J406" i="1"/>
  <c r="J470" i="1"/>
  <c r="AA246" i="1"/>
  <c r="AA279" i="1"/>
  <c r="AA152" i="1"/>
  <c r="AA408" i="1"/>
  <c r="AA364" i="1"/>
  <c r="AA257" i="1"/>
  <c r="AA452" i="1"/>
  <c r="AA258" i="1"/>
  <c r="AA442" i="1"/>
  <c r="AA107" i="1"/>
  <c r="AA267" i="1"/>
  <c r="AA451" i="1"/>
  <c r="AA252" i="1"/>
  <c r="AA181" i="1"/>
  <c r="AA365" i="1"/>
  <c r="AA501" i="1"/>
  <c r="M94" i="1"/>
  <c r="M222" i="1"/>
  <c r="M350" i="1"/>
  <c r="M478" i="1"/>
  <c r="M95" i="1"/>
  <c r="M56" i="1"/>
  <c r="M184" i="1"/>
  <c r="M312" i="1"/>
  <c r="M114" i="1"/>
  <c r="M242" i="1"/>
  <c r="M370" i="1"/>
  <c r="M498" i="1"/>
  <c r="M115" i="1"/>
  <c r="M175" i="1"/>
  <c r="M116" i="1"/>
  <c r="M317" i="1"/>
  <c r="M437" i="1"/>
  <c r="M97" i="1"/>
  <c r="M229" i="1"/>
  <c r="M332" i="1"/>
  <c r="M417" i="1"/>
  <c r="M503" i="1"/>
  <c r="M283" i="1"/>
  <c r="M440" i="1"/>
  <c r="M100" i="1"/>
  <c r="M333" i="1"/>
  <c r="M457" i="1"/>
  <c r="M165" i="1"/>
  <c r="M271" i="1"/>
  <c r="M367" i="1"/>
  <c r="M452" i="1"/>
  <c r="M348" i="1"/>
  <c r="M45" i="1"/>
  <c r="M315" i="1"/>
  <c r="M28" i="1"/>
  <c r="M340" i="1"/>
  <c r="M61" i="1"/>
  <c r="M209" i="1"/>
  <c r="M311" i="1"/>
  <c r="M400" i="1"/>
  <c r="M485" i="1"/>
  <c r="M129" i="1"/>
  <c r="M261" i="1"/>
  <c r="M401" i="1"/>
  <c r="M132" i="1"/>
  <c r="M349" i="1"/>
  <c r="M509" i="1"/>
  <c r="M316" i="1"/>
  <c r="J30" i="1"/>
  <c r="J94" i="1"/>
  <c r="J158" i="1"/>
  <c r="J222" i="1"/>
  <c r="J286" i="1"/>
  <c r="J350" i="1"/>
  <c r="J414" i="1"/>
  <c r="J478" i="1"/>
  <c r="J344" i="1"/>
  <c r="J355" i="1"/>
  <c r="J372" i="1"/>
  <c r="J63" i="1"/>
  <c r="J127" i="1"/>
  <c r="J191" i="1"/>
  <c r="J255" i="1"/>
  <c r="J319" i="1"/>
  <c r="J383" i="1"/>
  <c r="J447" i="1"/>
  <c r="J511" i="1"/>
  <c r="J440" i="1"/>
  <c r="AA310" i="1"/>
  <c r="AA343" i="1"/>
  <c r="AA176" i="1"/>
  <c r="AA432" i="1"/>
  <c r="AA105" i="1"/>
  <c r="AA265" i="1"/>
  <c r="AA122" i="1"/>
  <c r="AA290" i="1"/>
  <c r="AA450" i="1"/>
  <c r="AA131" i="1"/>
  <c r="AA299" i="1"/>
  <c r="AA459" i="1"/>
  <c r="AA300" i="1"/>
  <c r="AA213" i="1"/>
  <c r="AA373" i="1"/>
  <c r="AA101" i="1"/>
  <c r="M110" i="1"/>
  <c r="M238" i="1"/>
  <c r="M366" i="1"/>
  <c r="M494" i="1"/>
  <c r="M111" i="1"/>
  <c r="M72" i="1"/>
  <c r="M200" i="1"/>
  <c r="M328" i="1"/>
  <c r="M130" i="1"/>
  <c r="M258" i="1"/>
  <c r="M386" i="1"/>
  <c r="M514" i="1"/>
  <c r="M123" i="1"/>
  <c r="M329" i="1"/>
  <c r="M137" i="1"/>
  <c r="M331" i="1"/>
  <c r="M459" i="1"/>
  <c r="M117" i="1"/>
  <c r="M243" i="1"/>
  <c r="M343" i="1"/>
  <c r="M428" i="1"/>
  <c r="M513" i="1"/>
  <c r="M308" i="1"/>
  <c r="M461" i="1"/>
  <c r="M121" i="1"/>
  <c r="M365" i="1"/>
  <c r="M17" i="1"/>
  <c r="M181" i="1"/>
  <c r="M284" i="1"/>
  <c r="M377" i="1"/>
  <c r="M463" i="1"/>
  <c r="M369" i="1"/>
  <c r="M68" i="1"/>
  <c r="M339" i="1"/>
  <c r="M69" i="1"/>
  <c r="M372" i="1"/>
  <c r="M84" i="1"/>
  <c r="M221" i="1"/>
  <c r="M324" i="1"/>
  <c r="M411" i="1"/>
  <c r="M496" i="1"/>
  <c r="M149" i="1"/>
  <c r="M275" i="1"/>
  <c r="M423" i="1"/>
  <c r="M173" i="1"/>
  <c r="M360" i="1"/>
  <c r="M5" i="1"/>
  <c r="M351" i="1"/>
  <c r="J38" i="1"/>
  <c r="J102" i="1"/>
  <c r="J166" i="1"/>
  <c r="J230" i="1"/>
  <c r="J294" i="1"/>
  <c r="J358" i="1"/>
  <c r="J422" i="1"/>
  <c r="J486" i="1"/>
  <c r="J368" i="1"/>
  <c r="J451" i="1"/>
  <c r="J444" i="1"/>
  <c r="J71" i="1"/>
  <c r="J135" i="1"/>
  <c r="J199" i="1"/>
  <c r="J263" i="1"/>
  <c r="J327" i="1"/>
  <c r="J391" i="1"/>
  <c r="J455" i="1"/>
  <c r="J272" i="1"/>
  <c r="J448" i="1"/>
  <c r="J164" i="1"/>
  <c r="AA374" i="1"/>
  <c r="AA407" i="1"/>
  <c r="AA216" i="1"/>
  <c r="AA440" i="1"/>
  <c r="AA129" i="1"/>
  <c r="AA297" i="1"/>
  <c r="AA130" i="1"/>
  <c r="AA314" i="1"/>
  <c r="AA482" i="1"/>
  <c r="AA139" i="1"/>
  <c r="AA323" i="1"/>
  <c r="AA491" i="1"/>
  <c r="AA316" i="1"/>
  <c r="AA237" i="1"/>
  <c r="AA405" i="1"/>
  <c r="V13" i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M126" i="1"/>
  <c r="M254" i="1"/>
  <c r="M382" i="1"/>
  <c r="M510" i="1"/>
  <c r="M127" i="1"/>
  <c r="M88" i="1"/>
  <c r="M216" i="1"/>
  <c r="M18" i="1"/>
  <c r="M146" i="1"/>
  <c r="M274" i="1"/>
  <c r="M402" i="1"/>
  <c r="M19" i="1"/>
  <c r="M131" i="1"/>
  <c r="M361" i="1"/>
  <c r="M177" i="1"/>
  <c r="M341" i="1"/>
  <c r="M491" i="1"/>
  <c r="M140" i="1"/>
  <c r="M255" i="1"/>
  <c r="M353" i="1"/>
  <c r="M439" i="1"/>
  <c r="M36" i="1"/>
  <c r="M321" i="1"/>
  <c r="M483" i="1"/>
  <c r="M141" i="1"/>
  <c r="M387" i="1"/>
  <c r="M37" i="1"/>
  <c r="M195" i="1"/>
  <c r="M297" i="1"/>
  <c r="M388" i="1"/>
  <c r="M473" i="1"/>
  <c r="M391" i="1"/>
  <c r="M109" i="1"/>
  <c r="M371" i="1"/>
  <c r="M113" i="1"/>
  <c r="M415" i="1"/>
  <c r="M105" i="1"/>
  <c r="M235" i="1"/>
  <c r="M336" i="1"/>
  <c r="M421" i="1"/>
  <c r="M507" i="1"/>
  <c r="M172" i="1"/>
  <c r="M287" i="1"/>
  <c r="M444" i="1"/>
  <c r="M187" i="1"/>
  <c r="M381" i="1"/>
  <c r="M92" i="1"/>
  <c r="M383" i="1"/>
  <c r="J46" i="1"/>
  <c r="J110" i="1"/>
  <c r="J174" i="1"/>
  <c r="J238" i="1"/>
  <c r="J302" i="1"/>
  <c r="J366" i="1"/>
  <c r="J430" i="1"/>
  <c r="J494" i="1"/>
  <c r="AA502" i="1"/>
  <c r="AA511" i="1"/>
  <c r="AA280" i="1"/>
  <c r="AA496" i="1"/>
  <c r="AA169" i="1"/>
  <c r="AA329" i="1"/>
  <c r="AA186" i="1"/>
  <c r="AA354" i="1"/>
  <c r="AA514" i="1"/>
  <c r="AA195" i="1"/>
  <c r="AA363" i="1"/>
  <c r="AA124" i="1"/>
  <c r="AA109" i="1"/>
  <c r="AA277" i="1"/>
  <c r="AA437" i="1"/>
  <c r="M30" i="1"/>
  <c r="M158" i="1"/>
  <c r="M286" i="1"/>
  <c r="M414" i="1"/>
  <c r="M31" i="1"/>
  <c r="M159" i="1"/>
  <c r="M120" i="1"/>
  <c r="M248" i="1"/>
  <c r="M50" i="1"/>
  <c r="M178" i="1"/>
  <c r="M306" i="1"/>
  <c r="M434" i="1"/>
  <c r="M51" i="1"/>
  <c r="M171" i="1"/>
  <c r="M436" i="1"/>
  <c r="M228" i="1"/>
  <c r="M373" i="1"/>
  <c r="M512" i="1"/>
  <c r="M179" i="1"/>
  <c r="M281" i="1"/>
  <c r="M375" i="1"/>
  <c r="M460" i="1"/>
  <c r="M193" i="1"/>
  <c r="M355" i="1"/>
  <c r="M500" i="1"/>
  <c r="M205" i="1"/>
  <c r="M429" i="1"/>
  <c r="M81" i="1"/>
  <c r="M220" i="1"/>
  <c r="M323" i="1"/>
  <c r="M409" i="1"/>
  <c r="M495" i="1"/>
  <c r="M433" i="1"/>
  <c r="M199" i="1"/>
  <c r="M413" i="1"/>
  <c r="M201" i="1"/>
  <c r="M468" i="1"/>
  <c r="M148" i="1"/>
  <c r="M260" i="1"/>
  <c r="M357" i="1"/>
  <c r="M443" i="1"/>
  <c r="M44" i="1"/>
  <c r="M197" i="1"/>
  <c r="M313" i="1"/>
  <c r="M476" i="1"/>
  <c r="M237" i="1"/>
  <c r="M424" i="1"/>
  <c r="M188" i="1"/>
  <c r="M447" i="1"/>
  <c r="J62" i="1"/>
  <c r="J126" i="1"/>
  <c r="J190" i="1"/>
  <c r="J254" i="1"/>
  <c r="J318" i="1"/>
  <c r="J382" i="1"/>
  <c r="J446" i="1"/>
  <c r="J510" i="1"/>
  <c r="J424" i="1"/>
  <c r="J140" i="1"/>
  <c r="J31" i="1"/>
  <c r="J95" i="1"/>
  <c r="J159" i="1"/>
  <c r="J223" i="1"/>
  <c r="J287" i="1"/>
  <c r="J351" i="1"/>
  <c r="J415" i="1"/>
  <c r="J479" i="1"/>
  <c r="J360" i="1"/>
  <c r="J512" i="1"/>
  <c r="J324" i="1"/>
  <c r="AA438" i="1"/>
  <c r="AA344" i="1"/>
  <c r="AA385" i="1"/>
  <c r="AA506" i="1"/>
  <c r="AA395" i="1"/>
  <c r="AA301" i="1"/>
  <c r="M150" i="1"/>
  <c r="M446" i="1"/>
  <c r="M136" i="1"/>
  <c r="M170" i="1"/>
  <c r="M466" i="1"/>
  <c r="M9" i="1"/>
  <c r="M501" i="1"/>
  <c r="M307" i="1"/>
  <c r="M219" i="1"/>
  <c r="M180" i="1"/>
  <c r="M124" i="1"/>
  <c r="M420" i="1"/>
  <c r="M153" i="1"/>
  <c r="M265" i="1"/>
  <c r="M273" i="1"/>
  <c r="M21" i="1"/>
  <c r="M359" i="1"/>
  <c r="M445" i="1"/>
  <c r="J54" i="1"/>
  <c r="J206" i="1"/>
  <c r="J390" i="1"/>
  <c r="J328" i="1"/>
  <c r="J196" i="1"/>
  <c r="J79" i="1"/>
  <c r="J175" i="1"/>
  <c r="J279" i="1"/>
  <c r="J375" i="1"/>
  <c r="J487" i="1"/>
  <c r="J472" i="1"/>
  <c r="J388" i="1"/>
  <c r="J64" i="1"/>
  <c r="J128" i="1"/>
  <c r="J192" i="1"/>
  <c r="J256" i="1"/>
  <c r="J464" i="1"/>
  <c r="J132" i="1"/>
  <c r="J33" i="1"/>
  <c r="J97" i="1"/>
  <c r="J161" i="1"/>
  <c r="J225" i="1"/>
  <c r="J289" i="1"/>
  <c r="J353" i="1"/>
  <c r="J417" i="1"/>
  <c r="J481" i="1"/>
  <c r="J491" i="1"/>
  <c r="J26" i="1"/>
  <c r="J90" i="1"/>
  <c r="J154" i="1"/>
  <c r="J218" i="1"/>
  <c r="J282" i="1"/>
  <c r="J346" i="1"/>
  <c r="J410" i="1"/>
  <c r="J474" i="1"/>
  <c r="J499" i="1"/>
  <c r="J428" i="1"/>
  <c r="J75" i="1"/>
  <c r="J139" i="1"/>
  <c r="J203" i="1"/>
  <c r="J267" i="1"/>
  <c r="J331" i="1"/>
  <c r="J84" i="1"/>
  <c r="J404" i="1"/>
  <c r="J77" i="1"/>
  <c r="J141" i="1"/>
  <c r="J205" i="1"/>
  <c r="J269" i="1"/>
  <c r="J333" i="1"/>
  <c r="J397" i="1"/>
  <c r="J461" i="1"/>
  <c r="J156" i="1"/>
  <c r="I22" i="1"/>
  <c r="I86" i="1"/>
  <c r="I150" i="1"/>
  <c r="I214" i="1"/>
  <c r="I278" i="1"/>
  <c r="I342" i="1"/>
  <c r="I406" i="1"/>
  <c r="I470" i="1"/>
  <c r="I479" i="1"/>
  <c r="I274" i="1"/>
  <c r="AA420" i="1"/>
  <c r="AA472" i="1"/>
  <c r="AA409" i="1"/>
  <c r="AA292" i="1"/>
  <c r="AA108" i="1"/>
  <c r="AA309" i="1"/>
  <c r="M174" i="1"/>
  <c r="M23" i="1"/>
  <c r="M152" i="1"/>
  <c r="M194" i="1"/>
  <c r="M43" i="1"/>
  <c r="M73" i="1"/>
  <c r="M12" i="1"/>
  <c r="M364" i="1"/>
  <c r="M244" i="1"/>
  <c r="M231" i="1"/>
  <c r="M207" i="1"/>
  <c r="M431" i="1"/>
  <c r="M225" i="1"/>
  <c r="M425" i="1"/>
  <c r="M285" i="1"/>
  <c r="M65" i="1"/>
  <c r="M455" i="1"/>
  <c r="M477" i="1"/>
  <c r="J70" i="1"/>
  <c r="J246" i="1"/>
  <c r="J398" i="1"/>
  <c r="J384" i="1"/>
  <c r="J260" i="1"/>
  <c r="J87" i="1"/>
  <c r="J183" i="1"/>
  <c r="J295" i="1"/>
  <c r="J399" i="1"/>
  <c r="J495" i="1"/>
  <c r="J496" i="1"/>
  <c r="J452" i="1"/>
  <c r="AA151" i="1"/>
  <c r="AA504" i="1"/>
  <c r="AA162" i="1"/>
  <c r="AA340" i="1"/>
  <c r="AA156" i="1"/>
  <c r="AA429" i="1"/>
  <c r="M190" i="1"/>
  <c r="M47" i="1"/>
  <c r="M240" i="1"/>
  <c r="M210" i="1"/>
  <c r="M67" i="1"/>
  <c r="M215" i="1"/>
  <c r="M53" i="1"/>
  <c r="M385" i="1"/>
  <c r="M344" i="1"/>
  <c r="M269" i="1"/>
  <c r="M233" i="1"/>
  <c r="M484" i="1"/>
  <c r="M251" i="1"/>
  <c r="M511" i="1"/>
  <c r="M347" i="1"/>
  <c r="M85" i="1"/>
  <c r="M497" i="1"/>
  <c r="M133" i="1"/>
  <c r="J78" i="1"/>
  <c r="J262" i="1"/>
  <c r="J438" i="1"/>
  <c r="J408" i="1"/>
  <c r="J316" i="1"/>
  <c r="J103" i="1"/>
  <c r="J207" i="1"/>
  <c r="J303" i="1"/>
  <c r="J407" i="1"/>
  <c r="J503" i="1"/>
  <c r="J379" i="1"/>
  <c r="J508" i="1"/>
  <c r="AA471" i="1"/>
  <c r="AA473" i="1"/>
  <c r="AA194" i="1"/>
  <c r="AA171" i="1"/>
  <c r="AA180" i="1"/>
  <c r="AA453" i="1"/>
  <c r="M278" i="1"/>
  <c r="M63" i="1"/>
  <c r="M264" i="1"/>
  <c r="M298" i="1"/>
  <c r="M83" i="1"/>
  <c r="M241" i="1"/>
  <c r="M161" i="1"/>
  <c r="M396" i="1"/>
  <c r="M376" i="1"/>
  <c r="M408" i="1"/>
  <c r="M245" i="1"/>
  <c r="M505" i="1"/>
  <c r="M392" i="1"/>
  <c r="M20" i="1"/>
  <c r="M368" i="1"/>
  <c r="M185" i="1"/>
  <c r="M25" i="1"/>
  <c r="M213" i="1"/>
  <c r="J118" i="1"/>
  <c r="J270" i="1"/>
  <c r="J454" i="1"/>
  <c r="J456" i="1"/>
  <c r="J500" i="1"/>
  <c r="J111" i="1"/>
  <c r="J215" i="1"/>
  <c r="J311" i="1"/>
  <c r="J423" i="1"/>
  <c r="J320" i="1"/>
  <c r="J435" i="1"/>
  <c r="J24" i="1"/>
  <c r="J88" i="1"/>
  <c r="J152" i="1"/>
  <c r="J216" i="1"/>
  <c r="J296" i="1"/>
  <c r="J411" i="1"/>
  <c r="J292" i="1"/>
  <c r="J57" i="1"/>
  <c r="J121" i="1"/>
  <c r="J185" i="1"/>
  <c r="J249" i="1"/>
  <c r="J313" i="1"/>
  <c r="J377" i="1"/>
  <c r="J441" i="1"/>
  <c r="J505" i="1"/>
  <c r="J228" i="1"/>
  <c r="J50" i="1"/>
  <c r="J114" i="1"/>
  <c r="J178" i="1"/>
  <c r="J242" i="1"/>
  <c r="J306" i="1"/>
  <c r="J370" i="1"/>
  <c r="J434" i="1"/>
  <c r="J498" i="1"/>
  <c r="J172" i="1"/>
  <c r="J35" i="1"/>
  <c r="J99" i="1"/>
  <c r="J163" i="1"/>
  <c r="J227" i="1"/>
  <c r="J291" i="1"/>
  <c r="J395" i="1"/>
  <c r="J180" i="1"/>
  <c r="J37" i="1"/>
  <c r="J101" i="1"/>
  <c r="J165" i="1"/>
  <c r="J229" i="1"/>
  <c r="J293" i="1"/>
  <c r="J357" i="1"/>
  <c r="J421" i="1"/>
  <c r="J485" i="1"/>
  <c r="J340" i="1"/>
  <c r="I46" i="1"/>
  <c r="I110" i="1"/>
  <c r="I174" i="1"/>
  <c r="I238" i="1"/>
  <c r="I302" i="1"/>
  <c r="I366" i="1"/>
  <c r="I430" i="1"/>
  <c r="I494" i="1"/>
  <c r="I82" i="1"/>
  <c r="AA465" i="1"/>
  <c r="AA137" i="1"/>
  <c r="AA226" i="1"/>
  <c r="AA203" i="1"/>
  <c r="AA404" i="1"/>
  <c r="AA469" i="1"/>
  <c r="M302" i="1"/>
  <c r="M151" i="1"/>
  <c r="M280" i="1"/>
  <c r="M322" i="1"/>
  <c r="M147" i="1"/>
  <c r="M253" i="1"/>
  <c r="M191" i="1"/>
  <c r="M449" i="1"/>
  <c r="M397" i="1"/>
  <c r="M451" i="1"/>
  <c r="M309" i="1"/>
  <c r="M249" i="1"/>
  <c r="M435" i="1"/>
  <c r="M125" i="1"/>
  <c r="M379" i="1"/>
  <c r="M211" i="1"/>
  <c r="M212" i="1"/>
  <c r="M252" i="1"/>
  <c r="J134" i="1"/>
  <c r="J310" i="1"/>
  <c r="J462" i="1"/>
  <c r="J480" i="1"/>
  <c r="J23" i="1"/>
  <c r="J119" i="1"/>
  <c r="J231" i="1"/>
  <c r="J335" i="1"/>
  <c r="J431" i="1"/>
  <c r="J336" i="1"/>
  <c r="J483" i="1"/>
  <c r="J32" i="1"/>
  <c r="J96" i="1"/>
  <c r="J160" i="1"/>
  <c r="J224" i="1"/>
  <c r="J312" i="1"/>
  <c r="J467" i="1"/>
  <c r="J356" i="1"/>
  <c r="J65" i="1"/>
  <c r="J129" i="1"/>
  <c r="J193" i="1"/>
  <c r="J257" i="1"/>
  <c r="J321" i="1"/>
  <c r="J385" i="1"/>
  <c r="J449" i="1"/>
  <c r="J513" i="1"/>
  <c r="J308" i="1"/>
  <c r="J58" i="1"/>
  <c r="J122" i="1"/>
  <c r="J186" i="1"/>
  <c r="J250" i="1"/>
  <c r="J314" i="1"/>
  <c r="J378" i="1"/>
  <c r="J442" i="1"/>
  <c r="J506" i="1"/>
  <c r="J244" i="1"/>
  <c r="J43" i="1"/>
  <c r="J107" i="1"/>
  <c r="J171" i="1"/>
  <c r="J235" i="1"/>
  <c r="J299" i="1"/>
  <c r="J403" i="1"/>
  <c r="J204" i="1"/>
  <c r="J45" i="1"/>
  <c r="J109" i="1"/>
  <c r="J173" i="1"/>
  <c r="J237" i="1"/>
  <c r="J301" i="1"/>
  <c r="J365" i="1"/>
  <c r="J429" i="1"/>
  <c r="J493" i="1"/>
  <c r="J396" i="1"/>
  <c r="I54" i="1"/>
  <c r="I118" i="1"/>
  <c r="I182" i="1"/>
  <c r="I246" i="1"/>
  <c r="AA460" i="1"/>
  <c r="AA193" i="1"/>
  <c r="AA322" i="1"/>
  <c r="AA235" i="1"/>
  <c r="AA117" i="1"/>
  <c r="M22" i="1"/>
  <c r="M318" i="1"/>
  <c r="M8" i="1"/>
  <c r="M42" i="1"/>
  <c r="M338" i="1"/>
  <c r="M4" i="1"/>
  <c r="M352" i="1"/>
  <c r="M204" i="1"/>
  <c r="M471" i="1"/>
  <c r="M504" i="1"/>
  <c r="M472" i="1"/>
  <c r="M335" i="1"/>
  <c r="M412" i="1"/>
  <c r="M467" i="1"/>
  <c r="M169" i="1"/>
  <c r="M432" i="1"/>
  <c r="M223" i="1"/>
  <c r="M263" i="1"/>
  <c r="M404" i="1"/>
  <c r="J142" i="1"/>
  <c r="J326" i="1"/>
  <c r="J502" i="1"/>
  <c r="J504" i="1"/>
  <c r="J39" i="1"/>
  <c r="J143" i="1"/>
  <c r="J239" i="1"/>
  <c r="J343" i="1"/>
  <c r="J439" i="1"/>
  <c r="J376" i="1"/>
  <c r="J36" i="1"/>
  <c r="J40" i="1"/>
  <c r="J104" i="1"/>
  <c r="J168" i="1"/>
  <c r="J232" i="1"/>
  <c r="J352" i="1"/>
  <c r="J28" i="1"/>
  <c r="J420" i="1"/>
  <c r="J73" i="1"/>
  <c r="J137" i="1"/>
  <c r="J201" i="1"/>
  <c r="J265" i="1"/>
  <c r="J329" i="1"/>
  <c r="J393" i="1"/>
  <c r="J457" i="1"/>
  <c r="J387" i="1"/>
  <c r="J348" i="1"/>
  <c r="J66" i="1"/>
  <c r="J130" i="1"/>
  <c r="J194" i="1"/>
  <c r="J258" i="1"/>
  <c r="J322" i="1"/>
  <c r="J386" i="1"/>
  <c r="J450" i="1"/>
  <c r="J514" i="1"/>
  <c r="J276" i="1"/>
  <c r="J51" i="1"/>
  <c r="J115" i="1"/>
  <c r="J179" i="1"/>
  <c r="J243" i="1"/>
  <c r="J307" i="1"/>
  <c r="J427" i="1"/>
  <c r="J252" i="1"/>
  <c r="J53" i="1"/>
  <c r="J117" i="1"/>
  <c r="J181" i="1"/>
  <c r="J245" i="1"/>
  <c r="J309" i="1"/>
  <c r="J373" i="1"/>
  <c r="J437" i="1"/>
  <c r="J501" i="1"/>
  <c r="J436" i="1"/>
  <c r="I62" i="1"/>
  <c r="I126" i="1"/>
  <c r="I190" i="1"/>
  <c r="I254" i="1"/>
  <c r="AA240" i="1"/>
  <c r="AA149" i="1"/>
  <c r="M66" i="1"/>
  <c r="M268" i="1"/>
  <c r="M345" i="1"/>
  <c r="M453" i="1"/>
  <c r="J182" i="1"/>
  <c r="J47" i="1"/>
  <c r="J463" i="1"/>
  <c r="J72" i="1"/>
  <c r="J200" i="1"/>
  <c r="J488" i="1"/>
  <c r="J41" i="1"/>
  <c r="J169" i="1"/>
  <c r="J297" i="1"/>
  <c r="J425" i="1"/>
  <c r="J44" i="1"/>
  <c r="J98" i="1"/>
  <c r="J226" i="1"/>
  <c r="J354" i="1"/>
  <c r="J482" i="1"/>
  <c r="J484" i="1"/>
  <c r="J147" i="1"/>
  <c r="J275" i="1"/>
  <c r="J100" i="1"/>
  <c r="J85" i="1"/>
  <c r="J213" i="1"/>
  <c r="J341" i="1"/>
  <c r="J469" i="1"/>
  <c r="I30" i="1"/>
  <c r="I158" i="1"/>
  <c r="I286" i="1"/>
  <c r="I374" i="1"/>
  <c r="I454" i="1"/>
  <c r="I487" i="1"/>
  <c r="I386" i="1"/>
  <c r="I389" i="1"/>
  <c r="I71" i="1"/>
  <c r="I135" i="1"/>
  <c r="I199" i="1"/>
  <c r="I263" i="1"/>
  <c r="I327" i="1"/>
  <c r="I391" i="1"/>
  <c r="I471" i="1"/>
  <c r="I370" i="1"/>
  <c r="I24" i="1"/>
  <c r="I88" i="1"/>
  <c r="I152" i="1"/>
  <c r="I216" i="1"/>
  <c r="I280" i="1"/>
  <c r="I344" i="1"/>
  <c r="I408" i="1"/>
  <c r="I472" i="1"/>
  <c r="I505" i="1"/>
  <c r="I330" i="1"/>
  <c r="I397" i="1"/>
  <c r="I73" i="1"/>
  <c r="I137" i="1"/>
  <c r="I201" i="1"/>
  <c r="I265" i="1"/>
  <c r="I329" i="1"/>
  <c r="I393" i="1"/>
  <c r="I457" i="1"/>
  <c r="I218" i="1"/>
  <c r="I253" i="1"/>
  <c r="I58" i="1"/>
  <c r="I250" i="1"/>
  <c r="I285" i="1"/>
  <c r="I59" i="1"/>
  <c r="I123" i="1"/>
  <c r="I187" i="1"/>
  <c r="I251" i="1"/>
  <c r="I315" i="1"/>
  <c r="I379" i="1"/>
  <c r="I443" i="1"/>
  <c r="I507" i="1"/>
  <c r="I28" i="1"/>
  <c r="I92" i="1"/>
  <c r="I156" i="1"/>
  <c r="I220" i="1"/>
  <c r="I284" i="1"/>
  <c r="I348" i="1"/>
  <c r="I412" i="1"/>
  <c r="I476" i="1"/>
  <c r="I53" i="1"/>
  <c r="I117" i="1"/>
  <c r="I245" i="1"/>
  <c r="I501" i="1"/>
  <c r="F323" i="1"/>
  <c r="AA304" i="1"/>
  <c r="AA245" i="1"/>
  <c r="M82" i="1"/>
  <c r="M293" i="1"/>
  <c r="M399" i="1"/>
  <c r="M464" i="1"/>
  <c r="J198" i="1"/>
  <c r="J55" i="1"/>
  <c r="J471" i="1"/>
  <c r="J80" i="1"/>
  <c r="J208" i="1"/>
  <c r="J363" i="1"/>
  <c r="J49" i="1"/>
  <c r="J177" i="1"/>
  <c r="J305" i="1"/>
  <c r="J433" i="1"/>
  <c r="J148" i="1"/>
  <c r="J106" i="1"/>
  <c r="J234" i="1"/>
  <c r="J362" i="1"/>
  <c r="J490" i="1"/>
  <c r="J27" i="1"/>
  <c r="J155" i="1"/>
  <c r="J283" i="1"/>
  <c r="J124" i="1"/>
  <c r="J93" i="1"/>
  <c r="J221" i="1"/>
  <c r="J349" i="1"/>
  <c r="J477" i="1"/>
  <c r="I38" i="1"/>
  <c r="I166" i="1"/>
  <c r="I294" i="1"/>
  <c r="I382" i="1"/>
  <c r="I462" i="1"/>
  <c r="I503" i="1"/>
  <c r="I418" i="1"/>
  <c r="I453" i="1"/>
  <c r="I79" i="1"/>
  <c r="I143" i="1"/>
  <c r="I207" i="1"/>
  <c r="I271" i="1"/>
  <c r="I335" i="1"/>
  <c r="I399" i="1"/>
  <c r="I495" i="1"/>
  <c r="I426" i="1"/>
  <c r="AA201" i="1"/>
  <c r="M46" i="1"/>
  <c r="M426" i="1"/>
  <c r="M481" i="1"/>
  <c r="M465" i="1"/>
  <c r="M300" i="1"/>
  <c r="J334" i="1"/>
  <c r="J151" i="1"/>
  <c r="J400" i="1"/>
  <c r="J112" i="1"/>
  <c r="J240" i="1"/>
  <c r="J92" i="1"/>
  <c r="J81" i="1"/>
  <c r="J209" i="1"/>
  <c r="J337" i="1"/>
  <c r="J465" i="1"/>
  <c r="J412" i="1"/>
  <c r="J138" i="1"/>
  <c r="J266" i="1"/>
  <c r="J394" i="1"/>
  <c r="J371" i="1"/>
  <c r="J59" i="1"/>
  <c r="J187" i="1"/>
  <c r="J315" i="1"/>
  <c r="J300" i="1"/>
  <c r="J125" i="1"/>
  <c r="J253" i="1"/>
  <c r="J381" i="1"/>
  <c r="J509" i="1"/>
  <c r="I70" i="1"/>
  <c r="I198" i="1"/>
  <c r="I310" i="1"/>
  <c r="I390" i="1"/>
  <c r="I478" i="1"/>
  <c r="I130" i="1"/>
  <c r="I458" i="1"/>
  <c r="I23" i="1"/>
  <c r="I87" i="1"/>
  <c r="I151" i="1"/>
  <c r="I215" i="1"/>
  <c r="I279" i="1"/>
  <c r="I343" i="1"/>
  <c r="I407" i="1"/>
  <c r="I511" i="1"/>
  <c r="I466" i="1"/>
  <c r="I40" i="1"/>
  <c r="I104" i="1"/>
  <c r="I168" i="1"/>
  <c r="I232" i="1"/>
  <c r="I296" i="1"/>
  <c r="I360" i="1"/>
  <c r="I424" i="1"/>
  <c r="I488" i="1"/>
  <c r="I138" i="1"/>
  <c r="I402" i="1"/>
  <c r="I25" i="1"/>
  <c r="I89" i="1"/>
  <c r="I153" i="1"/>
  <c r="I217" i="1"/>
  <c r="I281" i="1"/>
  <c r="I345" i="1"/>
  <c r="I409" i="1"/>
  <c r="I481" i="1"/>
  <c r="I314" i="1"/>
  <c r="I365" i="1"/>
  <c r="I90" i="1"/>
  <c r="I338" i="1"/>
  <c r="I413" i="1"/>
  <c r="I75" i="1"/>
  <c r="I139" i="1"/>
  <c r="I203" i="1"/>
  <c r="I267" i="1"/>
  <c r="I331" i="1"/>
  <c r="I395" i="1"/>
  <c r="I459" i="1"/>
  <c r="I181" i="1"/>
  <c r="I44" i="1"/>
  <c r="I108" i="1"/>
  <c r="I172" i="1"/>
  <c r="I236" i="1"/>
  <c r="I300" i="1"/>
  <c r="I364" i="1"/>
  <c r="I428" i="1"/>
  <c r="I492" i="1"/>
  <c r="I69" i="1"/>
  <c r="I141" i="1"/>
  <c r="I309" i="1"/>
  <c r="I21" i="1"/>
  <c r="F451" i="1"/>
  <c r="AA321" i="1"/>
  <c r="M62" i="1"/>
  <c r="M450" i="1"/>
  <c r="M164" i="1"/>
  <c r="M487" i="1"/>
  <c r="M337" i="1"/>
  <c r="J374" i="1"/>
  <c r="J167" i="1"/>
  <c r="J416" i="1"/>
  <c r="J120" i="1"/>
  <c r="J248" i="1"/>
  <c r="J108" i="1"/>
  <c r="J89" i="1"/>
  <c r="J217" i="1"/>
  <c r="J345" i="1"/>
  <c r="J473" i="1"/>
  <c r="J476" i="1"/>
  <c r="J146" i="1"/>
  <c r="J274" i="1"/>
  <c r="J402" i="1"/>
  <c r="J443" i="1"/>
  <c r="J67" i="1"/>
  <c r="J195" i="1"/>
  <c r="J323" i="1"/>
  <c r="J364" i="1"/>
  <c r="J133" i="1"/>
  <c r="J261" i="1"/>
  <c r="J389" i="1"/>
  <c r="J68" i="1"/>
  <c r="I78" i="1"/>
  <c r="I206" i="1"/>
  <c r="I318" i="1"/>
  <c r="I398" i="1"/>
  <c r="I486" i="1"/>
  <c r="I162" i="1"/>
  <c r="I490" i="1"/>
  <c r="I31" i="1"/>
  <c r="I95" i="1"/>
  <c r="I159" i="1"/>
  <c r="I223" i="1"/>
  <c r="I287" i="1"/>
  <c r="I351" i="1"/>
  <c r="I415" i="1"/>
  <c r="I98" i="1"/>
  <c r="I506" i="1"/>
  <c r="AA378" i="1"/>
  <c r="M406" i="1"/>
  <c r="M301" i="1"/>
  <c r="M13" i="1"/>
  <c r="M156" i="1"/>
  <c r="M289" i="1"/>
  <c r="J280" i="1"/>
  <c r="J247" i="1"/>
  <c r="J212" i="1"/>
  <c r="J136" i="1"/>
  <c r="J264" i="1"/>
  <c r="J188" i="1"/>
  <c r="J105" i="1"/>
  <c r="J233" i="1"/>
  <c r="J361" i="1"/>
  <c r="J489" i="1"/>
  <c r="J34" i="1"/>
  <c r="J162" i="1"/>
  <c r="J290" i="1"/>
  <c r="J418" i="1"/>
  <c r="J76" i="1"/>
  <c r="J83" i="1"/>
  <c r="J211" i="1"/>
  <c r="J339" i="1"/>
  <c r="J460" i="1"/>
  <c r="J149" i="1"/>
  <c r="J277" i="1"/>
  <c r="J405" i="1"/>
  <c r="J220" i="1"/>
  <c r="I94" i="1"/>
  <c r="I222" i="1"/>
  <c r="I326" i="1"/>
  <c r="I414" i="1"/>
  <c r="I502" i="1"/>
  <c r="I202" i="1"/>
  <c r="I514" i="1"/>
  <c r="I39" i="1"/>
  <c r="I103" i="1"/>
  <c r="I167" i="1"/>
  <c r="I231" i="1"/>
  <c r="I295" i="1"/>
  <c r="I359" i="1"/>
  <c r="I423" i="1"/>
  <c r="I178" i="1"/>
  <c r="I237" i="1"/>
  <c r="I56" i="1"/>
  <c r="I120" i="1"/>
  <c r="I184" i="1"/>
  <c r="I248" i="1"/>
  <c r="I312" i="1"/>
  <c r="I376" i="1"/>
  <c r="I440" i="1"/>
  <c r="I504" i="1"/>
  <c r="I210" i="1"/>
  <c r="I482" i="1"/>
  <c r="I41" i="1"/>
  <c r="I105" i="1"/>
  <c r="I169" i="1"/>
  <c r="I233" i="1"/>
  <c r="I297" i="1"/>
  <c r="I361" i="1"/>
  <c r="I425" i="1"/>
  <c r="I513" i="1"/>
  <c r="I394" i="1"/>
  <c r="I477" i="1"/>
  <c r="I114" i="1"/>
  <c r="I410" i="1"/>
  <c r="I27" i="1"/>
  <c r="I91" i="1"/>
  <c r="I155" i="1"/>
  <c r="I219" i="1"/>
  <c r="I283" i="1"/>
  <c r="I347" i="1"/>
  <c r="I411" i="1"/>
  <c r="I475" i="1"/>
  <c r="I261" i="1"/>
  <c r="I60" i="1"/>
  <c r="I124" i="1"/>
  <c r="I188" i="1"/>
  <c r="I252" i="1"/>
  <c r="I316" i="1"/>
  <c r="I380" i="1"/>
  <c r="I444" i="1"/>
  <c r="I508" i="1"/>
  <c r="I85" i="1"/>
  <c r="AA386" i="1"/>
  <c r="M430" i="1"/>
  <c r="M393" i="1"/>
  <c r="M57" i="1"/>
  <c r="M239" i="1"/>
  <c r="M403" i="1"/>
  <c r="J304" i="1"/>
  <c r="J271" i="1"/>
  <c r="J268" i="1"/>
  <c r="J144" i="1"/>
  <c r="J288" i="1"/>
  <c r="J236" i="1"/>
  <c r="J113" i="1"/>
  <c r="J241" i="1"/>
  <c r="J369" i="1"/>
  <c r="J497" i="1"/>
  <c r="J42" i="1"/>
  <c r="J170" i="1"/>
  <c r="J298" i="1"/>
  <c r="J426" i="1"/>
  <c r="J116" i="1"/>
  <c r="J91" i="1"/>
  <c r="J219" i="1"/>
  <c r="J347" i="1"/>
  <c r="J29" i="1"/>
  <c r="J157" i="1"/>
  <c r="J285" i="1"/>
  <c r="J413" i="1"/>
  <c r="J284" i="1"/>
  <c r="I102" i="1"/>
  <c r="I230" i="1"/>
  <c r="I334" i="1"/>
  <c r="I422" i="1"/>
  <c r="I510" i="1"/>
  <c r="I242" i="1"/>
  <c r="I221" i="1"/>
  <c r="I47" i="1"/>
  <c r="I111" i="1"/>
  <c r="I175" i="1"/>
  <c r="I239" i="1"/>
  <c r="I303" i="1"/>
  <c r="I367" i="1"/>
  <c r="I431" i="1"/>
  <c r="I234" i="1"/>
  <c r="I301" i="1"/>
  <c r="I64" i="1"/>
  <c r="I128" i="1"/>
  <c r="I192" i="1"/>
  <c r="I256" i="1"/>
  <c r="I320" i="1"/>
  <c r="I384" i="1"/>
  <c r="I448" i="1"/>
  <c r="I512" i="1"/>
  <c r="I226" i="1"/>
  <c r="I189" i="1"/>
  <c r="I49" i="1"/>
  <c r="I113" i="1"/>
  <c r="I177" i="1"/>
  <c r="I241" i="1"/>
  <c r="I305" i="1"/>
  <c r="I369" i="1"/>
  <c r="I433" i="1"/>
  <c r="I66" i="1"/>
  <c r="I434" i="1"/>
  <c r="I26" i="1"/>
  <c r="I122" i="1"/>
  <c r="I450" i="1"/>
  <c r="I35" i="1"/>
  <c r="I99" i="1"/>
  <c r="I163" i="1"/>
  <c r="I227" i="1"/>
  <c r="I291" i="1"/>
  <c r="I355" i="1"/>
  <c r="I419" i="1"/>
  <c r="I483" i="1"/>
  <c r="I325" i="1"/>
  <c r="I68" i="1"/>
  <c r="I132" i="1"/>
  <c r="I196" i="1"/>
  <c r="I260" i="1"/>
  <c r="I324" i="1"/>
  <c r="I388" i="1"/>
  <c r="I452" i="1"/>
  <c r="I29" i="1"/>
  <c r="I93" i="1"/>
  <c r="AA387" i="1"/>
  <c r="M247" i="1"/>
  <c r="J56" i="1"/>
  <c r="J153" i="1"/>
  <c r="J82" i="1"/>
  <c r="J380" i="1"/>
  <c r="J69" i="1"/>
  <c r="J21" i="1"/>
  <c r="I446" i="1"/>
  <c r="I63" i="1"/>
  <c r="I319" i="1"/>
  <c r="I437" i="1"/>
  <c r="I144" i="1"/>
  <c r="I272" i="1"/>
  <c r="I400" i="1"/>
  <c r="I489" i="1"/>
  <c r="I341" i="1"/>
  <c r="I129" i="1"/>
  <c r="I257" i="1"/>
  <c r="I385" i="1"/>
  <c r="I186" i="1"/>
  <c r="I50" i="1"/>
  <c r="I205" i="1"/>
  <c r="I115" i="1"/>
  <c r="I243" i="1"/>
  <c r="I371" i="1"/>
  <c r="I499" i="1"/>
  <c r="I84" i="1"/>
  <c r="I212" i="1"/>
  <c r="I340" i="1"/>
  <c r="I468" i="1"/>
  <c r="I109" i="1"/>
  <c r="I357" i="1"/>
  <c r="F131" i="1"/>
  <c r="F132" i="1"/>
  <c r="F53" i="1"/>
  <c r="F134" i="1"/>
  <c r="F456" i="1"/>
  <c r="F327" i="1"/>
  <c r="F489" i="1"/>
  <c r="F366" i="1"/>
  <c r="D251" i="1"/>
  <c r="D452" i="1"/>
  <c r="D333" i="1"/>
  <c r="F459" i="1"/>
  <c r="F332" i="1"/>
  <c r="F253" i="1"/>
  <c r="F144" i="1"/>
  <c r="F145" i="1"/>
  <c r="F215" i="1"/>
  <c r="F303" i="1"/>
  <c r="F506" i="1"/>
  <c r="D140" i="1"/>
  <c r="D21" i="1"/>
  <c r="F147" i="1"/>
  <c r="F20" i="1"/>
  <c r="F110" i="1"/>
  <c r="F453" i="1"/>
  <c r="F344" i="1"/>
  <c r="F463" i="1"/>
  <c r="F358" i="1"/>
  <c r="F359" i="1"/>
  <c r="D139" i="1"/>
  <c r="D340" i="1"/>
  <c r="D221" i="1"/>
  <c r="F291" i="1"/>
  <c r="F164" i="1"/>
  <c r="F85" i="1"/>
  <c r="F238" i="1"/>
  <c r="F488" i="1"/>
  <c r="F361" i="1"/>
  <c r="F299" i="1"/>
  <c r="F172" i="1"/>
  <c r="F93" i="1"/>
  <c r="F262" i="1"/>
  <c r="F496" i="1"/>
  <c r="F409" i="1"/>
  <c r="F378" i="1"/>
  <c r="F90" i="1"/>
  <c r="D291" i="1"/>
  <c r="D492" i="1"/>
  <c r="D373" i="1"/>
  <c r="F443" i="1"/>
  <c r="F316" i="1"/>
  <c r="F237" i="1"/>
  <c r="F128" i="1"/>
  <c r="M24" i="1"/>
  <c r="M479" i="1"/>
  <c r="J176" i="1"/>
  <c r="J273" i="1"/>
  <c r="J202" i="1"/>
  <c r="J123" i="1"/>
  <c r="J189" i="1"/>
  <c r="I134" i="1"/>
  <c r="I447" i="1"/>
  <c r="I119" i="1"/>
  <c r="I375" i="1"/>
  <c r="I32" i="1"/>
  <c r="I160" i="1"/>
  <c r="I288" i="1"/>
  <c r="I416" i="1"/>
  <c r="I42" i="1"/>
  <c r="I461" i="1"/>
  <c r="I145" i="1"/>
  <c r="I273" i="1"/>
  <c r="I401" i="1"/>
  <c r="I266" i="1"/>
  <c r="I74" i="1"/>
  <c r="I349" i="1"/>
  <c r="I131" i="1"/>
  <c r="I259" i="1"/>
  <c r="I387" i="1"/>
  <c r="I133" i="1"/>
  <c r="I100" i="1"/>
  <c r="I228" i="1"/>
  <c r="I356" i="1"/>
  <c r="I484" i="1"/>
  <c r="I125" i="1"/>
  <c r="I405" i="1"/>
  <c r="F195" i="1"/>
  <c r="F196" i="1"/>
  <c r="F117" i="1"/>
  <c r="F8" i="1"/>
  <c r="F9" i="1"/>
  <c r="F249" i="1"/>
  <c r="F162" i="1"/>
  <c r="F183" i="1"/>
  <c r="D4" i="1"/>
  <c r="D62" i="1"/>
  <c r="F11" i="1"/>
  <c r="F508" i="1"/>
  <c r="F396" i="1"/>
  <c r="F317" i="1"/>
  <c r="F208" i="1"/>
  <c r="F135" i="1"/>
  <c r="F369" i="1"/>
  <c r="F434" i="1"/>
  <c r="D3" i="1"/>
  <c r="D204" i="1"/>
  <c r="D85" i="1"/>
  <c r="F211" i="1"/>
  <c r="F84" i="1"/>
  <c r="F5" i="1"/>
  <c r="F22" i="1"/>
  <c r="F408" i="1"/>
  <c r="F422" i="1"/>
  <c r="F343" i="1"/>
  <c r="F271" i="1"/>
  <c r="D203" i="1"/>
  <c r="D404" i="1"/>
  <c r="D285" i="1"/>
  <c r="F355" i="1"/>
  <c r="F228" i="1"/>
  <c r="F149" i="1"/>
  <c r="F40" i="1"/>
  <c r="F41" i="1"/>
  <c r="F130" i="1"/>
  <c r="F363" i="1"/>
  <c r="F236" i="1"/>
  <c r="F157" i="1"/>
  <c r="F48" i="1"/>
  <c r="F49" i="1"/>
  <c r="F186" i="1"/>
  <c r="F510" i="1"/>
  <c r="F289" i="1"/>
  <c r="D44" i="1"/>
  <c r="D246" i="1"/>
  <c r="F51" i="1"/>
  <c r="F507" i="1"/>
  <c r="F380" i="1"/>
  <c r="M112" i="1"/>
  <c r="M3" i="1"/>
  <c r="J184" i="1"/>
  <c r="J281" i="1"/>
  <c r="J210" i="1"/>
  <c r="J131" i="1"/>
  <c r="J197" i="1"/>
  <c r="I142" i="1"/>
  <c r="I463" i="1"/>
  <c r="I127" i="1"/>
  <c r="I383" i="1"/>
  <c r="I48" i="1"/>
  <c r="I176" i="1"/>
  <c r="I304" i="1"/>
  <c r="I432" i="1"/>
  <c r="I170" i="1"/>
  <c r="I33" i="1"/>
  <c r="I161" i="1"/>
  <c r="I289" i="1"/>
  <c r="I417" i="1"/>
  <c r="I354" i="1"/>
  <c r="I106" i="1"/>
  <c r="I469" i="1"/>
  <c r="I147" i="1"/>
  <c r="I275" i="1"/>
  <c r="I403" i="1"/>
  <c r="I229" i="1"/>
  <c r="I116" i="1"/>
  <c r="I244" i="1"/>
  <c r="I372" i="1"/>
  <c r="I500" i="1"/>
  <c r="I149" i="1"/>
  <c r="I445" i="1"/>
  <c r="F259" i="1"/>
  <c r="F260" i="1"/>
  <c r="F181" i="1"/>
  <c r="F72" i="1"/>
  <c r="F73" i="1"/>
  <c r="F398" i="1"/>
  <c r="F79" i="1"/>
  <c r="F441" i="1"/>
  <c r="D68" i="1"/>
  <c r="D326" i="1"/>
  <c r="F75" i="1"/>
  <c r="F182" i="1"/>
  <c r="F460" i="1"/>
  <c r="F381" i="1"/>
  <c r="F272" i="1"/>
  <c r="F319" i="1"/>
  <c r="F497" i="1"/>
  <c r="F305" i="1"/>
  <c r="D67" i="1"/>
  <c r="D268" i="1"/>
  <c r="D149" i="1"/>
  <c r="F275" i="1"/>
  <c r="F148" i="1"/>
  <c r="F69" i="1"/>
  <c r="F190" i="1"/>
  <c r="F472" i="1"/>
  <c r="F439" i="1"/>
  <c r="F185" i="1"/>
  <c r="F478" i="1"/>
  <c r="D267" i="1"/>
  <c r="D468" i="1"/>
  <c r="D349" i="1"/>
  <c r="F419" i="1"/>
  <c r="F292" i="1"/>
  <c r="F213" i="1"/>
  <c r="F104" i="1"/>
  <c r="F105" i="1"/>
  <c r="F74" i="1"/>
  <c r="F427" i="1"/>
  <c r="F300" i="1"/>
  <c r="F221" i="1"/>
  <c r="F112" i="1"/>
  <c r="F113" i="1"/>
  <c r="F106" i="1"/>
  <c r="F217" i="1"/>
  <c r="F290" i="1"/>
  <c r="D108" i="1"/>
  <c r="D438" i="1"/>
  <c r="F59" i="1"/>
  <c r="F142" i="1"/>
  <c r="F444" i="1"/>
  <c r="M405" i="1"/>
  <c r="J507" i="1"/>
  <c r="J392" i="1"/>
  <c r="J401" i="1"/>
  <c r="J330" i="1"/>
  <c r="J251" i="1"/>
  <c r="J317" i="1"/>
  <c r="I262" i="1"/>
  <c r="I306" i="1"/>
  <c r="I183" i="1"/>
  <c r="I439" i="1"/>
  <c r="I72" i="1"/>
  <c r="I200" i="1"/>
  <c r="I328" i="1"/>
  <c r="I456" i="1"/>
  <c r="I258" i="1"/>
  <c r="I57" i="1"/>
  <c r="I185" i="1"/>
  <c r="I313" i="1"/>
  <c r="I441" i="1"/>
  <c r="I474" i="1"/>
  <c r="I154" i="1"/>
  <c r="I43" i="1"/>
  <c r="I171" i="1"/>
  <c r="I299" i="1"/>
  <c r="I427" i="1"/>
  <c r="I381" i="1"/>
  <c r="I140" i="1"/>
  <c r="I268" i="1"/>
  <c r="I396" i="1"/>
  <c r="I37" i="1"/>
  <c r="I157" i="1"/>
  <c r="I485" i="1"/>
  <c r="F387" i="1"/>
  <c r="F324" i="1"/>
  <c r="F245" i="1"/>
  <c r="F136" i="1"/>
  <c r="F137" i="1"/>
  <c r="F193" i="1"/>
  <c r="F281" i="1"/>
  <c r="F458" i="1"/>
  <c r="D132" i="1"/>
  <c r="D13" i="1"/>
  <c r="F139" i="1"/>
  <c r="F12" i="1"/>
  <c r="F86" i="1"/>
  <c r="F445" i="1"/>
  <c r="F336" i="1"/>
  <c r="F447" i="1"/>
  <c r="F282" i="1"/>
  <c r="F306" i="1"/>
  <c r="D131" i="1"/>
  <c r="D332" i="1"/>
  <c r="D213" i="1"/>
  <c r="F339" i="1"/>
  <c r="F212" i="1"/>
  <c r="F133" i="1"/>
  <c r="F24" i="1"/>
  <c r="F25" i="1"/>
  <c r="F410" i="1"/>
  <c r="F314" i="1"/>
  <c r="F225" i="1"/>
  <c r="D20" i="1"/>
  <c r="D182" i="1"/>
  <c r="F27" i="1"/>
  <c r="F483" i="1"/>
  <c r="F356" i="1"/>
  <c r="F277" i="1"/>
  <c r="F168" i="1"/>
  <c r="F169" i="1"/>
  <c r="F279" i="1"/>
  <c r="F491" i="1"/>
  <c r="F364" i="1"/>
  <c r="F285" i="1"/>
  <c r="F176" i="1"/>
  <c r="F7" i="1"/>
  <c r="F298" i="1"/>
  <c r="F370" i="1"/>
  <c r="F350" i="1"/>
  <c r="D172" i="1"/>
  <c r="D53" i="1"/>
  <c r="F123" i="1"/>
  <c r="M416" i="1"/>
  <c r="J60" i="1"/>
  <c r="J432" i="1"/>
  <c r="J409" i="1"/>
  <c r="J338" i="1"/>
  <c r="J259" i="1"/>
  <c r="J325" i="1"/>
  <c r="I270" i="1"/>
  <c r="I346" i="1"/>
  <c r="I191" i="1"/>
  <c r="I455" i="1"/>
  <c r="I80" i="1"/>
  <c r="I208" i="1"/>
  <c r="I336" i="1"/>
  <c r="I464" i="1"/>
  <c r="I290" i="1"/>
  <c r="I65" i="1"/>
  <c r="I193" i="1"/>
  <c r="I321" i="1"/>
  <c r="I449" i="1"/>
  <c r="I197" i="1"/>
  <c r="I194" i="1"/>
  <c r="I51" i="1"/>
  <c r="I179" i="1"/>
  <c r="I307" i="1"/>
  <c r="I435" i="1"/>
  <c r="I429" i="1"/>
  <c r="I148" i="1"/>
  <c r="I276" i="1"/>
  <c r="I404" i="1"/>
  <c r="I45" i="1"/>
  <c r="I165" i="1"/>
  <c r="I493" i="1"/>
  <c r="F492" i="1"/>
  <c r="F388" i="1"/>
  <c r="F309" i="1"/>
  <c r="F200" i="1"/>
  <c r="F103" i="1"/>
  <c r="F353" i="1"/>
  <c r="F418" i="1"/>
  <c r="F2" i="1"/>
  <c r="D196" i="1"/>
  <c r="D77" i="1"/>
  <c r="F203" i="1"/>
  <c r="F76" i="1"/>
  <c r="F318" i="1"/>
  <c r="F509" i="1"/>
  <c r="F400" i="1"/>
  <c r="F374" i="1"/>
  <c r="F287" i="1"/>
  <c r="F31" i="1"/>
  <c r="D195" i="1"/>
  <c r="D396" i="1"/>
  <c r="D277" i="1"/>
  <c r="F403" i="1"/>
  <c r="F276" i="1"/>
  <c r="F197" i="1"/>
  <c r="F88" i="1"/>
  <c r="F89" i="1"/>
  <c r="F10" i="1"/>
  <c r="F143" i="1"/>
  <c r="F127" i="1"/>
  <c r="D84" i="1"/>
  <c r="D366" i="1"/>
  <c r="F35" i="1"/>
  <c r="F78" i="1"/>
  <c r="F420" i="1"/>
  <c r="F341" i="1"/>
  <c r="F232" i="1"/>
  <c r="F210" i="1"/>
  <c r="F43" i="1"/>
  <c r="F102" i="1"/>
  <c r="F428" i="1"/>
  <c r="F349" i="1"/>
  <c r="F240" i="1"/>
  <c r="F233" i="1"/>
  <c r="F433" i="1"/>
  <c r="F50" i="1"/>
  <c r="D35" i="1"/>
  <c r="D236" i="1"/>
  <c r="D117" i="1"/>
  <c r="F187" i="1"/>
  <c r="F60" i="1"/>
  <c r="F254" i="1"/>
  <c r="F493" i="1"/>
  <c r="AA331" i="1"/>
  <c r="J25" i="1"/>
  <c r="J475" i="1"/>
  <c r="I438" i="1"/>
  <c r="I322" i="1"/>
  <c r="I352" i="1"/>
  <c r="I293" i="1"/>
  <c r="I353" i="1"/>
  <c r="I298" i="1"/>
  <c r="I235" i="1"/>
  <c r="I52" i="1"/>
  <c r="I420" i="1"/>
  <c r="I269" i="1"/>
  <c r="F62" i="1"/>
  <c r="F297" i="1"/>
  <c r="F457" i="1"/>
  <c r="D205" i="1"/>
  <c r="F61" i="1"/>
  <c r="F81" i="1"/>
  <c r="F202" i="1"/>
  <c r="D341" i="1"/>
  <c r="F468" i="1"/>
  <c r="F167" i="1"/>
  <c r="F98" i="1"/>
  <c r="D157" i="1"/>
  <c r="F174" i="1"/>
  <c r="F367" i="1"/>
  <c r="F108" i="1"/>
  <c r="F368" i="1"/>
  <c r="F502" i="1"/>
  <c r="D428" i="1"/>
  <c r="F124" i="1"/>
  <c r="F365" i="1"/>
  <c r="F384" i="1"/>
  <c r="F241" i="1"/>
  <c r="F178" i="1"/>
  <c r="F393" i="1"/>
  <c r="D179" i="1"/>
  <c r="D380" i="1"/>
  <c r="D261" i="1"/>
  <c r="F141" i="1"/>
  <c r="F423" i="1"/>
  <c r="D244" i="1"/>
  <c r="D358" i="1"/>
  <c r="D271" i="1"/>
  <c r="D232" i="1"/>
  <c r="D65" i="1"/>
  <c r="D162" i="1"/>
  <c r="D25" i="1"/>
  <c r="D61" i="1"/>
  <c r="F156" i="1"/>
  <c r="D280" i="1"/>
  <c r="F165" i="1"/>
  <c r="F345" i="1"/>
  <c r="D284" i="1"/>
  <c r="D382" i="1"/>
  <c r="D279" i="1"/>
  <c r="D240" i="1"/>
  <c r="D73" i="1"/>
  <c r="D178" i="1"/>
  <c r="D384" i="1"/>
  <c r="F243" i="1"/>
  <c r="D272" i="1"/>
  <c r="F55" i="1"/>
  <c r="D216" i="1"/>
  <c r="F28" i="1"/>
  <c r="F479" i="1"/>
  <c r="D91" i="1"/>
  <c r="D437" i="1"/>
  <c r="D95" i="1"/>
  <c r="D56" i="1"/>
  <c r="D98" i="1"/>
  <c r="D401" i="1"/>
  <c r="D506" i="1"/>
  <c r="D459" i="1"/>
  <c r="D397" i="1"/>
  <c r="D458" i="1"/>
  <c r="D318" i="1"/>
  <c r="F435" i="1"/>
  <c r="F121" i="1"/>
  <c r="F209" i="1"/>
  <c r="D365" i="1"/>
  <c r="D39" i="1"/>
  <c r="D330" i="1"/>
  <c r="D226" i="1"/>
  <c r="F440" i="1"/>
  <c r="D16" i="1"/>
  <c r="F401" i="1"/>
  <c r="D177" i="1"/>
  <c r="F30" i="1"/>
  <c r="F354" i="1"/>
  <c r="D500" i="1"/>
  <c r="D78" i="1"/>
  <c r="D367" i="1"/>
  <c r="D328" i="1"/>
  <c r="D161" i="1"/>
  <c r="F94" i="1"/>
  <c r="D144" i="1"/>
  <c r="D171" i="1"/>
  <c r="F504" i="1"/>
  <c r="D371" i="1"/>
  <c r="D377" i="1"/>
  <c r="D96" i="1"/>
  <c r="D190" i="1"/>
  <c r="D263" i="1"/>
  <c r="D315" i="1"/>
  <c r="F248" i="1"/>
  <c r="D327" i="1"/>
  <c r="D416" i="1"/>
  <c r="D302" i="1"/>
  <c r="D398" i="1"/>
  <c r="D512" i="1"/>
  <c r="D408" i="1"/>
  <c r="D156" i="1"/>
  <c r="D192" i="1"/>
  <c r="D361" i="1"/>
  <c r="F475" i="1"/>
  <c r="D47" i="1"/>
  <c r="D353" i="1"/>
  <c r="D180" i="1"/>
  <c r="D7" i="1"/>
  <c r="D346" i="1"/>
  <c r="D22" i="1"/>
  <c r="D102" i="1"/>
  <c r="J74" i="1"/>
  <c r="I136" i="1"/>
  <c r="I209" i="1"/>
  <c r="I83" i="1"/>
  <c r="I77" i="1"/>
  <c r="F218" i="1"/>
  <c r="F16" i="1"/>
  <c r="F14" i="1"/>
  <c r="D212" i="1"/>
  <c r="M60" i="1"/>
  <c r="J145" i="1"/>
  <c r="J52" i="1"/>
  <c r="I277" i="1"/>
  <c r="I373" i="1"/>
  <c r="I368" i="1"/>
  <c r="I81" i="1"/>
  <c r="I377" i="1"/>
  <c r="I362" i="1"/>
  <c r="I323" i="1"/>
  <c r="I76" i="1"/>
  <c r="I436" i="1"/>
  <c r="I509" i="1"/>
  <c r="F286" i="1"/>
  <c r="F431" i="1"/>
  <c r="D59" i="1"/>
  <c r="D269" i="1"/>
  <c r="F125" i="1"/>
  <c r="F375" i="1"/>
  <c r="F505" i="1"/>
  <c r="F19" i="1"/>
  <c r="F261" i="1"/>
  <c r="F335" i="1"/>
  <c r="D11" i="1"/>
  <c r="F99" i="1"/>
  <c r="F21" i="1"/>
  <c r="F495" i="1"/>
  <c r="F500" i="1"/>
  <c r="F432" i="1"/>
  <c r="F471" i="1"/>
  <c r="D181" i="1"/>
  <c r="F188" i="1"/>
  <c r="F429" i="1"/>
  <c r="F448" i="1"/>
  <c r="F265" i="1"/>
  <c r="F425" i="1"/>
  <c r="F273" i="1"/>
  <c r="D243" i="1"/>
  <c r="D444" i="1"/>
  <c r="D325" i="1"/>
  <c r="F397" i="1"/>
  <c r="F175" i="1"/>
  <c r="D420" i="1"/>
  <c r="D30" i="1"/>
  <c r="D335" i="1"/>
  <c r="D296" i="1"/>
  <c r="D129" i="1"/>
  <c r="D354" i="1"/>
  <c r="D473" i="1"/>
  <c r="D174" i="1"/>
  <c r="F191" i="1"/>
  <c r="D266" i="1"/>
  <c r="F421" i="1"/>
  <c r="F194" i="1"/>
  <c r="D436" i="1"/>
  <c r="D38" i="1"/>
  <c r="D343" i="1"/>
  <c r="D304" i="1"/>
  <c r="D137" i="1"/>
  <c r="D386" i="1"/>
  <c r="D217" i="1"/>
  <c r="F39" i="1"/>
  <c r="D464" i="1"/>
  <c r="D19" i="1"/>
  <c r="D344" i="1"/>
  <c r="F284" i="1"/>
  <c r="F42" i="1"/>
  <c r="D275" i="1"/>
  <c r="D501" i="1"/>
  <c r="D159" i="1"/>
  <c r="D120" i="1"/>
  <c r="D218" i="1"/>
  <c r="D465" i="1"/>
  <c r="D474" i="1"/>
  <c r="D90" i="1"/>
  <c r="D86" i="1"/>
  <c r="D494" i="1"/>
  <c r="D191" i="1"/>
  <c r="F52" i="1"/>
  <c r="F82" i="1"/>
  <c r="D107" i="1"/>
  <c r="D445" i="1"/>
  <c r="D103" i="1"/>
  <c r="D64" i="1"/>
  <c r="D89" i="1"/>
  <c r="F321" i="1"/>
  <c r="D336" i="1"/>
  <c r="F311" i="1"/>
  <c r="D497" i="1"/>
  <c r="F160" i="1"/>
  <c r="F407" i="1"/>
  <c r="D45" i="1"/>
  <c r="D158" i="1"/>
  <c r="D431" i="1"/>
  <c r="D392" i="1"/>
  <c r="D225" i="1"/>
  <c r="F201" i="1"/>
  <c r="D146" i="1"/>
  <c r="D101" i="1"/>
  <c r="F329" i="1"/>
  <c r="F126" i="1"/>
  <c r="D395" i="1"/>
  <c r="D170" i="1"/>
  <c r="D199" i="1"/>
  <c r="D57" i="1"/>
  <c r="F362" i="1"/>
  <c r="F101" i="1"/>
  <c r="D121" i="1"/>
  <c r="D249" i="1"/>
  <c r="D409" i="1"/>
  <c r="D58" i="1"/>
  <c r="D403" i="1"/>
  <c r="F54" i="1"/>
  <c r="F308" i="1"/>
  <c r="F138" i="1"/>
  <c r="D509" i="1"/>
  <c r="D281" i="1"/>
  <c r="F247" i="1"/>
  <c r="D372" i="1"/>
  <c r="F219" i="1"/>
  <c r="F122" i="1"/>
  <c r="D229" i="1"/>
  <c r="D406" i="1"/>
  <c r="D456" i="1"/>
  <c r="D289" i="1"/>
  <c r="F455" i="1"/>
  <c r="D14" i="1"/>
  <c r="D293" i="1"/>
  <c r="F255" i="1"/>
  <c r="D441" i="1"/>
  <c r="D160" i="1"/>
  <c r="D455" i="1"/>
  <c r="D228" i="1"/>
  <c r="F278" i="1"/>
  <c r="D310" i="1"/>
  <c r="D424" i="1"/>
  <c r="D483" i="1"/>
  <c r="D475" i="1"/>
  <c r="D36" i="1"/>
  <c r="F115" i="1"/>
  <c r="F66" i="1"/>
  <c r="D165" i="1"/>
  <c r="D471" i="1"/>
  <c r="D265" i="1"/>
  <c r="D338" i="1"/>
  <c r="F414" i="1"/>
  <c r="D469" i="1"/>
  <c r="D113" i="1"/>
  <c r="F226" i="1"/>
  <c r="D248" i="1"/>
  <c r="D202" i="1"/>
  <c r="D503" i="1"/>
  <c r="F146" i="1"/>
  <c r="D231" i="1"/>
  <c r="D74" i="1"/>
  <c r="D166" i="1"/>
  <c r="D381" i="1"/>
  <c r="D513" i="1"/>
  <c r="D127" i="1"/>
  <c r="D27" i="1"/>
  <c r="D282" i="1"/>
  <c r="D387" i="1"/>
  <c r="J359" i="1"/>
  <c r="I496" i="1"/>
  <c r="I146" i="1"/>
  <c r="I204" i="1"/>
  <c r="F158" i="1"/>
  <c r="D260" i="1"/>
  <c r="F95" i="1"/>
  <c r="F152" i="1"/>
  <c r="M101" i="1"/>
  <c r="J419" i="1"/>
  <c r="J61" i="1"/>
  <c r="I333" i="1"/>
  <c r="I96" i="1"/>
  <c r="I392" i="1"/>
  <c r="I97" i="1"/>
  <c r="I473" i="1"/>
  <c r="I498" i="1"/>
  <c r="I339" i="1"/>
  <c r="I164" i="1"/>
  <c r="I460" i="1"/>
  <c r="F3" i="1"/>
  <c r="F373" i="1"/>
  <c r="F326" i="1"/>
  <c r="D123" i="1"/>
  <c r="F267" i="1"/>
  <c r="F189" i="1"/>
  <c r="F346" i="1"/>
  <c r="D259" i="1"/>
  <c r="F83" i="1"/>
  <c r="F325" i="1"/>
  <c r="F234" i="1"/>
  <c r="D75" i="1"/>
  <c r="F163" i="1"/>
  <c r="F405" i="1"/>
  <c r="F23" i="1"/>
  <c r="F206" i="1"/>
  <c r="F383" i="1"/>
  <c r="F490" i="1"/>
  <c r="D245" i="1"/>
  <c r="F252" i="1"/>
  <c r="F118" i="1"/>
  <c r="F512" i="1"/>
  <c r="F63" i="1"/>
  <c r="F34" i="1"/>
  <c r="F154" i="1"/>
  <c r="D307" i="1"/>
  <c r="D508" i="1"/>
  <c r="D389" i="1"/>
  <c r="F32" i="1"/>
  <c r="F114" i="1"/>
  <c r="D390" i="1"/>
  <c r="D110" i="1"/>
  <c r="D399" i="1"/>
  <c r="D360" i="1"/>
  <c r="D193" i="1"/>
  <c r="D419" i="1"/>
  <c r="D323" i="1"/>
  <c r="D311" i="1"/>
  <c r="F482" i="1"/>
  <c r="D369" i="1"/>
  <c r="F56" i="1"/>
  <c r="F390" i="1"/>
  <c r="D414" i="1"/>
  <c r="D118" i="1"/>
  <c r="D407" i="1"/>
  <c r="D368" i="1"/>
  <c r="D201" i="1"/>
  <c r="D478" i="1"/>
  <c r="F386" i="1"/>
  <c r="D41" i="1"/>
  <c r="D222" i="1"/>
  <c r="D154" i="1"/>
  <c r="F150" i="1"/>
  <c r="F498" i="1"/>
  <c r="D116" i="1"/>
  <c r="D254" i="1"/>
  <c r="D223" i="1"/>
  <c r="D184" i="1"/>
  <c r="D17" i="1"/>
  <c r="D491" i="1"/>
  <c r="D183" i="1"/>
  <c r="D88" i="1"/>
  <c r="D283" i="1"/>
  <c r="D167" i="1"/>
  <c r="D128" i="1"/>
  <c r="D250" i="1"/>
  <c r="F416" i="1"/>
  <c r="D495" i="1"/>
  <c r="D233" i="1"/>
  <c r="D435" i="1"/>
  <c r="F15" i="1"/>
  <c r="D378" i="1"/>
  <c r="F288" i="1"/>
  <c r="D450" i="1"/>
  <c r="F205" i="1"/>
  <c r="D287" i="1"/>
  <c r="D81" i="1"/>
  <c r="D443" i="1"/>
  <c r="F230" i="1"/>
  <c r="D262" i="1"/>
  <c r="D356" i="1"/>
  <c r="F161" i="1"/>
  <c r="D8" i="1"/>
  <c r="D106" i="1"/>
  <c r="F180" i="1"/>
  <c r="D334" i="1"/>
  <c r="J453" i="1"/>
  <c r="I451" i="1"/>
  <c r="F501" i="1"/>
  <c r="F395" i="1"/>
  <c r="D76" i="1"/>
  <c r="F513" i="1"/>
  <c r="M183" i="1"/>
  <c r="J459" i="1"/>
  <c r="J445" i="1"/>
  <c r="I55" i="1"/>
  <c r="I112" i="1"/>
  <c r="I480" i="1"/>
  <c r="I121" i="1"/>
  <c r="I497" i="1"/>
  <c r="I67" i="1"/>
  <c r="I363" i="1"/>
  <c r="I180" i="1"/>
  <c r="I61" i="1"/>
  <c r="F67" i="1"/>
  <c r="F437" i="1"/>
  <c r="F481" i="1"/>
  <c r="D187" i="1"/>
  <c r="F331" i="1"/>
  <c r="F166" i="1"/>
  <c r="F462" i="1"/>
  <c r="D12" i="1"/>
  <c r="F467" i="1"/>
  <c r="F389" i="1"/>
  <c r="F385" i="1"/>
  <c r="D148" i="1"/>
  <c r="F227" i="1"/>
  <c r="F469" i="1"/>
  <c r="F107" i="1"/>
  <c r="F29" i="1"/>
  <c r="F511" i="1"/>
  <c r="D99" i="1"/>
  <c r="D309" i="1"/>
  <c r="F38" i="1"/>
  <c r="F302" i="1"/>
  <c r="F65" i="1"/>
  <c r="F334" i="1"/>
  <c r="F47" i="1"/>
  <c r="F377" i="1"/>
  <c r="D60" i="1"/>
  <c r="F91" i="1"/>
  <c r="F426" i="1"/>
  <c r="D125" i="1"/>
  <c r="D270" i="1"/>
  <c r="D463" i="1"/>
  <c r="D257" i="1"/>
  <c r="D80" i="1"/>
  <c r="F312" i="1"/>
  <c r="D432" i="1"/>
  <c r="D297" i="1"/>
  <c r="D292" i="1"/>
  <c r="F333" i="1"/>
  <c r="F295" i="1"/>
  <c r="I247" i="1"/>
  <c r="J367" i="1"/>
  <c r="J458" i="1"/>
  <c r="J492" i="1"/>
  <c r="I255" i="1"/>
  <c r="I224" i="1"/>
  <c r="I465" i="1"/>
  <c r="I225" i="1"/>
  <c r="I317" i="1"/>
  <c r="I107" i="1"/>
  <c r="I467" i="1"/>
  <c r="I292" i="1"/>
  <c r="I101" i="1"/>
  <c r="F4" i="1"/>
  <c r="F264" i="1"/>
  <c r="F223" i="1"/>
  <c r="D324" i="1"/>
  <c r="F140" i="1"/>
  <c r="F80" i="1"/>
  <c r="F231" i="1"/>
  <c r="D460" i="1"/>
  <c r="F198" i="1"/>
  <c r="F216" i="1"/>
  <c r="F322" i="1"/>
  <c r="D276" i="1"/>
  <c r="F36" i="1"/>
  <c r="F296" i="1"/>
  <c r="F235" i="1"/>
  <c r="F477" i="1"/>
  <c r="F18" i="1"/>
  <c r="D227" i="1"/>
  <c r="F315" i="1"/>
  <c r="F109" i="1"/>
  <c r="F192" i="1"/>
  <c r="F71" i="1"/>
  <c r="F337" i="1"/>
  <c r="F402" i="1"/>
  <c r="F494" i="1"/>
  <c r="D188" i="1"/>
  <c r="D69" i="1"/>
  <c r="F222" i="1"/>
  <c r="F351" i="1"/>
  <c r="D43" i="1"/>
  <c r="D421" i="1"/>
  <c r="D79" i="1"/>
  <c r="D40" i="1"/>
  <c r="D66" i="1"/>
  <c r="D385" i="1"/>
  <c r="D363" i="1"/>
  <c r="F116" i="1"/>
  <c r="D105" i="1"/>
  <c r="D94" i="1"/>
  <c r="F294" i="1"/>
  <c r="F399" i="1"/>
  <c r="D83" i="1"/>
  <c r="D429" i="1"/>
  <c r="D87" i="1"/>
  <c r="D48" i="1"/>
  <c r="D82" i="1"/>
  <c r="D393" i="1"/>
  <c r="D427" i="1"/>
  <c r="D347" i="1"/>
  <c r="D6" i="1"/>
  <c r="D426" i="1"/>
  <c r="D63" i="1"/>
  <c r="D355" i="1"/>
  <c r="F96" i="1"/>
  <c r="F454" i="1"/>
  <c r="D462" i="1"/>
  <c r="D126" i="1"/>
  <c r="D415" i="1"/>
  <c r="D376" i="1"/>
  <c r="D209" i="1"/>
  <c r="D499" i="1"/>
  <c r="D345" i="1"/>
  <c r="F184" i="1"/>
  <c r="D18" i="1"/>
  <c r="F266" i="1"/>
  <c r="D305" i="1"/>
  <c r="F485" i="1"/>
  <c r="F338" i="1"/>
  <c r="D484" i="1"/>
  <c r="D54" i="1"/>
  <c r="D359" i="1"/>
  <c r="D320" i="1"/>
  <c r="D466" i="1"/>
  <c r="D294" i="1"/>
  <c r="D486" i="1"/>
  <c r="D383" i="1"/>
  <c r="F348" i="1"/>
  <c r="F257" i="1"/>
  <c r="D299" i="1"/>
  <c r="D70" i="1"/>
  <c r="D175" i="1"/>
  <c r="D136" i="1"/>
  <c r="D242" i="1"/>
  <c r="D481" i="1"/>
  <c r="D142" i="1"/>
  <c r="F77" i="1"/>
  <c r="D34" i="1"/>
  <c r="D480" i="1"/>
  <c r="D71" i="1"/>
  <c r="J48" i="1"/>
  <c r="J466" i="1"/>
  <c r="I350" i="1"/>
  <c r="I311" i="1"/>
  <c r="I240" i="1"/>
  <c r="I378" i="1"/>
  <c r="I249" i="1"/>
  <c r="I421" i="1"/>
  <c r="I195" i="1"/>
  <c r="I491" i="1"/>
  <c r="I308" i="1"/>
  <c r="I173" i="1"/>
  <c r="F68" i="1"/>
  <c r="F328" i="1"/>
  <c r="F263" i="1"/>
  <c r="D388" i="1"/>
  <c r="F204" i="1"/>
  <c r="F464" i="1"/>
  <c r="F111" i="1"/>
  <c r="D150" i="1"/>
  <c r="F340" i="1"/>
  <c r="F280" i="1"/>
  <c r="F450" i="1"/>
  <c r="D29" i="1"/>
  <c r="F100" i="1"/>
  <c r="F360" i="1"/>
  <c r="F270" i="1"/>
  <c r="F70" i="1"/>
  <c r="F486" i="1"/>
  <c r="D300" i="1"/>
  <c r="F379" i="1"/>
  <c r="F173" i="1"/>
  <c r="F256" i="1"/>
  <c r="F274" i="1"/>
  <c r="F465" i="1"/>
  <c r="F199" i="1"/>
  <c r="D51" i="1"/>
  <c r="D252" i="1"/>
  <c r="D133" i="1"/>
  <c r="F220" i="1"/>
  <c r="F474" i="1"/>
  <c r="D219" i="1"/>
  <c r="D485" i="1"/>
  <c r="D143" i="1"/>
  <c r="D104" i="1"/>
  <c r="D194" i="1"/>
  <c r="D449" i="1"/>
  <c r="D470" i="1"/>
  <c r="F438" i="1"/>
  <c r="D489" i="1"/>
  <c r="D255" i="1"/>
  <c r="F244" i="1"/>
  <c r="F250" i="1"/>
  <c r="D235" i="1"/>
  <c r="D493" i="1"/>
  <c r="D151" i="1"/>
  <c r="D112" i="1"/>
  <c r="D210" i="1"/>
  <c r="D457" i="1"/>
  <c r="D379" i="1"/>
  <c r="D274" i="1"/>
  <c r="D119" i="1"/>
  <c r="F283" i="1"/>
  <c r="D319" i="1"/>
  <c r="F155" i="1"/>
  <c r="F352" i="1"/>
  <c r="F26" i="1"/>
  <c r="D173" i="1"/>
  <c r="D342" i="1"/>
  <c r="D479" i="1"/>
  <c r="D440" i="1"/>
  <c r="D273" i="1"/>
  <c r="D434" i="1"/>
  <c r="D234" i="1"/>
  <c r="F382" i="1"/>
  <c r="D169" i="1"/>
  <c r="D220" i="1"/>
  <c r="D122" i="1"/>
  <c r="F120" i="1"/>
  <c r="F87" i="1"/>
  <c r="D37" i="1"/>
  <c r="D134" i="1"/>
  <c r="D423" i="1"/>
  <c r="D448" i="1"/>
  <c r="F499" i="1"/>
  <c r="D430" i="1"/>
  <c r="F412" i="1"/>
  <c r="D152" i="1"/>
  <c r="F13" i="1"/>
  <c r="F406" i="1"/>
  <c r="D164" i="1"/>
  <c r="D286" i="1"/>
  <c r="D239" i="1"/>
  <c r="D200" i="1"/>
  <c r="D33" i="1"/>
  <c r="D394" i="1"/>
  <c r="D55" i="1"/>
  <c r="F480" i="1"/>
  <c r="D241" i="1"/>
  <c r="D313" i="1"/>
  <c r="D32" i="1"/>
  <c r="D477" i="1"/>
  <c r="F417" i="1"/>
  <c r="A1" i="1"/>
  <c r="F514" i="1"/>
  <c r="D278" i="1"/>
  <c r="F357" i="1"/>
  <c r="D109" i="1"/>
  <c r="J468" i="1"/>
  <c r="J332" i="1"/>
  <c r="I358" i="1"/>
  <c r="I282" i="1"/>
  <c r="I264" i="1"/>
  <c r="I442" i="1"/>
  <c r="F392" i="1"/>
  <c r="F153" i="1"/>
  <c r="F44" i="1"/>
  <c r="F310" i="1"/>
  <c r="F177" i="1"/>
  <c r="D197" i="1"/>
  <c r="D214" i="1"/>
  <c r="D10" i="1"/>
  <c r="D511" i="1"/>
  <c r="D230" i="1"/>
  <c r="D42" i="1"/>
  <c r="F214" i="1"/>
  <c r="F330" i="1"/>
  <c r="D504" i="1"/>
  <c r="D28" i="1"/>
  <c r="F376" i="1"/>
  <c r="D487" i="1"/>
  <c r="F224" i="1"/>
  <c r="D348" i="1"/>
  <c r="D97" i="1"/>
  <c r="F307" i="1"/>
  <c r="D2" i="1"/>
  <c r="D391" i="1"/>
  <c r="D467" i="1"/>
  <c r="D215" i="1"/>
  <c r="F58" i="1"/>
  <c r="F37" i="1"/>
  <c r="D52" i="1"/>
  <c r="D186" i="1"/>
  <c r="D258" i="1"/>
  <c r="D46" i="1"/>
  <c r="F92" i="1"/>
  <c r="D185" i="1"/>
  <c r="D253" i="1"/>
  <c r="D303" i="1"/>
  <c r="D224" i="1"/>
  <c r="D364" i="1"/>
  <c r="D439" i="1"/>
  <c r="D374" i="1"/>
  <c r="D264" i="1"/>
  <c r="D211" i="1"/>
  <c r="D412" i="1"/>
  <c r="F452" i="1"/>
  <c r="F171" i="1"/>
  <c r="F170" i="1"/>
  <c r="D301" i="1"/>
  <c r="D321" i="1"/>
  <c r="D405" i="1"/>
  <c r="D317" i="1"/>
  <c r="D329" i="1"/>
  <c r="D298" i="1"/>
  <c r="F372" i="1"/>
  <c r="D130" i="1"/>
  <c r="I337" i="1"/>
  <c r="F242" i="1"/>
  <c r="F342" i="1"/>
  <c r="F413" i="1"/>
  <c r="F45" i="1"/>
  <c r="F258" i="1"/>
  <c r="F347" i="1"/>
  <c r="D15" i="1"/>
  <c r="D514" i="1"/>
  <c r="F371" i="1"/>
  <c r="D23" i="1"/>
  <c r="D411" i="1"/>
  <c r="D206" i="1"/>
  <c r="D476" i="1"/>
  <c r="D145" i="1"/>
  <c r="D208" i="1"/>
  <c r="F313" i="1"/>
  <c r="D256" i="1"/>
  <c r="D454" i="1"/>
  <c r="D453" i="1"/>
  <c r="D417" i="1"/>
  <c r="D26" i="1"/>
  <c r="F436" i="1"/>
  <c r="D482" i="1"/>
  <c r="D238" i="1"/>
  <c r="F6" i="1"/>
  <c r="D447" i="1"/>
  <c r="D357" i="1"/>
  <c r="D425" i="1"/>
  <c r="D114" i="1"/>
  <c r="D446" i="1"/>
  <c r="D331" i="1"/>
  <c r="D502" i="1"/>
  <c r="F33" i="1"/>
  <c r="D433" i="1"/>
  <c r="F503" i="1"/>
  <c r="D237" i="1"/>
  <c r="D505" i="1"/>
  <c r="D322" i="1"/>
  <c r="F269" i="1"/>
  <c r="D50" i="1"/>
  <c r="D316" i="1"/>
  <c r="D507" i="1"/>
  <c r="D295" i="1"/>
  <c r="D314" i="1"/>
  <c r="I34" i="1"/>
  <c r="D141" i="1"/>
  <c r="D93" i="1"/>
  <c r="F304" i="1"/>
  <c r="F301" i="1"/>
  <c r="F151" i="1"/>
  <c r="F476" i="1"/>
  <c r="D207" i="1"/>
  <c r="D510" i="1"/>
  <c r="D410" i="1"/>
  <c r="D337" i="1"/>
  <c r="D472" i="1"/>
  <c r="D402" i="1"/>
  <c r="D370" i="1"/>
  <c r="D418" i="1"/>
  <c r="D308" i="1"/>
  <c r="D111" i="1"/>
  <c r="D413" i="1"/>
  <c r="D31" i="1"/>
  <c r="F293" i="1"/>
  <c r="D442" i="1"/>
  <c r="D92" i="1"/>
  <c r="D9" i="1"/>
  <c r="F229" i="1"/>
  <c r="D135" i="1"/>
  <c r="I211" i="1"/>
  <c r="F268" i="1"/>
  <c r="F246" i="1"/>
  <c r="F119" i="1"/>
  <c r="F64" i="1"/>
  <c r="F394" i="1"/>
  <c r="F57" i="1"/>
  <c r="D451" i="1"/>
  <c r="D100" i="1"/>
  <c r="D247" i="1"/>
  <c r="F446" i="1"/>
  <c r="F404" i="1"/>
  <c r="F251" i="1"/>
  <c r="D5" i="1"/>
  <c r="D312" i="1"/>
  <c r="D24" i="1"/>
  <c r="I36" i="1"/>
  <c r="F17" i="1"/>
  <c r="F484" i="1"/>
  <c r="F487" i="1"/>
  <c r="F320" i="1"/>
  <c r="D115" i="1"/>
  <c r="F449" i="1"/>
  <c r="D168" i="1"/>
  <c r="D155" i="1"/>
  <c r="F466" i="1"/>
  <c r="D176" i="1"/>
  <c r="D362" i="1"/>
  <c r="F411" i="1"/>
  <c r="D189" i="1"/>
  <c r="D375" i="1"/>
  <c r="D306" i="1"/>
  <c r="F97" i="1"/>
  <c r="D147" i="1"/>
  <c r="D352" i="1"/>
  <c r="I332" i="1"/>
  <c r="F430" i="1"/>
  <c r="F46" i="1"/>
  <c r="D163" i="1"/>
  <c r="F129" i="1"/>
  <c r="D124" i="1"/>
  <c r="F159" i="1"/>
  <c r="D488" i="1"/>
  <c r="D400" i="1"/>
  <c r="F207" i="1"/>
  <c r="D496" i="1"/>
  <c r="D198" i="1"/>
  <c r="F461" i="1"/>
  <c r="D351" i="1"/>
  <c r="D153" i="1"/>
  <c r="D49" i="1"/>
  <c r="D422" i="1"/>
  <c r="D461" i="1"/>
  <c r="F470" i="1"/>
  <c r="D72" i="1"/>
  <c r="D339" i="1"/>
  <c r="F473" i="1"/>
  <c r="F391" i="1"/>
  <c r="D138" i="1"/>
  <c r="I213" i="1"/>
  <c r="D350" i="1"/>
  <c r="F424" i="1"/>
  <c r="F415" i="1"/>
  <c r="D490" i="1"/>
  <c r="D290" i="1"/>
  <c r="F179" i="1"/>
  <c r="F442" i="1"/>
  <c r="D288" i="1"/>
  <c r="F239" i="1"/>
  <c r="D498" i="1"/>
  <c r="V29" i="1"/>
  <c r="X28" i="1" s="1"/>
  <c r="X27" i="1" l="1"/>
  <c r="V30" i="1"/>
  <c r="K292" i="1"/>
  <c r="L292" i="1"/>
  <c r="K36" i="1"/>
  <c r="L36" i="1"/>
  <c r="L211" i="1"/>
  <c r="K211" i="1"/>
  <c r="K378" i="1"/>
  <c r="L378" i="1"/>
  <c r="L213" i="1"/>
  <c r="K213" i="1"/>
  <c r="K332" i="1"/>
  <c r="L332" i="1"/>
  <c r="K121" i="1"/>
  <c r="L121" i="1"/>
  <c r="K97" i="1"/>
  <c r="L97" i="1"/>
  <c r="L173" i="1"/>
  <c r="K173" i="1"/>
  <c r="K311" i="1"/>
  <c r="L311" i="1"/>
  <c r="K107" i="1"/>
  <c r="L107" i="1"/>
  <c r="K112" i="1"/>
  <c r="L112" i="1"/>
  <c r="K96" i="1"/>
  <c r="L96" i="1"/>
  <c r="L81" i="1"/>
  <c r="K81" i="1"/>
  <c r="K420" i="1"/>
  <c r="L420" i="1"/>
  <c r="L438" i="1"/>
  <c r="K438" i="1"/>
  <c r="K493" i="1"/>
  <c r="L493" i="1"/>
  <c r="L307" i="1"/>
  <c r="K307" i="1"/>
  <c r="K65" i="1"/>
  <c r="L65" i="1"/>
  <c r="K346" i="1"/>
  <c r="L346" i="1"/>
  <c r="N416" i="1"/>
  <c r="O416" i="1"/>
  <c r="K381" i="1"/>
  <c r="L381" i="1"/>
  <c r="K313" i="1"/>
  <c r="L313" i="1"/>
  <c r="K439" i="1"/>
  <c r="L439" i="1"/>
  <c r="K500" i="1"/>
  <c r="L500" i="1"/>
  <c r="K469" i="1"/>
  <c r="L469" i="1"/>
  <c r="K432" i="1"/>
  <c r="L432" i="1"/>
  <c r="K133" i="1"/>
  <c r="L133" i="1"/>
  <c r="L273" i="1"/>
  <c r="K273" i="1"/>
  <c r="L375" i="1"/>
  <c r="K375" i="1"/>
  <c r="L357" i="1"/>
  <c r="K357" i="1"/>
  <c r="K243" i="1"/>
  <c r="L243" i="1"/>
  <c r="K341" i="1"/>
  <c r="L341" i="1"/>
  <c r="K446" i="1"/>
  <c r="L446" i="1"/>
  <c r="K132" i="1"/>
  <c r="L132" i="1"/>
  <c r="L163" i="1"/>
  <c r="K163" i="1"/>
  <c r="K433" i="1"/>
  <c r="L433" i="1"/>
  <c r="K226" i="1"/>
  <c r="L226" i="1"/>
  <c r="L64" i="1"/>
  <c r="K64" i="1"/>
  <c r="L111" i="1"/>
  <c r="K111" i="1"/>
  <c r="K102" i="1"/>
  <c r="L102" i="1"/>
  <c r="O403" i="1"/>
  <c r="N403" i="1"/>
  <c r="K444" i="1"/>
  <c r="L444" i="1"/>
  <c r="L475" i="1"/>
  <c r="K475" i="1"/>
  <c r="K410" i="1"/>
  <c r="L410" i="1"/>
  <c r="K233" i="1"/>
  <c r="L233" i="1"/>
  <c r="L376" i="1"/>
  <c r="K376" i="1"/>
  <c r="L423" i="1"/>
  <c r="K423" i="1"/>
  <c r="L202" i="1"/>
  <c r="K202" i="1"/>
  <c r="N301" i="1"/>
  <c r="O301" i="1"/>
  <c r="K223" i="1"/>
  <c r="L223" i="1"/>
  <c r="K318" i="1"/>
  <c r="L318" i="1"/>
  <c r="L300" i="1"/>
  <c r="K300" i="1"/>
  <c r="L331" i="1"/>
  <c r="K331" i="1"/>
  <c r="K365" i="1"/>
  <c r="L365" i="1"/>
  <c r="K89" i="1"/>
  <c r="L89" i="1"/>
  <c r="K232" i="1"/>
  <c r="L232" i="1"/>
  <c r="L279" i="1"/>
  <c r="K279" i="1"/>
  <c r="K390" i="1"/>
  <c r="L390" i="1"/>
  <c r="K79" i="1"/>
  <c r="L79" i="1"/>
  <c r="K38" i="1"/>
  <c r="L38" i="1"/>
  <c r="N464" i="1"/>
  <c r="O464" i="1"/>
  <c r="K245" i="1"/>
  <c r="L245" i="1"/>
  <c r="K156" i="1"/>
  <c r="L156" i="1"/>
  <c r="L187" i="1"/>
  <c r="K187" i="1"/>
  <c r="K457" i="1"/>
  <c r="L457" i="1"/>
  <c r="L330" i="1"/>
  <c r="K330" i="1"/>
  <c r="K88" i="1"/>
  <c r="L88" i="1"/>
  <c r="K135" i="1"/>
  <c r="L135" i="1"/>
  <c r="K158" i="1"/>
  <c r="L158" i="1"/>
  <c r="K190" i="1"/>
  <c r="L190" i="1"/>
  <c r="O263" i="1"/>
  <c r="N263" i="1"/>
  <c r="N504" i="1"/>
  <c r="O504" i="1"/>
  <c r="N318" i="1"/>
  <c r="O318" i="1"/>
  <c r="L182" i="1"/>
  <c r="K182" i="1"/>
  <c r="N212" i="1"/>
  <c r="O212" i="1"/>
  <c r="O397" i="1"/>
  <c r="N397" i="1"/>
  <c r="N302" i="1"/>
  <c r="O302" i="1"/>
  <c r="K494" i="1"/>
  <c r="L494" i="1"/>
  <c r="N20" i="1"/>
  <c r="O20" i="1"/>
  <c r="O241" i="1"/>
  <c r="N241" i="1"/>
  <c r="N133" i="1"/>
  <c r="O133" i="1"/>
  <c r="N269" i="1"/>
  <c r="O269" i="1"/>
  <c r="N47" i="1"/>
  <c r="O47" i="1"/>
  <c r="N425" i="1"/>
  <c r="O425" i="1"/>
  <c r="N73" i="1"/>
  <c r="O73" i="1"/>
  <c r="K342" i="1"/>
  <c r="L342" i="1"/>
  <c r="O420" i="1"/>
  <c r="N420" i="1"/>
  <c r="N170" i="1"/>
  <c r="O170" i="1"/>
  <c r="N188" i="1"/>
  <c r="O188" i="1"/>
  <c r="N357" i="1"/>
  <c r="O357" i="1"/>
  <c r="N495" i="1"/>
  <c r="O495" i="1"/>
  <c r="N355" i="1"/>
  <c r="O355" i="1"/>
  <c r="O228" i="1"/>
  <c r="N228" i="1"/>
  <c r="N248" i="1"/>
  <c r="O248" i="1"/>
  <c r="N92" i="1"/>
  <c r="O92" i="1"/>
  <c r="N336" i="1"/>
  <c r="O336" i="1"/>
  <c r="N473" i="1"/>
  <c r="O473" i="1"/>
  <c r="N321" i="1"/>
  <c r="O321" i="1"/>
  <c r="N177" i="1"/>
  <c r="O177" i="1"/>
  <c r="N216" i="1"/>
  <c r="O216" i="1"/>
  <c r="N423" i="1"/>
  <c r="O423" i="1"/>
  <c r="N372" i="1"/>
  <c r="O372" i="1"/>
  <c r="N181" i="1"/>
  <c r="O181" i="1"/>
  <c r="N343" i="1"/>
  <c r="O343" i="1"/>
  <c r="N514" i="1"/>
  <c r="O514" i="1"/>
  <c r="N494" i="1"/>
  <c r="O494" i="1"/>
  <c r="N316" i="1"/>
  <c r="O316" i="1"/>
  <c r="N400" i="1"/>
  <c r="O400" i="1"/>
  <c r="N348" i="1"/>
  <c r="O348" i="1"/>
  <c r="N440" i="1"/>
  <c r="O440" i="1"/>
  <c r="N317" i="1"/>
  <c r="O317" i="1"/>
  <c r="N312" i="1"/>
  <c r="O312" i="1"/>
  <c r="N277" i="1"/>
  <c r="O277" i="1"/>
  <c r="N389" i="1"/>
  <c r="O389" i="1"/>
  <c r="N325" i="1"/>
  <c r="O325" i="1"/>
  <c r="N419" i="1"/>
  <c r="O419" i="1"/>
  <c r="N279" i="1"/>
  <c r="O279" i="1"/>
  <c r="N304" i="1"/>
  <c r="O304" i="1"/>
  <c r="N267" i="1"/>
  <c r="O267" i="1"/>
  <c r="N394" i="1"/>
  <c r="O394" i="1"/>
  <c r="N208" i="1"/>
  <c r="O208" i="1"/>
  <c r="N374" i="1"/>
  <c r="O374" i="1"/>
  <c r="N314" i="1"/>
  <c r="O314" i="1"/>
  <c r="N128" i="1"/>
  <c r="O128" i="1"/>
  <c r="N294" i="1"/>
  <c r="O294" i="1"/>
  <c r="N305" i="1"/>
  <c r="O305" i="1"/>
  <c r="N418" i="1"/>
  <c r="O418" i="1"/>
  <c r="N232" i="1"/>
  <c r="O232" i="1"/>
  <c r="O398" i="1"/>
  <c r="N398" i="1"/>
  <c r="N227" i="1"/>
  <c r="O227" i="1"/>
  <c r="N218" i="1"/>
  <c r="O218" i="1"/>
  <c r="N32" i="1"/>
  <c r="O32" i="1"/>
  <c r="N198" i="1"/>
  <c r="O198" i="1"/>
  <c r="L308" i="1"/>
  <c r="K308" i="1"/>
  <c r="K350" i="1"/>
  <c r="L350" i="1"/>
  <c r="L317" i="1"/>
  <c r="K317" i="1"/>
  <c r="K247" i="1"/>
  <c r="L247" i="1"/>
  <c r="L61" i="1"/>
  <c r="K61" i="1"/>
  <c r="K55" i="1"/>
  <c r="L55" i="1"/>
  <c r="K451" i="1"/>
  <c r="L451" i="1"/>
  <c r="K460" i="1"/>
  <c r="L460" i="1"/>
  <c r="K333" i="1"/>
  <c r="L333" i="1"/>
  <c r="K204" i="1"/>
  <c r="L204" i="1"/>
  <c r="K368" i="1"/>
  <c r="L368" i="1"/>
  <c r="K52" i="1"/>
  <c r="L52" i="1"/>
  <c r="L165" i="1"/>
  <c r="K165" i="1"/>
  <c r="K179" i="1"/>
  <c r="L179" i="1"/>
  <c r="K290" i="1"/>
  <c r="L290" i="1"/>
  <c r="L270" i="1"/>
  <c r="K270" i="1"/>
  <c r="L427" i="1"/>
  <c r="K427" i="1"/>
  <c r="L185" i="1"/>
  <c r="K185" i="1"/>
  <c r="K183" i="1"/>
  <c r="L183" i="1"/>
  <c r="L372" i="1"/>
  <c r="K372" i="1"/>
  <c r="K106" i="1"/>
  <c r="L106" i="1"/>
  <c r="K304" i="1"/>
  <c r="L304" i="1"/>
  <c r="K387" i="1"/>
  <c r="L387" i="1"/>
  <c r="L145" i="1"/>
  <c r="K145" i="1"/>
  <c r="L119" i="1"/>
  <c r="K119" i="1"/>
  <c r="N479" i="1"/>
  <c r="O479" i="1"/>
  <c r="K109" i="1"/>
  <c r="L109" i="1"/>
  <c r="K115" i="1"/>
  <c r="L115" i="1"/>
  <c r="L489" i="1"/>
  <c r="K489" i="1"/>
  <c r="K93" i="1"/>
  <c r="L93" i="1"/>
  <c r="K68" i="1"/>
  <c r="L68" i="1"/>
  <c r="L99" i="1"/>
  <c r="K99" i="1"/>
  <c r="K369" i="1"/>
  <c r="L369" i="1"/>
  <c r="L512" i="1"/>
  <c r="K512" i="1"/>
  <c r="K301" i="1"/>
  <c r="L301" i="1"/>
  <c r="L47" i="1"/>
  <c r="K47" i="1"/>
  <c r="N239" i="1"/>
  <c r="O239" i="1"/>
  <c r="L380" i="1"/>
  <c r="K380" i="1"/>
  <c r="K411" i="1"/>
  <c r="L411" i="1"/>
  <c r="K114" i="1"/>
  <c r="L114" i="1"/>
  <c r="L169" i="1"/>
  <c r="K169" i="1"/>
  <c r="L312" i="1"/>
  <c r="K312" i="1"/>
  <c r="L359" i="1"/>
  <c r="K359" i="1"/>
  <c r="L502" i="1"/>
  <c r="K502" i="1"/>
  <c r="N406" i="1"/>
  <c r="O406" i="1"/>
  <c r="K159" i="1"/>
  <c r="L159" i="1"/>
  <c r="L206" i="1"/>
  <c r="K206" i="1"/>
  <c r="L21" i="1"/>
  <c r="K21" i="1"/>
  <c r="L236" i="1"/>
  <c r="K236" i="1"/>
  <c r="K267" i="1"/>
  <c r="L267" i="1"/>
  <c r="K314" i="1"/>
  <c r="L314" i="1"/>
  <c r="K25" i="1"/>
  <c r="L25" i="1"/>
  <c r="K168" i="1"/>
  <c r="L168" i="1"/>
  <c r="L215" i="1"/>
  <c r="K215" i="1"/>
  <c r="L310" i="1"/>
  <c r="K310" i="1"/>
  <c r="K426" i="1"/>
  <c r="L426" i="1"/>
  <c r="L453" i="1"/>
  <c r="K453" i="1"/>
  <c r="O399" i="1"/>
  <c r="N399" i="1"/>
  <c r="K117" i="1"/>
  <c r="L117" i="1"/>
  <c r="L92" i="1"/>
  <c r="K92" i="1"/>
  <c r="L123" i="1"/>
  <c r="K123" i="1"/>
  <c r="K393" i="1"/>
  <c r="L393" i="1"/>
  <c r="K505" i="1"/>
  <c r="L505" i="1"/>
  <c r="K24" i="1"/>
  <c r="L24" i="1"/>
  <c r="K71" i="1"/>
  <c r="L71" i="1"/>
  <c r="L30" i="1"/>
  <c r="K30" i="1"/>
  <c r="N453" i="1"/>
  <c r="O453" i="1"/>
  <c r="K126" i="1"/>
  <c r="L126" i="1"/>
  <c r="N223" i="1"/>
  <c r="O223" i="1"/>
  <c r="N471" i="1"/>
  <c r="O471" i="1"/>
  <c r="N22" i="1"/>
  <c r="O22" i="1"/>
  <c r="L118" i="1"/>
  <c r="K118" i="1"/>
  <c r="N211" i="1"/>
  <c r="O211" i="1"/>
  <c r="N449" i="1"/>
  <c r="O449" i="1"/>
  <c r="K430" i="1"/>
  <c r="L430" i="1"/>
  <c r="O392" i="1"/>
  <c r="N392" i="1"/>
  <c r="N83" i="1"/>
  <c r="O83" i="1"/>
  <c r="O497" i="1"/>
  <c r="N497" i="1"/>
  <c r="N344" i="1"/>
  <c r="O344" i="1"/>
  <c r="O190" i="1"/>
  <c r="N190" i="1"/>
  <c r="N225" i="1"/>
  <c r="O225" i="1"/>
  <c r="N43" i="1"/>
  <c r="O43" i="1"/>
  <c r="L278" i="1"/>
  <c r="K278" i="1"/>
  <c r="O124" i="1"/>
  <c r="N124" i="1"/>
  <c r="N136" i="1"/>
  <c r="O136" i="1"/>
  <c r="O424" i="1"/>
  <c r="N424" i="1"/>
  <c r="O260" i="1"/>
  <c r="N260" i="1"/>
  <c r="O409" i="1"/>
  <c r="N409" i="1"/>
  <c r="O193" i="1"/>
  <c r="N193" i="1"/>
  <c r="N436" i="1"/>
  <c r="O436" i="1"/>
  <c r="N120" i="1"/>
  <c r="O120" i="1"/>
  <c r="O381" i="1"/>
  <c r="N381" i="1"/>
  <c r="O235" i="1"/>
  <c r="N235" i="1"/>
  <c r="O388" i="1"/>
  <c r="N388" i="1"/>
  <c r="O36" i="1"/>
  <c r="N36" i="1"/>
  <c r="N361" i="1"/>
  <c r="O361" i="1"/>
  <c r="N88" i="1"/>
  <c r="O88" i="1"/>
  <c r="N275" i="1"/>
  <c r="O275" i="1"/>
  <c r="N69" i="1"/>
  <c r="O69" i="1"/>
  <c r="N17" i="1"/>
  <c r="O17" i="1"/>
  <c r="N243" i="1"/>
  <c r="O243" i="1"/>
  <c r="O386" i="1"/>
  <c r="N386" i="1"/>
  <c r="O366" i="1"/>
  <c r="N366" i="1"/>
  <c r="N509" i="1"/>
  <c r="O509" i="1"/>
  <c r="N311" i="1"/>
  <c r="O311" i="1"/>
  <c r="N452" i="1"/>
  <c r="O452" i="1"/>
  <c r="N283" i="1"/>
  <c r="O283" i="1"/>
  <c r="N116" i="1"/>
  <c r="O116" i="1"/>
  <c r="O184" i="1"/>
  <c r="N184" i="1"/>
  <c r="O488" i="1"/>
  <c r="N488" i="1"/>
  <c r="O299" i="1"/>
  <c r="N299" i="1"/>
  <c r="O441" i="1"/>
  <c r="N441" i="1"/>
  <c r="O257" i="1"/>
  <c r="N257" i="1"/>
  <c r="N93" i="1"/>
  <c r="O93" i="1"/>
  <c r="O176" i="1"/>
  <c r="N176" i="1"/>
  <c r="N157" i="1"/>
  <c r="O157" i="1"/>
  <c r="N330" i="1"/>
  <c r="O330" i="1"/>
  <c r="N144" i="1"/>
  <c r="O144" i="1"/>
  <c r="O310" i="1"/>
  <c r="N310" i="1"/>
  <c r="N250" i="1"/>
  <c r="O250" i="1"/>
  <c r="N64" i="1"/>
  <c r="O64" i="1"/>
  <c r="N230" i="1"/>
  <c r="O230" i="1"/>
  <c r="O203" i="1"/>
  <c r="N203" i="1"/>
  <c r="O354" i="1"/>
  <c r="N354" i="1"/>
  <c r="O168" i="1"/>
  <c r="N168" i="1"/>
  <c r="O334" i="1"/>
  <c r="N334" i="1"/>
  <c r="O155" i="1"/>
  <c r="N155" i="1"/>
  <c r="O154" i="1"/>
  <c r="N154" i="1"/>
  <c r="O135" i="1"/>
  <c r="N135" i="1"/>
  <c r="O134" i="1"/>
  <c r="N134" i="1"/>
  <c r="K442" i="1"/>
  <c r="L442" i="1"/>
  <c r="K491" i="1"/>
  <c r="L491" i="1"/>
  <c r="K225" i="1"/>
  <c r="L225" i="1"/>
  <c r="L180" i="1"/>
  <c r="K180" i="1"/>
  <c r="K164" i="1"/>
  <c r="L164" i="1"/>
  <c r="K146" i="1"/>
  <c r="L146" i="1"/>
  <c r="L509" i="1"/>
  <c r="K509" i="1"/>
  <c r="K373" i="1"/>
  <c r="L373" i="1"/>
  <c r="K235" i="1"/>
  <c r="L235" i="1"/>
  <c r="K45" i="1"/>
  <c r="L45" i="1"/>
  <c r="L51" i="1"/>
  <c r="K51" i="1"/>
  <c r="K464" i="1"/>
  <c r="L464" i="1"/>
  <c r="K485" i="1"/>
  <c r="L485" i="1"/>
  <c r="K299" i="1"/>
  <c r="L299" i="1"/>
  <c r="K57" i="1"/>
  <c r="L57" i="1"/>
  <c r="K306" i="1"/>
  <c r="L306" i="1"/>
  <c r="N405" i="1"/>
  <c r="O405" i="1"/>
  <c r="L244" i="1"/>
  <c r="K244" i="1"/>
  <c r="L354" i="1"/>
  <c r="K354" i="1"/>
  <c r="K176" i="1"/>
  <c r="L176" i="1"/>
  <c r="L405" i="1"/>
  <c r="K405" i="1"/>
  <c r="K259" i="1"/>
  <c r="L259" i="1"/>
  <c r="K461" i="1"/>
  <c r="L461" i="1"/>
  <c r="L447" i="1"/>
  <c r="K447" i="1"/>
  <c r="O24" i="1"/>
  <c r="N24" i="1"/>
  <c r="L468" i="1"/>
  <c r="K468" i="1"/>
  <c r="K205" i="1"/>
  <c r="L205" i="1"/>
  <c r="L400" i="1"/>
  <c r="K400" i="1"/>
  <c r="K29" i="1"/>
  <c r="L29" i="1"/>
  <c r="L325" i="1"/>
  <c r="K325" i="1"/>
  <c r="L35" i="1"/>
  <c r="K35" i="1"/>
  <c r="K305" i="1"/>
  <c r="L305" i="1"/>
  <c r="K448" i="1"/>
  <c r="L448" i="1"/>
  <c r="L234" i="1"/>
  <c r="K234" i="1"/>
  <c r="K221" i="1"/>
  <c r="L221" i="1"/>
  <c r="N57" i="1"/>
  <c r="O57" i="1"/>
  <c r="K316" i="1"/>
  <c r="L316" i="1"/>
  <c r="K347" i="1"/>
  <c r="L347" i="1"/>
  <c r="L477" i="1"/>
  <c r="K477" i="1"/>
  <c r="L105" i="1"/>
  <c r="K105" i="1"/>
  <c r="K248" i="1"/>
  <c r="L248" i="1"/>
  <c r="L295" i="1"/>
  <c r="K295" i="1"/>
  <c r="K414" i="1"/>
  <c r="L414" i="1"/>
  <c r="K95" i="1"/>
  <c r="L95" i="1"/>
  <c r="L78" i="1"/>
  <c r="K78" i="1"/>
  <c r="N337" i="1"/>
  <c r="O337" i="1"/>
  <c r="L309" i="1"/>
  <c r="K309" i="1"/>
  <c r="L172" i="1"/>
  <c r="K172" i="1"/>
  <c r="L203" i="1"/>
  <c r="K203" i="1"/>
  <c r="K481" i="1"/>
  <c r="L481" i="1"/>
  <c r="K402" i="1"/>
  <c r="L402" i="1"/>
  <c r="K104" i="1"/>
  <c r="L104" i="1"/>
  <c r="L151" i="1"/>
  <c r="K151" i="1"/>
  <c r="L198" i="1"/>
  <c r="K198" i="1"/>
  <c r="K495" i="1"/>
  <c r="L495" i="1"/>
  <c r="L418" i="1"/>
  <c r="K418" i="1"/>
  <c r="O293" i="1"/>
  <c r="N293" i="1"/>
  <c r="K53" i="1"/>
  <c r="L53" i="1"/>
  <c r="L28" i="1"/>
  <c r="K28" i="1"/>
  <c r="K59" i="1"/>
  <c r="L59" i="1"/>
  <c r="K329" i="1"/>
  <c r="L329" i="1"/>
  <c r="K472" i="1"/>
  <c r="L472" i="1"/>
  <c r="K370" i="1"/>
  <c r="L370" i="1"/>
  <c r="K389" i="1"/>
  <c r="L389" i="1"/>
  <c r="N345" i="1"/>
  <c r="O345" i="1"/>
  <c r="K62" i="1"/>
  <c r="L62" i="1"/>
  <c r="N432" i="1"/>
  <c r="O432" i="1"/>
  <c r="N204" i="1"/>
  <c r="O204" i="1"/>
  <c r="L54" i="1"/>
  <c r="K54" i="1"/>
  <c r="N379" i="1"/>
  <c r="O379" i="1"/>
  <c r="N191" i="1"/>
  <c r="O191" i="1"/>
  <c r="K366" i="1"/>
  <c r="L366" i="1"/>
  <c r="N505" i="1"/>
  <c r="O505" i="1"/>
  <c r="N298" i="1"/>
  <c r="O298" i="1"/>
  <c r="N85" i="1"/>
  <c r="O85" i="1"/>
  <c r="N385" i="1"/>
  <c r="O385" i="1"/>
  <c r="N431" i="1"/>
  <c r="O431" i="1"/>
  <c r="N194" i="1"/>
  <c r="O194" i="1"/>
  <c r="K214" i="1"/>
  <c r="L214" i="1"/>
  <c r="N445" i="1"/>
  <c r="O445" i="1"/>
  <c r="N180" i="1"/>
  <c r="O180" i="1"/>
  <c r="O446" i="1"/>
  <c r="N446" i="1"/>
  <c r="N237" i="1"/>
  <c r="O237" i="1"/>
  <c r="N148" i="1"/>
  <c r="O148" i="1"/>
  <c r="N323" i="1"/>
  <c r="O323" i="1"/>
  <c r="N460" i="1"/>
  <c r="O460" i="1"/>
  <c r="N171" i="1"/>
  <c r="O171" i="1"/>
  <c r="N159" i="1"/>
  <c r="O159" i="1"/>
  <c r="N187" i="1"/>
  <c r="O187" i="1"/>
  <c r="N105" i="1"/>
  <c r="O105" i="1"/>
  <c r="N297" i="1"/>
  <c r="O297" i="1"/>
  <c r="N439" i="1"/>
  <c r="O439" i="1"/>
  <c r="O131" i="1"/>
  <c r="N131" i="1"/>
  <c r="N127" i="1"/>
  <c r="O127" i="1"/>
  <c r="O149" i="1"/>
  <c r="N149" i="1"/>
  <c r="O339" i="1"/>
  <c r="N339" i="1"/>
  <c r="O365" i="1"/>
  <c r="N365" i="1"/>
  <c r="O117" i="1"/>
  <c r="N117" i="1"/>
  <c r="N258" i="1"/>
  <c r="O258" i="1"/>
  <c r="N238" i="1"/>
  <c r="O238" i="1"/>
  <c r="O349" i="1"/>
  <c r="N349" i="1"/>
  <c r="O209" i="1"/>
  <c r="N209" i="1"/>
  <c r="O367" i="1"/>
  <c r="N367" i="1"/>
  <c r="O503" i="1"/>
  <c r="N503" i="1"/>
  <c r="O175" i="1"/>
  <c r="N175" i="1"/>
  <c r="N56" i="1"/>
  <c r="O56" i="1"/>
  <c r="O327" i="1"/>
  <c r="N327" i="1"/>
  <c r="O196" i="1"/>
  <c r="N196" i="1"/>
  <c r="O356" i="1"/>
  <c r="N356" i="1"/>
  <c r="O492" i="1"/>
  <c r="N492" i="1"/>
  <c r="N456" i="1"/>
  <c r="O456" i="1"/>
  <c r="N48" i="1"/>
  <c r="O48" i="1"/>
  <c r="N489" i="1"/>
  <c r="O489" i="1"/>
  <c r="N266" i="1"/>
  <c r="O266" i="1"/>
  <c r="N80" i="1"/>
  <c r="O80" i="1"/>
  <c r="O246" i="1"/>
  <c r="N246" i="1"/>
  <c r="N186" i="1"/>
  <c r="O186" i="1"/>
  <c r="N167" i="1"/>
  <c r="O167" i="1"/>
  <c r="N166" i="1"/>
  <c r="O166" i="1"/>
  <c r="N52" i="1"/>
  <c r="O52" i="1"/>
  <c r="N290" i="1"/>
  <c r="O290" i="1"/>
  <c r="N104" i="1"/>
  <c r="O104" i="1"/>
  <c r="N270" i="1"/>
  <c r="O270" i="1"/>
  <c r="O91" i="1"/>
  <c r="N91" i="1"/>
  <c r="O90" i="1"/>
  <c r="N90" i="1"/>
  <c r="O71" i="1"/>
  <c r="N71" i="1"/>
  <c r="O70" i="1"/>
  <c r="N70" i="1"/>
  <c r="K264" i="1"/>
  <c r="L264" i="1"/>
  <c r="K195" i="1"/>
  <c r="L195" i="1"/>
  <c r="K465" i="1"/>
  <c r="L465" i="1"/>
  <c r="K363" i="1"/>
  <c r="L363" i="1"/>
  <c r="K339" i="1"/>
  <c r="L339" i="1"/>
  <c r="K496" i="1"/>
  <c r="L496" i="1"/>
  <c r="L436" i="1"/>
  <c r="K436" i="1"/>
  <c r="K277" i="1"/>
  <c r="L277" i="1"/>
  <c r="L77" i="1"/>
  <c r="K77" i="1"/>
  <c r="L298" i="1"/>
  <c r="K298" i="1"/>
  <c r="K404" i="1"/>
  <c r="L404" i="1"/>
  <c r="K194" i="1"/>
  <c r="L194" i="1"/>
  <c r="L336" i="1"/>
  <c r="K336" i="1"/>
  <c r="K157" i="1"/>
  <c r="L157" i="1"/>
  <c r="L171" i="1"/>
  <c r="K171" i="1"/>
  <c r="L258" i="1"/>
  <c r="K258" i="1"/>
  <c r="L262" i="1"/>
  <c r="K262" i="1"/>
  <c r="L116" i="1"/>
  <c r="K116" i="1"/>
  <c r="K417" i="1"/>
  <c r="L417" i="1"/>
  <c r="K48" i="1"/>
  <c r="L48" i="1"/>
  <c r="L125" i="1"/>
  <c r="K125" i="1"/>
  <c r="K131" i="1"/>
  <c r="L131" i="1"/>
  <c r="K42" i="1"/>
  <c r="L42" i="1"/>
  <c r="K134" i="1"/>
  <c r="L134" i="1"/>
  <c r="L340" i="1"/>
  <c r="K340" i="1"/>
  <c r="K50" i="1"/>
  <c r="L50" i="1"/>
  <c r="K272" i="1"/>
  <c r="L272" i="1"/>
  <c r="L452" i="1"/>
  <c r="K452" i="1"/>
  <c r="K483" i="1"/>
  <c r="L483" i="1"/>
  <c r="L450" i="1"/>
  <c r="K450" i="1"/>
  <c r="K241" i="1"/>
  <c r="L241" i="1"/>
  <c r="K384" i="1"/>
  <c r="L384" i="1"/>
  <c r="L431" i="1"/>
  <c r="K431" i="1"/>
  <c r="K242" i="1"/>
  <c r="L242" i="1"/>
  <c r="N393" i="1"/>
  <c r="O393" i="1"/>
  <c r="L252" i="1"/>
  <c r="K252" i="1"/>
  <c r="K283" i="1"/>
  <c r="L283" i="1"/>
  <c r="L394" i="1"/>
  <c r="K394" i="1"/>
  <c r="L41" i="1"/>
  <c r="K41" i="1"/>
  <c r="L184" i="1"/>
  <c r="K184" i="1"/>
  <c r="K231" i="1"/>
  <c r="L231" i="1"/>
  <c r="L326" i="1"/>
  <c r="K326" i="1"/>
  <c r="K506" i="1"/>
  <c r="L506" i="1"/>
  <c r="K31" i="1"/>
  <c r="L31" i="1"/>
  <c r="N487" i="1"/>
  <c r="O487" i="1"/>
  <c r="L141" i="1"/>
  <c r="K141" i="1"/>
  <c r="K108" i="1"/>
  <c r="L108" i="1"/>
  <c r="L139" i="1"/>
  <c r="K139" i="1"/>
  <c r="K409" i="1"/>
  <c r="L409" i="1"/>
  <c r="L138" i="1"/>
  <c r="K138" i="1"/>
  <c r="K40" i="1"/>
  <c r="L40" i="1"/>
  <c r="L87" i="1"/>
  <c r="K87" i="1"/>
  <c r="L70" i="1"/>
  <c r="K70" i="1"/>
  <c r="N300" i="1"/>
  <c r="O300" i="1"/>
  <c r="K399" i="1"/>
  <c r="L399" i="1"/>
  <c r="K503" i="1"/>
  <c r="L503" i="1"/>
  <c r="N82" i="1"/>
  <c r="O82" i="1"/>
  <c r="K476" i="1"/>
  <c r="L476" i="1"/>
  <c r="L507" i="1"/>
  <c r="K507" i="1"/>
  <c r="K285" i="1"/>
  <c r="L285" i="1"/>
  <c r="K265" i="1"/>
  <c r="L265" i="1"/>
  <c r="L408" i="1"/>
  <c r="K408" i="1"/>
  <c r="L471" i="1"/>
  <c r="K471" i="1"/>
  <c r="K386" i="1"/>
  <c r="L386" i="1"/>
  <c r="N268" i="1"/>
  <c r="O268" i="1"/>
  <c r="O169" i="1"/>
  <c r="N169" i="1"/>
  <c r="N352" i="1"/>
  <c r="O352" i="1"/>
  <c r="N125" i="1"/>
  <c r="O125" i="1"/>
  <c r="O253" i="1"/>
  <c r="N253" i="1"/>
  <c r="K302" i="1"/>
  <c r="L302" i="1"/>
  <c r="N245" i="1"/>
  <c r="O245" i="1"/>
  <c r="N264" i="1"/>
  <c r="O264" i="1"/>
  <c r="N347" i="1"/>
  <c r="O347" i="1"/>
  <c r="N53" i="1"/>
  <c r="O53" i="1"/>
  <c r="N207" i="1"/>
  <c r="O207" i="1"/>
  <c r="N152" i="1"/>
  <c r="O152" i="1"/>
  <c r="K150" i="1"/>
  <c r="L150" i="1"/>
  <c r="N359" i="1"/>
  <c r="O359" i="1"/>
  <c r="O219" i="1"/>
  <c r="N219" i="1"/>
  <c r="N150" i="1"/>
  <c r="O150" i="1"/>
  <c r="N476" i="1"/>
  <c r="O476" i="1"/>
  <c r="N468" i="1"/>
  <c r="O468" i="1"/>
  <c r="N220" i="1"/>
  <c r="O220" i="1"/>
  <c r="N375" i="1"/>
  <c r="O375" i="1"/>
  <c r="N51" i="1"/>
  <c r="O51" i="1"/>
  <c r="N31" i="1"/>
  <c r="O31" i="1"/>
  <c r="N444" i="1"/>
  <c r="O444" i="1"/>
  <c r="N415" i="1"/>
  <c r="O415" i="1"/>
  <c r="N195" i="1"/>
  <c r="O195" i="1"/>
  <c r="N353" i="1"/>
  <c r="O353" i="1"/>
  <c r="N19" i="1"/>
  <c r="O19" i="1"/>
  <c r="N510" i="1"/>
  <c r="O510" i="1"/>
  <c r="N496" i="1"/>
  <c r="O496" i="1"/>
  <c r="N68" i="1"/>
  <c r="O68" i="1"/>
  <c r="N121" i="1"/>
  <c r="O121" i="1"/>
  <c r="N459" i="1"/>
  <c r="O459" i="1"/>
  <c r="O130" i="1"/>
  <c r="N130" i="1"/>
  <c r="O110" i="1"/>
  <c r="N110" i="1"/>
  <c r="N132" i="1"/>
  <c r="O132" i="1"/>
  <c r="N61" i="1"/>
  <c r="O61" i="1"/>
  <c r="N271" i="1"/>
  <c r="O271" i="1"/>
  <c r="N417" i="1"/>
  <c r="O417" i="1"/>
  <c r="O115" i="1"/>
  <c r="N115" i="1"/>
  <c r="O95" i="1"/>
  <c r="N95" i="1"/>
  <c r="N89" i="1"/>
  <c r="O89" i="1"/>
  <c r="N41" i="1"/>
  <c r="O41" i="1"/>
  <c r="N259" i="1"/>
  <c r="O259" i="1"/>
  <c r="N407" i="1"/>
  <c r="O407" i="1"/>
  <c r="O107" i="1"/>
  <c r="N107" i="1"/>
  <c r="O87" i="1"/>
  <c r="N87" i="1"/>
  <c r="N49" i="1"/>
  <c r="O49" i="1"/>
  <c r="N202" i="1"/>
  <c r="O202" i="1"/>
  <c r="N16" i="1"/>
  <c r="O16" i="1"/>
  <c r="N182" i="1"/>
  <c r="O182" i="1"/>
  <c r="O122" i="1"/>
  <c r="N122" i="1"/>
  <c r="O103" i="1"/>
  <c r="N103" i="1"/>
  <c r="O102" i="1"/>
  <c r="N102" i="1"/>
  <c r="N291" i="1"/>
  <c r="O291" i="1"/>
  <c r="N226" i="1"/>
  <c r="O226" i="1"/>
  <c r="N40" i="1"/>
  <c r="O40" i="1"/>
  <c r="N206" i="1"/>
  <c r="O206" i="1"/>
  <c r="N469" i="1"/>
  <c r="O469" i="1"/>
  <c r="N27" i="1"/>
  <c r="O27" i="1"/>
  <c r="N26" i="1"/>
  <c r="O26" i="1"/>
  <c r="N7" i="1"/>
  <c r="O7" i="1"/>
  <c r="N6" i="1"/>
  <c r="O6" i="1"/>
  <c r="L337" i="1"/>
  <c r="K337" i="1"/>
  <c r="E187" i="1"/>
  <c r="E77" i="1"/>
  <c r="E70" i="1"/>
  <c r="E103" i="1"/>
  <c r="E104" i="1"/>
  <c r="E105" i="1"/>
  <c r="E450" i="1"/>
  <c r="E404" i="1"/>
  <c r="E225" i="1"/>
  <c r="E129" i="1"/>
  <c r="E166" i="1"/>
  <c r="E401" i="1"/>
  <c r="E415" i="1"/>
  <c r="E131" i="1"/>
  <c r="E21" i="1"/>
  <c r="E14" i="1"/>
  <c r="E47" i="1"/>
  <c r="E48" i="1"/>
  <c r="E49" i="1"/>
  <c r="E394" i="1"/>
  <c r="E396" i="1"/>
  <c r="E192" i="1"/>
  <c r="E91" i="1"/>
  <c r="E456" i="1"/>
  <c r="E197" i="1"/>
  <c r="E201" i="1"/>
  <c r="E20" i="1"/>
  <c r="E349" i="1"/>
  <c r="E342" i="1"/>
  <c r="E375" i="1"/>
  <c r="E376" i="1"/>
  <c r="E210" i="1"/>
  <c r="E356" i="1"/>
  <c r="E191" i="1"/>
  <c r="E289" i="1"/>
  <c r="E315" i="1"/>
  <c r="E205" i="1"/>
  <c r="E198" i="1"/>
  <c r="E231" i="1"/>
  <c r="E232" i="1"/>
  <c r="E66" i="1"/>
  <c r="E435" i="1"/>
  <c r="E265" i="1"/>
  <c r="E217" i="1"/>
  <c r="E346" i="1"/>
  <c r="E455" i="1"/>
  <c r="E345" i="1"/>
  <c r="E97" i="1"/>
  <c r="E259" i="1"/>
  <c r="E149" i="1"/>
  <c r="E142" i="1"/>
  <c r="E175" i="1"/>
  <c r="E176" i="1"/>
  <c r="E10" i="1"/>
  <c r="E371" i="1"/>
  <c r="E308" i="1"/>
  <c r="E26" i="1"/>
  <c r="E237" i="1"/>
  <c r="E418" i="1"/>
  <c r="E446" i="1"/>
  <c r="E75" i="1"/>
  <c r="E148" i="1"/>
  <c r="E477" i="1"/>
  <c r="E451" i="1"/>
  <c r="E269" i="1"/>
  <c r="E262" i="1"/>
  <c r="E295" i="1"/>
  <c r="E296" i="1"/>
  <c r="E130" i="1"/>
  <c r="E204" i="1"/>
  <c r="E209" i="1"/>
  <c r="E372" i="1"/>
  <c r="E387" i="1"/>
  <c r="E264" i="1"/>
  <c r="E307" i="1"/>
  <c r="E314" i="1"/>
  <c r="E323" i="1"/>
  <c r="E213" i="1"/>
  <c r="E206" i="1"/>
  <c r="E239" i="1"/>
  <c r="E240" i="1"/>
  <c r="E74" i="1"/>
  <c r="E443" i="1"/>
  <c r="E428" i="1"/>
  <c r="E218" i="1"/>
  <c r="E493" i="1"/>
  <c r="E420" i="1"/>
  <c r="E351" i="1"/>
  <c r="E139" i="1"/>
  <c r="E29" i="1"/>
  <c r="E22" i="1"/>
  <c r="E55" i="1"/>
  <c r="E56" i="1"/>
  <c r="E57" i="1"/>
  <c r="E402" i="1"/>
  <c r="E421" i="1"/>
  <c r="E320" i="1"/>
  <c r="E283" i="1"/>
  <c r="E422" i="1"/>
  <c r="E476" i="1"/>
  <c r="E4" i="1"/>
  <c r="E333" i="1"/>
  <c r="E326" i="1"/>
  <c r="E359" i="1"/>
  <c r="E360" i="1"/>
  <c r="E194" i="1"/>
  <c r="E292" i="1"/>
  <c r="E473" i="1"/>
  <c r="E293" i="1"/>
  <c r="E236" i="1"/>
  <c r="E73" i="1"/>
  <c r="E5" i="1"/>
  <c r="E508" i="1"/>
  <c r="E475" i="1"/>
  <c r="E277" i="1"/>
  <c r="E270" i="1"/>
  <c r="E303" i="1"/>
  <c r="E304" i="1"/>
  <c r="E138" i="1"/>
  <c r="E212" i="1"/>
  <c r="E337" i="1"/>
  <c r="E474" i="1"/>
  <c r="E230" i="1"/>
  <c r="E353" i="1"/>
  <c r="E224" i="1"/>
  <c r="E203" i="1"/>
  <c r="E93" i="1"/>
  <c r="E86" i="1"/>
  <c r="E119" i="1"/>
  <c r="E120" i="1"/>
  <c r="E121" i="1"/>
  <c r="E466" i="1"/>
  <c r="E286" i="1"/>
  <c r="E512" i="1"/>
  <c r="E347" i="1"/>
  <c r="E59" i="1"/>
  <c r="E132" i="1"/>
  <c r="E461" i="1"/>
  <c r="E454" i="1"/>
  <c r="E487" i="1"/>
  <c r="E488" i="1"/>
  <c r="E322" i="1"/>
  <c r="E393" i="1"/>
  <c r="E468" i="1"/>
  <c r="E128" i="1"/>
  <c r="E412" i="1"/>
  <c r="E395" i="1"/>
  <c r="E190" i="1"/>
  <c r="E3" i="1"/>
  <c r="E76" i="1"/>
  <c r="E405" i="1"/>
  <c r="E398" i="1"/>
  <c r="E431" i="1"/>
  <c r="E432" i="1"/>
  <c r="E266" i="1"/>
  <c r="E510" i="1"/>
  <c r="E357" i="1"/>
  <c r="E313" i="1"/>
  <c r="E327" i="1"/>
  <c r="E500" i="1"/>
  <c r="E250" i="1"/>
  <c r="E331" i="1"/>
  <c r="E221" i="1"/>
  <c r="E214" i="1"/>
  <c r="E247" i="1"/>
  <c r="E248" i="1"/>
  <c r="E251" i="1"/>
  <c r="E39" i="1"/>
  <c r="E258" i="1"/>
  <c r="E321" i="1"/>
  <c r="E193" i="1"/>
  <c r="E12" i="1"/>
  <c r="E111" i="1"/>
  <c r="E330" i="1"/>
  <c r="E388" i="1"/>
  <c r="E62" i="1"/>
  <c r="E285" i="1"/>
  <c r="E439" i="1"/>
  <c r="E146" i="1"/>
  <c r="E414" i="1"/>
  <c r="E502" i="1"/>
  <c r="E263" i="1"/>
  <c r="E465" i="1"/>
  <c r="E122" i="1"/>
  <c r="E339" i="1"/>
  <c r="E229" i="1"/>
  <c r="E255" i="1"/>
  <c r="E45" i="1"/>
  <c r="E9" i="1"/>
  <c r="E69" i="1"/>
  <c r="E409" i="1"/>
  <c r="E244" i="1"/>
  <c r="E479" i="1"/>
  <c r="E163" i="1"/>
  <c r="E53" i="1"/>
  <c r="E46" i="1"/>
  <c r="E79" i="1"/>
  <c r="E80" i="1"/>
  <c r="E81" i="1"/>
  <c r="E426" i="1"/>
  <c r="E513" i="1"/>
  <c r="E171" i="1"/>
  <c r="E61" i="1"/>
  <c r="E54" i="1"/>
  <c r="E87" i="1"/>
  <c r="E88" i="1"/>
  <c r="E89" i="1"/>
  <c r="E434" i="1"/>
  <c r="E486" i="1"/>
  <c r="E281" i="1"/>
  <c r="E68" i="1"/>
  <c r="E167" i="1"/>
  <c r="E386" i="1"/>
  <c r="E319" i="1"/>
  <c r="E411" i="1"/>
  <c r="E140" i="1"/>
  <c r="E367" i="1"/>
  <c r="E436" i="1"/>
  <c r="E33" i="1"/>
  <c r="E413" i="1"/>
  <c r="E503" i="1"/>
  <c r="E274" i="1"/>
  <c r="E478" i="1"/>
  <c r="E27" i="1"/>
  <c r="E8" i="1"/>
  <c r="E51" i="1"/>
  <c r="E506" i="1"/>
  <c r="E196" i="1"/>
  <c r="E485" i="1"/>
  <c r="E511" i="1"/>
  <c r="E301" i="1"/>
  <c r="E162" i="1"/>
  <c r="E453" i="1"/>
  <c r="E377" i="1"/>
  <c r="E352" i="1"/>
  <c r="E227" i="1"/>
  <c r="E117" i="1"/>
  <c r="E110" i="1"/>
  <c r="E143" i="1"/>
  <c r="E144" i="1"/>
  <c r="E145" i="1"/>
  <c r="E490" i="1"/>
  <c r="E441" i="1"/>
  <c r="E125" i="1"/>
  <c r="E118" i="1"/>
  <c r="E151" i="1"/>
  <c r="E152" i="1"/>
  <c r="E161" i="1"/>
  <c r="E484" i="1"/>
  <c r="E382" i="1"/>
  <c r="E238" i="1"/>
  <c r="E491" i="1"/>
  <c r="E253" i="1"/>
  <c r="E280" i="1"/>
  <c r="E241" i="1"/>
  <c r="E458" i="1"/>
  <c r="E228" i="1"/>
  <c r="E235" i="1"/>
  <c r="E246" i="1"/>
  <c r="E385" i="1"/>
  <c r="E13" i="1"/>
  <c r="E423" i="1"/>
  <c r="E514" i="1"/>
  <c r="E384" i="1"/>
  <c r="E325" i="1"/>
  <c r="E85" i="1"/>
  <c r="E495" i="1"/>
  <c r="E324" i="1"/>
  <c r="E164" i="1"/>
  <c r="E188" i="1"/>
  <c r="E150" i="1"/>
  <c r="E184" i="1"/>
  <c r="E338" i="1"/>
  <c r="E127" i="1"/>
  <c r="E36" i="1"/>
  <c r="E328" i="1"/>
  <c r="E124" i="1"/>
  <c r="E332" i="1"/>
  <c r="E28" i="1"/>
  <c r="E30" i="1"/>
  <c r="E256" i="1"/>
  <c r="E429" i="1"/>
  <c r="E482" i="1"/>
  <c r="E254" i="1"/>
  <c r="E294" i="1"/>
  <c r="E507" i="1"/>
  <c r="E58" i="1"/>
  <c r="E291" i="1"/>
  <c r="E181" i="1"/>
  <c r="E174" i="1"/>
  <c r="E207" i="1"/>
  <c r="E208" i="1"/>
  <c r="E42" i="1"/>
  <c r="E403" i="1"/>
  <c r="E417" i="1"/>
  <c r="E299" i="1"/>
  <c r="E189" i="1"/>
  <c r="E182" i="1"/>
  <c r="E215" i="1"/>
  <c r="E216" i="1"/>
  <c r="E50" i="1"/>
  <c r="E273" i="1"/>
  <c r="E223" i="1"/>
  <c r="E40" i="1"/>
  <c r="E425" i="1"/>
  <c r="E154" i="1"/>
  <c r="E341" i="1"/>
  <c r="E457" i="1"/>
  <c r="E11" i="1"/>
  <c r="E312" i="1"/>
  <c r="E383" i="1"/>
  <c r="E137" i="1"/>
  <c r="E19" i="1"/>
  <c r="E94" i="1"/>
  <c r="E65" i="1"/>
  <c r="E249" i="1"/>
  <c r="E300" i="1"/>
  <c r="E355" i="1"/>
  <c r="E271" i="1"/>
  <c r="E106" i="1"/>
  <c r="E363" i="1"/>
  <c r="E114" i="1"/>
  <c r="E141" i="1"/>
  <c r="E95" i="1"/>
  <c r="E112" i="1"/>
  <c r="E7" i="1"/>
  <c r="E278" i="1"/>
  <c r="E379" i="1"/>
  <c r="E100" i="1"/>
  <c r="E389" i="1"/>
  <c r="E92" i="1"/>
  <c r="E38" i="1"/>
  <c r="E287" i="1"/>
  <c r="E199" i="1"/>
  <c r="E419" i="1"/>
  <c r="E245" i="1"/>
  <c r="E272" i="1"/>
  <c r="E433" i="1"/>
  <c r="E279" i="1"/>
  <c r="E96" i="1"/>
  <c r="E397" i="1"/>
  <c r="E168" i="1"/>
  <c r="E364" i="1"/>
  <c r="E460" i="1"/>
  <c r="E288" i="1"/>
  <c r="E469" i="1"/>
  <c r="E368" i="1"/>
  <c r="E380" i="1"/>
  <c r="E136" i="1"/>
  <c r="E267" i="1"/>
  <c r="E406" i="1"/>
  <c r="E440" i="1"/>
  <c r="E459" i="1"/>
  <c r="E64" i="1"/>
  <c r="E109" i="1"/>
  <c r="E290" i="1"/>
  <c r="E318" i="1"/>
  <c r="E83" i="1"/>
  <c r="E156" i="1"/>
  <c r="E158" i="1"/>
  <c r="E410" i="1"/>
  <c r="E358" i="1"/>
  <c r="E497" i="1"/>
  <c r="E160" i="1"/>
  <c r="E72" i="1"/>
  <c r="E115" i="1"/>
  <c r="E340" i="1"/>
  <c r="E252" i="1"/>
  <c r="E309" i="1"/>
  <c r="E302" i="1"/>
  <c r="E335" i="1"/>
  <c r="E336" i="1"/>
  <c r="E170" i="1"/>
  <c r="E260" i="1"/>
  <c r="E276" i="1"/>
  <c r="E268" i="1"/>
  <c r="E317" i="1"/>
  <c r="E310" i="1"/>
  <c r="E343" i="1"/>
  <c r="E344" i="1"/>
  <c r="E178" i="1"/>
  <c r="E427" i="1"/>
  <c r="E480" i="1"/>
  <c r="E177" i="1"/>
  <c r="E462" i="1"/>
  <c r="E179" i="1"/>
  <c r="E82" i="1"/>
  <c r="E329" i="1"/>
  <c r="E165" i="1"/>
  <c r="E200" i="1"/>
  <c r="E31" i="1"/>
  <c r="E501" i="1"/>
  <c r="E362" i="1"/>
  <c r="E509" i="1"/>
  <c r="E25" i="1"/>
  <c r="E6" i="1"/>
  <c r="E424" i="1"/>
  <c r="E316" i="1"/>
  <c r="E219" i="1"/>
  <c r="E494" i="1"/>
  <c r="E78" i="1"/>
  <c r="E496" i="1"/>
  <c r="E348" i="1"/>
  <c r="E98" i="1"/>
  <c r="E499" i="1"/>
  <c r="E470" i="1"/>
  <c r="E504" i="1"/>
  <c r="E220" i="1"/>
  <c r="E90" i="1"/>
  <c r="E173" i="1"/>
  <c r="E483" i="1"/>
  <c r="E159" i="1"/>
  <c r="E147" i="1"/>
  <c r="E37" i="1"/>
  <c r="E222" i="1"/>
  <c r="E185" i="1"/>
  <c r="E135" i="1"/>
  <c r="E498" i="1"/>
  <c r="E169" i="1"/>
  <c r="E392" i="1"/>
  <c r="E261" i="1"/>
  <c r="E449" i="1"/>
  <c r="E44" i="1"/>
  <c r="E373" i="1"/>
  <c r="E366" i="1"/>
  <c r="E399" i="1"/>
  <c r="E400" i="1"/>
  <c r="E234" i="1"/>
  <c r="E452" i="1"/>
  <c r="E233" i="1"/>
  <c r="E52" i="1"/>
  <c r="E381" i="1"/>
  <c r="E374" i="1"/>
  <c r="E407" i="1"/>
  <c r="E408" i="1"/>
  <c r="E242" i="1"/>
  <c r="E284" i="1"/>
  <c r="E186" i="1"/>
  <c r="E390" i="1"/>
  <c r="E226" i="1"/>
  <c r="E202" i="1"/>
  <c r="E157" i="1"/>
  <c r="E467" i="1"/>
  <c r="E416" i="1"/>
  <c r="E155" i="1"/>
  <c r="E361" i="1"/>
  <c r="E99" i="1"/>
  <c r="E15" i="1"/>
  <c r="E17" i="1"/>
  <c r="E107" i="1"/>
  <c r="E180" i="1"/>
  <c r="E24" i="1"/>
  <c r="E133" i="1"/>
  <c r="E2" i="1"/>
  <c r="E134" i="1"/>
  <c r="E41" i="1"/>
  <c r="E505" i="1"/>
  <c r="E71" i="1"/>
  <c r="E67" i="1"/>
  <c r="E334" i="1"/>
  <c r="E113" i="1"/>
  <c r="E447" i="1"/>
  <c r="E153" i="1"/>
  <c r="E84" i="1"/>
  <c r="E183" i="1"/>
  <c r="E18" i="1"/>
  <c r="E489" i="1"/>
  <c r="E282" i="1"/>
  <c r="E365" i="1"/>
  <c r="E492" i="1"/>
  <c r="E32" i="1"/>
  <c r="E211" i="1"/>
  <c r="E101" i="1"/>
  <c r="E350" i="1"/>
  <c r="E369" i="1"/>
  <c r="E391" i="1"/>
  <c r="E481" i="1"/>
  <c r="E442" i="1"/>
  <c r="E34" i="1"/>
  <c r="E126" i="1"/>
  <c r="E35" i="1"/>
  <c r="E108" i="1"/>
  <c r="E437" i="1"/>
  <c r="E430" i="1"/>
  <c r="E463" i="1"/>
  <c r="E464" i="1"/>
  <c r="E298" i="1"/>
  <c r="E297" i="1"/>
  <c r="E43" i="1"/>
  <c r="E116" i="1"/>
  <c r="E445" i="1"/>
  <c r="E438" i="1"/>
  <c r="E471" i="1"/>
  <c r="E472" i="1"/>
  <c r="E306" i="1"/>
  <c r="E60" i="1"/>
  <c r="E378" i="1"/>
  <c r="E123" i="1"/>
  <c r="E305" i="1"/>
  <c r="E195" i="1"/>
  <c r="E448" i="1"/>
  <c r="E311" i="1"/>
  <c r="E444" i="1"/>
  <c r="E102" i="1"/>
  <c r="E275" i="1"/>
  <c r="E63" i="1"/>
  <c r="E243" i="1"/>
  <c r="E354" i="1"/>
  <c r="E172" i="1"/>
  <c r="E16" i="1"/>
  <c r="E257" i="1"/>
  <c r="E23" i="1"/>
  <c r="E370" i="1"/>
  <c r="K282" i="1"/>
  <c r="L282" i="1"/>
  <c r="L421" i="1"/>
  <c r="K421" i="1"/>
  <c r="K224" i="1"/>
  <c r="L224" i="1"/>
  <c r="K67" i="1"/>
  <c r="L67" i="1"/>
  <c r="N183" i="1"/>
  <c r="O183" i="1"/>
  <c r="K498" i="1"/>
  <c r="L498" i="1"/>
  <c r="O101" i="1"/>
  <c r="N101" i="1"/>
  <c r="K76" i="1"/>
  <c r="L76" i="1"/>
  <c r="L83" i="1"/>
  <c r="K83" i="1"/>
  <c r="K353" i="1"/>
  <c r="L353" i="1"/>
  <c r="K276" i="1"/>
  <c r="L276" i="1"/>
  <c r="K197" i="1"/>
  <c r="L197" i="1"/>
  <c r="K208" i="1"/>
  <c r="L208" i="1"/>
  <c r="K37" i="1"/>
  <c r="L37" i="1"/>
  <c r="K43" i="1"/>
  <c r="L43" i="1"/>
  <c r="K456" i="1"/>
  <c r="L456" i="1"/>
  <c r="L229" i="1"/>
  <c r="K229" i="1"/>
  <c r="K289" i="1"/>
  <c r="L289" i="1"/>
  <c r="K383" i="1"/>
  <c r="L383" i="1"/>
  <c r="L484" i="1"/>
  <c r="K484" i="1"/>
  <c r="L349" i="1"/>
  <c r="K349" i="1"/>
  <c r="K416" i="1"/>
  <c r="L416" i="1"/>
  <c r="K212" i="1"/>
  <c r="L212" i="1"/>
  <c r="K186" i="1"/>
  <c r="L186" i="1"/>
  <c r="K144" i="1"/>
  <c r="L144" i="1"/>
  <c r="K388" i="1"/>
  <c r="L388" i="1"/>
  <c r="L419" i="1"/>
  <c r="K419" i="1"/>
  <c r="K122" i="1"/>
  <c r="L122" i="1"/>
  <c r="K177" i="1"/>
  <c r="L177" i="1"/>
  <c r="K320" i="1"/>
  <c r="L320" i="1"/>
  <c r="L367" i="1"/>
  <c r="K367" i="1"/>
  <c r="K510" i="1"/>
  <c r="L510" i="1"/>
  <c r="N430" i="1"/>
  <c r="O430" i="1"/>
  <c r="L188" i="1"/>
  <c r="K188" i="1"/>
  <c r="K219" i="1"/>
  <c r="L219" i="1"/>
  <c r="L513" i="1"/>
  <c r="K513" i="1"/>
  <c r="L482" i="1"/>
  <c r="K482" i="1"/>
  <c r="L120" i="1"/>
  <c r="K120" i="1"/>
  <c r="L167" i="1"/>
  <c r="K167" i="1"/>
  <c r="K222" i="1"/>
  <c r="L222" i="1"/>
  <c r="L98" i="1"/>
  <c r="K98" i="1"/>
  <c r="K490" i="1"/>
  <c r="L490" i="1"/>
  <c r="O164" i="1"/>
  <c r="N164" i="1"/>
  <c r="L69" i="1"/>
  <c r="K69" i="1"/>
  <c r="L44" i="1"/>
  <c r="K44" i="1"/>
  <c r="L75" i="1"/>
  <c r="K75" i="1"/>
  <c r="K345" i="1"/>
  <c r="L345" i="1"/>
  <c r="L488" i="1"/>
  <c r="K488" i="1"/>
  <c r="K466" i="1"/>
  <c r="L466" i="1"/>
  <c r="L23" i="1"/>
  <c r="K23" i="1"/>
  <c r="N465" i="1"/>
  <c r="O465" i="1"/>
  <c r="K335" i="1"/>
  <c r="L335" i="1"/>
  <c r="K462" i="1"/>
  <c r="L462" i="1"/>
  <c r="L412" i="1"/>
  <c r="K412" i="1"/>
  <c r="L443" i="1"/>
  <c r="K443" i="1"/>
  <c r="K250" i="1"/>
  <c r="L250" i="1"/>
  <c r="K201" i="1"/>
  <c r="L201" i="1"/>
  <c r="K344" i="1"/>
  <c r="L344" i="1"/>
  <c r="K391" i="1"/>
  <c r="L391" i="1"/>
  <c r="L487" i="1"/>
  <c r="K487" i="1"/>
  <c r="N66" i="1"/>
  <c r="O66" i="1"/>
  <c r="N467" i="1"/>
  <c r="O467" i="1"/>
  <c r="N4" i="1"/>
  <c r="O4" i="1"/>
  <c r="N435" i="1"/>
  <c r="O435" i="1"/>
  <c r="N147" i="1"/>
  <c r="O147" i="1"/>
  <c r="K238" i="1"/>
  <c r="L238" i="1"/>
  <c r="N213" i="1"/>
  <c r="O213" i="1"/>
  <c r="O408" i="1"/>
  <c r="N408" i="1"/>
  <c r="N63" i="1"/>
  <c r="O63" i="1"/>
  <c r="O511" i="1"/>
  <c r="N511" i="1"/>
  <c r="O215" i="1"/>
  <c r="N215" i="1"/>
  <c r="N477" i="1"/>
  <c r="O477" i="1"/>
  <c r="N231" i="1"/>
  <c r="O231" i="1"/>
  <c r="N23" i="1"/>
  <c r="O23" i="1"/>
  <c r="L274" i="1"/>
  <c r="K274" i="1"/>
  <c r="K86" i="1"/>
  <c r="L86" i="1"/>
  <c r="N21" i="1"/>
  <c r="O21" i="1"/>
  <c r="O307" i="1"/>
  <c r="N307" i="1"/>
  <c r="N313" i="1"/>
  <c r="O313" i="1"/>
  <c r="N201" i="1"/>
  <c r="O201" i="1"/>
  <c r="N81" i="1"/>
  <c r="O81" i="1"/>
  <c r="N281" i="1"/>
  <c r="O281" i="1"/>
  <c r="N434" i="1"/>
  <c r="O434" i="1"/>
  <c r="N414" i="1"/>
  <c r="O414" i="1"/>
  <c r="N287" i="1"/>
  <c r="O287" i="1"/>
  <c r="N113" i="1"/>
  <c r="O113" i="1"/>
  <c r="N37" i="1"/>
  <c r="O37" i="1"/>
  <c r="N255" i="1"/>
  <c r="O255" i="1"/>
  <c r="N402" i="1"/>
  <c r="O402" i="1"/>
  <c r="N382" i="1"/>
  <c r="O382" i="1"/>
  <c r="N351" i="1"/>
  <c r="O351" i="1"/>
  <c r="N411" i="1"/>
  <c r="O411" i="1"/>
  <c r="N369" i="1"/>
  <c r="O369" i="1"/>
  <c r="N461" i="1"/>
  <c r="O461" i="1"/>
  <c r="N331" i="1"/>
  <c r="O331" i="1"/>
  <c r="N328" i="1"/>
  <c r="O328" i="1"/>
  <c r="N401" i="1"/>
  <c r="O401" i="1"/>
  <c r="N340" i="1"/>
  <c r="O340" i="1"/>
  <c r="N165" i="1"/>
  <c r="O165" i="1"/>
  <c r="N332" i="1"/>
  <c r="O332" i="1"/>
  <c r="N498" i="1"/>
  <c r="O498" i="1"/>
  <c r="N478" i="1"/>
  <c r="O478" i="1"/>
  <c r="N380" i="1"/>
  <c r="O380" i="1"/>
  <c r="N303" i="1"/>
  <c r="O303" i="1"/>
  <c r="N145" i="1"/>
  <c r="O145" i="1"/>
  <c r="N319" i="1"/>
  <c r="O319" i="1"/>
  <c r="N490" i="1"/>
  <c r="O490" i="1"/>
  <c r="N470" i="1"/>
  <c r="O470" i="1"/>
  <c r="N139" i="1"/>
  <c r="O139" i="1"/>
  <c r="N138" i="1"/>
  <c r="O138" i="1"/>
  <c r="O119" i="1"/>
  <c r="N119" i="1"/>
  <c r="N118" i="1"/>
  <c r="O118" i="1"/>
  <c r="N59" i="1"/>
  <c r="O59" i="1"/>
  <c r="N58" i="1"/>
  <c r="O58" i="1"/>
  <c r="N39" i="1"/>
  <c r="O39" i="1"/>
  <c r="N38" i="1"/>
  <c r="O38" i="1"/>
  <c r="N163" i="1"/>
  <c r="O163" i="1"/>
  <c r="N162" i="1"/>
  <c r="O162" i="1"/>
  <c r="O143" i="1"/>
  <c r="N143" i="1"/>
  <c r="O142" i="1"/>
  <c r="N142" i="1"/>
  <c r="N384" i="1"/>
  <c r="O384" i="1"/>
  <c r="N474" i="1"/>
  <c r="O474" i="1"/>
  <c r="N288" i="1"/>
  <c r="O288" i="1"/>
  <c r="N454" i="1"/>
  <c r="O454" i="1"/>
  <c r="K358" i="1"/>
  <c r="L358" i="1"/>
  <c r="K249" i="1"/>
  <c r="L249" i="1"/>
  <c r="K101" i="1"/>
  <c r="L101" i="1"/>
  <c r="K255" i="1"/>
  <c r="L255" i="1"/>
  <c r="K497" i="1"/>
  <c r="L497" i="1"/>
  <c r="K473" i="1"/>
  <c r="L473" i="1"/>
  <c r="K323" i="1"/>
  <c r="L323" i="1"/>
  <c r="L209" i="1"/>
  <c r="K209" i="1"/>
  <c r="K293" i="1"/>
  <c r="L293" i="1"/>
  <c r="K148" i="1"/>
  <c r="L148" i="1"/>
  <c r="K449" i="1"/>
  <c r="L449" i="1"/>
  <c r="K80" i="1"/>
  <c r="L80" i="1"/>
  <c r="L396" i="1"/>
  <c r="K396" i="1"/>
  <c r="L154" i="1"/>
  <c r="K154" i="1"/>
  <c r="L328" i="1"/>
  <c r="K328" i="1"/>
  <c r="L403" i="1"/>
  <c r="K403" i="1"/>
  <c r="K161" i="1"/>
  <c r="L161" i="1"/>
  <c r="K127" i="1"/>
  <c r="L127" i="1"/>
  <c r="N3" i="1"/>
  <c r="O3" i="1"/>
  <c r="K356" i="1"/>
  <c r="L356" i="1"/>
  <c r="L74" i="1"/>
  <c r="K74" i="1"/>
  <c r="K288" i="1"/>
  <c r="L288" i="1"/>
  <c r="K84" i="1"/>
  <c r="L84" i="1"/>
  <c r="K385" i="1"/>
  <c r="L385" i="1"/>
  <c r="L437" i="1"/>
  <c r="K437" i="1"/>
  <c r="K324" i="1"/>
  <c r="L324" i="1"/>
  <c r="L355" i="1"/>
  <c r="K355" i="1"/>
  <c r="L26" i="1"/>
  <c r="K26" i="1"/>
  <c r="L113" i="1"/>
  <c r="K113" i="1"/>
  <c r="K256" i="1"/>
  <c r="L256" i="1"/>
  <c r="L303" i="1"/>
  <c r="K303" i="1"/>
  <c r="K422" i="1"/>
  <c r="L422" i="1"/>
  <c r="K124" i="1"/>
  <c r="L124" i="1"/>
  <c r="K155" i="1"/>
  <c r="L155" i="1"/>
  <c r="L425" i="1"/>
  <c r="K425" i="1"/>
  <c r="K210" i="1"/>
  <c r="L210" i="1"/>
  <c r="L56" i="1"/>
  <c r="K56" i="1"/>
  <c r="L103" i="1"/>
  <c r="K103" i="1"/>
  <c r="K94" i="1"/>
  <c r="L94" i="1"/>
  <c r="N289" i="1"/>
  <c r="O289" i="1"/>
  <c r="K415" i="1"/>
  <c r="L415" i="1"/>
  <c r="L162" i="1"/>
  <c r="K162" i="1"/>
  <c r="N450" i="1"/>
  <c r="O450" i="1"/>
  <c r="L492" i="1"/>
  <c r="K492" i="1"/>
  <c r="L181" i="1"/>
  <c r="K181" i="1"/>
  <c r="L413" i="1"/>
  <c r="K413" i="1"/>
  <c r="K281" i="1"/>
  <c r="L281" i="1"/>
  <c r="K424" i="1"/>
  <c r="L424" i="1"/>
  <c r="K511" i="1"/>
  <c r="L511" i="1"/>
  <c r="L458" i="1"/>
  <c r="K458" i="1"/>
  <c r="N481" i="1"/>
  <c r="O481" i="1"/>
  <c r="K271" i="1"/>
  <c r="L271" i="1"/>
  <c r="K382" i="1"/>
  <c r="L382" i="1"/>
  <c r="K348" i="1"/>
  <c r="L348" i="1"/>
  <c r="K379" i="1"/>
  <c r="L379" i="1"/>
  <c r="K58" i="1"/>
  <c r="L58" i="1"/>
  <c r="K137" i="1"/>
  <c r="L137" i="1"/>
  <c r="K280" i="1"/>
  <c r="L280" i="1"/>
  <c r="K327" i="1"/>
  <c r="L327" i="1"/>
  <c r="L454" i="1"/>
  <c r="K454" i="1"/>
  <c r="N412" i="1"/>
  <c r="O412" i="1"/>
  <c r="N338" i="1"/>
  <c r="O338" i="1"/>
  <c r="N249" i="1"/>
  <c r="O249" i="1"/>
  <c r="N322" i="1"/>
  <c r="O322" i="1"/>
  <c r="K174" i="1"/>
  <c r="L174" i="1"/>
  <c r="N25" i="1"/>
  <c r="O25" i="1"/>
  <c r="N376" i="1"/>
  <c r="O376" i="1"/>
  <c r="N278" i="1"/>
  <c r="O278" i="1"/>
  <c r="N251" i="1"/>
  <c r="O251" i="1"/>
  <c r="N67" i="1"/>
  <c r="O67" i="1"/>
  <c r="N455" i="1"/>
  <c r="O455" i="1"/>
  <c r="N244" i="1"/>
  <c r="O244" i="1"/>
  <c r="N174" i="1"/>
  <c r="O174" i="1"/>
  <c r="K479" i="1"/>
  <c r="L479" i="1"/>
  <c r="K22" i="1"/>
  <c r="L22" i="1"/>
  <c r="N273" i="1"/>
  <c r="O273" i="1"/>
  <c r="N501" i="1"/>
  <c r="O501" i="1"/>
  <c r="O197" i="1"/>
  <c r="N197" i="1"/>
  <c r="O413" i="1"/>
  <c r="N413" i="1"/>
  <c r="O429" i="1"/>
  <c r="N429" i="1"/>
  <c r="O179" i="1"/>
  <c r="N179" i="1"/>
  <c r="N306" i="1"/>
  <c r="O306" i="1"/>
  <c r="N286" i="1"/>
  <c r="O286" i="1"/>
  <c r="O172" i="1"/>
  <c r="N172" i="1"/>
  <c r="O371" i="1"/>
  <c r="N371" i="1"/>
  <c r="O387" i="1"/>
  <c r="N387" i="1"/>
  <c r="O140" i="1"/>
  <c r="N140" i="1"/>
  <c r="N274" i="1"/>
  <c r="O274" i="1"/>
  <c r="N254" i="1"/>
  <c r="O254" i="1"/>
  <c r="N5" i="1"/>
  <c r="O5" i="1"/>
  <c r="N324" i="1"/>
  <c r="O324" i="1"/>
  <c r="N463" i="1"/>
  <c r="O463" i="1"/>
  <c r="N308" i="1"/>
  <c r="O308" i="1"/>
  <c r="N137" i="1"/>
  <c r="O137" i="1"/>
  <c r="O200" i="1"/>
  <c r="N200" i="1"/>
  <c r="N261" i="1"/>
  <c r="O261" i="1"/>
  <c r="N28" i="1"/>
  <c r="O28" i="1"/>
  <c r="N457" i="1"/>
  <c r="O457" i="1"/>
  <c r="N229" i="1"/>
  <c r="O229" i="1"/>
  <c r="O370" i="1"/>
  <c r="N370" i="1"/>
  <c r="O350" i="1"/>
  <c r="N350" i="1"/>
  <c r="O236" i="1"/>
  <c r="N236" i="1"/>
  <c r="O499" i="1"/>
  <c r="N499" i="1"/>
  <c r="O493" i="1"/>
  <c r="N493" i="1"/>
  <c r="O217" i="1"/>
  <c r="N217" i="1"/>
  <c r="O362" i="1"/>
  <c r="N362" i="1"/>
  <c r="O342" i="1"/>
  <c r="N342" i="1"/>
  <c r="N33" i="1"/>
  <c r="O33" i="1"/>
  <c r="O75" i="1"/>
  <c r="N75" i="1"/>
  <c r="O74" i="1"/>
  <c r="N74" i="1"/>
  <c r="N55" i="1"/>
  <c r="O55" i="1"/>
  <c r="N54" i="1"/>
  <c r="O54" i="1"/>
  <c r="N506" i="1"/>
  <c r="O506" i="1"/>
  <c r="N320" i="1"/>
  <c r="O320" i="1"/>
  <c r="N486" i="1"/>
  <c r="O486" i="1"/>
  <c r="O99" i="1"/>
  <c r="N99" i="1"/>
  <c r="O98" i="1"/>
  <c r="N98" i="1"/>
  <c r="O79" i="1"/>
  <c r="N79" i="1"/>
  <c r="O78" i="1"/>
  <c r="N78" i="1"/>
  <c r="O292" i="1"/>
  <c r="N292" i="1"/>
  <c r="O410" i="1"/>
  <c r="N410" i="1"/>
  <c r="O224" i="1"/>
  <c r="N224" i="1"/>
  <c r="O390" i="1"/>
  <c r="N390" i="1"/>
  <c r="L362" i="1"/>
  <c r="K362" i="1"/>
  <c r="N60" i="1"/>
  <c r="O60" i="1"/>
  <c r="K136" i="1"/>
  <c r="L136" i="1"/>
  <c r="K352" i="1"/>
  <c r="L352" i="1"/>
  <c r="K429" i="1"/>
  <c r="L429" i="1"/>
  <c r="K321" i="1"/>
  <c r="L321" i="1"/>
  <c r="K455" i="1"/>
  <c r="L455" i="1"/>
  <c r="K268" i="1"/>
  <c r="L268" i="1"/>
  <c r="K474" i="1"/>
  <c r="L474" i="1"/>
  <c r="K200" i="1"/>
  <c r="L200" i="1"/>
  <c r="L445" i="1"/>
  <c r="K445" i="1"/>
  <c r="L275" i="1"/>
  <c r="K275" i="1"/>
  <c r="K33" i="1"/>
  <c r="L33" i="1"/>
  <c r="K463" i="1"/>
  <c r="L463" i="1"/>
  <c r="N112" i="1"/>
  <c r="O112" i="1"/>
  <c r="K228" i="1"/>
  <c r="L228" i="1"/>
  <c r="L266" i="1"/>
  <c r="K266" i="1"/>
  <c r="K160" i="1"/>
  <c r="L160" i="1"/>
  <c r="K499" i="1"/>
  <c r="L499" i="1"/>
  <c r="K257" i="1"/>
  <c r="L257" i="1"/>
  <c r="K319" i="1"/>
  <c r="L319" i="1"/>
  <c r="K260" i="1"/>
  <c r="L260" i="1"/>
  <c r="L291" i="1"/>
  <c r="K291" i="1"/>
  <c r="K434" i="1"/>
  <c r="L434" i="1"/>
  <c r="L49" i="1"/>
  <c r="K49" i="1"/>
  <c r="K192" i="1"/>
  <c r="L192" i="1"/>
  <c r="L239" i="1"/>
  <c r="K239" i="1"/>
  <c r="K334" i="1"/>
  <c r="L334" i="1"/>
  <c r="L85" i="1"/>
  <c r="K85" i="1"/>
  <c r="L60" i="1"/>
  <c r="K60" i="1"/>
  <c r="L91" i="1"/>
  <c r="K91" i="1"/>
  <c r="K361" i="1"/>
  <c r="L361" i="1"/>
  <c r="K504" i="1"/>
  <c r="L504" i="1"/>
  <c r="K237" i="1"/>
  <c r="L237" i="1"/>
  <c r="L39" i="1"/>
  <c r="K39" i="1"/>
  <c r="N156" i="1"/>
  <c r="O156" i="1"/>
  <c r="K351" i="1"/>
  <c r="L351" i="1"/>
  <c r="K486" i="1"/>
  <c r="L486" i="1"/>
  <c r="N62" i="1"/>
  <c r="O62" i="1"/>
  <c r="K428" i="1"/>
  <c r="L428" i="1"/>
  <c r="L459" i="1"/>
  <c r="K459" i="1"/>
  <c r="K338" i="1"/>
  <c r="L338" i="1"/>
  <c r="K217" i="1"/>
  <c r="L217" i="1"/>
  <c r="K360" i="1"/>
  <c r="L360" i="1"/>
  <c r="L407" i="1"/>
  <c r="K407" i="1"/>
  <c r="L130" i="1"/>
  <c r="K130" i="1"/>
  <c r="N426" i="1"/>
  <c r="O426" i="1"/>
  <c r="K207" i="1"/>
  <c r="L207" i="1"/>
  <c r="K294" i="1"/>
  <c r="L294" i="1"/>
  <c r="L284" i="1"/>
  <c r="K284" i="1"/>
  <c r="L315" i="1"/>
  <c r="K315" i="1"/>
  <c r="L253" i="1"/>
  <c r="K253" i="1"/>
  <c r="K73" i="1"/>
  <c r="L73" i="1"/>
  <c r="K216" i="1"/>
  <c r="L216" i="1"/>
  <c r="K263" i="1"/>
  <c r="L263" i="1"/>
  <c r="L374" i="1"/>
  <c r="K374" i="1"/>
  <c r="N335" i="1"/>
  <c r="O335" i="1"/>
  <c r="N42" i="1"/>
  <c r="O42" i="1"/>
  <c r="N309" i="1"/>
  <c r="O309" i="1"/>
  <c r="O280" i="1"/>
  <c r="N280" i="1"/>
  <c r="K110" i="1"/>
  <c r="L110" i="1"/>
  <c r="O185" i="1"/>
  <c r="N185" i="1"/>
  <c r="N396" i="1"/>
  <c r="O396" i="1"/>
  <c r="N484" i="1"/>
  <c r="O484" i="1"/>
  <c r="O210" i="1"/>
  <c r="N210" i="1"/>
  <c r="N65" i="1"/>
  <c r="O65" i="1"/>
  <c r="N364" i="1"/>
  <c r="O364" i="1"/>
  <c r="K470" i="1"/>
  <c r="L470" i="1"/>
  <c r="N265" i="1"/>
  <c r="O265" i="1"/>
  <c r="N9" i="1"/>
  <c r="O9" i="1"/>
  <c r="N44" i="1"/>
  <c r="O44" i="1"/>
  <c r="N199" i="1"/>
  <c r="O199" i="1"/>
  <c r="N205" i="1"/>
  <c r="O205" i="1"/>
  <c r="N512" i="1"/>
  <c r="O512" i="1"/>
  <c r="N178" i="1"/>
  <c r="O178" i="1"/>
  <c r="N158" i="1"/>
  <c r="O158" i="1"/>
  <c r="N507" i="1"/>
  <c r="O507" i="1"/>
  <c r="N109" i="1"/>
  <c r="O109" i="1"/>
  <c r="N141" i="1"/>
  <c r="O141" i="1"/>
  <c r="N491" i="1"/>
  <c r="O491" i="1"/>
  <c r="N146" i="1"/>
  <c r="O146" i="1"/>
  <c r="N126" i="1"/>
  <c r="O126" i="1"/>
  <c r="O360" i="1"/>
  <c r="N360" i="1"/>
  <c r="O221" i="1"/>
  <c r="N221" i="1"/>
  <c r="O377" i="1"/>
  <c r="N377" i="1"/>
  <c r="O513" i="1"/>
  <c r="N513" i="1"/>
  <c r="N329" i="1"/>
  <c r="O329" i="1"/>
  <c r="N72" i="1"/>
  <c r="O72" i="1"/>
  <c r="O129" i="1"/>
  <c r="N129" i="1"/>
  <c r="O315" i="1"/>
  <c r="N315" i="1"/>
  <c r="O333" i="1"/>
  <c r="N333" i="1"/>
  <c r="O97" i="1"/>
  <c r="N97" i="1"/>
  <c r="N242" i="1"/>
  <c r="O242" i="1"/>
  <c r="N222" i="1"/>
  <c r="O222" i="1"/>
  <c r="O108" i="1"/>
  <c r="N108" i="1"/>
  <c r="O276" i="1"/>
  <c r="N276" i="1"/>
  <c r="O295" i="1"/>
  <c r="N295" i="1"/>
  <c r="O76" i="1"/>
  <c r="N76" i="1"/>
  <c r="N234" i="1"/>
  <c r="O234" i="1"/>
  <c r="N214" i="1"/>
  <c r="O214" i="1"/>
  <c r="N448" i="1"/>
  <c r="O448" i="1"/>
  <c r="O11" i="1"/>
  <c r="N11" i="1"/>
  <c r="O10" i="1"/>
  <c r="N10" i="1"/>
  <c r="N502" i="1"/>
  <c r="O502" i="1"/>
  <c r="N442" i="1"/>
  <c r="O442" i="1"/>
  <c r="N256" i="1"/>
  <c r="O256" i="1"/>
  <c r="N422" i="1"/>
  <c r="O422" i="1"/>
  <c r="N480" i="1"/>
  <c r="O480" i="1"/>
  <c r="N35" i="1"/>
  <c r="O35" i="1"/>
  <c r="N34" i="1"/>
  <c r="O34" i="1"/>
  <c r="N15" i="1"/>
  <c r="O15" i="1"/>
  <c r="N14" i="1"/>
  <c r="O14" i="1"/>
  <c r="O189" i="1"/>
  <c r="N189" i="1"/>
  <c r="O346" i="1"/>
  <c r="N346" i="1"/>
  <c r="O160" i="1"/>
  <c r="N160" i="1"/>
  <c r="O326" i="1"/>
  <c r="N326" i="1"/>
  <c r="K34" i="1"/>
  <c r="L34" i="1"/>
  <c r="K240" i="1"/>
  <c r="L240" i="1"/>
  <c r="L467" i="1"/>
  <c r="K467" i="1"/>
  <c r="L480" i="1"/>
  <c r="K480" i="1"/>
  <c r="K392" i="1"/>
  <c r="L392" i="1"/>
  <c r="K377" i="1"/>
  <c r="L377" i="1"/>
  <c r="K269" i="1"/>
  <c r="L269" i="1"/>
  <c r="L322" i="1"/>
  <c r="K322" i="1"/>
  <c r="L435" i="1"/>
  <c r="K435" i="1"/>
  <c r="K193" i="1"/>
  <c r="L193" i="1"/>
  <c r="K191" i="1"/>
  <c r="L191" i="1"/>
  <c r="L140" i="1"/>
  <c r="K140" i="1"/>
  <c r="L441" i="1"/>
  <c r="K441" i="1"/>
  <c r="L72" i="1"/>
  <c r="K72" i="1"/>
  <c r="L149" i="1"/>
  <c r="K149" i="1"/>
  <c r="L147" i="1"/>
  <c r="K147" i="1"/>
  <c r="K170" i="1"/>
  <c r="L170" i="1"/>
  <c r="L142" i="1"/>
  <c r="K142" i="1"/>
  <c r="K100" i="1"/>
  <c r="L100" i="1"/>
  <c r="L401" i="1"/>
  <c r="K401" i="1"/>
  <c r="K32" i="1"/>
  <c r="L32" i="1"/>
  <c r="L371" i="1"/>
  <c r="K371" i="1"/>
  <c r="K129" i="1"/>
  <c r="L129" i="1"/>
  <c r="K63" i="1"/>
  <c r="L63" i="1"/>
  <c r="O247" i="1"/>
  <c r="N247" i="1"/>
  <c r="K196" i="1"/>
  <c r="L196" i="1"/>
  <c r="L227" i="1"/>
  <c r="K227" i="1"/>
  <c r="K66" i="1"/>
  <c r="L66" i="1"/>
  <c r="K189" i="1"/>
  <c r="L189" i="1"/>
  <c r="K128" i="1"/>
  <c r="L128" i="1"/>
  <c r="L175" i="1"/>
  <c r="K175" i="1"/>
  <c r="K230" i="1"/>
  <c r="L230" i="1"/>
  <c r="K508" i="1"/>
  <c r="L508" i="1"/>
  <c r="K261" i="1"/>
  <c r="L261" i="1"/>
  <c r="K27" i="1"/>
  <c r="L27" i="1"/>
  <c r="K297" i="1"/>
  <c r="L297" i="1"/>
  <c r="K440" i="1"/>
  <c r="L440" i="1"/>
  <c r="L178" i="1"/>
  <c r="K178" i="1"/>
  <c r="L514" i="1"/>
  <c r="K514" i="1"/>
  <c r="N13" i="1"/>
  <c r="O13" i="1"/>
  <c r="K287" i="1"/>
  <c r="L287" i="1"/>
  <c r="L398" i="1"/>
  <c r="K398" i="1"/>
  <c r="L364" i="1"/>
  <c r="K364" i="1"/>
  <c r="K395" i="1"/>
  <c r="L395" i="1"/>
  <c r="K90" i="1"/>
  <c r="L90" i="1"/>
  <c r="K153" i="1"/>
  <c r="L153" i="1"/>
  <c r="K296" i="1"/>
  <c r="L296" i="1"/>
  <c r="L343" i="1"/>
  <c r="K343" i="1"/>
  <c r="K478" i="1"/>
  <c r="L478" i="1"/>
  <c r="N46" i="1"/>
  <c r="O46" i="1"/>
  <c r="K143" i="1"/>
  <c r="L143" i="1"/>
  <c r="K166" i="1"/>
  <c r="L166" i="1"/>
  <c r="K501" i="1"/>
  <c r="L501" i="1"/>
  <c r="L220" i="1"/>
  <c r="K220" i="1"/>
  <c r="L251" i="1"/>
  <c r="K251" i="1"/>
  <c r="K218" i="1"/>
  <c r="L218" i="1"/>
  <c r="K397" i="1"/>
  <c r="L397" i="1"/>
  <c r="K152" i="1"/>
  <c r="L152" i="1"/>
  <c r="K199" i="1"/>
  <c r="L199" i="1"/>
  <c r="L286" i="1"/>
  <c r="K286" i="1"/>
  <c r="K254" i="1"/>
  <c r="L254" i="1"/>
  <c r="N404" i="1"/>
  <c r="O404" i="1"/>
  <c r="N472" i="1"/>
  <c r="O472" i="1"/>
  <c r="N8" i="1"/>
  <c r="O8" i="1"/>
  <c r="L246" i="1"/>
  <c r="K246" i="1"/>
  <c r="N252" i="1"/>
  <c r="O252" i="1"/>
  <c r="N451" i="1"/>
  <c r="O451" i="1"/>
  <c r="N151" i="1"/>
  <c r="O151" i="1"/>
  <c r="K82" i="1"/>
  <c r="L82" i="1"/>
  <c r="K46" i="1"/>
  <c r="L46" i="1"/>
  <c r="N368" i="1"/>
  <c r="O368" i="1"/>
  <c r="O161" i="1"/>
  <c r="N161" i="1"/>
  <c r="N233" i="1"/>
  <c r="O233" i="1"/>
  <c r="N240" i="1"/>
  <c r="O240" i="1"/>
  <c r="N285" i="1"/>
  <c r="O285" i="1"/>
  <c r="N12" i="1"/>
  <c r="O12" i="1"/>
  <c r="K406" i="1"/>
  <c r="L406" i="1"/>
  <c r="N153" i="1"/>
  <c r="O153" i="1"/>
  <c r="O466" i="1"/>
  <c r="N466" i="1"/>
  <c r="N447" i="1"/>
  <c r="O447" i="1"/>
  <c r="N443" i="1"/>
  <c r="O443" i="1"/>
  <c r="N433" i="1"/>
  <c r="O433" i="1"/>
  <c r="N500" i="1"/>
  <c r="O500" i="1"/>
  <c r="O373" i="1"/>
  <c r="N373" i="1"/>
  <c r="N50" i="1"/>
  <c r="O50" i="1"/>
  <c r="N30" i="1"/>
  <c r="O30" i="1"/>
  <c r="N383" i="1"/>
  <c r="O383" i="1"/>
  <c r="N421" i="1"/>
  <c r="O421" i="1"/>
  <c r="N391" i="1"/>
  <c r="O391" i="1"/>
  <c r="N483" i="1"/>
  <c r="O483" i="1"/>
  <c r="N341" i="1"/>
  <c r="O341" i="1"/>
  <c r="N18" i="1"/>
  <c r="O18" i="1"/>
  <c r="N173" i="1"/>
  <c r="O173" i="1"/>
  <c r="N84" i="1"/>
  <c r="O84" i="1"/>
  <c r="N284" i="1"/>
  <c r="O284" i="1"/>
  <c r="N428" i="1"/>
  <c r="O428" i="1"/>
  <c r="O123" i="1"/>
  <c r="N123" i="1"/>
  <c r="O111" i="1"/>
  <c r="N111" i="1"/>
  <c r="N485" i="1"/>
  <c r="O485" i="1"/>
  <c r="N45" i="1"/>
  <c r="O45" i="1"/>
  <c r="N100" i="1"/>
  <c r="O100" i="1"/>
  <c r="N437" i="1"/>
  <c r="O437" i="1"/>
  <c r="O114" i="1"/>
  <c r="N114" i="1"/>
  <c r="O94" i="1"/>
  <c r="N94" i="1"/>
  <c r="N475" i="1"/>
  <c r="O475" i="1"/>
  <c r="N508" i="1"/>
  <c r="O508" i="1"/>
  <c r="N77" i="1"/>
  <c r="O77" i="1"/>
  <c r="N427" i="1"/>
  <c r="O427" i="1"/>
  <c r="O106" i="1"/>
  <c r="N106" i="1"/>
  <c r="O86" i="1"/>
  <c r="N86" i="1"/>
  <c r="O363" i="1"/>
  <c r="N363" i="1"/>
  <c r="N458" i="1"/>
  <c r="O458" i="1"/>
  <c r="N272" i="1"/>
  <c r="O272" i="1"/>
  <c r="N438" i="1"/>
  <c r="O438" i="1"/>
  <c r="O378" i="1"/>
  <c r="N378" i="1"/>
  <c r="O192" i="1"/>
  <c r="N192" i="1"/>
  <c r="O358" i="1"/>
  <c r="N358" i="1"/>
  <c r="N395" i="1"/>
  <c r="O395" i="1"/>
  <c r="N482" i="1"/>
  <c r="O482" i="1"/>
  <c r="N296" i="1"/>
  <c r="O296" i="1"/>
  <c r="N462" i="1"/>
  <c r="O462" i="1"/>
  <c r="N29" i="1"/>
  <c r="O29" i="1"/>
  <c r="N282" i="1"/>
  <c r="O282" i="1"/>
  <c r="N96" i="1"/>
  <c r="O96" i="1"/>
  <c r="N262" i="1"/>
  <c r="O262" i="1"/>
  <c r="X29" i="1" l="1"/>
  <c r="V31" i="1"/>
  <c r="G243" i="1"/>
  <c r="H243" i="1"/>
  <c r="G305" i="1"/>
  <c r="H305" i="1"/>
  <c r="H445" i="1"/>
  <c r="G445" i="1"/>
  <c r="G437" i="1"/>
  <c r="H437" i="1"/>
  <c r="G369" i="1"/>
  <c r="H369" i="1"/>
  <c r="G489" i="1"/>
  <c r="H489" i="1"/>
  <c r="H67" i="1"/>
  <c r="G67" i="1"/>
  <c r="G180" i="1"/>
  <c r="H180" i="1"/>
  <c r="G467" i="1"/>
  <c r="H467" i="1"/>
  <c r="G408" i="1"/>
  <c r="H408" i="1"/>
  <c r="G400" i="1"/>
  <c r="H400" i="1"/>
  <c r="G169" i="1"/>
  <c r="H169" i="1"/>
  <c r="G483" i="1"/>
  <c r="H483" i="1"/>
  <c r="G348" i="1"/>
  <c r="H348" i="1"/>
  <c r="H25" i="1"/>
  <c r="G25" i="1"/>
  <c r="H82" i="1"/>
  <c r="G82" i="1"/>
  <c r="H343" i="1"/>
  <c r="G343" i="1"/>
  <c r="G335" i="1"/>
  <c r="H335" i="1"/>
  <c r="G497" i="1"/>
  <c r="H497" i="1"/>
  <c r="G109" i="1"/>
  <c r="H109" i="1"/>
  <c r="G368" i="1"/>
  <c r="H368" i="1"/>
  <c r="H279" i="1"/>
  <c r="G279" i="1"/>
  <c r="H92" i="1"/>
  <c r="G92" i="1"/>
  <c r="H141" i="1"/>
  <c r="G141" i="1"/>
  <c r="G65" i="1"/>
  <c r="H65" i="1"/>
  <c r="G341" i="1"/>
  <c r="H341" i="1"/>
  <c r="H215" i="1"/>
  <c r="G215" i="1"/>
  <c r="G207" i="1"/>
  <c r="H207" i="1"/>
  <c r="G482" i="1"/>
  <c r="H482" i="1"/>
  <c r="G36" i="1"/>
  <c r="H36" i="1"/>
  <c r="G495" i="1"/>
  <c r="H495" i="1"/>
  <c r="G246" i="1"/>
  <c r="H246" i="1"/>
  <c r="H238" i="1"/>
  <c r="G238" i="1"/>
  <c r="G441" i="1"/>
  <c r="H441" i="1"/>
  <c r="H352" i="1"/>
  <c r="G352" i="1"/>
  <c r="G506" i="1"/>
  <c r="H506" i="1"/>
  <c r="G33" i="1"/>
  <c r="H33" i="1"/>
  <c r="G68" i="1"/>
  <c r="H68" i="1"/>
  <c r="G61" i="1"/>
  <c r="H61" i="1"/>
  <c r="G53" i="1"/>
  <c r="H53" i="1"/>
  <c r="G255" i="1"/>
  <c r="H255" i="1"/>
  <c r="G146" i="1"/>
  <c r="H146" i="1"/>
  <c r="G193" i="1"/>
  <c r="H193" i="1"/>
  <c r="H221" i="1"/>
  <c r="G221" i="1"/>
  <c r="G266" i="1"/>
  <c r="H266" i="1"/>
  <c r="H395" i="1"/>
  <c r="G395" i="1"/>
  <c r="G454" i="1"/>
  <c r="H454" i="1"/>
  <c r="G121" i="1"/>
  <c r="H121" i="1"/>
  <c r="H230" i="1"/>
  <c r="G230" i="1"/>
  <c r="G277" i="1"/>
  <c r="H277" i="1"/>
  <c r="H292" i="1"/>
  <c r="G292" i="1"/>
  <c r="H422" i="1"/>
  <c r="G422" i="1"/>
  <c r="G22" i="1"/>
  <c r="H22" i="1"/>
  <c r="G443" i="1"/>
  <c r="H443" i="1"/>
  <c r="G307" i="1"/>
  <c r="H307" i="1"/>
  <c r="G295" i="1"/>
  <c r="H295" i="1"/>
  <c r="H418" i="1"/>
  <c r="G418" i="1"/>
  <c r="G142" i="1"/>
  <c r="H142" i="1"/>
  <c r="G265" i="1"/>
  <c r="H265" i="1"/>
  <c r="G289" i="1"/>
  <c r="H289" i="1"/>
  <c r="G20" i="1"/>
  <c r="H20" i="1"/>
  <c r="H49" i="1"/>
  <c r="G49" i="1"/>
  <c r="G166" i="1"/>
  <c r="H166" i="1"/>
  <c r="H70" i="1"/>
  <c r="G70" i="1"/>
  <c r="G63" i="1"/>
  <c r="H63" i="1"/>
  <c r="G123" i="1"/>
  <c r="H123" i="1"/>
  <c r="H116" i="1"/>
  <c r="G116" i="1"/>
  <c r="G108" i="1"/>
  <c r="H108" i="1"/>
  <c r="G350" i="1"/>
  <c r="H350" i="1"/>
  <c r="G18" i="1"/>
  <c r="H18" i="1"/>
  <c r="G71" i="1"/>
  <c r="H71" i="1"/>
  <c r="G107" i="1"/>
  <c r="H107" i="1"/>
  <c r="G157" i="1"/>
  <c r="H157" i="1"/>
  <c r="G407" i="1"/>
  <c r="H407" i="1"/>
  <c r="G399" i="1"/>
  <c r="H399" i="1"/>
  <c r="G498" i="1"/>
  <c r="H498" i="1"/>
  <c r="H173" i="1"/>
  <c r="G173" i="1"/>
  <c r="G496" i="1"/>
  <c r="H496" i="1"/>
  <c r="H509" i="1"/>
  <c r="G509" i="1"/>
  <c r="G179" i="1"/>
  <c r="H179" i="1"/>
  <c r="G310" i="1"/>
  <c r="H310" i="1"/>
  <c r="G302" i="1"/>
  <c r="H302" i="1"/>
  <c r="G358" i="1"/>
  <c r="H358" i="1"/>
  <c r="G64" i="1"/>
  <c r="H64" i="1"/>
  <c r="G469" i="1"/>
  <c r="H469" i="1"/>
  <c r="H433" i="1"/>
  <c r="G433" i="1"/>
  <c r="H389" i="1"/>
  <c r="G389" i="1"/>
  <c r="G114" i="1"/>
  <c r="H114" i="1"/>
  <c r="G94" i="1"/>
  <c r="H94" i="1"/>
  <c r="G154" i="1"/>
  <c r="H154" i="1"/>
  <c r="H182" i="1"/>
  <c r="G182" i="1"/>
  <c r="G174" i="1"/>
  <c r="H174" i="1"/>
  <c r="G429" i="1"/>
  <c r="H429" i="1"/>
  <c r="H127" i="1"/>
  <c r="G127" i="1"/>
  <c r="G85" i="1"/>
  <c r="H85" i="1"/>
  <c r="G235" i="1"/>
  <c r="H235" i="1"/>
  <c r="G382" i="1"/>
  <c r="H382" i="1"/>
  <c r="G490" i="1"/>
  <c r="H490" i="1"/>
  <c r="G377" i="1"/>
  <c r="H377" i="1"/>
  <c r="H51" i="1"/>
  <c r="G51" i="1"/>
  <c r="G436" i="1"/>
  <c r="H436" i="1"/>
  <c r="H281" i="1"/>
  <c r="G281" i="1"/>
  <c r="H171" i="1"/>
  <c r="G171" i="1"/>
  <c r="G163" i="1"/>
  <c r="H163" i="1"/>
  <c r="H229" i="1"/>
  <c r="G229" i="1"/>
  <c r="G439" i="1"/>
  <c r="H439" i="1"/>
  <c r="G321" i="1"/>
  <c r="H321" i="1"/>
  <c r="G331" i="1"/>
  <c r="H331" i="1"/>
  <c r="G432" i="1"/>
  <c r="H432" i="1"/>
  <c r="G412" i="1"/>
  <c r="H412" i="1"/>
  <c r="G461" i="1"/>
  <c r="H461" i="1"/>
  <c r="G120" i="1"/>
  <c r="H120" i="1"/>
  <c r="G474" i="1"/>
  <c r="H474" i="1"/>
  <c r="G475" i="1"/>
  <c r="H475" i="1"/>
  <c r="H194" i="1"/>
  <c r="G194" i="1"/>
  <c r="H283" i="1"/>
  <c r="G283" i="1"/>
  <c r="H29" i="1"/>
  <c r="G29" i="1"/>
  <c r="G74" i="1"/>
  <c r="H74" i="1"/>
  <c r="G264" i="1"/>
  <c r="H264" i="1"/>
  <c r="G262" i="1"/>
  <c r="H262" i="1"/>
  <c r="G237" i="1"/>
  <c r="H237" i="1"/>
  <c r="G149" i="1"/>
  <c r="H149" i="1"/>
  <c r="G435" i="1"/>
  <c r="H435" i="1"/>
  <c r="G191" i="1"/>
  <c r="H191" i="1"/>
  <c r="G201" i="1"/>
  <c r="H201" i="1"/>
  <c r="G48" i="1"/>
  <c r="H48" i="1"/>
  <c r="G129" i="1"/>
  <c r="H129" i="1"/>
  <c r="H77" i="1"/>
  <c r="G77" i="1"/>
  <c r="H370" i="1"/>
  <c r="G370" i="1"/>
  <c r="G275" i="1"/>
  <c r="H275" i="1"/>
  <c r="G378" i="1"/>
  <c r="H378" i="1"/>
  <c r="H43" i="1"/>
  <c r="G43" i="1"/>
  <c r="G35" i="1"/>
  <c r="H35" i="1"/>
  <c r="G101" i="1"/>
  <c r="H101" i="1"/>
  <c r="G183" i="1"/>
  <c r="H183" i="1"/>
  <c r="G505" i="1"/>
  <c r="H505" i="1"/>
  <c r="H17" i="1"/>
  <c r="G17" i="1"/>
  <c r="G202" i="1"/>
  <c r="H202" i="1"/>
  <c r="G374" i="1"/>
  <c r="H374" i="1"/>
  <c r="G366" i="1"/>
  <c r="H366" i="1"/>
  <c r="G135" i="1"/>
  <c r="H135" i="1"/>
  <c r="G90" i="1"/>
  <c r="H90" i="1"/>
  <c r="H78" i="1"/>
  <c r="G78" i="1"/>
  <c r="H362" i="1"/>
  <c r="G362" i="1"/>
  <c r="G462" i="1"/>
  <c r="H462" i="1"/>
  <c r="G317" i="1"/>
  <c r="H317" i="1"/>
  <c r="G309" i="1"/>
  <c r="H309" i="1"/>
  <c r="G410" i="1"/>
  <c r="H410" i="1"/>
  <c r="G459" i="1"/>
  <c r="H459" i="1"/>
  <c r="H288" i="1"/>
  <c r="G288" i="1"/>
  <c r="H272" i="1"/>
  <c r="G272" i="1"/>
  <c r="G100" i="1"/>
  <c r="H100" i="1"/>
  <c r="G363" i="1"/>
  <c r="H363" i="1"/>
  <c r="G19" i="1"/>
  <c r="H19" i="1"/>
  <c r="H425" i="1"/>
  <c r="G425" i="1"/>
  <c r="H189" i="1"/>
  <c r="G189" i="1"/>
  <c r="G181" i="1"/>
  <c r="H181" i="1"/>
  <c r="G256" i="1"/>
  <c r="H256" i="1"/>
  <c r="H338" i="1"/>
  <c r="G338" i="1"/>
  <c r="H325" i="1"/>
  <c r="G325" i="1"/>
  <c r="G228" i="1"/>
  <c r="H228" i="1"/>
  <c r="G484" i="1"/>
  <c r="H484" i="1"/>
  <c r="G145" i="1"/>
  <c r="H145" i="1"/>
  <c r="G453" i="1"/>
  <c r="H453" i="1"/>
  <c r="G8" i="1"/>
  <c r="H8" i="1"/>
  <c r="G367" i="1"/>
  <c r="H367" i="1"/>
  <c r="H486" i="1"/>
  <c r="G486" i="1"/>
  <c r="G513" i="1"/>
  <c r="H513" i="1"/>
  <c r="G479" i="1"/>
  <c r="H479" i="1"/>
  <c r="H339" i="1"/>
  <c r="G339" i="1"/>
  <c r="H285" i="1"/>
  <c r="G285" i="1"/>
  <c r="H258" i="1"/>
  <c r="G258" i="1"/>
  <c r="G250" i="1"/>
  <c r="H250" i="1"/>
  <c r="G431" i="1"/>
  <c r="H431" i="1"/>
  <c r="G128" i="1"/>
  <c r="H128" i="1"/>
  <c r="G132" i="1"/>
  <c r="H132" i="1"/>
  <c r="G119" i="1"/>
  <c r="H119" i="1"/>
  <c r="G337" i="1"/>
  <c r="H337" i="1"/>
  <c r="H508" i="1"/>
  <c r="G508" i="1"/>
  <c r="G360" i="1"/>
  <c r="H360" i="1"/>
  <c r="G320" i="1"/>
  <c r="H320" i="1"/>
  <c r="G139" i="1"/>
  <c r="H139" i="1"/>
  <c r="G240" i="1"/>
  <c r="H240" i="1"/>
  <c r="G387" i="1"/>
  <c r="H387" i="1"/>
  <c r="G269" i="1"/>
  <c r="H269" i="1"/>
  <c r="G26" i="1"/>
  <c r="H26" i="1"/>
  <c r="H259" i="1"/>
  <c r="G259" i="1"/>
  <c r="G66" i="1"/>
  <c r="H66" i="1"/>
  <c r="G356" i="1"/>
  <c r="H356" i="1"/>
  <c r="G197" i="1"/>
  <c r="H197" i="1"/>
  <c r="G47" i="1"/>
  <c r="H47" i="1"/>
  <c r="G225" i="1"/>
  <c r="H225" i="1"/>
  <c r="H187" i="1"/>
  <c r="G187" i="1"/>
  <c r="G23" i="1"/>
  <c r="H23" i="1"/>
  <c r="H102" i="1"/>
  <c r="G102" i="1"/>
  <c r="G60" i="1"/>
  <c r="H60" i="1"/>
  <c r="G297" i="1"/>
  <c r="H297" i="1"/>
  <c r="H126" i="1"/>
  <c r="G126" i="1"/>
  <c r="G211" i="1"/>
  <c r="H211" i="1"/>
  <c r="G84" i="1"/>
  <c r="H84" i="1"/>
  <c r="G41" i="1"/>
  <c r="H41" i="1"/>
  <c r="G15" i="1"/>
  <c r="H15" i="1"/>
  <c r="G226" i="1"/>
  <c r="H226" i="1"/>
  <c r="G381" i="1"/>
  <c r="H381" i="1"/>
  <c r="G373" i="1"/>
  <c r="H373" i="1"/>
  <c r="H185" i="1"/>
  <c r="G185" i="1"/>
  <c r="G220" i="1"/>
  <c r="H220" i="1"/>
  <c r="G494" i="1"/>
  <c r="H494" i="1"/>
  <c r="H501" i="1"/>
  <c r="G501" i="1"/>
  <c r="H177" i="1"/>
  <c r="G177" i="1"/>
  <c r="G268" i="1"/>
  <c r="H268" i="1"/>
  <c r="G252" i="1"/>
  <c r="H252" i="1"/>
  <c r="G158" i="1"/>
  <c r="H158" i="1"/>
  <c r="G440" i="1"/>
  <c r="H440" i="1"/>
  <c r="G460" i="1"/>
  <c r="H460" i="1"/>
  <c r="H245" i="1"/>
  <c r="G245" i="1"/>
  <c r="H379" i="1"/>
  <c r="G379" i="1"/>
  <c r="H106" i="1"/>
  <c r="G106" i="1"/>
  <c r="G137" i="1"/>
  <c r="H137" i="1"/>
  <c r="H40" i="1"/>
  <c r="G40" i="1"/>
  <c r="H299" i="1"/>
  <c r="G299" i="1"/>
  <c r="G291" i="1"/>
  <c r="H291" i="1"/>
  <c r="G30" i="1"/>
  <c r="H30" i="1"/>
  <c r="G184" i="1"/>
  <c r="H184" i="1"/>
  <c r="G384" i="1"/>
  <c r="H384" i="1"/>
  <c r="H458" i="1"/>
  <c r="G458" i="1"/>
  <c r="H161" i="1"/>
  <c r="G161" i="1"/>
  <c r="H144" i="1"/>
  <c r="G144" i="1"/>
  <c r="G162" i="1"/>
  <c r="H162" i="1"/>
  <c r="G27" i="1"/>
  <c r="H27" i="1"/>
  <c r="H140" i="1"/>
  <c r="G140" i="1"/>
  <c r="G434" i="1"/>
  <c r="H434" i="1"/>
  <c r="G426" i="1"/>
  <c r="H426" i="1"/>
  <c r="G244" i="1"/>
  <c r="H244" i="1"/>
  <c r="G122" i="1"/>
  <c r="H122" i="1"/>
  <c r="G62" i="1"/>
  <c r="H62" i="1"/>
  <c r="G39" i="1"/>
  <c r="H39" i="1"/>
  <c r="H500" i="1"/>
  <c r="G500" i="1"/>
  <c r="G398" i="1"/>
  <c r="H398" i="1"/>
  <c r="H468" i="1"/>
  <c r="G468" i="1"/>
  <c r="G59" i="1"/>
  <c r="H59" i="1"/>
  <c r="G86" i="1"/>
  <c r="H86" i="1"/>
  <c r="G212" i="1"/>
  <c r="H212" i="1"/>
  <c r="G5" i="1"/>
  <c r="H5" i="1"/>
  <c r="H359" i="1"/>
  <c r="G359" i="1"/>
  <c r="G421" i="1"/>
  <c r="H421" i="1"/>
  <c r="G351" i="1"/>
  <c r="H351" i="1"/>
  <c r="G239" i="1"/>
  <c r="H239" i="1"/>
  <c r="G372" i="1"/>
  <c r="H372" i="1"/>
  <c r="G451" i="1"/>
  <c r="H451" i="1"/>
  <c r="G308" i="1"/>
  <c r="H308" i="1"/>
  <c r="H97" i="1"/>
  <c r="G97" i="1"/>
  <c r="G232" i="1"/>
  <c r="H232" i="1"/>
  <c r="H210" i="1"/>
  <c r="G210" i="1"/>
  <c r="H456" i="1"/>
  <c r="G456" i="1"/>
  <c r="H14" i="1"/>
  <c r="G14" i="1"/>
  <c r="H404" i="1"/>
  <c r="G404" i="1"/>
  <c r="Q15" i="1"/>
  <c r="H257" i="1"/>
  <c r="G257" i="1"/>
  <c r="G444" i="1"/>
  <c r="H444" i="1"/>
  <c r="H306" i="1"/>
  <c r="G306" i="1"/>
  <c r="G298" i="1"/>
  <c r="H298" i="1"/>
  <c r="G34" i="1"/>
  <c r="H34" i="1"/>
  <c r="G32" i="1"/>
  <c r="H32" i="1"/>
  <c r="H153" i="1"/>
  <c r="G153" i="1"/>
  <c r="H134" i="1"/>
  <c r="G134" i="1"/>
  <c r="H99" i="1"/>
  <c r="G99" i="1"/>
  <c r="H390" i="1"/>
  <c r="G390" i="1"/>
  <c r="G52" i="1"/>
  <c r="H52" i="1"/>
  <c r="G44" i="1"/>
  <c r="H44" i="1"/>
  <c r="G222" i="1"/>
  <c r="H222" i="1"/>
  <c r="G504" i="1"/>
  <c r="H504" i="1"/>
  <c r="G219" i="1"/>
  <c r="H219" i="1"/>
  <c r="G31" i="1"/>
  <c r="H31" i="1"/>
  <c r="H480" i="1"/>
  <c r="G480" i="1"/>
  <c r="G276" i="1"/>
  <c r="H276" i="1"/>
  <c r="G340" i="1"/>
  <c r="H340" i="1"/>
  <c r="G156" i="1"/>
  <c r="H156" i="1"/>
  <c r="G406" i="1"/>
  <c r="H406" i="1"/>
  <c r="H364" i="1"/>
  <c r="G364" i="1"/>
  <c r="H419" i="1"/>
  <c r="G419" i="1"/>
  <c r="G278" i="1"/>
  <c r="H278" i="1"/>
  <c r="G271" i="1"/>
  <c r="H271" i="1"/>
  <c r="G383" i="1"/>
  <c r="H383" i="1"/>
  <c r="H223" i="1"/>
  <c r="G223" i="1"/>
  <c r="G417" i="1"/>
  <c r="H417" i="1"/>
  <c r="G58" i="1"/>
  <c r="H58" i="1"/>
  <c r="G28" i="1"/>
  <c r="H28" i="1"/>
  <c r="H150" i="1"/>
  <c r="G150" i="1"/>
  <c r="G514" i="1"/>
  <c r="H514" i="1"/>
  <c r="G241" i="1"/>
  <c r="H241" i="1"/>
  <c r="G152" i="1"/>
  <c r="H152" i="1"/>
  <c r="G143" i="1"/>
  <c r="H143" i="1"/>
  <c r="G301" i="1"/>
  <c r="H301" i="1"/>
  <c r="G478" i="1"/>
  <c r="H478" i="1"/>
  <c r="G411" i="1"/>
  <c r="H411" i="1"/>
  <c r="G89" i="1"/>
  <c r="H89" i="1"/>
  <c r="G81" i="1"/>
  <c r="H81" i="1"/>
  <c r="H409" i="1"/>
  <c r="G409" i="1"/>
  <c r="G465" i="1"/>
  <c r="H465" i="1"/>
  <c r="G388" i="1"/>
  <c r="H388" i="1"/>
  <c r="H251" i="1"/>
  <c r="G251" i="1"/>
  <c r="H327" i="1"/>
  <c r="G327" i="1"/>
  <c r="H405" i="1"/>
  <c r="G405" i="1"/>
  <c r="G393" i="1"/>
  <c r="H393" i="1"/>
  <c r="G347" i="1"/>
  <c r="H347" i="1"/>
  <c r="H93" i="1"/>
  <c r="G93" i="1"/>
  <c r="G138" i="1"/>
  <c r="H138" i="1"/>
  <c r="G73" i="1"/>
  <c r="H73" i="1"/>
  <c r="H326" i="1"/>
  <c r="G326" i="1"/>
  <c r="G402" i="1"/>
  <c r="H402" i="1"/>
  <c r="G420" i="1"/>
  <c r="H420" i="1"/>
  <c r="G206" i="1"/>
  <c r="H206" i="1"/>
  <c r="H209" i="1"/>
  <c r="G209" i="1"/>
  <c r="G477" i="1"/>
  <c r="H477" i="1"/>
  <c r="G371" i="1"/>
  <c r="H371" i="1"/>
  <c r="G345" i="1"/>
  <c r="H345" i="1"/>
  <c r="G231" i="1"/>
  <c r="H231" i="1"/>
  <c r="G376" i="1"/>
  <c r="H376" i="1"/>
  <c r="G91" i="1"/>
  <c r="H91" i="1"/>
  <c r="H21" i="1"/>
  <c r="G21" i="1"/>
  <c r="H450" i="1"/>
  <c r="G450" i="1"/>
  <c r="P15" i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H16" i="1"/>
  <c r="G16" i="1"/>
  <c r="G311" i="1"/>
  <c r="H311" i="1"/>
  <c r="H472" i="1"/>
  <c r="G472" i="1"/>
  <c r="H464" i="1"/>
  <c r="G464" i="1"/>
  <c r="G442" i="1"/>
  <c r="H442" i="1"/>
  <c r="G492" i="1"/>
  <c r="H492" i="1"/>
  <c r="G447" i="1"/>
  <c r="H447" i="1"/>
  <c r="G2" i="1"/>
  <c r="H2" i="1"/>
  <c r="G361" i="1"/>
  <c r="H361" i="1"/>
  <c r="G186" i="1"/>
  <c r="H186" i="1"/>
  <c r="G233" i="1"/>
  <c r="H233" i="1"/>
  <c r="G449" i="1"/>
  <c r="H449" i="1"/>
  <c r="G37" i="1"/>
  <c r="H37" i="1"/>
  <c r="H470" i="1"/>
  <c r="G470" i="1"/>
  <c r="H316" i="1"/>
  <c r="G316" i="1"/>
  <c r="G200" i="1"/>
  <c r="H200" i="1"/>
  <c r="G427" i="1"/>
  <c r="H427" i="1"/>
  <c r="G260" i="1"/>
  <c r="H260" i="1"/>
  <c r="H115" i="1"/>
  <c r="G115" i="1"/>
  <c r="G83" i="1"/>
  <c r="H83" i="1"/>
  <c r="H267" i="1"/>
  <c r="G267" i="1"/>
  <c r="H168" i="1"/>
  <c r="G168" i="1"/>
  <c r="G199" i="1"/>
  <c r="H199" i="1"/>
  <c r="G7" i="1"/>
  <c r="H7" i="1"/>
  <c r="H355" i="1"/>
  <c r="G355" i="1"/>
  <c r="G312" i="1"/>
  <c r="H312" i="1"/>
  <c r="G273" i="1"/>
  <c r="H273" i="1"/>
  <c r="H403" i="1"/>
  <c r="G403" i="1"/>
  <c r="G507" i="1"/>
  <c r="H507" i="1"/>
  <c r="G332" i="1"/>
  <c r="H332" i="1"/>
  <c r="G188" i="1"/>
  <c r="H188" i="1"/>
  <c r="G423" i="1"/>
  <c r="H423" i="1"/>
  <c r="G280" i="1"/>
  <c r="H280" i="1"/>
  <c r="G151" i="1"/>
  <c r="H151" i="1"/>
  <c r="G110" i="1"/>
  <c r="H110" i="1"/>
  <c r="G511" i="1"/>
  <c r="H511" i="1"/>
  <c r="H274" i="1"/>
  <c r="G274" i="1"/>
  <c r="G319" i="1"/>
  <c r="H319" i="1"/>
  <c r="G88" i="1"/>
  <c r="H88" i="1"/>
  <c r="H80" i="1"/>
  <c r="G80" i="1"/>
  <c r="H69" i="1"/>
  <c r="G69" i="1"/>
  <c r="H263" i="1"/>
  <c r="G263" i="1"/>
  <c r="G330" i="1"/>
  <c r="H330" i="1"/>
  <c r="G248" i="1"/>
  <c r="H248" i="1"/>
  <c r="G313" i="1"/>
  <c r="H313" i="1"/>
  <c r="G76" i="1"/>
  <c r="H76" i="1"/>
  <c r="G322" i="1"/>
  <c r="H322" i="1"/>
  <c r="G512" i="1"/>
  <c r="H512" i="1"/>
  <c r="G203" i="1"/>
  <c r="H203" i="1"/>
  <c r="G304" i="1"/>
  <c r="H304" i="1"/>
  <c r="G236" i="1"/>
  <c r="H236" i="1"/>
  <c r="H333" i="1"/>
  <c r="G333" i="1"/>
  <c r="G57" i="1"/>
  <c r="H57" i="1"/>
  <c r="G493" i="1"/>
  <c r="H493" i="1"/>
  <c r="G213" i="1"/>
  <c r="H213" i="1"/>
  <c r="G204" i="1"/>
  <c r="H204" i="1"/>
  <c r="H148" i="1"/>
  <c r="G148" i="1"/>
  <c r="H10" i="1"/>
  <c r="G10" i="1"/>
  <c r="G455" i="1"/>
  <c r="H455" i="1"/>
  <c r="G198" i="1"/>
  <c r="H198" i="1"/>
  <c r="G375" i="1"/>
  <c r="H375" i="1"/>
  <c r="G192" i="1"/>
  <c r="H192" i="1"/>
  <c r="G131" i="1"/>
  <c r="H131" i="1"/>
  <c r="H105" i="1"/>
  <c r="G105" i="1"/>
  <c r="H172" i="1"/>
  <c r="G172" i="1"/>
  <c r="G448" i="1"/>
  <c r="H448" i="1"/>
  <c r="H471" i="1"/>
  <c r="G471" i="1"/>
  <c r="G463" i="1"/>
  <c r="H463" i="1"/>
  <c r="G481" i="1"/>
  <c r="H481" i="1"/>
  <c r="H365" i="1"/>
  <c r="G365" i="1"/>
  <c r="G113" i="1"/>
  <c r="H113" i="1"/>
  <c r="G133" i="1"/>
  <c r="H133" i="1"/>
  <c r="G155" i="1"/>
  <c r="H155" i="1"/>
  <c r="H284" i="1"/>
  <c r="G284" i="1"/>
  <c r="G452" i="1"/>
  <c r="H452" i="1"/>
  <c r="G261" i="1"/>
  <c r="H261" i="1"/>
  <c r="G147" i="1"/>
  <c r="H147" i="1"/>
  <c r="G499" i="1"/>
  <c r="H499" i="1"/>
  <c r="H424" i="1"/>
  <c r="G424" i="1"/>
  <c r="G165" i="1"/>
  <c r="H165" i="1"/>
  <c r="G178" i="1"/>
  <c r="H178" i="1"/>
  <c r="G170" i="1"/>
  <c r="H170" i="1"/>
  <c r="H72" i="1"/>
  <c r="G72" i="1"/>
  <c r="G318" i="1"/>
  <c r="H318" i="1"/>
  <c r="G136" i="1"/>
  <c r="H136" i="1"/>
  <c r="H397" i="1"/>
  <c r="G397" i="1"/>
  <c r="G287" i="1"/>
  <c r="H287" i="1"/>
  <c r="G112" i="1"/>
  <c r="H112" i="1"/>
  <c r="G300" i="1"/>
  <c r="H300" i="1"/>
  <c r="H11" i="1"/>
  <c r="G11" i="1"/>
  <c r="H50" i="1"/>
  <c r="G50" i="1"/>
  <c r="G42" i="1"/>
  <c r="H42" i="1"/>
  <c r="G294" i="1"/>
  <c r="H294" i="1"/>
  <c r="H124" i="1"/>
  <c r="G124" i="1"/>
  <c r="G164" i="1"/>
  <c r="H164" i="1"/>
  <c r="G13" i="1"/>
  <c r="H13" i="1"/>
  <c r="G253" i="1"/>
  <c r="H253" i="1"/>
  <c r="G118" i="1"/>
  <c r="H118" i="1"/>
  <c r="H117" i="1"/>
  <c r="G117" i="1"/>
  <c r="G485" i="1"/>
  <c r="H485" i="1"/>
  <c r="G503" i="1"/>
  <c r="H503" i="1"/>
  <c r="G386" i="1"/>
  <c r="H386" i="1"/>
  <c r="G87" i="1"/>
  <c r="H87" i="1"/>
  <c r="G79" i="1"/>
  <c r="H79" i="1"/>
  <c r="G9" i="1"/>
  <c r="H9" i="1"/>
  <c r="G502" i="1"/>
  <c r="H502" i="1"/>
  <c r="H111" i="1"/>
  <c r="G111" i="1"/>
  <c r="G247" i="1"/>
  <c r="H247" i="1"/>
  <c r="G357" i="1"/>
  <c r="H357" i="1"/>
  <c r="H3" i="1"/>
  <c r="G3" i="1"/>
  <c r="G488" i="1"/>
  <c r="H488" i="1"/>
  <c r="G286" i="1"/>
  <c r="H286" i="1"/>
  <c r="G224" i="1"/>
  <c r="H224" i="1"/>
  <c r="G303" i="1"/>
  <c r="H303" i="1"/>
  <c r="G293" i="1"/>
  <c r="H293" i="1"/>
  <c r="H4" i="1"/>
  <c r="G4" i="1"/>
  <c r="G56" i="1"/>
  <c r="H56" i="1"/>
  <c r="G218" i="1"/>
  <c r="H218" i="1"/>
  <c r="G323" i="1"/>
  <c r="H323" i="1"/>
  <c r="H130" i="1"/>
  <c r="G130" i="1"/>
  <c r="G75" i="1"/>
  <c r="H75" i="1"/>
  <c r="H176" i="1"/>
  <c r="G176" i="1"/>
  <c r="G346" i="1"/>
  <c r="H346" i="1"/>
  <c r="G205" i="1"/>
  <c r="H205" i="1"/>
  <c r="G342" i="1"/>
  <c r="H342" i="1"/>
  <c r="G396" i="1"/>
  <c r="H396" i="1"/>
  <c r="G415" i="1"/>
  <c r="H415" i="1"/>
  <c r="H104" i="1"/>
  <c r="G104" i="1"/>
  <c r="G354" i="1"/>
  <c r="H354" i="1"/>
  <c r="G195" i="1"/>
  <c r="H195" i="1"/>
  <c r="H438" i="1"/>
  <c r="G438" i="1"/>
  <c r="G430" i="1"/>
  <c r="H430" i="1"/>
  <c r="G391" i="1"/>
  <c r="H391" i="1"/>
  <c r="H282" i="1"/>
  <c r="G282" i="1"/>
  <c r="G334" i="1"/>
  <c r="H334" i="1"/>
  <c r="G24" i="1"/>
  <c r="H24" i="1"/>
  <c r="H416" i="1"/>
  <c r="G416" i="1"/>
  <c r="G242" i="1"/>
  <c r="H242" i="1"/>
  <c r="G234" i="1"/>
  <c r="H234" i="1"/>
  <c r="G392" i="1"/>
  <c r="H392" i="1"/>
  <c r="H159" i="1"/>
  <c r="G159" i="1"/>
  <c r="G98" i="1"/>
  <c r="H98" i="1"/>
  <c r="H6" i="1"/>
  <c r="G6" i="1"/>
  <c r="G329" i="1"/>
  <c r="H329" i="1"/>
  <c r="G344" i="1"/>
  <c r="H344" i="1"/>
  <c r="G336" i="1"/>
  <c r="H336" i="1"/>
  <c r="G160" i="1"/>
  <c r="H160" i="1"/>
  <c r="G290" i="1"/>
  <c r="H290" i="1"/>
  <c r="H380" i="1"/>
  <c r="G380" i="1"/>
  <c r="G96" i="1"/>
  <c r="H96" i="1"/>
  <c r="G38" i="1"/>
  <c r="H38" i="1"/>
  <c r="G95" i="1"/>
  <c r="H95" i="1"/>
  <c r="G249" i="1"/>
  <c r="H249" i="1"/>
  <c r="G457" i="1"/>
  <c r="H457" i="1"/>
  <c r="H216" i="1"/>
  <c r="G216" i="1"/>
  <c r="G208" i="1"/>
  <c r="H208" i="1"/>
  <c r="H254" i="1"/>
  <c r="G254" i="1"/>
  <c r="G328" i="1"/>
  <c r="H328" i="1"/>
  <c r="G324" i="1"/>
  <c r="H324" i="1"/>
  <c r="H385" i="1"/>
  <c r="G385" i="1"/>
  <c r="H491" i="1"/>
  <c r="G491" i="1"/>
  <c r="G125" i="1"/>
  <c r="H125" i="1"/>
  <c r="G227" i="1"/>
  <c r="H227" i="1"/>
  <c r="H196" i="1"/>
  <c r="G196" i="1"/>
  <c r="H413" i="1"/>
  <c r="G413" i="1"/>
  <c r="H167" i="1"/>
  <c r="G167" i="1"/>
  <c r="G54" i="1"/>
  <c r="H54" i="1"/>
  <c r="G46" i="1"/>
  <c r="H46" i="1"/>
  <c r="G45" i="1"/>
  <c r="H45" i="1"/>
  <c r="H414" i="1"/>
  <c r="G414" i="1"/>
  <c r="G12" i="1"/>
  <c r="H12" i="1"/>
  <c r="G214" i="1"/>
  <c r="H214" i="1"/>
  <c r="G510" i="1"/>
  <c r="H510" i="1"/>
  <c r="G190" i="1"/>
  <c r="H190" i="1"/>
  <c r="G487" i="1"/>
  <c r="H487" i="1"/>
  <c r="H466" i="1"/>
  <c r="G466" i="1"/>
  <c r="G353" i="1"/>
  <c r="H353" i="1"/>
  <c r="H270" i="1"/>
  <c r="G270" i="1"/>
  <c r="H473" i="1"/>
  <c r="G473" i="1"/>
  <c r="G476" i="1"/>
  <c r="H476" i="1"/>
  <c r="H55" i="1"/>
  <c r="G55" i="1"/>
  <c r="G428" i="1"/>
  <c r="H428" i="1"/>
  <c r="G314" i="1"/>
  <c r="H314" i="1"/>
  <c r="G296" i="1"/>
  <c r="H296" i="1"/>
  <c r="G446" i="1"/>
  <c r="H446" i="1"/>
  <c r="G175" i="1"/>
  <c r="H175" i="1"/>
  <c r="G217" i="1"/>
  <c r="H217" i="1"/>
  <c r="G315" i="1"/>
  <c r="H315" i="1"/>
  <c r="G349" i="1"/>
  <c r="H349" i="1"/>
  <c r="G394" i="1"/>
  <c r="H394" i="1"/>
  <c r="H401" i="1"/>
  <c r="G401" i="1"/>
  <c r="G103" i="1"/>
  <c r="H103" i="1"/>
  <c r="X30" i="1" l="1"/>
  <c r="V32" i="1"/>
  <c r="Q16" i="1"/>
  <c r="R15" i="1"/>
  <c r="S15" i="1" s="1"/>
  <c r="X31" i="1" l="1"/>
  <c r="V33" i="1"/>
  <c r="Q17" i="1"/>
  <c r="R16" i="1"/>
  <c r="S16" i="1" s="1"/>
  <c r="V34" i="1" l="1"/>
  <c r="X32" i="1"/>
  <c r="Q18" i="1"/>
  <c r="R17" i="1"/>
  <c r="S17" i="1" s="1"/>
  <c r="V35" i="1" l="1"/>
  <c r="X33" i="1"/>
  <c r="Q19" i="1"/>
  <c r="R18" i="1"/>
  <c r="S18" i="1" s="1"/>
  <c r="X34" i="1" l="1"/>
  <c r="V36" i="1"/>
  <c r="Q20" i="1"/>
  <c r="R19" i="1"/>
  <c r="S19" i="1" s="1"/>
  <c r="X35" i="1" l="1"/>
  <c r="V37" i="1"/>
  <c r="Q21" i="1"/>
  <c r="R20" i="1"/>
  <c r="S20" i="1" s="1"/>
  <c r="V38" i="1" l="1"/>
  <c r="X36" i="1"/>
  <c r="Y36" i="1" s="1"/>
  <c r="Q22" i="1"/>
  <c r="R21" i="1"/>
  <c r="S21" i="1" s="1"/>
  <c r="X37" i="1" l="1"/>
  <c r="Y37" i="1" s="1"/>
  <c r="Z37" i="1" s="1"/>
  <c r="V39" i="1"/>
  <c r="Q23" i="1"/>
  <c r="R22" i="1"/>
  <c r="S22" i="1" s="1"/>
  <c r="X38" i="1" l="1"/>
  <c r="Y38" i="1" s="1"/>
  <c r="Z38" i="1" s="1"/>
  <c r="V40" i="1"/>
  <c r="Q24" i="1"/>
  <c r="R23" i="1"/>
  <c r="S23" i="1" s="1"/>
  <c r="X39" i="1" l="1"/>
  <c r="Y39" i="1" s="1"/>
  <c r="Z39" i="1" s="1"/>
  <c r="V41" i="1"/>
  <c r="Q25" i="1"/>
  <c r="R24" i="1"/>
  <c r="S24" i="1" s="1"/>
  <c r="X40" i="1" l="1"/>
  <c r="Y40" i="1" s="1"/>
  <c r="Z40" i="1" s="1"/>
  <c r="V42" i="1"/>
  <c r="Q26" i="1"/>
  <c r="R25" i="1"/>
  <c r="S25" i="1" s="1"/>
  <c r="X41" i="1" l="1"/>
  <c r="Y41" i="1" s="1"/>
  <c r="Z41" i="1" s="1"/>
  <c r="V43" i="1"/>
  <c r="Q27" i="1"/>
  <c r="R26" i="1"/>
  <c r="S26" i="1" s="1"/>
  <c r="X42" i="1" l="1"/>
  <c r="Y42" i="1" s="1"/>
  <c r="Z42" i="1" s="1"/>
  <c r="V44" i="1"/>
  <c r="Q28" i="1"/>
  <c r="R27" i="1"/>
  <c r="S27" i="1" s="1"/>
  <c r="X43" i="1" l="1"/>
  <c r="Y43" i="1" s="1"/>
  <c r="Z43" i="1" s="1"/>
  <c r="V45" i="1"/>
  <c r="Q29" i="1"/>
  <c r="R28" i="1"/>
  <c r="S28" i="1" s="1"/>
  <c r="X44" i="1" l="1"/>
  <c r="Y44" i="1" s="1"/>
  <c r="Z44" i="1" s="1"/>
  <c r="V46" i="1"/>
  <c r="Q30" i="1"/>
  <c r="R29" i="1"/>
  <c r="S29" i="1" s="1"/>
  <c r="X45" i="1" l="1"/>
  <c r="Y45" i="1" s="1"/>
  <c r="Z45" i="1" s="1"/>
  <c r="V47" i="1"/>
  <c r="Q31" i="1"/>
  <c r="R30" i="1"/>
  <c r="S30" i="1" s="1"/>
  <c r="X46" i="1" l="1"/>
  <c r="Y46" i="1" s="1"/>
  <c r="Z46" i="1" s="1"/>
  <c r="V48" i="1"/>
  <c r="Q32" i="1"/>
  <c r="R31" i="1"/>
  <c r="S31" i="1" s="1"/>
  <c r="X47" i="1" l="1"/>
  <c r="Y47" i="1" s="1"/>
  <c r="Z47" i="1" s="1"/>
  <c r="V49" i="1"/>
  <c r="R32" i="1"/>
  <c r="S32" i="1" s="1"/>
  <c r="Q33" i="1"/>
  <c r="X48" i="1" l="1"/>
  <c r="Y48" i="1" s="1"/>
  <c r="Z48" i="1" s="1"/>
  <c r="V50" i="1"/>
  <c r="Q34" i="1"/>
  <c r="R33" i="1"/>
  <c r="S33" i="1" s="1"/>
  <c r="X49" i="1" l="1"/>
  <c r="Y49" i="1" s="1"/>
  <c r="Z49" i="1" s="1"/>
  <c r="V51" i="1"/>
  <c r="Q35" i="1"/>
  <c r="R34" i="1"/>
  <c r="S34" i="1" s="1"/>
  <c r="X50" i="1" l="1"/>
  <c r="Y50" i="1" s="1"/>
  <c r="Z50" i="1" s="1"/>
  <c r="V52" i="1"/>
  <c r="Q36" i="1"/>
  <c r="R35" i="1"/>
  <c r="S35" i="1" s="1"/>
  <c r="X51" i="1" l="1"/>
  <c r="Y51" i="1" s="1"/>
  <c r="Z51" i="1" s="1"/>
  <c r="V53" i="1"/>
  <c r="Q37" i="1"/>
  <c r="R36" i="1"/>
  <c r="S36" i="1" s="1"/>
  <c r="V54" i="1" l="1"/>
  <c r="X52" i="1"/>
  <c r="Y52" i="1" s="1"/>
  <c r="Z52" i="1" s="1"/>
  <c r="Q38" i="1"/>
  <c r="R37" i="1"/>
  <c r="S37" i="1" s="1"/>
  <c r="X53" i="1" l="1"/>
  <c r="Y53" i="1" s="1"/>
  <c r="Z53" i="1" s="1"/>
  <c r="V55" i="1"/>
  <c r="Q39" i="1"/>
  <c r="R38" i="1"/>
  <c r="S38" i="1" s="1"/>
  <c r="X54" i="1" l="1"/>
  <c r="Y54" i="1" s="1"/>
  <c r="Z54" i="1" s="1"/>
  <c r="V56" i="1"/>
  <c r="Q40" i="1"/>
  <c r="R39" i="1"/>
  <c r="S39" i="1" s="1"/>
  <c r="X55" i="1" l="1"/>
  <c r="Y55" i="1" s="1"/>
  <c r="Z55" i="1" s="1"/>
  <c r="V57" i="1"/>
  <c r="Q41" i="1"/>
  <c r="R40" i="1"/>
  <c r="S40" i="1" s="1"/>
  <c r="X56" i="1" l="1"/>
  <c r="Y56" i="1" s="1"/>
  <c r="Z56" i="1" s="1"/>
  <c r="V58" i="1"/>
  <c r="Q42" i="1"/>
  <c r="R41" i="1"/>
  <c r="S41" i="1" s="1"/>
  <c r="X57" i="1" l="1"/>
  <c r="Y57" i="1" s="1"/>
  <c r="Z57" i="1" s="1"/>
  <c r="V59" i="1"/>
  <c r="Q43" i="1"/>
  <c r="R42" i="1"/>
  <c r="S42" i="1" s="1"/>
  <c r="X58" i="1" l="1"/>
  <c r="Y58" i="1" s="1"/>
  <c r="Z58" i="1" s="1"/>
  <c r="V60" i="1"/>
  <c r="Q44" i="1"/>
  <c r="R43" i="1"/>
  <c r="S43" i="1" s="1"/>
  <c r="X59" i="1" l="1"/>
  <c r="Y59" i="1" s="1"/>
  <c r="Z59" i="1" s="1"/>
  <c r="V61" i="1"/>
  <c r="Q45" i="1"/>
  <c r="R44" i="1"/>
  <c r="S44" i="1" s="1"/>
  <c r="X60" i="1" l="1"/>
  <c r="V62" i="1"/>
  <c r="Q46" i="1"/>
  <c r="R45" i="1"/>
  <c r="S45" i="1" s="1"/>
  <c r="X61" i="1" l="1"/>
  <c r="V63" i="1"/>
  <c r="Y60" i="1"/>
  <c r="Z60" i="1" s="1"/>
  <c r="Q47" i="1"/>
  <c r="R46" i="1"/>
  <c r="S46" i="1" s="1"/>
  <c r="X62" i="1" l="1"/>
  <c r="V64" i="1"/>
  <c r="Y61" i="1"/>
  <c r="Z61" i="1" s="1"/>
  <c r="Q48" i="1"/>
  <c r="R47" i="1"/>
  <c r="S47" i="1" s="1"/>
  <c r="V65" i="1" l="1"/>
  <c r="X63" i="1"/>
  <c r="Y62" i="1"/>
  <c r="Z62" i="1" s="1"/>
  <c r="Q49" i="1"/>
  <c r="R48" i="1"/>
  <c r="S48" i="1" s="1"/>
  <c r="Y63" i="1" l="1"/>
  <c r="Z63" i="1" s="1"/>
  <c r="X64" i="1"/>
  <c r="V66" i="1"/>
  <c r="Q50" i="1"/>
  <c r="R49" i="1"/>
  <c r="S49" i="1" s="1"/>
  <c r="X65" i="1" l="1"/>
  <c r="V67" i="1"/>
  <c r="Y64" i="1"/>
  <c r="Z64" i="1" s="1"/>
  <c r="Q51" i="1"/>
  <c r="R50" i="1"/>
  <c r="S50" i="1" s="1"/>
  <c r="V68" i="1" l="1"/>
  <c r="X66" i="1"/>
  <c r="Y65" i="1"/>
  <c r="Z65" i="1" s="1"/>
  <c r="Q52" i="1"/>
  <c r="R51" i="1"/>
  <c r="S51" i="1" s="1"/>
  <c r="Y66" i="1" l="1"/>
  <c r="Z66" i="1" s="1"/>
  <c r="X67" i="1"/>
  <c r="Y67" i="1" s="1"/>
  <c r="Z67" i="1" s="1"/>
  <c r="V69" i="1"/>
  <c r="Q53" i="1"/>
  <c r="R52" i="1"/>
  <c r="S52" i="1" s="1"/>
  <c r="X68" i="1" l="1"/>
  <c r="Y68" i="1" s="1"/>
  <c r="Z68" i="1" s="1"/>
  <c r="V70" i="1"/>
  <c r="Q54" i="1"/>
  <c r="R53" i="1"/>
  <c r="S53" i="1" s="1"/>
  <c r="X69" i="1" l="1"/>
  <c r="Y69" i="1" s="1"/>
  <c r="Z69" i="1" s="1"/>
  <c r="V71" i="1"/>
  <c r="Q55" i="1"/>
  <c r="R54" i="1"/>
  <c r="S54" i="1" s="1"/>
  <c r="X70" i="1" l="1"/>
  <c r="V72" i="1"/>
  <c r="Q56" i="1"/>
  <c r="R55" i="1"/>
  <c r="S55" i="1" s="1"/>
  <c r="X71" i="1" l="1"/>
  <c r="V73" i="1"/>
  <c r="Y70" i="1"/>
  <c r="Z70" i="1" s="1"/>
  <c r="R56" i="1"/>
  <c r="S56" i="1" s="1"/>
  <c r="Q57" i="1"/>
  <c r="X72" i="1" l="1"/>
  <c r="V74" i="1"/>
  <c r="Y71" i="1"/>
  <c r="Z71" i="1" s="1"/>
  <c r="Q58" i="1"/>
  <c r="R57" i="1"/>
  <c r="S57" i="1" s="1"/>
  <c r="V75" i="1" l="1"/>
  <c r="X73" i="1"/>
  <c r="Y72" i="1"/>
  <c r="Z72" i="1"/>
  <c r="Q59" i="1"/>
  <c r="R58" i="1"/>
  <c r="S58" i="1" s="1"/>
  <c r="Y73" i="1" l="1"/>
  <c r="Z73" i="1" s="1"/>
  <c r="V76" i="1"/>
  <c r="X74" i="1"/>
  <c r="Y74" i="1" s="1"/>
  <c r="Z74" i="1" s="1"/>
  <c r="Q60" i="1"/>
  <c r="R59" i="1"/>
  <c r="S59" i="1" s="1"/>
  <c r="X75" i="1" l="1"/>
  <c r="V77" i="1"/>
  <c r="Q61" i="1"/>
  <c r="R60" i="1"/>
  <c r="S60" i="1" s="1"/>
  <c r="X76" i="1" l="1"/>
  <c r="V78" i="1"/>
  <c r="Y75" i="1"/>
  <c r="Z75" i="1" s="1"/>
  <c r="Q62" i="1"/>
  <c r="R61" i="1"/>
  <c r="S61" i="1" s="1"/>
  <c r="X77" i="1" l="1"/>
  <c r="V79" i="1"/>
  <c r="Y76" i="1"/>
  <c r="Z76" i="1" s="1"/>
  <c r="Q63" i="1"/>
  <c r="R62" i="1"/>
  <c r="S62" i="1" s="1"/>
  <c r="X78" i="1" l="1"/>
  <c r="V80" i="1"/>
  <c r="Y77" i="1"/>
  <c r="Z77" i="1" s="1"/>
  <c r="Q64" i="1"/>
  <c r="R63" i="1"/>
  <c r="S63" i="1" s="1"/>
  <c r="X79" i="1" l="1"/>
  <c r="V81" i="1"/>
  <c r="Y78" i="1"/>
  <c r="Z78" i="1" s="1"/>
  <c r="Q65" i="1"/>
  <c r="R64" i="1"/>
  <c r="S64" i="1" s="1"/>
  <c r="X80" i="1" l="1"/>
  <c r="V82" i="1"/>
  <c r="Y79" i="1"/>
  <c r="Z79" i="1" s="1"/>
  <c r="Q66" i="1"/>
  <c r="R65" i="1"/>
  <c r="S65" i="1" s="1"/>
  <c r="V83" i="1" l="1"/>
  <c r="X81" i="1"/>
  <c r="Y80" i="1"/>
  <c r="Z80" i="1"/>
  <c r="Q67" i="1"/>
  <c r="R66" i="1"/>
  <c r="S66" i="1" s="1"/>
  <c r="Y81" i="1" l="1"/>
  <c r="Z81" i="1" s="1"/>
  <c r="X82" i="1"/>
  <c r="V84" i="1"/>
  <c r="Q68" i="1"/>
  <c r="R67" i="1"/>
  <c r="S67" i="1" s="1"/>
  <c r="X83" i="1" l="1"/>
  <c r="V85" i="1"/>
  <c r="Y82" i="1"/>
  <c r="Z82" i="1"/>
  <c r="R68" i="1"/>
  <c r="S68" i="1" s="1"/>
  <c r="Q69" i="1"/>
  <c r="X84" i="1" l="1"/>
  <c r="V86" i="1"/>
  <c r="Y83" i="1"/>
  <c r="Z83" i="1" s="1"/>
  <c r="Q70" i="1"/>
  <c r="R69" i="1"/>
  <c r="S69" i="1" s="1"/>
  <c r="X85" i="1" l="1"/>
  <c r="V87" i="1"/>
  <c r="Y84" i="1"/>
  <c r="Z84" i="1" s="1"/>
  <c r="Q71" i="1"/>
  <c r="R70" i="1"/>
  <c r="S70" i="1" s="1"/>
  <c r="X86" i="1" l="1"/>
  <c r="V88" i="1"/>
  <c r="Y85" i="1"/>
  <c r="Z85" i="1" s="1"/>
  <c r="Q72" i="1"/>
  <c r="R71" i="1"/>
  <c r="S71" i="1" s="1"/>
  <c r="X87" i="1" l="1"/>
  <c r="V89" i="1"/>
  <c r="Y86" i="1"/>
  <c r="Z86" i="1" s="1"/>
  <c r="Q73" i="1"/>
  <c r="R72" i="1"/>
  <c r="S72" i="1" s="1"/>
  <c r="X88" i="1" l="1"/>
  <c r="V90" i="1"/>
  <c r="Y87" i="1"/>
  <c r="Z87" i="1" s="1"/>
  <c r="Q74" i="1"/>
  <c r="R73" i="1"/>
  <c r="S73" i="1" s="1"/>
  <c r="X89" i="1" l="1"/>
  <c r="V91" i="1"/>
  <c r="Y88" i="1"/>
  <c r="Z88" i="1"/>
  <c r="Q75" i="1"/>
  <c r="R74" i="1"/>
  <c r="S74" i="1" s="1"/>
  <c r="V92" i="1" l="1"/>
  <c r="X90" i="1"/>
  <c r="Y89" i="1"/>
  <c r="Z89" i="1" s="1"/>
  <c r="Q76" i="1"/>
  <c r="R75" i="1"/>
  <c r="S75" i="1" s="1"/>
  <c r="Y90" i="1" l="1"/>
  <c r="Z90" i="1" s="1"/>
  <c r="X91" i="1"/>
  <c r="V93" i="1"/>
  <c r="Q77" i="1"/>
  <c r="R76" i="1"/>
  <c r="S76" i="1" s="1"/>
  <c r="V94" i="1" l="1"/>
  <c r="X92" i="1"/>
  <c r="Y91" i="1"/>
  <c r="Z91" i="1"/>
  <c r="Q78" i="1"/>
  <c r="R77" i="1"/>
  <c r="S77" i="1" s="1"/>
  <c r="Y92" i="1" l="1"/>
  <c r="Z92" i="1" s="1"/>
  <c r="X93" i="1"/>
  <c r="V95" i="1"/>
  <c r="R78" i="1"/>
  <c r="S78" i="1" s="1"/>
  <c r="Q79" i="1"/>
  <c r="X94" i="1" l="1"/>
  <c r="V96" i="1"/>
  <c r="Y93" i="1"/>
  <c r="Z93" i="1" s="1"/>
  <c r="Q80" i="1"/>
  <c r="R79" i="1"/>
  <c r="S79" i="1" s="1"/>
  <c r="X95" i="1" l="1"/>
  <c r="V97" i="1"/>
  <c r="Y94" i="1"/>
  <c r="Z94" i="1" s="1"/>
  <c r="Q81" i="1"/>
  <c r="R80" i="1"/>
  <c r="S80" i="1" s="1"/>
  <c r="X96" i="1" l="1"/>
  <c r="V98" i="1"/>
  <c r="Y95" i="1"/>
  <c r="Z95" i="1" s="1"/>
  <c r="Q82" i="1"/>
  <c r="R81" i="1"/>
  <c r="S81" i="1" s="1"/>
  <c r="X97" i="1" l="1"/>
  <c r="V99" i="1"/>
  <c r="Y96" i="1"/>
  <c r="Z96" i="1" s="1"/>
  <c r="Q83" i="1"/>
  <c r="R82" i="1"/>
  <c r="S82" i="1" s="1"/>
  <c r="X98" i="1" l="1"/>
  <c r="V100" i="1"/>
  <c r="Y97" i="1"/>
  <c r="Z97" i="1" s="1"/>
  <c r="Q84" i="1"/>
  <c r="R83" i="1"/>
  <c r="S83" i="1" s="1"/>
  <c r="X99" i="1" l="1"/>
  <c r="V101" i="1"/>
  <c r="Y98" i="1"/>
  <c r="Z98" i="1"/>
  <c r="Q85" i="1"/>
  <c r="R84" i="1"/>
  <c r="S84" i="1" s="1"/>
  <c r="V102" i="1" l="1"/>
  <c r="X100" i="1"/>
  <c r="Y99" i="1"/>
  <c r="Z99" i="1" s="1"/>
  <c r="Q86" i="1"/>
  <c r="R85" i="1"/>
  <c r="S85" i="1" s="1"/>
  <c r="Y100" i="1" l="1"/>
  <c r="Z100" i="1"/>
  <c r="X101" i="1"/>
  <c r="V103" i="1"/>
  <c r="Q87" i="1"/>
  <c r="R86" i="1"/>
  <c r="S86" i="1" s="1"/>
  <c r="X102" i="1" l="1"/>
  <c r="V104" i="1"/>
  <c r="Y101" i="1"/>
  <c r="Z101" i="1" s="1"/>
  <c r="Q88" i="1"/>
  <c r="R87" i="1"/>
  <c r="S87" i="1" s="1"/>
  <c r="V105" i="1" l="1"/>
  <c r="X103" i="1"/>
  <c r="Y102" i="1"/>
  <c r="Z102" i="1"/>
  <c r="Q89" i="1"/>
  <c r="R88" i="1"/>
  <c r="S88" i="1" s="1"/>
  <c r="Y103" i="1" l="1"/>
  <c r="Z103" i="1"/>
  <c r="X104" i="1"/>
  <c r="Y104" i="1" s="1"/>
  <c r="Z104" i="1" s="1"/>
  <c r="V106" i="1"/>
  <c r="Q90" i="1"/>
  <c r="R89" i="1"/>
  <c r="S89" i="1" s="1"/>
  <c r="X105" i="1" l="1"/>
  <c r="V107" i="1"/>
  <c r="Q91" i="1"/>
  <c r="R90" i="1"/>
  <c r="S90" i="1" s="1"/>
  <c r="X106" i="1" l="1"/>
  <c r="V108" i="1"/>
  <c r="Y105" i="1"/>
  <c r="Z105" i="1"/>
  <c r="Q92" i="1"/>
  <c r="R91" i="1"/>
  <c r="S91" i="1" s="1"/>
  <c r="V109" i="1" l="1"/>
  <c r="X107" i="1"/>
  <c r="Y106" i="1"/>
  <c r="Z106" i="1" s="1"/>
  <c r="Q93" i="1"/>
  <c r="R92" i="1"/>
  <c r="S92" i="1" s="1"/>
  <c r="Y107" i="1" l="1"/>
  <c r="Z107" i="1" s="1"/>
  <c r="X108" i="1"/>
  <c r="V110" i="1"/>
  <c r="R93" i="1"/>
  <c r="S93" i="1" s="1"/>
  <c r="Q94" i="1"/>
  <c r="X109" i="1" l="1"/>
  <c r="V111" i="1"/>
  <c r="Y108" i="1"/>
  <c r="Z108" i="1" s="1"/>
  <c r="Q95" i="1"/>
  <c r="R94" i="1"/>
  <c r="S94" i="1" s="1"/>
  <c r="X110" i="1" l="1"/>
  <c r="V112" i="1"/>
  <c r="Y109" i="1"/>
  <c r="Z109" i="1"/>
  <c r="Q96" i="1"/>
  <c r="R95" i="1"/>
  <c r="S95" i="1" s="1"/>
  <c r="X111" i="1" l="1"/>
  <c r="V113" i="1"/>
  <c r="Y110" i="1"/>
  <c r="Z110" i="1" s="1"/>
  <c r="Q97" i="1"/>
  <c r="R96" i="1"/>
  <c r="S96" i="1" s="1"/>
  <c r="V114" i="1" l="1"/>
  <c r="X112" i="1"/>
  <c r="Y111" i="1"/>
  <c r="Z111" i="1"/>
  <c r="R97" i="1"/>
  <c r="S97" i="1" s="1"/>
  <c r="Q98" i="1"/>
  <c r="Y112" i="1" l="1"/>
  <c r="Z112" i="1" s="1"/>
  <c r="X113" i="1"/>
  <c r="V115" i="1"/>
  <c r="Q99" i="1"/>
  <c r="R98" i="1"/>
  <c r="S98" i="1" s="1"/>
  <c r="X114" i="1" l="1"/>
  <c r="V116" i="1"/>
  <c r="Y113" i="1"/>
  <c r="Z113" i="1"/>
  <c r="Q100" i="1"/>
  <c r="R99" i="1"/>
  <c r="S99" i="1" s="1"/>
  <c r="X115" i="1" l="1"/>
  <c r="V117" i="1"/>
  <c r="Y114" i="1"/>
  <c r="Z114" i="1" s="1"/>
  <c r="Q101" i="1"/>
  <c r="R100" i="1"/>
  <c r="S100" i="1" s="1"/>
  <c r="V118" i="1" l="1"/>
  <c r="X116" i="1"/>
  <c r="Y115" i="1"/>
  <c r="Z115" i="1"/>
  <c r="Q102" i="1"/>
  <c r="R101" i="1"/>
  <c r="S101" i="1" s="1"/>
  <c r="Y116" i="1" l="1"/>
  <c r="Z116" i="1" s="1"/>
  <c r="V119" i="1"/>
  <c r="X117" i="1"/>
  <c r="Q103" i="1"/>
  <c r="R102" i="1"/>
  <c r="S102" i="1" s="1"/>
  <c r="Y117" i="1" l="1"/>
  <c r="Z117" i="1" s="1"/>
  <c r="X118" i="1"/>
  <c r="Y118" i="1" s="1"/>
  <c r="Z118" i="1" s="1"/>
  <c r="V120" i="1"/>
  <c r="Q104" i="1"/>
  <c r="R103" i="1"/>
  <c r="S103" i="1" s="1"/>
  <c r="X119" i="1" l="1"/>
  <c r="Y119" i="1" s="1"/>
  <c r="Z119" i="1" s="1"/>
  <c r="V121" i="1"/>
  <c r="Q105" i="1"/>
  <c r="R104" i="1"/>
  <c r="S104" i="1" s="1"/>
  <c r="X120" i="1" l="1"/>
  <c r="V122" i="1"/>
  <c r="Q106" i="1"/>
  <c r="R105" i="1"/>
  <c r="S105" i="1" s="1"/>
  <c r="X121" i="1" l="1"/>
  <c r="V123" i="1"/>
  <c r="Y120" i="1"/>
  <c r="Z120" i="1"/>
  <c r="Q107" i="1"/>
  <c r="R106" i="1"/>
  <c r="S106" i="1" s="1"/>
  <c r="V124" i="1" l="1"/>
  <c r="X122" i="1"/>
  <c r="Y121" i="1"/>
  <c r="Z121" i="1" s="1"/>
  <c r="R107" i="1"/>
  <c r="S107" i="1" s="1"/>
  <c r="Q108" i="1"/>
  <c r="Y122" i="1" l="1"/>
  <c r="Z122" i="1"/>
  <c r="X123" i="1"/>
  <c r="Y123" i="1" s="1"/>
  <c r="Z123" i="1" s="1"/>
  <c r="V125" i="1"/>
  <c r="Q109" i="1"/>
  <c r="R108" i="1"/>
  <c r="S108" i="1" s="1"/>
  <c r="X124" i="1" l="1"/>
  <c r="Y124" i="1" s="1"/>
  <c r="Z124" i="1" s="1"/>
  <c r="V126" i="1"/>
  <c r="Q110" i="1"/>
  <c r="R109" i="1"/>
  <c r="S109" i="1" s="1"/>
  <c r="X125" i="1" l="1"/>
  <c r="V127" i="1"/>
  <c r="Q111" i="1"/>
  <c r="R110" i="1"/>
  <c r="S110" i="1" s="1"/>
  <c r="X126" i="1" l="1"/>
  <c r="V128" i="1"/>
  <c r="Y125" i="1"/>
  <c r="Z125" i="1"/>
  <c r="Q112" i="1"/>
  <c r="R111" i="1"/>
  <c r="S111" i="1" s="1"/>
  <c r="X127" i="1" l="1"/>
  <c r="V129" i="1"/>
  <c r="Y126" i="1"/>
  <c r="Z126" i="1" s="1"/>
  <c r="Q113" i="1"/>
  <c r="R112" i="1"/>
  <c r="S112" i="1" s="1"/>
  <c r="V130" i="1" l="1"/>
  <c r="X128" i="1"/>
  <c r="Y127" i="1"/>
  <c r="Z127" i="1" s="1"/>
  <c r="Q114" i="1"/>
  <c r="R113" i="1"/>
  <c r="S113" i="1" s="1"/>
  <c r="Y128" i="1" l="1"/>
  <c r="Z128" i="1" s="1"/>
  <c r="X129" i="1"/>
  <c r="V131" i="1"/>
  <c r="Q115" i="1"/>
  <c r="R114" i="1"/>
  <c r="S114" i="1" s="1"/>
  <c r="V132" i="1" l="1"/>
  <c r="X130" i="1"/>
  <c r="Y129" i="1"/>
  <c r="Z129" i="1" s="1"/>
  <c r="Q116" i="1"/>
  <c r="R115" i="1"/>
  <c r="S115" i="1" s="1"/>
  <c r="Y130" i="1" l="1"/>
  <c r="Z130" i="1" s="1"/>
  <c r="X131" i="1"/>
  <c r="V133" i="1"/>
  <c r="Q117" i="1"/>
  <c r="R116" i="1"/>
  <c r="S116" i="1" s="1"/>
  <c r="V134" i="1" l="1"/>
  <c r="X132" i="1"/>
  <c r="Y131" i="1"/>
  <c r="Z131" i="1"/>
  <c r="Q118" i="1"/>
  <c r="R117" i="1"/>
  <c r="S117" i="1" s="1"/>
  <c r="Y132" i="1" l="1"/>
  <c r="Z132" i="1" s="1"/>
  <c r="V135" i="1"/>
  <c r="X133" i="1"/>
  <c r="Q119" i="1"/>
  <c r="R118" i="1"/>
  <c r="S118" i="1" s="1"/>
  <c r="Y133" i="1" l="1"/>
  <c r="Z133" i="1" s="1"/>
  <c r="X134" i="1"/>
  <c r="Y134" i="1" s="1"/>
  <c r="Z134" i="1" s="1"/>
  <c r="V136" i="1"/>
  <c r="Q120" i="1"/>
  <c r="R119" i="1"/>
  <c r="S119" i="1" s="1"/>
  <c r="X135" i="1" l="1"/>
  <c r="V137" i="1"/>
  <c r="R120" i="1"/>
  <c r="S120" i="1" s="1"/>
  <c r="Q121" i="1"/>
  <c r="V138" i="1" l="1"/>
  <c r="X136" i="1"/>
  <c r="Y135" i="1"/>
  <c r="Z135" i="1" s="1"/>
  <c r="Q122" i="1"/>
  <c r="R121" i="1"/>
  <c r="S121" i="1" s="1"/>
  <c r="Y136" i="1" l="1"/>
  <c r="Z136" i="1" s="1"/>
  <c r="X137" i="1"/>
  <c r="V139" i="1"/>
  <c r="Q123" i="1"/>
  <c r="R122" i="1"/>
  <c r="S122" i="1" s="1"/>
  <c r="X138" i="1" l="1"/>
  <c r="V140" i="1"/>
  <c r="Y137" i="1"/>
  <c r="Z137" i="1" s="1"/>
  <c r="Q124" i="1"/>
  <c r="R123" i="1"/>
  <c r="S123" i="1" s="1"/>
  <c r="X139" i="1" l="1"/>
  <c r="V141" i="1"/>
  <c r="Y138" i="1"/>
  <c r="Z138" i="1" s="1"/>
  <c r="Q125" i="1"/>
  <c r="R124" i="1"/>
  <c r="S124" i="1" s="1"/>
  <c r="X140" i="1" l="1"/>
  <c r="V142" i="1"/>
  <c r="Y139" i="1"/>
  <c r="Z139" i="1"/>
  <c r="Q126" i="1"/>
  <c r="R125" i="1"/>
  <c r="S125" i="1" s="1"/>
  <c r="V143" i="1" l="1"/>
  <c r="X141" i="1"/>
  <c r="Y140" i="1"/>
  <c r="Z140" i="1" s="1"/>
  <c r="R126" i="1"/>
  <c r="S126" i="1" s="1"/>
  <c r="Q127" i="1"/>
  <c r="Y141" i="1" l="1"/>
  <c r="Z141" i="1"/>
  <c r="X142" i="1"/>
  <c r="V144" i="1"/>
  <c r="Q128" i="1"/>
  <c r="R127" i="1"/>
  <c r="S127" i="1" s="1"/>
  <c r="X143" i="1" l="1"/>
  <c r="V145" i="1"/>
  <c r="Y142" i="1"/>
  <c r="Z142" i="1"/>
  <c r="Q129" i="1"/>
  <c r="R128" i="1"/>
  <c r="S128" i="1" s="1"/>
  <c r="X144" i="1" l="1"/>
  <c r="V146" i="1"/>
  <c r="Y143" i="1"/>
  <c r="Z143" i="1"/>
  <c r="Q130" i="1"/>
  <c r="R129" i="1"/>
  <c r="S129" i="1" s="1"/>
  <c r="V147" i="1" l="1"/>
  <c r="X145" i="1"/>
  <c r="Y144" i="1"/>
  <c r="Z144" i="1" s="1"/>
  <c r="Q131" i="1"/>
  <c r="R130" i="1"/>
  <c r="S130" i="1" s="1"/>
  <c r="Y145" i="1" l="1"/>
  <c r="Z145" i="1" s="1"/>
  <c r="X146" i="1"/>
  <c r="Y146" i="1" s="1"/>
  <c r="Z146" i="1" s="1"/>
  <c r="V148" i="1"/>
  <c r="Q132" i="1"/>
  <c r="R131" i="1"/>
  <c r="S131" i="1" s="1"/>
  <c r="X147" i="1" l="1"/>
  <c r="V149" i="1"/>
  <c r="Q133" i="1"/>
  <c r="R132" i="1"/>
  <c r="S132" i="1" s="1"/>
  <c r="X148" i="1" l="1"/>
  <c r="V150" i="1"/>
  <c r="Y147" i="1"/>
  <c r="Z147" i="1"/>
  <c r="Q134" i="1"/>
  <c r="R133" i="1"/>
  <c r="S133" i="1" s="1"/>
  <c r="X149" i="1" l="1"/>
  <c r="V151" i="1"/>
  <c r="Y148" i="1"/>
  <c r="Z148" i="1" s="1"/>
  <c r="Q135" i="1"/>
  <c r="R134" i="1"/>
  <c r="S134" i="1" s="1"/>
  <c r="X150" i="1" l="1"/>
  <c r="V152" i="1"/>
  <c r="Y149" i="1"/>
  <c r="Z149" i="1"/>
  <c r="Q136" i="1"/>
  <c r="R135" i="1"/>
  <c r="S135" i="1" s="1"/>
  <c r="V153" i="1" l="1"/>
  <c r="X151" i="1"/>
  <c r="Y150" i="1"/>
  <c r="Z150" i="1" s="1"/>
  <c r="Q137" i="1"/>
  <c r="R136" i="1"/>
  <c r="S136" i="1" s="1"/>
  <c r="Y151" i="1" l="1"/>
  <c r="Z151" i="1" s="1"/>
  <c r="X152" i="1"/>
  <c r="V154" i="1"/>
  <c r="Q138" i="1"/>
  <c r="R137" i="1"/>
  <c r="S137" i="1" s="1"/>
  <c r="X153" i="1" l="1"/>
  <c r="V155" i="1"/>
  <c r="Y152" i="1"/>
  <c r="Z152" i="1"/>
  <c r="Q139" i="1"/>
  <c r="R138" i="1"/>
  <c r="S138" i="1" s="1"/>
  <c r="X154" i="1" l="1"/>
  <c r="V156" i="1"/>
  <c r="Y153" i="1"/>
  <c r="Z153" i="1"/>
  <c r="Q140" i="1"/>
  <c r="R139" i="1"/>
  <c r="S139" i="1" s="1"/>
  <c r="X155" i="1" l="1"/>
  <c r="V157" i="1"/>
  <c r="Y154" i="1"/>
  <c r="Z154" i="1"/>
  <c r="Q141" i="1"/>
  <c r="R140" i="1"/>
  <c r="S140" i="1" s="1"/>
  <c r="X156" i="1" l="1"/>
  <c r="V158" i="1"/>
  <c r="Y155" i="1"/>
  <c r="Z155" i="1" s="1"/>
  <c r="R141" i="1"/>
  <c r="S141" i="1" s="1"/>
  <c r="Q142" i="1"/>
  <c r="X157" i="1" l="1"/>
  <c r="V159" i="1"/>
  <c r="Y156" i="1"/>
  <c r="Z156" i="1"/>
  <c r="Q143" i="1"/>
  <c r="R142" i="1"/>
  <c r="S142" i="1" s="1"/>
  <c r="X158" i="1" l="1"/>
  <c r="V160" i="1"/>
  <c r="Y157" i="1"/>
  <c r="Z157" i="1"/>
  <c r="Q144" i="1"/>
  <c r="R143" i="1"/>
  <c r="S143" i="1" s="1"/>
  <c r="X159" i="1" l="1"/>
  <c r="V161" i="1"/>
  <c r="Y158" i="1"/>
  <c r="Z158" i="1" s="1"/>
  <c r="Q145" i="1"/>
  <c r="R144" i="1"/>
  <c r="S144" i="1" s="1"/>
  <c r="X160" i="1" l="1"/>
  <c r="V162" i="1"/>
  <c r="Y159" i="1"/>
  <c r="Z159" i="1" s="1"/>
  <c r="Q146" i="1"/>
  <c r="R145" i="1"/>
  <c r="S145" i="1" s="1"/>
  <c r="X161" i="1" l="1"/>
  <c r="V163" i="1"/>
  <c r="Y160" i="1"/>
  <c r="Z160" i="1" s="1"/>
  <c r="Q147" i="1"/>
  <c r="R146" i="1"/>
  <c r="S146" i="1" s="1"/>
  <c r="X162" i="1" l="1"/>
  <c r="V164" i="1"/>
  <c r="Y161" i="1"/>
  <c r="Z161" i="1" s="1"/>
  <c r="Q148" i="1"/>
  <c r="R147" i="1"/>
  <c r="S147" i="1" s="1"/>
  <c r="X163" i="1" l="1"/>
  <c r="V165" i="1"/>
  <c r="Y162" i="1"/>
  <c r="Z162" i="1" s="1"/>
  <c r="Q149" i="1"/>
  <c r="R148" i="1"/>
  <c r="S148" i="1" s="1"/>
  <c r="X164" i="1" l="1"/>
  <c r="V166" i="1"/>
  <c r="Y163" i="1"/>
  <c r="Z163" i="1" s="1"/>
  <c r="Q150" i="1"/>
  <c r="R149" i="1"/>
  <c r="S149" i="1" s="1"/>
  <c r="X165" i="1" l="1"/>
  <c r="V167" i="1"/>
  <c r="Y164" i="1"/>
  <c r="Z164" i="1" s="1"/>
  <c r="Q151" i="1"/>
  <c r="R150" i="1"/>
  <c r="S150" i="1" s="1"/>
  <c r="X166" i="1" l="1"/>
  <c r="V168" i="1"/>
  <c r="Y165" i="1"/>
  <c r="Z165" i="1"/>
  <c r="Q152" i="1"/>
  <c r="R151" i="1"/>
  <c r="S151" i="1" s="1"/>
  <c r="X167" i="1" l="1"/>
  <c r="V169" i="1"/>
  <c r="Y166" i="1"/>
  <c r="Z166" i="1" s="1"/>
  <c r="R152" i="1"/>
  <c r="S152" i="1" s="1"/>
  <c r="Q153" i="1"/>
  <c r="X168" i="1" l="1"/>
  <c r="V170" i="1"/>
  <c r="Y167" i="1"/>
  <c r="Z167" i="1" s="1"/>
  <c r="Q154" i="1"/>
  <c r="R153" i="1"/>
  <c r="S153" i="1" s="1"/>
  <c r="X169" i="1" l="1"/>
  <c r="V171" i="1"/>
  <c r="Y168" i="1"/>
  <c r="Z168" i="1" s="1"/>
  <c r="Q155" i="1"/>
  <c r="R154" i="1"/>
  <c r="S154" i="1" s="1"/>
  <c r="X170" i="1" l="1"/>
  <c r="V172" i="1"/>
  <c r="Y169" i="1"/>
  <c r="Z169" i="1" s="1"/>
  <c r="Q156" i="1"/>
  <c r="R155" i="1"/>
  <c r="S155" i="1" s="1"/>
  <c r="X171" i="1" l="1"/>
  <c r="V173" i="1"/>
  <c r="Y170" i="1"/>
  <c r="Z170" i="1" s="1"/>
  <c r="Q157" i="1"/>
  <c r="R156" i="1"/>
  <c r="S156" i="1" s="1"/>
  <c r="X172" i="1" l="1"/>
  <c r="V174" i="1"/>
  <c r="Y171" i="1"/>
  <c r="Z171" i="1" s="1"/>
  <c r="Q158" i="1"/>
  <c r="R157" i="1"/>
  <c r="S157" i="1" s="1"/>
  <c r="V175" i="1" l="1"/>
  <c r="X173" i="1"/>
  <c r="Y172" i="1"/>
  <c r="Z172" i="1" s="1"/>
  <c r="Q159" i="1"/>
  <c r="R158" i="1"/>
  <c r="S158" i="1" s="1"/>
  <c r="Y173" i="1" l="1"/>
  <c r="Z173" i="1" s="1"/>
  <c r="X174" i="1"/>
  <c r="V176" i="1"/>
  <c r="Q160" i="1"/>
  <c r="R159" i="1"/>
  <c r="S159" i="1" s="1"/>
  <c r="Y174" i="1" l="1"/>
  <c r="Z174" i="1" s="1"/>
  <c r="X175" i="1"/>
  <c r="V177" i="1"/>
  <c r="Q161" i="1"/>
  <c r="R160" i="1"/>
  <c r="S160" i="1" s="1"/>
  <c r="X176" i="1" l="1"/>
  <c r="V178" i="1"/>
  <c r="Y175" i="1"/>
  <c r="Z175" i="1"/>
  <c r="Q162" i="1"/>
  <c r="R161" i="1"/>
  <c r="S161" i="1" s="1"/>
  <c r="X177" i="1" l="1"/>
  <c r="V179" i="1"/>
  <c r="Y176" i="1"/>
  <c r="Z176" i="1"/>
  <c r="Q163" i="1"/>
  <c r="R162" i="1"/>
  <c r="S162" i="1" s="1"/>
  <c r="X178" i="1" l="1"/>
  <c r="V180" i="1"/>
  <c r="Y177" i="1"/>
  <c r="Z177" i="1" s="1"/>
  <c r="R163" i="1"/>
  <c r="S163" i="1" s="1"/>
  <c r="Q164" i="1"/>
  <c r="X179" i="1" l="1"/>
  <c r="V181" i="1"/>
  <c r="Y178" i="1"/>
  <c r="Z178" i="1" s="1"/>
  <c r="Q165" i="1"/>
  <c r="R164" i="1"/>
  <c r="S164" i="1" s="1"/>
  <c r="V182" i="1" l="1"/>
  <c r="X180" i="1"/>
  <c r="Y179" i="1"/>
  <c r="Z179" i="1" s="1"/>
  <c r="Q166" i="1"/>
  <c r="R165" i="1"/>
  <c r="S165" i="1" s="1"/>
  <c r="Y180" i="1" l="1"/>
  <c r="Z180" i="1" s="1"/>
  <c r="X181" i="1"/>
  <c r="V183" i="1"/>
  <c r="Q167" i="1"/>
  <c r="R166" i="1"/>
  <c r="S166" i="1" s="1"/>
  <c r="X182" i="1" l="1"/>
  <c r="V184" i="1"/>
  <c r="Y181" i="1"/>
  <c r="Z181" i="1" s="1"/>
  <c r="Q168" i="1"/>
  <c r="R167" i="1"/>
  <c r="S167" i="1" s="1"/>
  <c r="V185" i="1" l="1"/>
  <c r="X183" i="1"/>
  <c r="Y182" i="1"/>
  <c r="Z182" i="1" s="1"/>
  <c r="Q169" i="1"/>
  <c r="R168" i="1"/>
  <c r="S168" i="1" s="1"/>
  <c r="Y183" i="1" l="1"/>
  <c r="Z183" i="1" s="1"/>
  <c r="X184" i="1"/>
  <c r="V186" i="1"/>
  <c r="Q170" i="1"/>
  <c r="R169" i="1"/>
  <c r="S169" i="1" s="1"/>
  <c r="Y184" i="1" l="1"/>
  <c r="Z184" i="1" s="1"/>
  <c r="X185" i="1"/>
  <c r="V187" i="1"/>
  <c r="Q171" i="1"/>
  <c r="R170" i="1"/>
  <c r="S170" i="1" s="1"/>
  <c r="Y185" i="1" l="1"/>
  <c r="Z185" i="1" s="1"/>
  <c r="X186" i="1"/>
  <c r="V188" i="1"/>
  <c r="Q172" i="1"/>
  <c r="R171" i="1"/>
  <c r="S171" i="1" s="1"/>
  <c r="X187" i="1" l="1"/>
  <c r="V189" i="1"/>
  <c r="Y186" i="1"/>
  <c r="Z186" i="1" s="1"/>
  <c r="Q173" i="1"/>
  <c r="R172" i="1"/>
  <c r="S172" i="1" s="1"/>
  <c r="X188" i="1" l="1"/>
  <c r="V190" i="1"/>
  <c r="Y187" i="1"/>
  <c r="Z187" i="1"/>
  <c r="Q174" i="1"/>
  <c r="R173" i="1"/>
  <c r="S173" i="1" s="1"/>
  <c r="X189" i="1" l="1"/>
  <c r="V191" i="1"/>
  <c r="Y188" i="1"/>
  <c r="Z188" i="1"/>
  <c r="Q175" i="1"/>
  <c r="R174" i="1"/>
  <c r="S174" i="1" s="1"/>
  <c r="X190" i="1" l="1"/>
  <c r="V192" i="1"/>
  <c r="Y189" i="1"/>
  <c r="Z189" i="1" s="1"/>
  <c r="Q176" i="1"/>
  <c r="R175" i="1"/>
  <c r="S175" i="1" s="1"/>
  <c r="X191" i="1" l="1"/>
  <c r="V193" i="1"/>
  <c r="Y190" i="1"/>
  <c r="Z190" i="1" s="1"/>
  <c r="Q177" i="1"/>
  <c r="R176" i="1"/>
  <c r="S176" i="1" s="1"/>
  <c r="X192" i="1" l="1"/>
  <c r="V194" i="1"/>
  <c r="Y191" i="1"/>
  <c r="Z191" i="1" s="1"/>
  <c r="Q178" i="1"/>
  <c r="R177" i="1"/>
  <c r="S177" i="1" s="1"/>
  <c r="X193" i="1" l="1"/>
  <c r="V195" i="1"/>
  <c r="Y192" i="1"/>
  <c r="Z192" i="1" s="1"/>
  <c r="Q179" i="1"/>
  <c r="R178" i="1"/>
  <c r="S178" i="1" s="1"/>
  <c r="X194" i="1" l="1"/>
  <c r="V196" i="1"/>
  <c r="Y193" i="1"/>
  <c r="Z193" i="1" s="1"/>
  <c r="Q180" i="1"/>
  <c r="R179" i="1"/>
  <c r="S179" i="1" s="1"/>
  <c r="X195" i="1" l="1"/>
  <c r="V197" i="1"/>
  <c r="Y194" i="1"/>
  <c r="Z194" i="1"/>
  <c r="Q181" i="1"/>
  <c r="R180" i="1"/>
  <c r="S180" i="1" s="1"/>
  <c r="X196" i="1" l="1"/>
  <c r="V198" i="1"/>
  <c r="Y195" i="1"/>
  <c r="Z195" i="1" s="1"/>
  <c r="Q182" i="1"/>
  <c r="R181" i="1"/>
  <c r="S181" i="1" s="1"/>
  <c r="V199" i="1" l="1"/>
  <c r="X197" i="1"/>
  <c r="Y196" i="1"/>
  <c r="Z196" i="1"/>
  <c r="Q183" i="1"/>
  <c r="R182" i="1"/>
  <c r="S182" i="1" s="1"/>
  <c r="Y197" i="1" l="1"/>
  <c r="Z197" i="1" s="1"/>
  <c r="V200" i="1"/>
  <c r="X198" i="1"/>
  <c r="Y198" i="1" s="1"/>
  <c r="Z198" i="1" s="1"/>
  <c r="Q184" i="1"/>
  <c r="R183" i="1"/>
  <c r="S183" i="1" s="1"/>
  <c r="X199" i="1" l="1"/>
  <c r="V201" i="1"/>
  <c r="Q185" i="1"/>
  <c r="R184" i="1"/>
  <c r="S184" i="1" s="1"/>
  <c r="V202" i="1" l="1"/>
  <c r="X200" i="1"/>
  <c r="Y199" i="1"/>
  <c r="Z199" i="1"/>
  <c r="Q186" i="1"/>
  <c r="R185" i="1"/>
  <c r="S185" i="1" s="1"/>
  <c r="Y200" i="1" l="1"/>
  <c r="Z200" i="1" s="1"/>
  <c r="X201" i="1"/>
  <c r="V203" i="1"/>
  <c r="Q187" i="1"/>
  <c r="R186" i="1"/>
  <c r="S186" i="1" s="1"/>
  <c r="X202" i="1" l="1"/>
  <c r="V204" i="1"/>
  <c r="Y201" i="1"/>
  <c r="Z201" i="1" s="1"/>
  <c r="Q188" i="1"/>
  <c r="R187" i="1"/>
  <c r="S187" i="1" s="1"/>
  <c r="V205" i="1" l="1"/>
  <c r="X203" i="1"/>
  <c r="Y202" i="1"/>
  <c r="Z202" i="1" s="1"/>
  <c r="Q189" i="1"/>
  <c r="R188" i="1"/>
  <c r="S188" i="1" s="1"/>
  <c r="Y203" i="1" l="1"/>
  <c r="Z203" i="1"/>
  <c r="X204" i="1"/>
  <c r="V206" i="1"/>
  <c r="Q190" i="1"/>
  <c r="R189" i="1"/>
  <c r="S189" i="1" s="1"/>
  <c r="V207" i="1" l="1"/>
  <c r="X205" i="1"/>
  <c r="Y204" i="1"/>
  <c r="Z204" i="1"/>
  <c r="Q191" i="1"/>
  <c r="R190" i="1"/>
  <c r="S190" i="1" s="1"/>
  <c r="Y205" i="1" l="1"/>
  <c r="Z205" i="1" s="1"/>
  <c r="V208" i="1"/>
  <c r="X206" i="1"/>
  <c r="Q192" i="1"/>
  <c r="R191" i="1"/>
  <c r="S191" i="1" s="1"/>
  <c r="Y206" i="1" l="1"/>
  <c r="Z206" i="1" s="1"/>
  <c r="X207" i="1"/>
  <c r="V209" i="1"/>
  <c r="Q193" i="1"/>
  <c r="R192" i="1"/>
  <c r="S192" i="1" s="1"/>
  <c r="X208" i="1" l="1"/>
  <c r="V210" i="1"/>
  <c r="Y207" i="1"/>
  <c r="Z207" i="1"/>
  <c r="Q194" i="1"/>
  <c r="R193" i="1"/>
  <c r="S193" i="1" s="1"/>
  <c r="X209" i="1" l="1"/>
  <c r="V211" i="1"/>
  <c r="Y208" i="1"/>
  <c r="Z208" i="1" s="1"/>
  <c r="Q195" i="1"/>
  <c r="R194" i="1"/>
  <c r="S194" i="1" s="1"/>
  <c r="X210" i="1" l="1"/>
  <c r="V212" i="1"/>
  <c r="Y209" i="1"/>
  <c r="Z209" i="1" s="1"/>
  <c r="Q196" i="1"/>
  <c r="R195" i="1"/>
  <c r="S195" i="1" s="1"/>
  <c r="X211" i="1" l="1"/>
  <c r="V213" i="1"/>
  <c r="Y210" i="1"/>
  <c r="Z210" i="1"/>
  <c r="Q197" i="1"/>
  <c r="R196" i="1"/>
  <c r="S196" i="1" s="1"/>
  <c r="X212" i="1" l="1"/>
  <c r="V214" i="1"/>
  <c r="Y211" i="1"/>
  <c r="Z211" i="1" s="1"/>
  <c r="Q198" i="1"/>
  <c r="R197" i="1"/>
  <c r="S197" i="1" s="1"/>
  <c r="X213" i="1" l="1"/>
  <c r="V215" i="1"/>
  <c r="Y212" i="1"/>
  <c r="Z212" i="1" s="1"/>
  <c r="Q199" i="1"/>
  <c r="R198" i="1"/>
  <c r="S198" i="1" s="1"/>
  <c r="V216" i="1" l="1"/>
  <c r="X214" i="1"/>
  <c r="Y213" i="1"/>
  <c r="Z213" i="1"/>
  <c r="Q200" i="1"/>
  <c r="R199" i="1"/>
  <c r="S199" i="1" s="1"/>
  <c r="Y214" i="1" l="1"/>
  <c r="Z214" i="1"/>
  <c r="X215" i="1"/>
  <c r="Y215" i="1" s="1"/>
  <c r="Z215" i="1" s="1"/>
  <c r="V217" i="1"/>
  <c r="Q201" i="1"/>
  <c r="R200" i="1"/>
  <c r="S200" i="1" s="1"/>
  <c r="X216" i="1" l="1"/>
  <c r="V218" i="1"/>
  <c r="Q202" i="1"/>
  <c r="R201" i="1"/>
  <c r="S201" i="1" s="1"/>
  <c r="V219" i="1" l="1"/>
  <c r="X217" i="1"/>
  <c r="Y216" i="1"/>
  <c r="Z216" i="1" s="1"/>
  <c r="Q203" i="1"/>
  <c r="R202" i="1"/>
  <c r="S202" i="1" s="1"/>
  <c r="Y217" i="1" l="1"/>
  <c r="Z217" i="1"/>
  <c r="X218" i="1"/>
  <c r="V220" i="1"/>
  <c r="Q204" i="1"/>
  <c r="R203" i="1"/>
  <c r="S203" i="1" s="1"/>
  <c r="Y218" i="1" l="1"/>
  <c r="Z218" i="1"/>
  <c r="X219" i="1"/>
  <c r="V221" i="1"/>
  <c r="Q205" i="1"/>
  <c r="R204" i="1"/>
  <c r="S204" i="1" s="1"/>
  <c r="X220" i="1" l="1"/>
  <c r="V222" i="1"/>
  <c r="Y219" i="1"/>
  <c r="Z219" i="1"/>
  <c r="Q206" i="1"/>
  <c r="R205" i="1"/>
  <c r="S205" i="1" s="1"/>
  <c r="X221" i="1" l="1"/>
  <c r="V223" i="1"/>
  <c r="Y220" i="1"/>
  <c r="Z220" i="1"/>
  <c r="Q207" i="1"/>
  <c r="R206" i="1"/>
  <c r="S206" i="1" s="1"/>
  <c r="X222" i="1" l="1"/>
  <c r="V224" i="1"/>
  <c r="Y221" i="1"/>
  <c r="Z221" i="1" s="1"/>
  <c r="Q208" i="1"/>
  <c r="R207" i="1"/>
  <c r="S207" i="1" s="1"/>
  <c r="X223" i="1" l="1"/>
  <c r="V225" i="1"/>
  <c r="Y222" i="1"/>
  <c r="Z222" i="1" s="1"/>
  <c r="Q209" i="1"/>
  <c r="R208" i="1"/>
  <c r="S208" i="1" s="1"/>
  <c r="X224" i="1" l="1"/>
  <c r="V226" i="1"/>
  <c r="Y223" i="1"/>
  <c r="Z223" i="1"/>
  <c r="Q210" i="1"/>
  <c r="R209" i="1"/>
  <c r="S209" i="1" s="1"/>
  <c r="X225" i="1" l="1"/>
  <c r="V227" i="1"/>
  <c r="Y224" i="1"/>
  <c r="Z224" i="1" s="1"/>
  <c r="Q211" i="1"/>
  <c r="R210" i="1"/>
  <c r="S210" i="1" s="1"/>
  <c r="V228" i="1" l="1"/>
  <c r="X226" i="1"/>
  <c r="Y225" i="1"/>
  <c r="Z225" i="1" s="1"/>
  <c r="Q212" i="1"/>
  <c r="R211" i="1"/>
  <c r="S211" i="1" s="1"/>
  <c r="Y226" i="1" l="1"/>
  <c r="Z226" i="1"/>
  <c r="X227" i="1"/>
  <c r="Y227" i="1" s="1"/>
  <c r="Z227" i="1" s="1"/>
  <c r="V229" i="1"/>
  <c r="Q213" i="1"/>
  <c r="R212" i="1"/>
  <c r="S212" i="1" s="1"/>
  <c r="X228" i="1" l="1"/>
  <c r="V230" i="1"/>
  <c r="Q214" i="1"/>
  <c r="R213" i="1"/>
  <c r="S213" i="1" s="1"/>
  <c r="Y228" i="1" l="1"/>
  <c r="Z228" i="1" s="1"/>
  <c r="X229" i="1"/>
  <c r="V231" i="1"/>
  <c r="Q215" i="1"/>
  <c r="R214" i="1"/>
  <c r="S214" i="1" s="1"/>
  <c r="X230" i="1" l="1"/>
  <c r="V232" i="1"/>
  <c r="Y229" i="1"/>
  <c r="Z229" i="1"/>
  <c r="Q216" i="1"/>
  <c r="R215" i="1"/>
  <c r="S215" i="1" s="1"/>
  <c r="X231" i="1" l="1"/>
  <c r="V233" i="1"/>
  <c r="Y230" i="1"/>
  <c r="Z230" i="1" s="1"/>
  <c r="Q217" i="1"/>
  <c r="R216" i="1"/>
  <c r="S216" i="1" s="1"/>
  <c r="V234" i="1" l="1"/>
  <c r="X232" i="1"/>
  <c r="Y231" i="1"/>
  <c r="Z231" i="1" s="1"/>
  <c r="Q218" i="1"/>
  <c r="R217" i="1"/>
  <c r="S217" i="1" s="1"/>
  <c r="Y232" i="1" l="1"/>
  <c r="Z232" i="1" s="1"/>
  <c r="X233" i="1"/>
  <c r="V235" i="1"/>
  <c r="Q219" i="1"/>
  <c r="R218" i="1"/>
  <c r="S218" i="1" s="1"/>
  <c r="X234" i="1" l="1"/>
  <c r="V236" i="1"/>
  <c r="Y233" i="1"/>
  <c r="Z233" i="1" s="1"/>
  <c r="Q220" i="1"/>
  <c r="R219" i="1"/>
  <c r="S219" i="1" s="1"/>
  <c r="X235" i="1" l="1"/>
  <c r="V237" i="1"/>
  <c r="Y234" i="1"/>
  <c r="Z234" i="1" s="1"/>
  <c r="Q221" i="1"/>
  <c r="R220" i="1"/>
  <c r="S220" i="1" s="1"/>
  <c r="X236" i="1" l="1"/>
  <c r="V238" i="1"/>
  <c r="Y235" i="1"/>
  <c r="Z235" i="1" s="1"/>
  <c r="Q222" i="1"/>
  <c r="R221" i="1"/>
  <c r="S221" i="1" s="1"/>
  <c r="X237" i="1" l="1"/>
  <c r="V239" i="1"/>
  <c r="Y236" i="1"/>
  <c r="Z236" i="1"/>
  <c r="Q223" i="1"/>
  <c r="R222" i="1"/>
  <c r="S222" i="1" s="1"/>
  <c r="X238" i="1" l="1"/>
  <c r="V240" i="1"/>
  <c r="Y237" i="1"/>
  <c r="Z237" i="1" s="1"/>
  <c r="Q224" i="1"/>
  <c r="R223" i="1"/>
  <c r="S223" i="1" s="1"/>
  <c r="Y238" i="1" l="1"/>
  <c r="Z238" i="1"/>
  <c r="V241" i="1"/>
  <c r="X239" i="1"/>
  <c r="Q225" i="1"/>
  <c r="R224" i="1"/>
  <c r="S224" i="1" s="1"/>
  <c r="Y239" i="1" l="1"/>
  <c r="Z239" i="1" s="1"/>
  <c r="X240" i="1"/>
  <c r="V242" i="1"/>
  <c r="Q226" i="1"/>
  <c r="R225" i="1"/>
  <c r="S225" i="1" s="1"/>
  <c r="X241" i="1" l="1"/>
  <c r="V243" i="1"/>
  <c r="Y240" i="1"/>
  <c r="Z240" i="1" s="1"/>
  <c r="Q227" i="1"/>
  <c r="R226" i="1"/>
  <c r="S226" i="1" s="1"/>
  <c r="Y241" i="1" l="1"/>
  <c r="Z241" i="1"/>
  <c r="X242" i="1"/>
  <c r="V244" i="1"/>
  <c r="Q228" i="1"/>
  <c r="R227" i="1"/>
  <c r="S227" i="1" s="1"/>
  <c r="V245" i="1" l="1"/>
  <c r="X243" i="1"/>
  <c r="Y242" i="1"/>
  <c r="Z242" i="1"/>
  <c r="Q229" i="1"/>
  <c r="R228" i="1"/>
  <c r="S228" i="1" s="1"/>
  <c r="Y243" i="1" l="1"/>
  <c r="Z243" i="1"/>
  <c r="X244" i="1"/>
  <c r="V246" i="1"/>
  <c r="Q230" i="1"/>
  <c r="R229" i="1"/>
  <c r="S229" i="1" s="1"/>
  <c r="Y244" i="1" l="1"/>
  <c r="Z244" i="1"/>
  <c r="V247" i="1"/>
  <c r="X245" i="1"/>
  <c r="Y245" i="1" s="1"/>
  <c r="Z245" i="1" s="1"/>
  <c r="Q231" i="1"/>
  <c r="R230" i="1"/>
  <c r="S230" i="1" s="1"/>
  <c r="X246" i="1" l="1"/>
  <c r="Y246" i="1" s="1"/>
  <c r="Z246" i="1" s="1"/>
  <c r="V248" i="1"/>
  <c r="Q232" i="1"/>
  <c r="R231" i="1"/>
  <c r="S231" i="1" s="1"/>
  <c r="V249" i="1" l="1"/>
  <c r="X247" i="1"/>
  <c r="Y247" i="1" s="1"/>
  <c r="Z247" i="1" s="1"/>
  <c r="Q233" i="1"/>
  <c r="R232" i="1"/>
  <c r="S232" i="1" s="1"/>
  <c r="X248" i="1" l="1"/>
  <c r="V250" i="1"/>
  <c r="Q234" i="1"/>
  <c r="R233" i="1"/>
  <c r="S233" i="1" s="1"/>
  <c r="X249" i="1" l="1"/>
  <c r="V251" i="1"/>
  <c r="Y248" i="1"/>
  <c r="Z248" i="1"/>
  <c r="Q235" i="1"/>
  <c r="R234" i="1"/>
  <c r="S234" i="1" s="1"/>
  <c r="X250" i="1" l="1"/>
  <c r="V252" i="1"/>
  <c r="Y249" i="1"/>
  <c r="Z249" i="1" s="1"/>
  <c r="Q236" i="1"/>
  <c r="R235" i="1"/>
  <c r="S235" i="1" s="1"/>
  <c r="X251" i="1" l="1"/>
  <c r="V253" i="1"/>
  <c r="Y250" i="1"/>
  <c r="Z250" i="1"/>
  <c r="Q237" i="1"/>
  <c r="R236" i="1"/>
  <c r="S236" i="1" s="1"/>
  <c r="X252" i="1" l="1"/>
  <c r="V254" i="1"/>
  <c r="Y251" i="1"/>
  <c r="Z251" i="1"/>
  <c r="Q238" i="1"/>
  <c r="R237" i="1"/>
  <c r="S237" i="1" s="1"/>
  <c r="X253" i="1" l="1"/>
  <c r="V255" i="1"/>
  <c r="Y252" i="1"/>
  <c r="Z252" i="1"/>
  <c r="Q239" i="1"/>
  <c r="R238" i="1"/>
  <c r="S238" i="1" s="1"/>
  <c r="X254" i="1" l="1"/>
  <c r="V256" i="1"/>
  <c r="Y253" i="1"/>
  <c r="Z253" i="1" s="1"/>
  <c r="Q240" i="1"/>
  <c r="R239" i="1"/>
  <c r="S239" i="1" s="1"/>
  <c r="V257" i="1" l="1"/>
  <c r="X255" i="1"/>
  <c r="Y254" i="1"/>
  <c r="Z254" i="1" s="1"/>
  <c r="Q241" i="1"/>
  <c r="R240" i="1"/>
  <c r="S240" i="1" s="1"/>
  <c r="Y255" i="1" l="1"/>
  <c r="Z255" i="1" s="1"/>
  <c r="V258" i="1"/>
  <c r="X256" i="1"/>
  <c r="Y256" i="1" s="1"/>
  <c r="Z256" i="1" s="1"/>
  <c r="Q242" i="1"/>
  <c r="R241" i="1"/>
  <c r="S241" i="1" s="1"/>
  <c r="X257" i="1" l="1"/>
  <c r="Y257" i="1" s="1"/>
  <c r="Z257" i="1" s="1"/>
  <c r="V259" i="1"/>
  <c r="Q243" i="1"/>
  <c r="R242" i="1"/>
  <c r="S242" i="1" s="1"/>
  <c r="V260" i="1" l="1"/>
  <c r="X258" i="1"/>
  <c r="Y258" i="1" s="1"/>
  <c r="Z258" i="1" s="1"/>
  <c r="Q244" i="1"/>
  <c r="R243" i="1"/>
  <c r="S243" i="1" s="1"/>
  <c r="V261" i="1" l="1"/>
  <c r="X259" i="1"/>
  <c r="Y259" i="1" s="1"/>
  <c r="Z259" i="1" s="1"/>
  <c r="Q245" i="1"/>
  <c r="R244" i="1"/>
  <c r="S244" i="1" s="1"/>
  <c r="X260" i="1" l="1"/>
  <c r="Y260" i="1" s="1"/>
  <c r="Z260" i="1" s="1"/>
  <c r="V262" i="1"/>
  <c r="Q246" i="1"/>
  <c r="R245" i="1"/>
  <c r="S245" i="1" s="1"/>
  <c r="X261" i="1" l="1"/>
  <c r="Y261" i="1" s="1"/>
  <c r="Z261" i="1" s="1"/>
  <c r="V263" i="1"/>
  <c r="Q247" i="1"/>
  <c r="R246" i="1"/>
  <c r="S246" i="1" s="1"/>
  <c r="X262" i="1" l="1"/>
  <c r="Y262" i="1" s="1"/>
  <c r="Z262" i="1" s="1"/>
  <c r="V264" i="1"/>
  <c r="Q248" i="1"/>
  <c r="R247" i="1"/>
  <c r="S247" i="1" s="1"/>
  <c r="X263" i="1" l="1"/>
  <c r="V265" i="1"/>
  <c r="Q249" i="1"/>
  <c r="R248" i="1"/>
  <c r="S248" i="1" s="1"/>
  <c r="X264" i="1" l="1"/>
  <c r="V266" i="1"/>
  <c r="Y263" i="1"/>
  <c r="Z263" i="1" s="1"/>
  <c r="Q250" i="1"/>
  <c r="R249" i="1"/>
  <c r="S249" i="1" s="1"/>
  <c r="X265" i="1" l="1"/>
  <c r="V267" i="1"/>
  <c r="Y264" i="1"/>
  <c r="Z264" i="1" s="1"/>
  <c r="Q251" i="1"/>
  <c r="R250" i="1"/>
  <c r="S250" i="1" s="1"/>
  <c r="X266" i="1" l="1"/>
  <c r="V268" i="1"/>
  <c r="Y265" i="1"/>
  <c r="Z265" i="1" s="1"/>
  <c r="Q252" i="1"/>
  <c r="R251" i="1"/>
  <c r="S251" i="1" s="1"/>
  <c r="X267" i="1" l="1"/>
  <c r="V269" i="1"/>
  <c r="Y266" i="1"/>
  <c r="Z266" i="1" s="1"/>
  <c r="Q253" i="1"/>
  <c r="R252" i="1"/>
  <c r="S252" i="1" s="1"/>
  <c r="X268" i="1" l="1"/>
  <c r="V270" i="1"/>
  <c r="Y267" i="1"/>
  <c r="Z267" i="1" s="1"/>
  <c r="Q254" i="1"/>
  <c r="R253" i="1"/>
  <c r="S253" i="1" s="1"/>
  <c r="X269" i="1" l="1"/>
  <c r="V271" i="1"/>
  <c r="Y268" i="1"/>
  <c r="Z268" i="1" s="1"/>
  <c r="Q255" i="1"/>
  <c r="R254" i="1"/>
  <c r="S254" i="1" s="1"/>
  <c r="V272" i="1" l="1"/>
  <c r="X270" i="1"/>
  <c r="Y269" i="1"/>
  <c r="Z269" i="1" s="1"/>
  <c r="Q256" i="1"/>
  <c r="R255" i="1"/>
  <c r="S255" i="1" s="1"/>
  <c r="Y270" i="1" l="1"/>
  <c r="Z270" i="1" s="1"/>
  <c r="X271" i="1"/>
  <c r="V273" i="1"/>
  <c r="Q257" i="1"/>
  <c r="R256" i="1"/>
  <c r="S256" i="1" s="1"/>
  <c r="V274" i="1" l="1"/>
  <c r="X272" i="1"/>
  <c r="Y271" i="1"/>
  <c r="Z271" i="1" s="1"/>
  <c r="Q258" i="1"/>
  <c r="R257" i="1"/>
  <c r="S257" i="1" s="1"/>
  <c r="Y272" i="1" l="1"/>
  <c r="Z272" i="1" s="1"/>
  <c r="X273" i="1"/>
  <c r="Y273" i="1" s="1"/>
  <c r="Z273" i="1" s="1"/>
  <c r="V275" i="1"/>
  <c r="Q259" i="1"/>
  <c r="R258" i="1"/>
  <c r="S258" i="1" s="1"/>
  <c r="V276" i="1" l="1"/>
  <c r="X274" i="1"/>
  <c r="Q260" i="1"/>
  <c r="R259" i="1"/>
  <c r="S259" i="1" s="1"/>
  <c r="Y274" i="1" l="1"/>
  <c r="Z274" i="1" s="1"/>
  <c r="X275" i="1"/>
  <c r="V277" i="1"/>
  <c r="Q261" i="1"/>
  <c r="R260" i="1"/>
  <c r="S260" i="1" s="1"/>
  <c r="V278" i="1" l="1"/>
  <c r="X276" i="1"/>
  <c r="Y275" i="1"/>
  <c r="Z275" i="1"/>
  <c r="Q262" i="1"/>
  <c r="R261" i="1"/>
  <c r="S261" i="1" s="1"/>
  <c r="Y276" i="1" l="1"/>
  <c r="Z276" i="1" s="1"/>
  <c r="X277" i="1"/>
  <c r="V279" i="1"/>
  <c r="Q263" i="1"/>
  <c r="R262" i="1"/>
  <c r="S262" i="1" s="1"/>
  <c r="X278" i="1" l="1"/>
  <c r="V280" i="1"/>
  <c r="Y277" i="1"/>
  <c r="Z277" i="1"/>
  <c r="Q264" i="1"/>
  <c r="R263" i="1"/>
  <c r="S263" i="1" s="1"/>
  <c r="X279" i="1" l="1"/>
  <c r="V281" i="1"/>
  <c r="Y278" i="1"/>
  <c r="Z278" i="1"/>
  <c r="Q265" i="1"/>
  <c r="R264" i="1"/>
  <c r="S264" i="1" s="1"/>
  <c r="X280" i="1" l="1"/>
  <c r="V282" i="1"/>
  <c r="Y279" i="1"/>
  <c r="Z279" i="1" s="1"/>
  <c r="Q266" i="1"/>
  <c r="R265" i="1"/>
  <c r="S265" i="1" s="1"/>
  <c r="X281" i="1" l="1"/>
  <c r="V283" i="1"/>
  <c r="Y280" i="1"/>
  <c r="Z280" i="1" s="1"/>
  <c r="Q267" i="1"/>
  <c r="R266" i="1"/>
  <c r="S266" i="1" s="1"/>
  <c r="X282" i="1" l="1"/>
  <c r="V284" i="1"/>
  <c r="Y281" i="1"/>
  <c r="Z281" i="1" s="1"/>
  <c r="Q268" i="1"/>
  <c r="R267" i="1"/>
  <c r="S267" i="1" s="1"/>
  <c r="X283" i="1" l="1"/>
  <c r="V285" i="1"/>
  <c r="Y282" i="1"/>
  <c r="Z282" i="1" s="1"/>
  <c r="Q269" i="1"/>
  <c r="R268" i="1"/>
  <c r="S268" i="1" s="1"/>
  <c r="X284" i="1" l="1"/>
  <c r="V286" i="1"/>
  <c r="Y283" i="1"/>
  <c r="Z283" i="1" s="1"/>
  <c r="Q270" i="1"/>
  <c r="R269" i="1"/>
  <c r="S269" i="1" s="1"/>
  <c r="X285" i="1" l="1"/>
  <c r="V287" i="1"/>
  <c r="Y284" i="1"/>
  <c r="Z284" i="1" s="1"/>
  <c r="Q271" i="1"/>
  <c r="R270" i="1"/>
  <c r="S270" i="1" s="1"/>
  <c r="X286" i="1" l="1"/>
  <c r="V288" i="1"/>
  <c r="Y285" i="1"/>
  <c r="Z285" i="1" s="1"/>
  <c r="Q272" i="1"/>
  <c r="R271" i="1"/>
  <c r="S271" i="1" s="1"/>
  <c r="X287" i="1" l="1"/>
  <c r="V289" i="1"/>
  <c r="Y286" i="1"/>
  <c r="Z286" i="1" s="1"/>
  <c r="Q273" i="1"/>
  <c r="R272" i="1"/>
  <c r="S272" i="1" s="1"/>
  <c r="X288" i="1" l="1"/>
  <c r="V290" i="1"/>
  <c r="Y287" i="1"/>
  <c r="Z287" i="1" s="1"/>
  <c r="Q274" i="1"/>
  <c r="R273" i="1"/>
  <c r="S273" i="1" s="1"/>
  <c r="X289" i="1" l="1"/>
  <c r="V291" i="1"/>
  <c r="Y288" i="1"/>
  <c r="Z288" i="1" s="1"/>
  <c r="Q275" i="1"/>
  <c r="R274" i="1"/>
  <c r="S274" i="1" s="1"/>
  <c r="X290" i="1" l="1"/>
  <c r="V292" i="1"/>
  <c r="Y289" i="1"/>
  <c r="Z289" i="1" s="1"/>
  <c r="Q276" i="1"/>
  <c r="R275" i="1"/>
  <c r="S275" i="1" s="1"/>
  <c r="X291" i="1" l="1"/>
  <c r="V293" i="1"/>
  <c r="Y290" i="1"/>
  <c r="Z290" i="1"/>
  <c r="Q277" i="1"/>
  <c r="R276" i="1"/>
  <c r="S276" i="1" s="1"/>
  <c r="X292" i="1" l="1"/>
  <c r="V294" i="1"/>
  <c r="Y291" i="1"/>
  <c r="Z291" i="1" s="1"/>
  <c r="Q278" i="1"/>
  <c r="R277" i="1"/>
  <c r="S277" i="1" s="1"/>
  <c r="X293" i="1" l="1"/>
  <c r="V295" i="1"/>
  <c r="Y292" i="1"/>
  <c r="Z292" i="1" s="1"/>
  <c r="Q279" i="1"/>
  <c r="R278" i="1"/>
  <c r="S278" i="1" s="1"/>
  <c r="X294" i="1" l="1"/>
  <c r="V296" i="1"/>
  <c r="Y293" i="1"/>
  <c r="Z293" i="1" s="1"/>
  <c r="Q280" i="1"/>
  <c r="R279" i="1"/>
  <c r="S279" i="1" s="1"/>
  <c r="X295" i="1" l="1"/>
  <c r="V297" i="1"/>
  <c r="Y294" i="1"/>
  <c r="Z294" i="1" s="1"/>
  <c r="Q281" i="1"/>
  <c r="R280" i="1"/>
  <c r="S280" i="1" s="1"/>
  <c r="X296" i="1" l="1"/>
  <c r="V298" i="1"/>
  <c r="Y295" i="1"/>
  <c r="Z295" i="1" s="1"/>
  <c r="Q282" i="1"/>
  <c r="R281" i="1"/>
  <c r="S281" i="1" s="1"/>
  <c r="X297" i="1" l="1"/>
  <c r="V299" i="1"/>
  <c r="Y296" i="1"/>
  <c r="Z296" i="1"/>
  <c r="Q283" i="1"/>
  <c r="R282" i="1"/>
  <c r="S282" i="1" s="1"/>
  <c r="X298" i="1" l="1"/>
  <c r="V300" i="1"/>
  <c r="Y297" i="1"/>
  <c r="Z297" i="1" s="1"/>
  <c r="Q284" i="1"/>
  <c r="R283" i="1"/>
  <c r="S283" i="1" s="1"/>
  <c r="X299" i="1" l="1"/>
  <c r="V301" i="1"/>
  <c r="Y298" i="1"/>
  <c r="Z298" i="1" s="1"/>
  <c r="Q285" i="1"/>
  <c r="R284" i="1"/>
  <c r="S284" i="1" s="1"/>
  <c r="X300" i="1" l="1"/>
  <c r="V302" i="1"/>
  <c r="Y299" i="1"/>
  <c r="Z299" i="1" s="1"/>
  <c r="Q286" i="1"/>
  <c r="R285" i="1"/>
  <c r="S285" i="1" s="1"/>
  <c r="X301" i="1" l="1"/>
  <c r="V303" i="1"/>
  <c r="Y300" i="1"/>
  <c r="Z300" i="1"/>
  <c r="Q287" i="1"/>
  <c r="R286" i="1"/>
  <c r="S286" i="1" s="1"/>
  <c r="X302" i="1" l="1"/>
  <c r="V304" i="1"/>
  <c r="Y301" i="1"/>
  <c r="Z301" i="1" s="1"/>
  <c r="Q288" i="1"/>
  <c r="R287" i="1"/>
  <c r="S287" i="1" s="1"/>
  <c r="X303" i="1" l="1"/>
  <c r="V305" i="1"/>
  <c r="Y302" i="1"/>
  <c r="Z302" i="1" s="1"/>
  <c r="Q289" i="1"/>
  <c r="R288" i="1"/>
  <c r="S288" i="1" s="1"/>
  <c r="X304" i="1" l="1"/>
  <c r="V306" i="1"/>
  <c r="Y303" i="1"/>
  <c r="Z303" i="1"/>
  <c r="Q290" i="1"/>
  <c r="R289" i="1"/>
  <c r="S289" i="1" s="1"/>
  <c r="X305" i="1" l="1"/>
  <c r="V307" i="1"/>
  <c r="Y304" i="1"/>
  <c r="Z304" i="1" s="1"/>
  <c r="Q291" i="1"/>
  <c r="R290" i="1"/>
  <c r="S290" i="1" s="1"/>
  <c r="X306" i="1" l="1"/>
  <c r="V308" i="1"/>
  <c r="Y305" i="1"/>
  <c r="Z305" i="1"/>
  <c r="Q292" i="1"/>
  <c r="R291" i="1"/>
  <c r="S291" i="1" s="1"/>
  <c r="X307" i="1" l="1"/>
  <c r="V309" i="1"/>
  <c r="Y306" i="1"/>
  <c r="Z306" i="1"/>
  <c r="Q293" i="1"/>
  <c r="R292" i="1"/>
  <c r="S292" i="1" s="1"/>
  <c r="V310" i="1" l="1"/>
  <c r="X308" i="1"/>
  <c r="Y307" i="1"/>
  <c r="Z307" i="1"/>
  <c r="Q294" i="1"/>
  <c r="R293" i="1"/>
  <c r="S293" i="1" s="1"/>
  <c r="Y308" i="1" l="1"/>
  <c r="Z308" i="1"/>
  <c r="X309" i="1"/>
  <c r="Y309" i="1" s="1"/>
  <c r="Z309" i="1" s="1"/>
  <c r="V311" i="1"/>
  <c r="Q295" i="1"/>
  <c r="R294" i="1"/>
  <c r="S294" i="1" s="1"/>
  <c r="X310" i="1" l="1"/>
  <c r="Y310" i="1" s="1"/>
  <c r="Z310" i="1" s="1"/>
  <c r="V312" i="1"/>
  <c r="Q296" i="1"/>
  <c r="R295" i="1"/>
  <c r="S295" i="1" s="1"/>
  <c r="X311" i="1" l="1"/>
  <c r="V313" i="1"/>
  <c r="Q297" i="1"/>
  <c r="R296" i="1"/>
  <c r="S296" i="1" s="1"/>
  <c r="V314" i="1" l="1"/>
  <c r="X312" i="1"/>
  <c r="Y311" i="1"/>
  <c r="Z311" i="1" s="1"/>
  <c r="Q298" i="1"/>
  <c r="R297" i="1"/>
  <c r="S297" i="1" s="1"/>
  <c r="Y312" i="1" l="1"/>
  <c r="Z312" i="1"/>
  <c r="X313" i="1"/>
  <c r="V315" i="1"/>
  <c r="Q299" i="1"/>
  <c r="R298" i="1"/>
  <c r="S298" i="1" s="1"/>
  <c r="X314" i="1" l="1"/>
  <c r="V316" i="1"/>
  <c r="Y313" i="1"/>
  <c r="Z313" i="1"/>
  <c r="Q300" i="1"/>
  <c r="R299" i="1"/>
  <c r="S299" i="1" s="1"/>
  <c r="X315" i="1" l="1"/>
  <c r="V317" i="1"/>
  <c r="Y314" i="1"/>
  <c r="Z314" i="1" s="1"/>
  <c r="Q301" i="1"/>
  <c r="R300" i="1"/>
  <c r="S300" i="1" s="1"/>
  <c r="X316" i="1" l="1"/>
  <c r="V318" i="1"/>
  <c r="Y315" i="1"/>
  <c r="Z315" i="1"/>
  <c r="Q302" i="1"/>
  <c r="R301" i="1"/>
  <c r="S301" i="1" s="1"/>
  <c r="X317" i="1" l="1"/>
  <c r="V319" i="1"/>
  <c r="Y316" i="1"/>
  <c r="Z316" i="1" s="1"/>
  <c r="Q303" i="1"/>
  <c r="R302" i="1"/>
  <c r="S302" i="1" s="1"/>
  <c r="V320" i="1" l="1"/>
  <c r="X318" i="1"/>
  <c r="Y317" i="1"/>
  <c r="Z317" i="1"/>
  <c r="Q304" i="1"/>
  <c r="R303" i="1"/>
  <c r="S303" i="1" s="1"/>
  <c r="Y318" i="1" l="1"/>
  <c r="Z318" i="1" s="1"/>
  <c r="X319" i="1"/>
  <c r="V321" i="1"/>
  <c r="Q305" i="1"/>
  <c r="R304" i="1"/>
  <c r="S304" i="1" s="1"/>
  <c r="V322" i="1" l="1"/>
  <c r="X320" i="1"/>
  <c r="Y319" i="1"/>
  <c r="Z319" i="1" s="1"/>
  <c r="Q306" i="1"/>
  <c r="R305" i="1"/>
  <c r="S305" i="1" s="1"/>
  <c r="Y320" i="1" l="1"/>
  <c r="Z320" i="1" s="1"/>
  <c r="X321" i="1"/>
  <c r="Y321" i="1" s="1"/>
  <c r="Z321" i="1" s="1"/>
  <c r="V323" i="1"/>
  <c r="Q307" i="1"/>
  <c r="R306" i="1"/>
  <c r="S306" i="1" s="1"/>
  <c r="X322" i="1" l="1"/>
  <c r="Y322" i="1" s="1"/>
  <c r="Z322" i="1" s="1"/>
  <c r="V324" i="1"/>
  <c r="Q308" i="1"/>
  <c r="R307" i="1"/>
  <c r="S307" i="1" s="1"/>
  <c r="V325" i="1" l="1"/>
  <c r="X323" i="1"/>
  <c r="Q309" i="1"/>
  <c r="R308" i="1"/>
  <c r="S308" i="1" s="1"/>
  <c r="Y323" i="1" l="1"/>
  <c r="Z323" i="1"/>
  <c r="X324" i="1"/>
  <c r="V326" i="1"/>
  <c r="Q310" i="1"/>
  <c r="R309" i="1"/>
  <c r="S309" i="1" s="1"/>
  <c r="X325" i="1" l="1"/>
  <c r="V327" i="1"/>
  <c r="Y324" i="1"/>
  <c r="Z324" i="1" s="1"/>
  <c r="Q311" i="1"/>
  <c r="R310" i="1"/>
  <c r="S310" i="1" s="1"/>
  <c r="V328" i="1" l="1"/>
  <c r="X326" i="1"/>
  <c r="Y325" i="1"/>
  <c r="Z325" i="1"/>
  <c r="Q312" i="1"/>
  <c r="R311" i="1"/>
  <c r="S311" i="1" s="1"/>
  <c r="Y326" i="1" l="1"/>
  <c r="Z326" i="1"/>
  <c r="X327" i="1"/>
  <c r="V329" i="1"/>
  <c r="Q313" i="1"/>
  <c r="R312" i="1"/>
  <c r="S312" i="1" s="1"/>
  <c r="X328" i="1" l="1"/>
  <c r="V330" i="1"/>
  <c r="Y327" i="1"/>
  <c r="Z327" i="1" s="1"/>
  <c r="Q314" i="1"/>
  <c r="R313" i="1"/>
  <c r="S313" i="1" s="1"/>
  <c r="X329" i="1" l="1"/>
  <c r="V331" i="1"/>
  <c r="Y328" i="1"/>
  <c r="Z328" i="1" s="1"/>
  <c r="Q315" i="1"/>
  <c r="R314" i="1"/>
  <c r="S314" i="1" s="1"/>
  <c r="X330" i="1" l="1"/>
  <c r="V332" i="1"/>
  <c r="Y329" i="1"/>
  <c r="Z329" i="1"/>
  <c r="Q316" i="1"/>
  <c r="R315" i="1"/>
  <c r="S315" i="1" s="1"/>
  <c r="V333" i="1" l="1"/>
  <c r="X331" i="1"/>
  <c r="Y330" i="1"/>
  <c r="Z330" i="1" s="1"/>
  <c r="Q317" i="1"/>
  <c r="R316" i="1"/>
  <c r="S316" i="1" s="1"/>
  <c r="Y331" i="1" l="1"/>
  <c r="Z331" i="1" s="1"/>
  <c r="X332" i="1"/>
  <c r="Y332" i="1" s="1"/>
  <c r="Z332" i="1" s="1"/>
  <c r="V334" i="1"/>
  <c r="Q318" i="1"/>
  <c r="R317" i="1"/>
  <c r="S317" i="1" s="1"/>
  <c r="X333" i="1" l="1"/>
  <c r="Y333" i="1" s="1"/>
  <c r="Z333" i="1" s="1"/>
  <c r="V335" i="1"/>
  <c r="Q319" i="1"/>
  <c r="R318" i="1"/>
  <c r="S318" i="1" s="1"/>
  <c r="X334" i="1" l="1"/>
  <c r="V336" i="1"/>
  <c r="Q320" i="1"/>
  <c r="R319" i="1"/>
  <c r="S319" i="1" s="1"/>
  <c r="X335" i="1" l="1"/>
  <c r="V337" i="1"/>
  <c r="Y334" i="1"/>
  <c r="Z334" i="1" s="1"/>
  <c r="Q321" i="1"/>
  <c r="R320" i="1"/>
  <c r="S320" i="1" s="1"/>
  <c r="X336" i="1" l="1"/>
  <c r="V338" i="1"/>
  <c r="Y335" i="1"/>
  <c r="Z335" i="1"/>
  <c r="Q322" i="1"/>
  <c r="R321" i="1"/>
  <c r="S321" i="1" s="1"/>
  <c r="X337" i="1" l="1"/>
  <c r="V339" i="1"/>
  <c r="Y336" i="1"/>
  <c r="Z336" i="1" s="1"/>
  <c r="Q323" i="1"/>
  <c r="R322" i="1"/>
  <c r="S322" i="1" s="1"/>
  <c r="V340" i="1" l="1"/>
  <c r="X338" i="1"/>
  <c r="Y337" i="1"/>
  <c r="Z337" i="1"/>
  <c r="Q324" i="1"/>
  <c r="R323" i="1"/>
  <c r="S323" i="1" s="1"/>
  <c r="Y338" i="1" l="1"/>
  <c r="Z338" i="1" s="1"/>
  <c r="X339" i="1"/>
  <c r="V341" i="1"/>
  <c r="Q325" i="1"/>
  <c r="R324" i="1"/>
  <c r="S324" i="1" s="1"/>
  <c r="X340" i="1" l="1"/>
  <c r="V342" i="1"/>
  <c r="Y339" i="1"/>
  <c r="Z339" i="1"/>
  <c r="Q326" i="1"/>
  <c r="R325" i="1"/>
  <c r="S325" i="1" s="1"/>
  <c r="X341" i="1" l="1"/>
  <c r="V343" i="1"/>
  <c r="Y340" i="1"/>
  <c r="Z340" i="1" s="1"/>
  <c r="Q327" i="1"/>
  <c r="R326" i="1"/>
  <c r="S326" i="1" s="1"/>
  <c r="X342" i="1" l="1"/>
  <c r="V344" i="1"/>
  <c r="Y341" i="1"/>
  <c r="Z341" i="1"/>
  <c r="Q328" i="1"/>
  <c r="R327" i="1"/>
  <c r="S327" i="1" s="1"/>
  <c r="X343" i="1" l="1"/>
  <c r="V345" i="1"/>
  <c r="Y342" i="1"/>
  <c r="Z342" i="1" s="1"/>
  <c r="Q329" i="1"/>
  <c r="R328" i="1"/>
  <c r="S328" i="1" s="1"/>
  <c r="X344" i="1" l="1"/>
  <c r="V346" i="1"/>
  <c r="Y343" i="1"/>
  <c r="Z343" i="1" s="1"/>
  <c r="Q330" i="1"/>
  <c r="R329" i="1"/>
  <c r="S329" i="1" s="1"/>
  <c r="X345" i="1" l="1"/>
  <c r="V347" i="1"/>
  <c r="Y344" i="1"/>
  <c r="Z344" i="1" s="1"/>
  <c r="Q331" i="1"/>
  <c r="R330" i="1"/>
  <c r="S330" i="1" s="1"/>
  <c r="X346" i="1" l="1"/>
  <c r="V348" i="1"/>
  <c r="Y345" i="1"/>
  <c r="Z345" i="1"/>
  <c r="Q332" i="1"/>
  <c r="R331" i="1"/>
  <c r="S331" i="1" s="1"/>
  <c r="V349" i="1" l="1"/>
  <c r="X347" i="1"/>
  <c r="Y346" i="1"/>
  <c r="Z346" i="1"/>
  <c r="Q333" i="1"/>
  <c r="R332" i="1"/>
  <c r="S332" i="1" s="1"/>
  <c r="Y347" i="1" l="1"/>
  <c r="Z347" i="1" s="1"/>
  <c r="V350" i="1"/>
  <c r="X348" i="1"/>
  <c r="Q334" i="1"/>
  <c r="R333" i="1"/>
  <c r="S333" i="1" s="1"/>
  <c r="Y348" i="1" l="1"/>
  <c r="Z348" i="1" s="1"/>
  <c r="X349" i="1"/>
  <c r="Y349" i="1" s="1"/>
  <c r="Z349" i="1" s="1"/>
  <c r="V351" i="1"/>
  <c r="Q335" i="1"/>
  <c r="R334" i="1"/>
  <c r="S334" i="1" s="1"/>
  <c r="X350" i="1" l="1"/>
  <c r="V352" i="1"/>
  <c r="Q336" i="1"/>
  <c r="R335" i="1"/>
  <c r="S335" i="1" s="1"/>
  <c r="X351" i="1" l="1"/>
  <c r="V353" i="1"/>
  <c r="Y350" i="1"/>
  <c r="Z350" i="1" s="1"/>
  <c r="Q337" i="1"/>
  <c r="R336" i="1"/>
  <c r="S336" i="1" s="1"/>
  <c r="X352" i="1" l="1"/>
  <c r="V354" i="1"/>
  <c r="Y351" i="1"/>
  <c r="Z351" i="1" s="1"/>
  <c r="Q338" i="1"/>
  <c r="R337" i="1"/>
  <c r="S337" i="1" s="1"/>
  <c r="X353" i="1" l="1"/>
  <c r="V355" i="1"/>
  <c r="Y352" i="1"/>
  <c r="Z352" i="1" s="1"/>
  <c r="Q339" i="1"/>
  <c r="R338" i="1"/>
  <c r="S338" i="1" s="1"/>
  <c r="X354" i="1" l="1"/>
  <c r="V356" i="1"/>
  <c r="Y353" i="1"/>
  <c r="Z353" i="1" s="1"/>
  <c r="Q340" i="1"/>
  <c r="R339" i="1"/>
  <c r="S339" i="1" s="1"/>
  <c r="X355" i="1" l="1"/>
  <c r="V357" i="1"/>
  <c r="Y354" i="1"/>
  <c r="Z354" i="1" s="1"/>
  <c r="Q341" i="1"/>
  <c r="R340" i="1"/>
  <c r="S340" i="1" s="1"/>
  <c r="X356" i="1" l="1"/>
  <c r="V358" i="1"/>
  <c r="Y355" i="1"/>
  <c r="Z355" i="1" s="1"/>
  <c r="Q342" i="1"/>
  <c r="R341" i="1"/>
  <c r="S341" i="1" s="1"/>
  <c r="X357" i="1" l="1"/>
  <c r="V359" i="1"/>
  <c r="Y356" i="1"/>
  <c r="Z356" i="1" s="1"/>
  <c r="Q343" i="1"/>
  <c r="R342" i="1"/>
  <c r="S342" i="1" s="1"/>
  <c r="X358" i="1" l="1"/>
  <c r="V360" i="1"/>
  <c r="Y357" i="1"/>
  <c r="Z357" i="1"/>
  <c r="Q344" i="1"/>
  <c r="R343" i="1"/>
  <c r="S343" i="1" s="1"/>
  <c r="V361" i="1" l="1"/>
  <c r="X359" i="1"/>
  <c r="Y358" i="1"/>
  <c r="Z358" i="1"/>
  <c r="Q345" i="1"/>
  <c r="R344" i="1"/>
  <c r="S344" i="1" s="1"/>
  <c r="Y359" i="1" l="1"/>
  <c r="Z359" i="1"/>
  <c r="X360" i="1"/>
  <c r="V362" i="1"/>
  <c r="Q346" i="1"/>
  <c r="R345" i="1"/>
  <c r="S345" i="1" s="1"/>
  <c r="X361" i="1" l="1"/>
  <c r="V363" i="1"/>
  <c r="Y360" i="1"/>
  <c r="Z360" i="1"/>
  <c r="Q347" i="1"/>
  <c r="R346" i="1"/>
  <c r="S346" i="1" s="1"/>
  <c r="X362" i="1" l="1"/>
  <c r="V364" i="1"/>
  <c r="Y361" i="1"/>
  <c r="Z361" i="1" s="1"/>
  <c r="Q348" i="1"/>
  <c r="R347" i="1"/>
  <c r="S347" i="1" s="1"/>
  <c r="X363" i="1" l="1"/>
  <c r="V365" i="1"/>
  <c r="Y362" i="1"/>
  <c r="Z362" i="1" s="1"/>
  <c r="R348" i="1"/>
  <c r="S348" i="1" s="1"/>
  <c r="Q349" i="1"/>
  <c r="X364" i="1" l="1"/>
  <c r="V366" i="1"/>
  <c r="Y363" i="1"/>
  <c r="Z363" i="1"/>
  <c r="Q350" i="1"/>
  <c r="R349" i="1"/>
  <c r="S349" i="1" s="1"/>
  <c r="X365" i="1" l="1"/>
  <c r="V367" i="1"/>
  <c r="Y364" i="1"/>
  <c r="Z364" i="1" s="1"/>
  <c r="Q351" i="1"/>
  <c r="R350" i="1"/>
  <c r="S350" i="1" s="1"/>
  <c r="X366" i="1" l="1"/>
  <c r="V368" i="1"/>
  <c r="Y365" i="1"/>
  <c r="Z365" i="1"/>
  <c r="Q352" i="1"/>
  <c r="R351" i="1"/>
  <c r="S351" i="1" s="1"/>
  <c r="X367" i="1" l="1"/>
  <c r="V369" i="1"/>
  <c r="Y366" i="1"/>
  <c r="Z366" i="1" s="1"/>
  <c r="Q353" i="1"/>
  <c r="R352" i="1"/>
  <c r="S352" i="1" s="1"/>
  <c r="X368" i="1" l="1"/>
  <c r="V370" i="1"/>
  <c r="Y367" i="1"/>
  <c r="Z367" i="1"/>
  <c r="Q354" i="1"/>
  <c r="R353" i="1"/>
  <c r="S353" i="1" s="1"/>
  <c r="X369" i="1" l="1"/>
  <c r="V371" i="1"/>
  <c r="Y368" i="1"/>
  <c r="Z368" i="1" s="1"/>
  <c r="Q355" i="1"/>
  <c r="R354" i="1"/>
  <c r="S354" i="1" s="1"/>
  <c r="X370" i="1" l="1"/>
  <c r="V372" i="1"/>
  <c r="Y369" i="1"/>
  <c r="Z369" i="1" s="1"/>
  <c r="Q356" i="1"/>
  <c r="R355" i="1"/>
  <c r="S355" i="1" s="1"/>
  <c r="V373" i="1" l="1"/>
  <c r="X371" i="1"/>
  <c r="Y370" i="1"/>
  <c r="Z370" i="1" s="1"/>
  <c r="Q357" i="1"/>
  <c r="R356" i="1"/>
  <c r="S356" i="1" s="1"/>
  <c r="Y371" i="1" l="1"/>
  <c r="Z371" i="1" s="1"/>
  <c r="V374" i="1"/>
  <c r="X372" i="1"/>
  <c r="Q358" i="1"/>
  <c r="R357" i="1"/>
  <c r="S357" i="1" s="1"/>
  <c r="X373" i="1" l="1"/>
  <c r="V375" i="1"/>
  <c r="Y372" i="1"/>
  <c r="Z372" i="1" s="1"/>
  <c r="Q359" i="1"/>
  <c r="R358" i="1"/>
  <c r="S358" i="1" s="1"/>
  <c r="X374" i="1" l="1"/>
  <c r="V376" i="1"/>
  <c r="Y373" i="1"/>
  <c r="Z373" i="1"/>
  <c r="Q360" i="1"/>
  <c r="R359" i="1"/>
  <c r="S359" i="1" s="1"/>
  <c r="X375" i="1" l="1"/>
  <c r="V377" i="1"/>
  <c r="Y374" i="1"/>
  <c r="Z374" i="1"/>
  <c r="Q361" i="1"/>
  <c r="R360" i="1"/>
  <c r="S360" i="1" s="1"/>
  <c r="X376" i="1" l="1"/>
  <c r="V378" i="1"/>
  <c r="Y375" i="1"/>
  <c r="Z375" i="1" s="1"/>
  <c r="Q362" i="1"/>
  <c r="R361" i="1"/>
  <c r="S361" i="1" s="1"/>
  <c r="X377" i="1" l="1"/>
  <c r="V379" i="1"/>
  <c r="Y376" i="1"/>
  <c r="Z376" i="1" s="1"/>
  <c r="Q363" i="1"/>
  <c r="R362" i="1"/>
  <c r="S362" i="1" s="1"/>
  <c r="X378" i="1" l="1"/>
  <c r="V380" i="1"/>
  <c r="Y377" i="1"/>
  <c r="Z377" i="1" s="1"/>
  <c r="Q364" i="1"/>
  <c r="R363" i="1"/>
  <c r="S363" i="1" s="1"/>
  <c r="V381" i="1" l="1"/>
  <c r="X379" i="1"/>
  <c r="Y378" i="1"/>
  <c r="Z378" i="1"/>
  <c r="Q365" i="1"/>
  <c r="R364" i="1"/>
  <c r="S364" i="1" s="1"/>
  <c r="Y379" i="1" l="1"/>
  <c r="Z379" i="1"/>
  <c r="X380" i="1"/>
  <c r="V382" i="1"/>
  <c r="Q366" i="1"/>
  <c r="R365" i="1"/>
  <c r="S365" i="1" s="1"/>
  <c r="X381" i="1" l="1"/>
  <c r="V383" i="1"/>
  <c r="Y380" i="1"/>
  <c r="Z380" i="1"/>
  <c r="Q367" i="1"/>
  <c r="R366" i="1"/>
  <c r="S366" i="1" s="1"/>
  <c r="X382" i="1" l="1"/>
  <c r="V384" i="1"/>
  <c r="Y381" i="1"/>
  <c r="Z381" i="1"/>
  <c r="Q368" i="1"/>
  <c r="R367" i="1"/>
  <c r="S367" i="1" s="1"/>
  <c r="X383" i="1" l="1"/>
  <c r="V385" i="1"/>
  <c r="Y382" i="1"/>
  <c r="Z382" i="1" s="1"/>
  <c r="Q369" i="1"/>
  <c r="R368" i="1"/>
  <c r="S368" i="1" s="1"/>
  <c r="X384" i="1" l="1"/>
  <c r="V386" i="1"/>
  <c r="Y383" i="1"/>
  <c r="Z383" i="1"/>
  <c r="Q370" i="1"/>
  <c r="R369" i="1"/>
  <c r="S369" i="1" s="1"/>
  <c r="X385" i="1" l="1"/>
  <c r="V387" i="1"/>
  <c r="Y384" i="1"/>
  <c r="Z384" i="1"/>
  <c r="Q371" i="1"/>
  <c r="R370" i="1"/>
  <c r="S370" i="1" s="1"/>
  <c r="X386" i="1" l="1"/>
  <c r="V388" i="1"/>
  <c r="Y385" i="1"/>
  <c r="Z385" i="1" s="1"/>
  <c r="Q372" i="1"/>
  <c r="R371" i="1"/>
  <c r="S371" i="1" s="1"/>
  <c r="V389" i="1" l="1"/>
  <c r="X387" i="1"/>
  <c r="Y386" i="1"/>
  <c r="Z386" i="1"/>
  <c r="Q373" i="1"/>
  <c r="R372" i="1"/>
  <c r="S372" i="1" s="1"/>
  <c r="Y387" i="1" l="1"/>
  <c r="Z387" i="1"/>
  <c r="X388" i="1"/>
  <c r="V390" i="1"/>
  <c r="Q374" i="1"/>
  <c r="R373" i="1"/>
  <c r="S373" i="1" s="1"/>
  <c r="V391" i="1" l="1"/>
  <c r="X389" i="1"/>
  <c r="Y388" i="1"/>
  <c r="Z388" i="1"/>
  <c r="Q375" i="1"/>
  <c r="R374" i="1"/>
  <c r="S374" i="1" s="1"/>
  <c r="Y389" i="1" l="1"/>
  <c r="Z389" i="1"/>
  <c r="X390" i="1"/>
  <c r="V392" i="1"/>
  <c r="Q376" i="1"/>
  <c r="R375" i="1"/>
  <c r="S375" i="1" s="1"/>
  <c r="X391" i="1" l="1"/>
  <c r="V393" i="1"/>
  <c r="Y390" i="1"/>
  <c r="Z390" i="1"/>
  <c r="Q377" i="1"/>
  <c r="R376" i="1"/>
  <c r="S376" i="1" s="1"/>
  <c r="X392" i="1" l="1"/>
  <c r="V394" i="1"/>
  <c r="Y391" i="1"/>
  <c r="Z391" i="1"/>
  <c r="Q378" i="1"/>
  <c r="R377" i="1"/>
  <c r="S377" i="1" s="1"/>
  <c r="X393" i="1" l="1"/>
  <c r="V395" i="1"/>
  <c r="Y392" i="1"/>
  <c r="Z392" i="1" s="1"/>
  <c r="Q379" i="1"/>
  <c r="R378" i="1"/>
  <c r="S378" i="1" s="1"/>
  <c r="X394" i="1" l="1"/>
  <c r="V396" i="1"/>
  <c r="Y393" i="1"/>
  <c r="Z393" i="1" s="1"/>
  <c r="Q380" i="1"/>
  <c r="R379" i="1"/>
  <c r="S379" i="1" s="1"/>
  <c r="X395" i="1" l="1"/>
  <c r="V397" i="1"/>
  <c r="Y394" i="1"/>
  <c r="Z394" i="1" s="1"/>
  <c r="Q381" i="1"/>
  <c r="R380" i="1"/>
  <c r="S380" i="1" s="1"/>
  <c r="X396" i="1" l="1"/>
  <c r="V398" i="1"/>
  <c r="Y395" i="1"/>
  <c r="Z395" i="1" s="1"/>
  <c r="Q382" i="1"/>
  <c r="R381" i="1"/>
  <c r="S381" i="1" s="1"/>
  <c r="V399" i="1" l="1"/>
  <c r="X397" i="1"/>
  <c r="Y396" i="1"/>
  <c r="Z396" i="1" s="1"/>
  <c r="Q383" i="1"/>
  <c r="R382" i="1"/>
  <c r="S382" i="1" s="1"/>
  <c r="Y397" i="1" l="1"/>
  <c r="Z397" i="1" s="1"/>
  <c r="X398" i="1"/>
  <c r="V400" i="1"/>
  <c r="Q384" i="1"/>
  <c r="R383" i="1"/>
  <c r="S383" i="1" s="1"/>
  <c r="V401" i="1" l="1"/>
  <c r="X399" i="1"/>
  <c r="Y398" i="1"/>
  <c r="Z398" i="1" s="1"/>
  <c r="Q385" i="1"/>
  <c r="R384" i="1"/>
  <c r="S384" i="1" s="1"/>
  <c r="Y399" i="1" l="1"/>
  <c r="Z399" i="1"/>
  <c r="X400" i="1"/>
  <c r="V402" i="1"/>
  <c r="Q386" i="1"/>
  <c r="R385" i="1"/>
  <c r="S385" i="1" s="1"/>
  <c r="X401" i="1" l="1"/>
  <c r="V403" i="1"/>
  <c r="Y400" i="1"/>
  <c r="Z400" i="1" s="1"/>
  <c r="Q387" i="1"/>
  <c r="R386" i="1"/>
  <c r="S386" i="1" s="1"/>
  <c r="V404" i="1" l="1"/>
  <c r="X402" i="1"/>
  <c r="Y401" i="1"/>
  <c r="Z401" i="1"/>
  <c r="Q388" i="1"/>
  <c r="R387" i="1"/>
  <c r="S387" i="1" s="1"/>
  <c r="Y402" i="1" l="1"/>
  <c r="Z402" i="1" s="1"/>
  <c r="X403" i="1"/>
  <c r="V405" i="1"/>
  <c r="Q389" i="1"/>
  <c r="R388" i="1"/>
  <c r="S388" i="1" s="1"/>
  <c r="X404" i="1" l="1"/>
  <c r="V406" i="1"/>
  <c r="Y403" i="1"/>
  <c r="Z403" i="1" s="1"/>
  <c r="Q390" i="1"/>
  <c r="R389" i="1"/>
  <c r="S389" i="1" s="1"/>
  <c r="X405" i="1" l="1"/>
  <c r="V407" i="1"/>
  <c r="Y404" i="1"/>
  <c r="Z404" i="1" s="1"/>
  <c r="Q391" i="1"/>
  <c r="R390" i="1"/>
  <c r="S390" i="1" s="1"/>
  <c r="X406" i="1" l="1"/>
  <c r="V408" i="1"/>
  <c r="Y405" i="1"/>
  <c r="Z405" i="1"/>
  <c r="R391" i="1"/>
  <c r="S391" i="1" s="1"/>
  <c r="Q392" i="1"/>
  <c r="X407" i="1" l="1"/>
  <c r="V409" i="1"/>
  <c r="Y406" i="1"/>
  <c r="Z406" i="1" s="1"/>
  <c r="Q393" i="1"/>
  <c r="R392" i="1"/>
  <c r="S392" i="1" s="1"/>
  <c r="V410" i="1" l="1"/>
  <c r="X408" i="1"/>
  <c r="Y407" i="1"/>
  <c r="Z407" i="1"/>
  <c r="Q394" i="1"/>
  <c r="R393" i="1"/>
  <c r="S393" i="1" s="1"/>
  <c r="Y408" i="1" l="1"/>
  <c r="Z408" i="1" s="1"/>
  <c r="X409" i="1"/>
  <c r="V411" i="1"/>
  <c r="Q395" i="1"/>
  <c r="R394" i="1"/>
  <c r="S394" i="1" s="1"/>
  <c r="X410" i="1" l="1"/>
  <c r="V412" i="1"/>
  <c r="Y409" i="1"/>
  <c r="Z409" i="1" s="1"/>
  <c r="Q396" i="1"/>
  <c r="R395" i="1"/>
  <c r="S395" i="1" s="1"/>
  <c r="V413" i="1" l="1"/>
  <c r="X411" i="1"/>
  <c r="Y410" i="1"/>
  <c r="Z410" i="1" s="1"/>
  <c r="Q397" i="1"/>
  <c r="R396" i="1"/>
  <c r="S396" i="1" s="1"/>
  <c r="Y411" i="1" l="1"/>
  <c r="Z411" i="1" s="1"/>
  <c r="X412" i="1"/>
  <c r="Y412" i="1" s="1"/>
  <c r="Z412" i="1" s="1"/>
  <c r="V414" i="1"/>
  <c r="Q398" i="1"/>
  <c r="R397" i="1"/>
  <c r="S397" i="1" s="1"/>
  <c r="X413" i="1" l="1"/>
  <c r="Y413" i="1" s="1"/>
  <c r="Z413" i="1" s="1"/>
  <c r="V415" i="1"/>
  <c r="R398" i="1"/>
  <c r="S398" i="1" s="1"/>
  <c r="Q399" i="1"/>
  <c r="X414" i="1" l="1"/>
  <c r="Y414" i="1" s="1"/>
  <c r="Z414" i="1" s="1"/>
  <c r="V416" i="1"/>
  <c r="Q400" i="1"/>
  <c r="R399" i="1"/>
  <c r="S399" i="1" s="1"/>
  <c r="V417" i="1" l="1"/>
  <c r="X415" i="1"/>
  <c r="Y415" i="1" s="1"/>
  <c r="Z415" i="1" s="1"/>
  <c r="Q401" i="1"/>
  <c r="R400" i="1"/>
  <c r="S400" i="1" s="1"/>
  <c r="X416" i="1" l="1"/>
  <c r="V418" i="1"/>
  <c r="Q402" i="1"/>
  <c r="R401" i="1"/>
  <c r="S401" i="1" s="1"/>
  <c r="X417" i="1" l="1"/>
  <c r="V419" i="1"/>
  <c r="Y416" i="1"/>
  <c r="Z416" i="1"/>
  <c r="Q403" i="1"/>
  <c r="R402" i="1"/>
  <c r="S402" i="1" s="1"/>
  <c r="X418" i="1" l="1"/>
  <c r="V420" i="1"/>
  <c r="Y417" i="1"/>
  <c r="Z417" i="1"/>
  <c r="Q404" i="1"/>
  <c r="R403" i="1"/>
  <c r="S403" i="1" s="1"/>
  <c r="X419" i="1" l="1"/>
  <c r="V421" i="1"/>
  <c r="Y418" i="1"/>
  <c r="Z418" i="1" s="1"/>
  <c r="R404" i="1"/>
  <c r="S404" i="1" s="1"/>
  <c r="Q405" i="1"/>
  <c r="X420" i="1" l="1"/>
  <c r="V422" i="1"/>
  <c r="Y419" i="1"/>
  <c r="Z419" i="1"/>
  <c r="Q406" i="1"/>
  <c r="R405" i="1"/>
  <c r="S405" i="1" s="1"/>
  <c r="X421" i="1" l="1"/>
  <c r="V423" i="1"/>
  <c r="Y420" i="1"/>
  <c r="Z420" i="1" s="1"/>
  <c r="Q407" i="1"/>
  <c r="R406" i="1"/>
  <c r="S406" i="1" s="1"/>
  <c r="X422" i="1" l="1"/>
  <c r="V424" i="1"/>
  <c r="Y421" i="1"/>
  <c r="Z421" i="1" s="1"/>
  <c r="Q408" i="1"/>
  <c r="R407" i="1"/>
  <c r="S407" i="1" s="1"/>
  <c r="X423" i="1" l="1"/>
  <c r="V425" i="1"/>
  <c r="Y422" i="1"/>
  <c r="Z422" i="1" s="1"/>
  <c r="Q409" i="1"/>
  <c r="R408" i="1"/>
  <c r="S408" i="1" s="1"/>
  <c r="V426" i="1" l="1"/>
  <c r="X424" i="1"/>
  <c r="Y423" i="1"/>
  <c r="Z423" i="1" s="1"/>
  <c r="Q410" i="1"/>
  <c r="R409" i="1"/>
  <c r="S409" i="1" s="1"/>
  <c r="Y424" i="1" l="1"/>
  <c r="Z424" i="1" s="1"/>
  <c r="X425" i="1"/>
  <c r="V427" i="1"/>
  <c r="Q411" i="1"/>
  <c r="R410" i="1"/>
  <c r="S410" i="1" s="1"/>
  <c r="X426" i="1" l="1"/>
  <c r="V428" i="1"/>
  <c r="Y425" i="1"/>
  <c r="Z425" i="1" s="1"/>
  <c r="Q412" i="1"/>
  <c r="R411" i="1"/>
  <c r="S411" i="1" s="1"/>
  <c r="X427" i="1" l="1"/>
  <c r="V429" i="1"/>
  <c r="Y426" i="1"/>
  <c r="Z426" i="1" s="1"/>
  <c r="Q413" i="1"/>
  <c r="R412" i="1"/>
  <c r="S412" i="1" s="1"/>
  <c r="X428" i="1" l="1"/>
  <c r="V430" i="1"/>
  <c r="Y427" i="1"/>
  <c r="Z427" i="1" s="1"/>
  <c r="Q414" i="1"/>
  <c r="R413" i="1"/>
  <c r="S413" i="1" s="1"/>
  <c r="X429" i="1" l="1"/>
  <c r="V431" i="1"/>
  <c r="Y428" i="1"/>
  <c r="Z428" i="1" s="1"/>
  <c r="Q415" i="1"/>
  <c r="R414" i="1"/>
  <c r="S414" i="1" s="1"/>
  <c r="X430" i="1" l="1"/>
  <c r="V432" i="1"/>
  <c r="Y429" i="1"/>
  <c r="Z429" i="1" s="1"/>
  <c r="Q416" i="1"/>
  <c r="R415" i="1"/>
  <c r="S415" i="1" s="1"/>
  <c r="X431" i="1" l="1"/>
  <c r="V433" i="1"/>
  <c r="Y430" i="1"/>
  <c r="Z430" i="1"/>
  <c r="Q417" i="1"/>
  <c r="R416" i="1"/>
  <c r="S416" i="1" s="1"/>
  <c r="V434" i="1" l="1"/>
  <c r="X432" i="1"/>
  <c r="Y431" i="1"/>
  <c r="Z431" i="1" s="1"/>
  <c r="Q418" i="1"/>
  <c r="R417" i="1"/>
  <c r="S417" i="1" s="1"/>
  <c r="Y432" i="1" l="1"/>
  <c r="Z432" i="1" s="1"/>
  <c r="X433" i="1"/>
  <c r="V435" i="1"/>
  <c r="Q419" i="1"/>
  <c r="R418" i="1"/>
  <c r="S418" i="1" s="1"/>
  <c r="X434" i="1" l="1"/>
  <c r="V436" i="1"/>
  <c r="Y433" i="1"/>
  <c r="Z433" i="1"/>
  <c r="Q420" i="1"/>
  <c r="R419" i="1"/>
  <c r="S419" i="1" s="1"/>
  <c r="X435" i="1" l="1"/>
  <c r="V437" i="1"/>
  <c r="Y434" i="1"/>
  <c r="Z434" i="1" s="1"/>
  <c r="Q421" i="1"/>
  <c r="R420" i="1"/>
  <c r="S420" i="1" s="1"/>
  <c r="X436" i="1" l="1"/>
  <c r="V438" i="1"/>
  <c r="Y435" i="1"/>
  <c r="Z435" i="1" s="1"/>
  <c r="Q422" i="1"/>
  <c r="R421" i="1"/>
  <c r="S421" i="1" s="1"/>
  <c r="V439" i="1" l="1"/>
  <c r="X437" i="1"/>
  <c r="Y436" i="1"/>
  <c r="Z436" i="1" s="1"/>
  <c r="R422" i="1"/>
  <c r="S422" i="1" s="1"/>
  <c r="Q423" i="1"/>
  <c r="Y437" i="1" l="1"/>
  <c r="Z437" i="1"/>
  <c r="V440" i="1"/>
  <c r="X438" i="1"/>
  <c r="Y438" i="1" s="1"/>
  <c r="Z438" i="1" s="1"/>
  <c r="Q424" i="1"/>
  <c r="R423" i="1"/>
  <c r="S423" i="1" s="1"/>
  <c r="X439" i="1" l="1"/>
  <c r="V441" i="1"/>
  <c r="Q425" i="1"/>
  <c r="R424" i="1"/>
  <c r="S424" i="1" s="1"/>
  <c r="X440" i="1" l="1"/>
  <c r="V442" i="1"/>
  <c r="Y439" i="1"/>
  <c r="Z439" i="1" s="1"/>
  <c r="Q426" i="1"/>
  <c r="R425" i="1"/>
  <c r="S425" i="1" s="1"/>
  <c r="X441" i="1" l="1"/>
  <c r="V443" i="1"/>
  <c r="Y440" i="1"/>
  <c r="Z440" i="1"/>
  <c r="Q427" i="1"/>
  <c r="R426" i="1"/>
  <c r="S426" i="1" s="1"/>
  <c r="X442" i="1" l="1"/>
  <c r="V444" i="1"/>
  <c r="Y441" i="1"/>
  <c r="Z441" i="1" s="1"/>
  <c r="Q428" i="1"/>
  <c r="R427" i="1"/>
  <c r="S427" i="1" s="1"/>
  <c r="V445" i="1" l="1"/>
  <c r="X443" i="1"/>
  <c r="Y442" i="1"/>
  <c r="Z442" i="1"/>
  <c r="Q429" i="1"/>
  <c r="R428" i="1"/>
  <c r="S428" i="1" s="1"/>
  <c r="Y443" i="1" l="1"/>
  <c r="Z443" i="1" s="1"/>
  <c r="X444" i="1"/>
  <c r="V446" i="1"/>
  <c r="Q430" i="1"/>
  <c r="R429" i="1"/>
  <c r="S429" i="1" s="1"/>
  <c r="X445" i="1" l="1"/>
  <c r="V447" i="1"/>
  <c r="Y444" i="1"/>
  <c r="Z444" i="1"/>
  <c r="Q431" i="1"/>
  <c r="R430" i="1"/>
  <c r="S430" i="1" s="1"/>
  <c r="X446" i="1" l="1"/>
  <c r="V448" i="1"/>
  <c r="Y445" i="1"/>
  <c r="Z445" i="1"/>
  <c r="Q432" i="1"/>
  <c r="R431" i="1"/>
  <c r="S431" i="1" s="1"/>
  <c r="X447" i="1" l="1"/>
  <c r="V449" i="1"/>
  <c r="Y446" i="1"/>
  <c r="Z446" i="1"/>
  <c r="Q433" i="1"/>
  <c r="R432" i="1"/>
  <c r="S432" i="1" s="1"/>
  <c r="X448" i="1" l="1"/>
  <c r="V450" i="1"/>
  <c r="Y447" i="1"/>
  <c r="Z447" i="1"/>
  <c r="Q434" i="1"/>
  <c r="R433" i="1"/>
  <c r="S433" i="1" s="1"/>
  <c r="X449" i="1" l="1"/>
  <c r="V451" i="1"/>
  <c r="Y448" i="1"/>
  <c r="Z448" i="1"/>
  <c r="Q435" i="1"/>
  <c r="R434" i="1"/>
  <c r="S434" i="1" s="1"/>
  <c r="X450" i="1" l="1"/>
  <c r="V452" i="1"/>
  <c r="Y449" i="1"/>
  <c r="Z449" i="1" s="1"/>
  <c r="Q436" i="1"/>
  <c r="R435" i="1"/>
  <c r="S435" i="1" s="1"/>
  <c r="X451" i="1" l="1"/>
  <c r="V453" i="1"/>
  <c r="Y450" i="1"/>
  <c r="Z450" i="1"/>
  <c r="Q437" i="1"/>
  <c r="R436" i="1"/>
  <c r="S436" i="1" s="1"/>
  <c r="X452" i="1" l="1"/>
  <c r="V454" i="1"/>
  <c r="Y451" i="1"/>
  <c r="Z451" i="1" s="1"/>
  <c r="Q438" i="1"/>
  <c r="R437" i="1"/>
  <c r="S437" i="1" s="1"/>
  <c r="X453" i="1" l="1"/>
  <c r="V455" i="1"/>
  <c r="Y452" i="1"/>
  <c r="Z452" i="1"/>
  <c r="Q439" i="1"/>
  <c r="R438" i="1"/>
  <c r="S438" i="1" s="1"/>
  <c r="X454" i="1" l="1"/>
  <c r="V456" i="1"/>
  <c r="Y453" i="1"/>
  <c r="Z453" i="1"/>
  <c r="Q440" i="1"/>
  <c r="R439" i="1"/>
  <c r="S439" i="1" s="1"/>
  <c r="X455" i="1" l="1"/>
  <c r="V457" i="1"/>
  <c r="Y454" i="1"/>
  <c r="Z454" i="1" s="1"/>
  <c r="Q441" i="1"/>
  <c r="R440" i="1"/>
  <c r="S440" i="1" s="1"/>
  <c r="X456" i="1" l="1"/>
  <c r="V458" i="1"/>
  <c r="Y455" i="1"/>
  <c r="Z455" i="1"/>
  <c r="Q442" i="1"/>
  <c r="R441" i="1"/>
  <c r="S441" i="1" s="1"/>
  <c r="V459" i="1" l="1"/>
  <c r="X457" i="1"/>
  <c r="Y456" i="1"/>
  <c r="Z456" i="1"/>
  <c r="Q443" i="1"/>
  <c r="R442" i="1"/>
  <c r="S442" i="1" s="1"/>
  <c r="Y457" i="1" l="1"/>
  <c r="Z457" i="1"/>
  <c r="X458" i="1"/>
  <c r="V460" i="1"/>
  <c r="Q444" i="1"/>
  <c r="R443" i="1"/>
  <c r="S443" i="1" s="1"/>
  <c r="X459" i="1" l="1"/>
  <c r="V461" i="1"/>
  <c r="Y458" i="1"/>
  <c r="Z458" i="1"/>
  <c r="Q445" i="1"/>
  <c r="R444" i="1"/>
  <c r="S444" i="1" s="1"/>
  <c r="X460" i="1" l="1"/>
  <c r="V462" i="1"/>
  <c r="Y459" i="1"/>
  <c r="Z459" i="1"/>
  <c r="Q446" i="1"/>
  <c r="R445" i="1"/>
  <c r="S445" i="1" s="1"/>
  <c r="V463" i="1" l="1"/>
  <c r="X461" i="1"/>
  <c r="Y460" i="1"/>
  <c r="Z460" i="1"/>
  <c r="Q447" i="1"/>
  <c r="R446" i="1"/>
  <c r="S446" i="1" s="1"/>
  <c r="Y461" i="1" l="1"/>
  <c r="Z461" i="1" s="1"/>
  <c r="X462" i="1"/>
  <c r="V464" i="1"/>
  <c r="Q448" i="1"/>
  <c r="R447" i="1"/>
  <c r="S447" i="1" s="1"/>
  <c r="X463" i="1" l="1"/>
  <c r="V465" i="1"/>
  <c r="Y462" i="1"/>
  <c r="Z462" i="1"/>
  <c r="Q449" i="1"/>
  <c r="R448" i="1"/>
  <c r="S448" i="1" s="1"/>
  <c r="V466" i="1" l="1"/>
  <c r="X464" i="1"/>
  <c r="Y463" i="1"/>
  <c r="Z463" i="1" s="1"/>
  <c r="Q450" i="1"/>
  <c r="R449" i="1"/>
  <c r="S449" i="1" s="1"/>
  <c r="Y464" i="1" l="1"/>
  <c r="Z464" i="1" s="1"/>
  <c r="X465" i="1"/>
  <c r="Y465" i="1" s="1"/>
  <c r="Z465" i="1" s="1"/>
  <c r="V467" i="1"/>
  <c r="Q451" i="1"/>
  <c r="R450" i="1"/>
  <c r="S450" i="1" s="1"/>
  <c r="X466" i="1" l="1"/>
  <c r="Y466" i="1" s="1"/>
  <c r="Z466" i="1" s="1"/>
  <c r="V468" i="1"/>
  <c r="Q452" i="1"/>
  <c r="R451" i="1"/>
  <c r="S451" i="1" s="1"/>
  <c r="X467" i="1" l="1"/>
  <c r="V469" i="1"/>
  <c r="Q453" i="1"/>
  <c r="R452" i="1"/>
  <c r="S452" i="1" s="1"/>
  <c r="X468" i="1" l="1"/>
  <c r="V470" i="1"/>
  <c r="Y467" i="1"/>
  <c r="Z467" i="1" s="1"/>
  <c r="Q454" i="1"/>
  <c r="R453" i="1"/>
  <c r="S453" i="1" s="1"/>
  <c r="V471" i="1" l="1"/>
  <c r="X469" i="1"/>
  <c r="Y468" i="1"/>
  <c r="Z468" i="1" s="1"/>
  <c r="Q455" i="1"/>
  <c r="R454" i="1"/>
  <c r="S454" i="1" s="1"/>
  <c r="Y469" i="1" l="1"/>
  <c r="Z469" i="1" s="1"/>
  <c r="X470" i="1"/>
  <c r="V472" i="1"/>
  <c r="Q456" i="1"/>
  <c r="R455" i="1"/>
  <c r="S455" i="1" s="1"/>
  <c r="Y470" i="1" l="1"/>
  <c r="Z470" i="1" s="1"/>
  <c r="X471" i="1"/>
  <c r="V473" i="1"/>
  <c r="Q457" i="1"/>
  <c r="R456" i="1"/>
  <c r="S456" i="1" s="1"/>
  <c r="X472" i="1" l="1"/>
  <c r="V474" i="1"/>
  <c r="Y471" i="1"/>
  <c r="Z471" i="1" s="1"/>
  <c r="Q458" i="1"/>
  <c r="R457" i="1"/>
  <c r="S457" i="1" s="1"/>
  <c r="X473" i="1" l="1"/>
  <c r="V475" i="1"/>
  <c r="Y472" i="1"/>
  <c r="Z472" i="1" s="1"/>
  <c r="Q459" i="1"/>
  <c r="R458" i="1"/>
  <c r="S458" i="1" s="1"/>
  <c r="X474" i="1" l="1"/>
  <c r="V476" i="1"/>
  <c r="Y473" i="1"/>
  <c r="Z473" i="1"/>
  <c r="Q460" i="1"/>
  <c r="R459" i="1"/>
  <c r="S459" i="1" s="1"/>
  <c r="V477" i="1" l="1"/>
  <c r="X475" i="1"/>
  <c r="Y474" i="1"/>
  <c r="Z474" i="1" s="1"/>
  <c r="Q461" i="1"/>
  <c r="R460" i="1"/>
  <c r="S460" i="1" s="1"/>
  <c r="Y475" i="1" l="1"/>
  <c r="Z475" i="1" s="1"/>
  <c r="X476" i="1"/>
  <c r="V478" i="1"/>
  <c r="Q462" i="1"/>
  <c r="R461" i="1"/>
  <c r="S461" i="1" s="1"/>
  <c r="X477" i="1" l="1"/>
  <c r="V479" i="1"/>
  <c r="Y476" i="1"/>
  <c r="Z476" i="1" s="1"/>
  <c r="Q463" i="1"/>
  <c r="R462" i="1"/>
  <c r="S462" i="1" s="1"/>
  <c r="X478" i="1" l="1"/>
  <c r="V480" i="1"/>
  <c r="Y477" i="1"/>
  <c r="Z477" i="1" s="1"/>
  <c r="Q464" i="1"/>
  <c r="R463" i="1"/>
  <c r="S463" i="1" s="1"/>
  <c r="V481" i="1" l="1"/>
  <c r="X479" i="1"/>
  <c r="Y478" i="1"/>
  <c r="Z478" i="1"/>
  <c r="R464" i="1"/>
  <c r="S464" i="1" s="1"/>
  <c r="Q465" i="1"/>
  <c r="Y479" i="1" l="1"/>
  <c r="Z479" i="1"/>
  <c r="X480" i="1"/>
  <c r="V482" i="1"/>
  <c r="Q466" i="1"/>
  <c r="R465" i="1"/>
  <c r="S465" i="1" s="1"/>
  <c r="X481" i="1" l="1"/>
  <c r="V483" i="1"/>
  <c r="Y480" i="1"/>
  <c r="Z480" i="1"/>
  <c r="Q467" i="1"/>
  <c r="R466" i="1"/>
  <c r="S466" i="1" s="1"/>
  <c r="V484" i="1" l="1"/>
  <c r="X482" i="1"/>
  <c r="Y481" i="1"/>
  <c r="Z481" i="1" s="1"/>
  <c r="Q468" i="1"/>
  <c r="R467" i="1"/>
  <c r="S467" i="1" s="1"/>
  <c r="Y482" i="1" l="1"/>
  <c r="Z482" i="1"/>
  <c r="V485" i="1"/>
  <c r="X483" i="1"/>
  <c r="Y483" i="1" s="1"/>
  <c r="Z483" i="1" s="1"/>
  <c r="Q469" i="1"/>
  <c r="R468" i="1"/>
  <c r="S468" i="1" s="1"/>
  <c r="X484" i="1" l="1"/>
  <c r="V486" i="1"/>
  <c r="Q470" i="1"/>
  <c r="R469" i="1"/>
  <c r="S469" i="1" s="1"/>
  <c r="X485" i="1" l="1"/>
  <c r="V487" i="1"/>
  <c r="Y484" i="1"/>
  <c r="Z484" i="1"/>
  <c r="Q471" i="1"/>
  <c r="R470" i="1"/>
  <c r="S470" i="1" s="1"/>
  <c r="X486" i="1" l="1"/>
  <c r="V488" i="1"/>
  <c r="Y485" i="1"/>
  <c r="Z485" i="1"/>
  <c r="Q472" i="1"/>
  <c r="R471" i="1"/>
  <c r="S471" i="1" s="1"/>
  <c r="V489" i="1" l="1"/>
  <c r="X487" i="1"/>
  <c r="Y486" i="1"/>
  <c r="Z486" i="1"/>
  <c r="Q473" i="1"/>
  <c r="R472" i="1"/>
  <c r="S472" i="1" s="1"/>
  <c r="Y487" i="1" l="1"/>
  <c r="Z487" i="1" s="1"/>
  <c r="X488" i="1"/>
  <c r="V490" i="1"/>
  <c r="Q474" i="1"/>
  <c r="R473" i="1"/>
  <c r="S473" i="1" s="1"/>
  <c r="V491" i="1" l="1"/>
  <c r="X489" i="1"/>
  <c r="Y488" i="1"/>
  <c r="Z488" i="1"/>
  <c r="Q475" i="1"/>
  <c r="R474" i="1"/>
  <c r="S474" i="1" s="1"/>
  <c r="Y489" i="1" l="1"/>
  <c r="Z489" i="1" s="1"/>
  <c r="X490" i="1"/>
  <c r="V492" i="1"/>
  <c r="Q476" i="1"/>
  <c r="R475" i="1"/>
  <c r="S475" i="1" s="1"/>
  <c r="V493" i="1" l="1"/>
  <c r="X491" i="1"/>
  <c r="Y490" i="1"/>
  <c r="Z490" i="1"/>
  <c r="Q477" i="1"/>
  <c r="R476" i="1"/>
  <c r="S476" i="1" s="1"/>
  <c r="Y491" i="1" l="1"/>
  <c r="Z491" i="1" s="1"/>
  <c r="X492" i="1"/>
  <c r="V494" i="1"/>
  <c r="Q478" i="1"/>
  <c r="R477" i="1"/>
  <c r="S477" i="1" s="1"/>
  <c r="V495" i="1" l="1"/>
  <c r="X493" i="1"/>
  <c r="Y492" i="1"/>
  <c r="Z492" i="1"/>
  <c r="Q479" i="1"/>
  <c r="R478" i="1"/>
  <c r="S478" i="1" s="1"/>
  <c r="Y493" i="1" l="1"/>
  <c r="Z493" i="1" s="1"/>
  <c r="X494" i="1"/>
  <c r="V496" i="1"/>
  <c r="Q480" i="1"/>
  <c r="R479" i="1"/>
  <c r="S479" i="1" s="1"/>
  <c r="V497" i="1" l="1"/>
  <c r="X495" i="1"/>
  <c r="Y494" i="1"/>
  <c r="Z494" i="1"/>
  <c r="Q481" i="1"/>
  <c r="R480" i="1"/>
  <c r="S480" i="1" s="1"/>
  <c r="Y495" i="1" l="1"/>
  <c r="Z495" i="1" s="1"/>
  <c r="X496" i="1"/>
  <c r="V498" i="1"/>
  <c r="Q482" i="1"/>
  <c r="R481" i="1"/>
  <c r="S481" i="1" s="1"/>
  <c r="V499" i="1" l="1"/>
  <c r="X497" i="1"/>
  <c r="Y496" i="1"/>
  <c r="Z496" i="1"/>
  <c r="Q483" i="1"/>
  <c r="R482" i="1"/>
  <c r="S482" i="1" s="1"/>
  <c r="Y497" i="1" l="1"/>
  <c r="Z497" i="1" s="1"/>
  <c r="X498" i="1"/>
  <c r="V500" i="1"/>
  <c r="Q484" i="1"/>
  <c r="R483" i="1"/>
  <c r="S483" i="1" s="1"/>
  <c r="X499" i="1" l="1"/>
  <c r="V501" i="1"/>
  <c r="Y498" i="1"/>
  <c r="Z498" i="1" s="1"/>
  <c r="Q485" i="1"/>
  <c r="R484" i="1"/>
  <c r="S484" i="1" s="1"/>
  <c r="X500" i="1" l="1"/>
  <c r="V502" i="1"/>
  <c r="Y499" i="1"/>
  <c r="Z499" i="1" s="1"/>
  <c r="Q486" i="1"/>
  <c r="R485" i="1"/>
  <c r="S485" i="1" s="1"/>
  <c r="V503" i="1" l="1"/>
  <c r="X501" i="1"/>
  <c r="Y500" i="1"/>
  <c r="Z500" i="1" s="1"/>
  <c r="Q487" i="1"/>
  <c r="R486" i="1"/>
  <c r="S486" i="1" s="1"/>
  <c r="Y501" i="1" l="1"/>
  <c r="Z501" i="1" s="1"/>
  <c r="X502" i="1"/>
  <c r="V504" i="1"/>
  <c r="Q488" i="1"/>
  <c r="R487" i="1"/>
  <c r="S487" i="1" s="1"/>
  <c r="X503" i="1" l="1"/>
  <c r="V505" i="1"/>
  <c r="Y502" i="1"/>
  <c r="Z502" i="1"/>
  <c r="Q489" i="1"/>
  <c r="R488" i="1"/>
  <c r="S488" i="1" s="1"/>
  <c r="X504" i="1" l="1"/>
  <c r="V506" i="1"/>
  <c r="Y503" i="1"/>
  <c r="Z503" i="1"/>
  <c r="Q490" i="1"/>
  <c r="R489" i="1"/>
  <c r="S489" i="1" s="1"/>
  <c r="X505" i="1" l="1"/>
  <c r="V507" i="1"/>
  <c r="Y504" i="1"/>
  <c r="Z504" i="1" s="1"/>
  <c r="Q491" i="1"/>
  <c r="R490" i="1"/>
  <c r="S490" i="1" s="1"/>
  <c r="X506" i="1" l="1"/>
  <c r="V508" i="1"/>
  <c r="Y505" i="1"/>
  <c r="Z505" i="1"/>
  <c r="Q492" i="1"/>
  <c r="R491" i="1"/>
  <c r="S491" i="1" s="1"/>
  <c r="X507" i="1" l="1"/>
  <c r="V509" i="1"/>
  <c r="Y506" i="1"/>
  <c r="Z506" i="1" s="1"/>
  <c r="Q493" i="1"/>
  <c r="R492" i="1"/>
  <c r="S492" i="1" s="1"/>
  <c r="X508" i="1" l="1"/>
  <c r="V510" i="1"/>
  <c r="Y507" i="1"/>
  <c r="Z507" i="1" s="1"/>
  <c r="Q494" i="1"/>
  <c r="R493" i="1"/>
  <c r="S493" i="1" s="1"/>
  <c r="X509" i="1" l="1"/>
  <c r="V511" i="1"/>
  <c r="Y508" i="1"/>
  <c r="Z508" i="1" s="1"/>
  <c r="Q495" i="1"/>
  <c r="R494" i="1"/>
  <c r="S494" i="1" s="1"/>
  <c r="X510" i="1" l="1"/>
  <c r="V512" i="1"/>
  <c r="Y509" i="1"/>
  <c r="Z509" i="1"/>
  <c r="Q496" i="1"/>
  <c r="R495" i="1"/>
  <c r="S495" i="1" s="1"/>
  <c r="X511" i="1" l="1"/>
  <c r="V513" i="1"/>
  <c r="Y510" i="1"/>
  <c r="Z510" i="1"/>
  <c r="Q497" i="1"/>
  <c r="R496" i="1"/>
  <c r="S496" i="1" s="1"/>
  <c r="X512" i="1" l="1"/>
  <c r="V514" i="1"/>
  <c r="X513" i="1" s="1"/>
  <c r="Y511" i="1"/>
  <c r="Z511" i="1" s="1"/>
  <c r="Q498" i="1"/>
  <c r="R497" i="1"/>
  <c r="S497" i="1" s="1"/>
  <c r="Y512" i="1" l="1"/>
  <c r="Y513" i="1" s="1"/>
  <c r="Z512" i="1"/>
  <c r="Q499" i="1"/>
  <c r="R498" i="1"/>
  <c r="S498" i="1" s="1"/>
  <c r="Y514" i="1" l="1"/>
  <c r="Z514" i="1" s="1"/>
  <c r="Z513" i="1"/>
  <c r="Q500" i="1"/>
  <c r="R499" i="1"/>
  <c r="S499" i="1" s="1"/>
  <c r="Q501" i="1" l="1"/>
  <c r="R500" i="1"/>
  <c r="S500" i="1" s="1"/>
  <c r="Q502" i="1" l="1"/>
  <c r="R501" i="1"/>
  <c r="S501" i="1" s="1"/>
  <c r="Q503" i="1" l="1"/>
  <c r="R502" i="1"/>
  <c r="S502" i="1" s="1"/>
  <c r="Q504" i="1" l="1"/>
  <c r="R503" i="1"/>
  <c r="S503" i="1" s="1"/>
  <c r="Q505" i="1" l="1"/>
  <c r="R504" i="1"/>
  <c r="S504" i="1" s="1"/>
  <c r="Q506" i="1" l="1"/>
  <c r="R505" i="1"/>
  <c r="S505" i="1" s="1"/>
  <c r="Q507" i="1" l="1"/>
  <c r="R506" i="1"/>
  <c r="S506" i="1" s="1"/>
  <c r="Q508" i="1" l="1"/>
  <c r="R507" i="1"/>
  <c r="S507" i="1" s="1"/>
  <c r="Q509" i="1" l="1"/>
  <c r="R508" i="1"/>
  <c r="S508" i="1" s="1"/>
  <c r="Q510" i="1" l="1"/>
  <c r="R509" i="1"/>
  <c r="S509" i="1" s="1"/>
  <c r="Q511" i="1" l="1"/>
  <c r="R510" i="1"/>
  <c r="S510" i="1" s="1"/>
  <c r="Q512" i="1" l="1"/>
  <c r="R511" i="1"/>
  <c r="S511" i="1" s="1"/>
  <c r="Q513" i="1" l="1"/>
  <c r="R512" i="1"/>
  <c r="S512" i="1" s="1"/>
  <c r="Q514" i="1" l="1"/>
  <c r="R514" i="1" s="1"/>
  <c r="S514" i="1" s="1"/>
  <c r="R513" i="1"/>
  <c r="S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D39DC4-35BA-433F-9905-0BF62DD0A8FA}" keepAlive="1" name="Query - Weekly(1)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8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</futureMetadata>
  <cellMetadata count="1">
    <bk>
      <rc t="1" v="0"/>
    </bk>
  </cellMetadata>
  <valueMetadata count="148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</valueMetadata>
</metadata>
</file>

<file path=xl/sharedStrings.xml><?xml version="1.0" encoding="utf-8"?>
<sst xmlns="http://schemas.openxmlformats.org/spreadsheetml/2006/main" count="29" uniqueCount="27">
  <si>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</si>
  <si>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</si>
  <si>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</si>
  <si>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</si>
  <si>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</si>
  <si>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</si>
  <si>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</si>
  <si>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</si>
  <si>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</si>
  <si>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</si>
  <si>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</si>
  <si>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</si>
  <si>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</si>
  <si>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</si>
  <si>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</si>
  <si>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</si>
  <si>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</si>
  <si>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</si>
  <si>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</si>
  <si>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</si>
  <si>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</si>
  <si>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</si>
  <si>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</si>
  <si>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</si>
  <si>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Date</t>
  </si>
  <si>
    <t>average_close</t>
  </si>
  <si>
    <t>Forecast(average_close)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</si>
</sst>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Data!$S$2:$S$514</c:f>
              <c:numCache>
                <c:formatCode>General</c:formatCode>
                <c:ptCount val="513"/>
                <c:pt idx="13">
                  <c:v>31.701890989988883</c:v>
                </c:pt>
                <c:pt idx="14">
                  <c:v>31.40096618357488</c:v>
                </c:pt>
                <c:pt idx="15">
                  <c:v>28.488705661069247</c:v>
                </c:pt>
                <c:pt idx="16">
                  <c:v>38.803127814349622</c:v>
                </c:pt>
                <c:pt idx="17">
                  <c:v>41.172166105719164</c:v>
                </c:pt>
                <c:pt idx="18">
                  <c:v>44.912314836942194</c:v>
                </c:pt>
                <c:pt idx="19">
                  <c:v>45.501488054571027</c:v>
                </c:pt>
                <c:pt idx="20">
                  <c:v>46.993868125332412</c:v>
                </c:pt>
                <c:pt idx="21">
                  <c:v>57.663110782343331</c:v>
                </c:pt>
                <c:pt idx="22">
                  <c:v>48.305947629470118</c:v>
                </c:pt>
                <c:pt idx="23">
                  <c:v>42.050871820626412</c:v>
                </c:pt>
                <c:pt idx="24">
                  <c:v>42.610517207241053</c:v>
                </c:pt>
                <c:pt idx="25">
                  <c:v>41.321242878000469</c:v>
                </c:pt>
                <c:pt idx="26">
                  <c:v>38.017785124478173</c:v>
                </c:pt>
                <c:pt idx="27">
                  <c:v>40.514482632554753</c:v>
                </c:pt>
                <c:pt idx="28">
                  <c:v>42.987644296509295</c:v>
                </c:pt>
                <c:pt idx="29">
                  <c:v>32.587176603285371</c:v>
                </c:pt>
                <c:pt idx="30">
                  <c:v>33.644421197572314</c:v>
                </c:pt>
                <c:pt idx="31">
                  <c:v>41.645072436558969</c:v>
                </c:pt>
                <c:pt idx="32">
                  <c:v>38.393774187535634</c:v>
                </c:pt>
                <c:pt idx="33">
                  <c:v>39.854641685325532</c:v>
                </c:pt>
                <c:pt idx="34">
                  <c:v>45.380300780976384</c:v>
                </c:pt>
                <c:pt idx="35">
                  <c:v>42.521178298693798</c:v>
                </c:pt>
                <c:pt idx="36">
                  <c:v>42.632389566018688</c:v>
                </c:pt>
                <c:pt idx="37">
                  <c:v>36.153830971199717</c:v>
                </c:pt>
                <c:pt idx="38">
                  <c:v>39.980013198516318</c:v>
                </c:pt>
                <c:pt idx="39">
                  <c:v>39.113460918643796</c:v>
                </c:pt>
                <c:pt idx="40">
                  <c:v>42.387710957280156</c:v>
                </c:pt>
                <c:pt idx="41">
                  <c:v>41.528764261945362</c:v>
                </c:pt>
                <c:pt idx="42">
                  <c:v>52.513445464628532</c:v>
                </c:pt>
                <c:pt idx="43">
                  <c:v>51.821090845739839</c:v>
                </c:pt>
                <c:pt idx="44">
                  <c:v>55.686121491012017</c:v>
                </c:pt>
                <c:pt idx="45">
                  <c:v>56.083180995495688</c:v>
                </c:pt>
                <c:pt idx="46">
                  <c:v>56.914676434618563</c:v>
                </c:pt>
                <c:pt idx="47">
                  <c:v>59.996106720631325</c:v>
                </c:pt>
                <c:pt idx="48">
                  <c:v>54.614341893773549</c:v>
                </c:pt>
                <c:pt idx="49">
                  <c:v>52.515140480385739</c:v>
                </c:pt>
                <c:pt idx="50">
                  <c:v>47.590316729872846</c:v>
                </c:pt>
                <c:pt idx="51">
                  <c:v>49.131523230685396</c:v>
                </c:pt>
                <c:pt idx="52">
                  <c:v>49.428108392241363</c:v>
                </c:pt>
                <c:pt idx="53">
                  <c:v>53.621492367465187</c:v>
                </c:pt>
                <c:pt idx="54">
                  <c:v>49.507588010906758</c:v>
                </c:pt>
                <c:pt idx="55">
                  <c:v>47.235833672335524</c:v>
                </c:pt>
                <c:pt idx="56">
                  <c:v>46.938455917945063</c:v>
                </c:pt>
                <c:pt idx="57">
                  <c:v>46.310497311929787</c:v>
                </c:pt>
                <c:pt idx="58">
                  <c:v>40.225289933060054</c:v>
                </c:pt>
                <c:pt idx="59">
                  <c:v>55.735567539712989</c:v>
                </c:pt>
                <c:pt idx="60">
                  <c:v>59.078151064196646</c:v>
                </c:pt>
                <c:pt idx="61">
                  <c:v>56.192030798417285</c:v>
                </c:pt>
                <c:pt idx="62">
                  <c:v>57.451194264247</c:v>
                </c:pt>
                <c:pt idx="63">
                  <c:v>53.126830973171828</c:v>
                </c:pt>
                <c:pt idx="64">
                  <c:v>54.679107721051373</c:v>
                </c:pt>
                <c:pt idx="65">
                  <c:v>51.380716397853689</c:v>
                </c:pt>
                <c:pt idx="66">
                  <c:v>56.36734402790055</c:v>
                </c:pt>
                <c:pt idx="67">
                  <c:v>58.900005233334291</c:v>
                </c:pt>
                <c:pt idx="68">
                  <c:v>46.590969600321124</c:v>
                </c:pt>
                <c:pt idx="69">
                  <c:v>45.051971518615368</c:v>
                </c:pt>
                <c:pt idx="70">
                  <c:v>45.508075881374346</c:v>
                </c:pt>
                <c:pt idx="71">
                  <c:v>49.408680289879072</c:v>
                </c:pt>
                <c:pt idx="72">
                  <c:v>40.757152747591526</c:v>
                </c:pt>
                <c:pt idx="73">
                  <c:v>54.032941319955299</c:v>
                </c:pt>
                <c:pt idx="74">
                  <c:v>56.107753387016842</c:v>
                </c:pt>
                <c:pt idx="75">
                  <c:v>59.139317430997679</c:v>
                </c:pt>
                <c:pt idx="76">
                  <c:v>62.238616581495897</c:v>
                </c:pt>
                <c:pt idx="77">
                  <c:v>62.588776096345427</c:v>
                </c:pt>
                <c:pt idx="78">
                  <c:v>64.490745805023352</c:v>
                </c:pt>
                <c:pt idx="79">
                  <c:v>66.598451026653379</c:v>
                </c:pt>
                <c:pt idx="80">
                  <c:v>59.948693340905301</c:v>
                </c:pt>
                <c:pt idx="81">
                  <c:v>63.41582966220372</c:v>
                </c:pt>
                <c:pt idx="82">
                  <c:v>64.773648086542636</c:v>
                </c:pt>
                <c:pt idx="83">
                  <c:v>66.036457156656695</c:v>
                </c:pt>
                <c:pt idx="84">
                  <c:v>67.450153622107081</c:v>
                </c:pt>
                <c:pt idx="85">
                  <c:v>68.425183413603435</c:v>
                </c:pt>
                <c:pt idx="86">
                  <c:v>70.193183882610654</c:v>
                </c:pt>
                <c:pt idx="87">
                  <c:v>73.966358121160397</c:v>
                </c:pt>
                <c:pt idx="88">
                  <c:v>74.146441551892309</c:v>
                </c:pt>
                <c:pt idx="89">
                  <c:v>75.576009444512948</c:v>
                </c:pt>
                <c:pt idx="90">
                  <c:v>72.288804473796944</c:v>
                </c:pt>
                <c:pt idx="91">
                  <c:v>71.808292656733428</c:v>
                </c:pt>
                <c:pt idx="92">
                  <c:v>64.154233984432736</c:v>
                </c:pt>
                <c:pt idx="93">
                  <c:v>65.231809517562255</c:v>
                </c:pt>
                <c:pt idx="94">
                  <c:v>65.231809517562255</c:v>
                </c:pt>
                <c:pt idx="95">
                  <c:v>66.064387182407472</c:v>
                </c:pt>
                <c:pt idx="96">
                  <c:v>61.16618031873854</c:v>
                </c:pt>
                <c:pt idx="97">
                  <c:v>59.790605378156769</c:v>
                </c:pt>
                <c:pt idx="98">
                  <c:v>58.053771076780237</c:v>
                </c:pt>
                <c:pt idx="99">
                  <c:v>43.43177045536725</c:v>
                </c:pt>
                <c:pt idx="100">
                  <c:v>46.994336378008214</c:v>
                </c:pt>
                <c:pt idx="101">
                  <c:v>40.944515135924732</c:v>
                </c:pt>
                <c:pt idx="102">
                  <c:v>35.674380963148934</c:v>
                </c:pt>
                <c:pt idx="103">
                  <c:v>39.176511697618025</c:v>
                </c:pt>
                <c:pt idx="104">
                  <c:v>50.469975008866975</c:v>
                </c:pt>
                <c:pt idx="105">
                  <c:v>46.608891153934856</c:v>
                </c:pt>
                <c:pt idx="106">
                  <c:v>46.810369575054992</c:v>
                </c:pt>
                <c:pt idx="107">
                  <c:v>42.0280207438689</c:v>
                </c:pt>
                <c:pt idx="108">
                  <c:v>39.287821522155468</c:v>
                </c:pt>
                <c:pt idx="109">
                  <c:v>38.229242556779944</c:v>
                </c:pt>
                <c:pt idx="110">
                  <c:v>42.462741699184846</c:v>
                </c:pt>
                <c:pt idx="111">
                  <c:v>40.087402393787485</c:v>
                </c:pt>
                <c:pt idx="112">
                  <c:v>37.659496784012738</c:v>
                </c:pt>
                <c:pt idx="113">
                  <c:v>35.639783780413069</c:v>
                </c:pt>
                <c:pt idx="114">
                  <c:v>37.413078421076634</c:v>
                </c:pt>
                <c:pt idx="115">
                  <c:v>36.496749055239896</c:v>
                </c:pt>
                <c:pt idx="116">
                  <c:v>35.393466844932433</c:v>
                </c:pt>
                <c:pt idx="117">
                  <c:v>36.50648229754497</c:v>
                </c:pt>
                <c:pt idx="118">
                  <c:v>35.609868585112892</c:v>
                </c:pt>
                <c:pt idx="119">
                  <c:v>42.990547171389757</c:v>
                </c:pt>
                <c:pt idx="120">
                  <c:v>34.405155847837534</c:v>
                </c:pt>
                <c:pt idx="121">
                  <c:v>36.441020506788888</c:v>
                </c:pt>
                <c:pt idx="122">
                  <c:v>36.516802259495265</c:v>
                </c:pt>
                <c:pt idx="123">
                  <c:v>35.337088813480591</c:v>
                </c:pt>
                <c:pt idx="124">
                  <c:v>32.670359848547022</c:v>
                </c:pt>
                <c:pt idx="125">
                  <c:v>34.075658854856826</c:v>
                </c:pt>
                <c:pt idx="126">
                  <c:v>32.874875627600801</c:v>
                </c:pt>
                <c:pt idx="127">
                  <c:v>37.946920129008056</c:v>
                </c:pt>
                <c:pt idx="128">
                  <c:v>33.775231646941833</c:v>
                </c:pt>
                <c:pt idx="129">
                  <c:v>37.517443263663004</c:v>
                </c:pt>
                <c:pt idx="130">
                  <c:v>45.39920433944463</c:v>
                </c:pt>
                <c:pt idx="131">
                  <c:v>54.940955519619607</c:v>
                </c:pt>
                <c:pt idx="132">
                  <c:v>58.524639494364102</c:v>
                </c:pt>
                <c:pt idx="133">
                  <c:v>47.718843406123874</c:v>
                </c:pt>
                <c:pt idx="134">
                  <c:v>53.852049063541621</c:v>
                </c:pt>
                <c:pt idx="135">
                  <c:v>62.062986247098962</c:v>
                </c:pt>
                <c:pt idx="136">
                  <c:v>63.180314638650721</c:v>
                </c:pt>
                <c:pt idx="137">
                  <c:v>62.782053539148528</c:v>
                </c:pt>
                <c:pt idx="138">
                  <c:v>64.828564575203046</c:v>
                </c:pt>
                <c:pt idx="139">
                  <c:v>57.007879397978371</c:v>
                </c:pt>
                <c:pt idx="140">
                  <c:v>65.49069838749358</c:v>
                </c:pt>
                <c:pt idx="141">
                  <c:v>65.601865199883676</c:v>
                </c:pt>
                <c:pt idx="142">
                  <c:v>67.086243085440799</c:v>
                </c:pt>
                <c:pt idx="143">
                  <c:v>68.304278779092613</c:v>
                </c:pt>
                <c:pt idx="144">
                  <c:v>71.689144808668772</c:v>
                </c:pt>
                <c:pt idx="145">
                  <c:v>67.819506125797744</c:v>
                </c:pt>
                <c:pt idx="146">
                  <c:v>74.138263596541208</c:v>
                </c:pt>
                <c:pt idx="147">
                  <c:v>77.059634697068475</c:v>
                </c:pt>
                <c:pt idx="148">
                  <c:v>71.032201123436963</c:v>
                </c:pt>
                <c:pt idx="149">
                  <c:v>71.436751790516439</c:v>
                </c:pt>
                <c:pt idx="150">
                  <c:v>72.099310993235193</c:v>
                </c:pt>
                <c:pt idx="151">
                  <c:v>68.1819036016567</c:v>
                </c:pt>
                <c:pt idx="152">
                  <c:v>69.52572022938665</c:v>
                </c:pt>
                <c:pt idx="153">
                  <c:v>71.79535328759485</c:v>
                </c:pt>
                <c:pt idx="154">
                  <c:v>69.72850626725652</c:v>
                </c:pt>
                <c:pt idx="155">
                  <c:v>65.320910931572485</c:v>
                </c:pt>
                <c:pt idx="156">
                  <c:v>56.803509955002298</c:v>
                </c:pt>
                <c:pt idx="157">
                  <c:v>59.815346638402758</c:v>
                </c:pt>
                <c:pt idx="158">
                  <c:v>60.862483263927068</c:v>
                </c:pt>
                <c:pt idx="159">
                  <c:v>59.568309386414107</c:v>
                </c:pt>
                <c:pt idx="160">
                  <c:v>60.510286591854772</c:v>
                </c:pt>
                <c:pt idx="161">
                  <c:v>61.476838314301752</c:v>
                </c:pt>
                <c:pt idx="162">
                  <c:v>61.026434737817603</c:v>
                </c:pt>
                <c:pt idx="163">
                  <c:v>62.301187252953056</c:v>
                </c:pt>
                <c:pt idx="164">
                  <c:v>53.995956487078338</c:v>
                </c:pt>
                <c:pt idx="165">
                  <c:v>57.704103866554604</c:v>
                </c:pt>
                <c:pt idx="166">
                  <c:v>59.547628540100447</c:v>
                </c:pt>
                <c:pt idx="167">
                  <c:v>62.67611462082386</c:v>
                </c:pt>
                <c:pt idx="168">
                  <c:v>68.661826264854582</c:v>
                </c:pt>
                <c:pt idx="169">
                  <c:v>71.829875810475343</c:v>
                </c:pt>
                <c:pt idx="170">
                  <c:v>67.809162066121985</c:v>
                </c:pt>
                <c:pt idx="171">
                  <c:v>64.555615052772566</c:v>
                </c:pt>
                <c:pt idx="172">
                  <c:v>69.150260942160003</c:v>
                </c:pt>
                <c:pt idx="173">
                  <c:v>69.781604896278225</c:v>
                </c:pt>
                <c:pt idx="174">
                  <c:v>62.572849245019114</c:v>
                </c:pt>
                <c:pt idx="175">
                  <c:v>60.073883196332055</c:v>
                </c:pt>
                <c:pt idx="176">
                  <c:v>64.256719974142001</c:v>
                </c:pt>
                <c:pt idx="177">
                  <c:v>65.229079454982283</c:v>
                </c:pt>
                <c:pt idx="178">
                  <c:v>63.248328466901803</c:v>
                </c:pt>
                <c:pt idx="179">
                  <c:v>56.511896240005804</c:v>
                </c:pt>
                <c:pt idx="180">
                  <c:v>49.968900519503585</c:v>
                </c:pt>
                <c:pt idx="181">
                  <c:v>55.284966921037089</c:v>
                </c:pt>
                <c:pt idx="182">
                  <c:v>57.90857155382988</c:v>
                </c:pt>
                <c:pt idx="183">
                  <c:v>52.021262346010097</c:v>
                </c:pt>
                <c:pt idx="184">
                  <c:v>53.46483164651017</c:v>
                </c:pt>
                <c:pt idx="185">
                  <c:v>53.261796888541355</c:v>
                </c:pt>
                <c:pt idx="186">
                  <c:v>57.3200039279481</c:v>
                </c:pt>
                <c:pt idx="187">
                  <c:v>57.660568083726574</c:v>
                </c:pt>
                <c:pt idx="188">
                  <c:v>61.841392701815593</c:v>
                </c:pt>
                <c:pt idx="189">
                  <c:v>57.635217026470315</c:v>
                </c:pt>
                <c:pt idx="190">
                  <c:v>55.153587151278039</c:v>
                </c:pt>
                <c:pt idx="191">
                  <c:v>50.423018028013239</c:v>
                </c:pt>
                <c:pt idx="192">
                  <c:v>41.555036409797609</c:v>
                </c:pt>
                <c:pt idx="193">
                  <c:v>46.449652168135181</c:v>
                </c:pt>
                <c:pt idx="194">
                  <c:v>47.713649447145059</c:v>
                </c:pt>
                <c:pt idx="195">
                  <c:v>44.292643197659494</c:v>
                </c:pt>
                <c:pt idx="196">
                  <c:v>48.050029511056366</c:v>
                </c:pt>
                <c:pt idx="197">
                  <c:v>51.479182535107178</c:v>
                </c:pt>
                <c:pt idx="198">
                  <c:v>60.805252357254652</c:v>
                </c:pt>
                <c:pt idx="199">
                  <c:v>62.998113593808405</c:v>
                </c:pt>
                <c:pt idx="200">
                  <c:v>60.463826922943639</c:v>
                </c:pt>
                <c:pt idx="201">
                  <c:v>64.034502533421275</c:v>
                </c:pt>
                <c:pt idx="202">
                  <c:v>61.323411637690377</c:v>
                </c:pt>
                <c:pt idx="203">
                  <c:v>58.344010212125561</c:v>
                </c:pt>
                <c:pt idx="204">
                  <c:v>64.053586233048748</c:v>
                </c:pt>
                <c:pt idx="205">
                  <c:v>61.903588603480749</c:v>
                </c:pt>
                <c:pt idx="206">
                  <c:v>50.870513252572422</c:v>
                </c:pt>
                <c:pt idx="207">
                  <c:v>51.682001860195058</c:v>
                </c:pt>
                <c:pt idx="208">
                  <c:v>44.5174437669681</c:v>
                </c:pt>
                <c:pt idx="209">
                  <c:v>43.862612720444837</c:v>
                </c:pt>
                <c:pt idx="210">
                  <c:v>40.362800405074012</c:v>
                </c:pt>
                <c:pt idx="211">
                  <c:v>35.443060934273788</c:v>
                </c:pt>
                <c:pt idx="212">
                  <c:v>33.235763769623802</c:v>
                </c:pt>
                <c:pt idx="213">
                  <c:v>36.588051171028759</c:v>
                </c:pt>
                <c:pt idx="214">
                  <c:v>34.213389239975513</c:v>
                </c:pt>
                <c:pt idx="215">
                  <c:v>30.763082683267513</c:v>
                </c:pt>
                <c:pt idx="216">
                  <c:v>33.635615142301177</c:v>
                </c:pt>
                <c:pt idx="217">
                  <c:v>35.470363380409225</c:v>
                </c:pt>
                <c:pt idx="218">
                  <c:v>31.599556339374104</c:v>
                </c:pt>
                <c:pt idx="219">
                  <c:v>27.889455484904715</c:v>
                </c:pt>
                <c:pt idx="220">
                  <c:v>27.526460106582292</c:v>
                </c:pt>
                <c:pt idx="221">
                  <c:v>34.051497528092867</c:v>
                </c:pt>
                <c:pt idx="222">
                  <c:v>34.104740359533309</c:v>
                </c:pt>
                <c:pt idx="223">
                  <c:v>36.955065665246906</c:v>
                </c:pt>
                <c:pt idx="224">
                  <c:v>41.707090678948106</c:v>
                </c:pt>
                <c:pt idx="225">
                  <c:v>45.680313485193096</c:v>
                </c:pt>
                <c:pt idx="226">
                  <c:v>44.331085615081363</c:v>
                </c:pt>
                <c:pt idx="227">
                  <c:v>49.568171407283479</c:v>
                </c:pt>
                <c:pt idx="228">
                  <c:v>58.096987510587041</c:v>
                </c:pt>
                <c:pt idx="229">
                  <c:v>57.533138056996776</c:v>
                </c:pt>
                <c:pt idx="230">
                  <c:v>52.965988202113607</c:v>
                </c:pt>
                <c:pt idx="231">
                  <c:v>44.868275698860366</c:v>
                </c:pt>
                <c:pt idx="232">
                  <c:v>41.683086220032941</c:v>
                </c:pt>
                <c:pt idx="233">
                  <c:v>38.893575084998204</c:v>
                </c:pt>
                <c:pt idx="234">
                  <c:v>38.527421981610168</c:v>
                </c:pt>
                <c:pt idx="235">
                  <c:v>33.738639226368662</c:v>
                </c:pt>
                <c:pt idx="236">
                  <c:v>33.63145368187034</c:v>
                </c:pt>
                <c:pt idx="237">
                  <c:v>33.374537702812944</c:v>
                </c:pt>
                <c:pt idx="238">
                  <c:v>28.347578632204275</c:v>
                </c:pt>
                <c:pt idx="239">
                  <c:v>28.019586966195433</c:v>
                </c:pt>
                <c:pt idx="240">
                  <c:v>28.528479985317887</c:v>
                </c:pt>
                <c:pt idx="241">
                  <c:v>25.110993620016814</c:v>
                </c:pt>
                <c:pt idx="242">
                  <c:v>24.194269602238805</c:v>
                </c:pt>
                <c:pt idx="243">
                  <c:v>20.427335278373022</c:v>
                </c:pt>
                <c:pt idx="244">
                  <c:v>21.75919141329824</c:v>
                </c:pt>
                <c:pt idx="245">
                  <c:v>27.989573979793661</c:v>
                </c:pt>
                <c:pt idx="246">
                  <c:v>27.117512342068849</c:v>
                </c:pt>
                <c:pt idx="247">
                  <c:v>26.891933885523812</c:v>
                </c:pt>
                <c:pt idx="248">
                  <c:v>26.964632003865461</c:v>
                </c:pt>
                <c:pt idx="249">
                  <c:v>26.878281413936577</c:v>
                </c:pt>
                <c:pt idx="250">
                  <c:v>25.69667936138687</c:v>
                </c:pt>
                <c:pt idx="251">
                  <c:v>26.307223953787812</c:v>
                </c:pt>
                <c:pt idx="252">
                  <c:v>25.658504174532268</c:v>
                </c:pt>
                <c:pt idx="253">
                  <c:v>27.675213291661692</c:v>
                </c:pt>
                <c:pt idx="254">
                  <c:v>24.687286424532459</c:v>
                </c:pt>
                <c:pt idx="255">
                  <c:v>23.524074903076439</c:v>
                </c:pt>
                <c:pt idx="256">
                  <c:v>32.828221031698462</c:v>
                </c:pt>
                <c:pt idx="257">
                  <c:v>29.533433017695089</c:v>
                </c:pt>
                <c:pt idx="258">
                  <c:v>32.257860471821303</c:v>
                </c:pt>
                <c:pt idx="259">
                  <c:v>39.359112075958627</c:v>
                </c:pt>
                <c:pt idx="260">
                  <c:v>45.263730185448416</c:v>
                </c:pt>
                <c:pt idx="261">
                  <c:v>55.951690182704098</c:v>
                </c:pt>
                <c:pt idx="262">
                  <c:v>61.733988156875171</c:v>
                </c:pt>
                <c:pt idx="263">
                  <c:v>59.160601057917837</c:v>
                </c:pt>
                <c:pt idx="264">
                  <c:v>47.368476993986917</c:v>
                </c:pt>
                <c:pt idx="265">
                  <c:v>47.326841680189574</c:v>
                </c:pt>
                <c:pt idx="266">
                  <c:v>46.62075760999268</c:v>
                </c:pt>
                <c:pt idx="267">
                  <c:v>62.692605227311539</c:v>
                </c:pt>
                <c:pt idx="268">
                  <c:v>56.308685205220478</c:v>
                </c:pt>
                <c:pt idx="269">
                  <c:v>53.123981636452456</c:v>
                </c:pt>
                <c:pt idx="270">
                  <c:v>57.222867609900241</c:v>
                </c:pt>
                <c:pt idx="271">
                  <c:v>56.725962782426471</c:v>
                </c:pt>
                <c:pt idx="272">
                  <c:v>62.255830679098715</c:v>
                </c:pt>
                <c:pt idx="273">
                  <c:v>59.180100570725202</c:v>
                </c:pt>
                <c:pt idx="274">
                  <c:v>62.752812357848924</c:v>
                </c:pt>
                <c:pt idx="275">
                  <c:v>59.385584346607978</c:v>
                </c:pt>
                <c:pt idx="276">
                  <c:v>61.302319717858872</c:v>
                </c:pt>
                <c:pt idx="277">
                  <c:v>63.065693325646244</c:v>
                </c:pt>
                <c:pt idx="278">
                  <c:v>61.177237343692006</c:v>
                </c:pt>
                <c:pt idx="279">
                  <c:v>53.482485808791971</c:v>
                </c:pt>
                <c:pt idx="280">
                  <c:v>57.12090152278963</c:v>
                </c:pt>
                <c:pt idx="281">
                  <c:v>54.031107056360064</c:v>
                </c:pt>
                <c:pt idx="282">
                  <c:v>56.882273930943313</c:v>
                </c:pt>
                <c:pt idx="283">
                  <c:v>54.707178528300666</c:v>
                </c:pt>
                <c:pt idx="284">
                  <c:v>56.498566337649073</c:v>
                </c:pt>
                <c:pt idx="285">
                  <c:v>64.136379885661086</c:v>
                </c:pt>
                <c:pt idx="286">
                  <c:v>67.614532774301281</c:v>
                </c:pt>
                <c:pt idx="287">
                  <c:v>70.421024225526736</c:v>
                </c:pt>
                <c:pt idx="288">
                  <c:v>65.625845330654045</c:v>
                </c:pt>
                <c:pt idx="289">
                  <c:v>65.435806985273473</c:v>
                </c:pt>
                <c:pt idx="290">
                  <c:v>69.269211956736811</c:v>
                </c:pt>
                <c:pt idx="291">
                  <c:v>74.10229510898472</c:v>
                </c:pt>
                <c:pt idx="292">
                  <c:v>65.769999150701736</c:v>
                </c:pt>
                <c:pt idx="293">
                  <c:v>58.396139703515466</c:v>
                </c:pt>
                <c:pt idx="294">
                  <c:v>60.148100818500922</c:v>
                </c:pt>
                <c:pt idx="295">
                  <c:v>66.065388646655833</c:v>
                </c:pt>
                <c:pt idx="296">
                  <c:v>71.165853424864835</c:v>
                </c:pt>
                <c:pt idx="297">
                  <c:v>61.62096318294757</c:v>
                </c:pt>
                <c:pt idx="298">
                  <c:v>58.326889009543358</c:v>
                </c:pt>
                <c:pt idx="299">
                  <c:v>62.057612765755742</c:v>
                </c:pt>
                <c:pt idx="300">
                  <c:v>65.251492259494043</c:v>
                </c:pt>
                <c:pt idx="301">
                  <c:v>67.206437950637792</c:v>
                </c:pt>
                <c:pt idx="302">
                  <c:v>67.515487282413048</c:v>
                </c:pt>
                <c:pt idx="303">
                  <c:v>66.380834493535531</c:v>
                </c:pt>
                <c:pt idx="304">
                  <c:v>68.163441436860765</c:v>
                </c:pt>
                <c:pt idx="305">
                  <c:v>65.590852819397583</c:v>
                </c:pt>
                <c:pt idx="306">
                  <c:v>61.996399812934669</c:v>
                </c:pt>
                <c:pt idx="307">
                  <c:v>57.517106698378164</c:v>
                </c:pt>
                <c:pt idx="308">
                  <c:v>61.936474106358297</c:v>
                </c:pt>
                <c:pt idx="309">
                  <c:v>62.872865103290195</c:v>
                </c:pt>
                <c:pt idx="310">
                  <c:v>64.7823135470598</c:v>
                </c:pt>
                <c:pt idx="311">
                  <c:v>68.401839542038005</c:v>
                </c:pt>
                <c:pt idx="312">
                  <c:v>66.265989632614435</c:v>
                </c:pt>
                <c:pt idx="313">
                  <c:v>64.307529102883919</c:v>
                </c:pt>
                <c:pt idx="314">
                  <c:v>70.45833706393293</c:v>
                </c:pt>
                <c:pt idx="315">
                  <c:v>58.668800920474382</c:v>
                </c:pt>
                <c:pt idx="316">
                  <c:v>48.576650242019731</c:v>
                </c:pt>
                <c:pt idx="317">
                  <c:v>50.109180728118055</c:v>
                </c:pt>
                <c:pt idx="318">
                  <c:v>49.425847961733226</c:v>
                </c:pt>
                <c:pt idx="319">
                  <c:v>55.350691116009187</c:v>
                </c:pt>
                <c:pt idx="320">
                  <c:v>58.534997360658075</c:v>
                </c:pt>
                <c:pt idx="321">
                  <c:v>62.984072390936703</c:v>
                </c:pt>
                <c:pt idx="322">
                  <c:v>61.682787634561613</c:v>
                </c:pt>
                <c:pt idx="323">
                  <c:v>60.549895059336379</c:v>
                </c:pt>
                <c:pt idx="324">
                  <c:v>61.894334317820856</c:v>
                </c:pt>
                <c:pt idx="325">
                  <c:v>58.204593325466</c:v>
                </c:pt>
                <c:pt idx="326">
                  <c:v>63.070998244365924</c:v>
                </c:pt>
                <c:pt idx="327">
                  <c:v>60.540594636715802</c:v>
                </c:pt>
                <c:pt idx="328">
                  <c:v>56.678910243406527</c:v>
                </c:pt>
                <c:pt idx="329">
                  <c:v>54.139107183266454</c:v>
                </c:pt>
                <c:pt idx="330">
                  <c:v>55.863326318201416</c:v>
                </c:pt>
                <c:pt idx="331">
                  <c:v>58.343642343904868</c:v>
                </c:pt>
                <c:pt idx="332">
                  <c:v>59.850137884560908</c:v>
                </c:pt>
                <c:pt idx="333">
                  <c:v>59.144234013728628</c:v>
                </c:pt>
                <c:pt idx="334">
                  <c:v>50.588052786489975</c:v>
                </c:pt>
                <c:pt idx="335">
                  <c:v>49.047698797497034</c:v>
                </c:pt>
                <c:pt idx="336">
                  <c:v>51.980790831814318</c:v>
                </c:pt>
                <c:pt idx="337">
                  <c:v>53.702865325985663</c:v>
                </c:pt>
                <c:pt idx="338">
                  <c:v>43.913754850430983</c:v>
                </c:pt>
                <c:pt idx="339">
                  <c:v>43.731103438893868</c:v>
                </c:pt>
                <c:pt idx="340">
                  <c:v>34.572317029266003</c:v>
                </c:pt>
                <c:pt idx="341">
                  <c:v>29.771413270345917</c:v>
                </c:pt>
                <c:pt idx="342">
                  <c:v>27.923312221565425</c:v>
                </c:pt>
                <c:pt idx="343">
                  <c:v>36.765224352616777</c:v>
                </c:pt>
                <c:pt idx="344">
                  <c:v>43.028194275722363</c:v>
                </c:pt>
                <c:pt idx="345">
                  <c:v>45.792342444234002</c:v>
                </c:pt>
                <c:pt idx="346">
                  <c:v>46.636489005275727</c:v>
                </c:pt>
                <c:pt idx="347">
                  <c:v>45.503390171111711</c:v>
                </c:pt>
                <c:pt idx="348">
                  <c:v>41.513236285873269</c:v>
                </c:pt>
                <c:pt idx="349">
                  <c:v>43.527892632421242</c:v>
                </c:pt>
                <c:pt idx="350">
                  <c:v>43.22137105796007</c:v>
                </c:pt>
                <c:pt idx="351">
                  <c:v>38.990704798674862</c:v>
                </c:pt>
                <c:pt idx="352">
                  <c:v>43.087052086312212</c:v>
                </c:pt>
                <c:pt idx="353">
                  <c:v>46.470048607956215</c:v>
                </c:pt>
                <c:pt idx="354">
                  <c:v>44.840877039639132</c:v>
                </c:pt>
                <c:pt idx="355">
                  <c:v>43.23445552116867</c:v>
                </c:pt>
                <c:pt idx="356">
                  <c:v>40.63030707007912</c:v>
                </c:pt>
                <c:pt idx="357">
                  <c:v>40.853798724139864</c:v>
                </c:pt>
                <c:pt idx="358">
                  <c:v>39.109748840534223</c:v>
                </c:pt>
                <c:pt idx="359">
                  <c:v>37.79345219774995</c:v>
                </c:pt>
                <c:pt idx="360">
                  <c:v>43.11312827264635</c:v>
                </c:pt>
                <c:pt idx="361">
                  <c:v>43.715856294339112</c:v>
                </c:pt>
                <c:pt idx="362">
                  <c:v>48.459746967610648</c:v>
                </c:pt>
                <c:pt idx="363">
                  <c:v>49.221575336120793</c:v>
                </c:pt>
                <c:pt idx="364">
                  <c:v>41.521511020748754</c:v>
                </c:pt>
                <c:pt idx="365">
                  <c:v>40.697573736175045</c:v>
                </c:pt>
                <c:pt idx="366">
                  <c:v>38.858798218003578</c:v>
                </c:pt>
                <c:pt idx="367">
                  <c:v>39.989100402259716</c:v>
                </c:pt>
                <c:pt idx="368">
                  <c:v>40.87197679113374</c:v>
                </c:pt>
                <c:pt idx="369">
                  <c:v>37.687416037591078</c:v>
                </c:pt>
                <c:pt idx="370">
                  <c:v>31.74887847662697</c:v>
                </c:pt>
                <c:pt idx="371">
                  <c:v>33.643150371588561</c:v>
                </c:pt>
                <c:pt idx="372">
                  <c:v>32.932248851958164</c:v>
                </c:pt>
                <c:pt idx="373">
                  <c:v>43.761125835286499</c:v>
                </c:pt>
                <c:pt idx="374">
                  <c:v>45.609637054886193</c:v>
                </c:pt>
                <c:pt idx="375">
                  <c:v>42.594197728265087</c:v>
                </c:pt>
                <c:pt idx="376">
                  <c:v>44.389756456641926</c:v>
                </c:pt>
                <c:pt idx="377">
                  <c:v>42.20272205717049</c:v>
                </c:pt>
                <c:pt idx="378">
                  <c:v>40.760905208660006</c:v>
                </c:pt>
                <c:pt idx="379">
                  <c:v>44.151307774897042</c:v>
                </c:pt>
                <c:pt idx="380">
                  <c:v>49.353927245993575</c:v>
                </c:pt>
                <c:pt idx="381">
                  <c:v>47.283993528781167</c:v>
                </c:pt>
                <c:pt idx="382">
                  <c:v>49.288173472940457</c:v>
                </c:pt>
                <c:pt idx="383">
                  <c:v>44.672108444014313</c:v>
                </c:pt>
                <c:pt idx="384">
                  <c:v>47.232715474645026</c:v>
                </c:pt>
                <c:pt idx="385">
                  <c:v>47.944919588392608</c:v>
                </c:pt>
                <c:pt idx="386">
                  <c:v>50.415958259463807</c:v>
                </c:pt>
                <c:pt idx="387">
                  <c:v>55.145322856294328</c:v>
                </c:pt>
                <c:pt idx="388">
                  <c:v>61.255624050504082</c:v>
                </c:pt>
                <c:pt idx="389">
                  <c:v>55.667909282453685</c:v>
                </c:pt>
                <c:pt idx="390">
                  <c:v>53.157336475374343</c:v>
                </c:pt>
                <c:pt idx="391">
                  <c:v>54.093762727803259</c:v>
                </c:pt>
                <c:pt idx="392">
                  <c:v>47.81886539367278</c:v>
                </c:pt>
                <c:pt idx="393">
                  <c:v>53.532986636461999</c:v>
                </c:pt>
                <c:pt idx="394">
                  <c:v>55.006873960720696</c:v>
                </c:pt>
                <c:pt idx="395">
                  <c:v>58.676910123704637</c:v>
                </c:pt>
                <c:pt idx="396">
                  <c:v>62.114603642012547</c:v>
                </c:pt>
                <c:pt idx="397">
                  <c:v>65.168738620128806</c:v>
                </c:pt>
                <c:pt idx="398">
                  <c:v>58.639189220972284</c:v>
                </c:pt>
                <c:pt idx="399">
                  <c:v>58.478766443721113</c:v>
                </c:pt>
                <c:pt idx="400">
                  <c:v>61.677746057873627</c:v>
                </c:pt>
                <c:pt idx="401">
                  <c:v>58.698297892484277</c:v>
                </c:pt>
                <c:pt idx="402">
                  <c:v>56.657733166767336</c:v>
                </c:pt>
                <c:pt idx="403">
                  <c:v>54.232598184230604</c:v>
                </c:pt>
                <c:pt idx="404">
                  <c:v>54.058745992067919</c:v>
                </c:pt>
                <c:pt idx="405">
                  <c:v>49.501605088829372</c:v>
                </c:pt>
                <c:pt idx="406">
                  <c:v>40.011830573032299</c:v>
                </c:pt>
                <c:pt idx="407">
                  <c:v>36.316786312856991</c:v>
                </c:pt>
                <c:pt idx="408">
                  <c:v>43.70872981967171</c:v>
                </c:pt>
                <c:pt idx="409">
                  <c:v>46.928219492416574</c:v>
                </c:pt>
                <c:pt idx="410">
                  <c:v>45.816533056463363</c:v>
                </c:pt>
                <c:pt idx="411">
                  <c:v>46.60244198107587</c:v>
                </c:pt>
                <c:pt idx="412">
                  <c:v>39.593236659268044</c:v>
                </c:pt>
                <c:pt idx="413">
                  <c:v>38.744192422142255</c:v>
                </c:pt>
                <c:pt idx="414">
                  <c:v>40.823799475705492</c:v>
                </c:pt>
                <c:pt idx="415">
                  <c:v>34.063141692481508</c:v>
                </c:pt>
                <c:pt idx="416">
                  <c:v>34.432414268886177</c:v>
                </c:pt>
                <c:pt idx="417">
                  <c:v>31.201907814364247</c:v>
                </c:pt>
                <c:pt idx="418">
                  <c:v>35.325690351478741</c:v>
                </c:pt>
                <c:pt idx="419">
                  <c:v>35.151148247257908</c:v>
                </c:pt>
                <c:pt idx="420">
                  <c:v>36.831743481130971</c:v>
                </c:pt>
                <c:pt idx="421">
                  <c:v>31.853355535938533</c:v>
                </c:pt>
                <c:pt idx="422">
                  <c:v>34.113989548302712</c:v>
                </c:pt>
                <c:pt idx="423">
                  <c:v>34.819613728604637</c:v>
                </c:pt>
                <c:pt idx="424">
                  <c:v>39.16950094045368</c:v>
                </c:pt>
                <c:pt idx="425">
                  <c:v>38.500068398042352</c:v>
                </c:pt>
                <c:pt idx="426">
                  <c:v>36.066104497470647</c:v>
                </c:pt>
                <c:pt idx="427">
                  <c:v>30.642002934890542</c:v>
                </c:pt>
                <c:pt idx="428">
                  <c:v>36.601809658721606</c:v>
                </c:pt>
                <c:pt idx="429">
                  <c:v>36.398901037553081</c:v>
                </c:pt>
                <c:pt idx="430">
                  <c:v>36.312185881683497</c:v>
                </c:pt>
                <c:pt idx="431">
                  <c:v>38.596483396122437</c:v>
                </c:pt>
                <c:pt idx="432">
                  <c:v>51.153207903310431</c:v>
                </c:pt>
                <c:pt idx="433">
                  <c:v>52.56062493895773</c:v>
                </c:pt>
                <c:pt idx="434">
                  <c:v>49.82531838874857</c:v>
                </c:pt>
                <c:pt idx="435">
                  <c:v>56.548580282896431</c:v>
                </c:pt>
                <c:pt idx="436">
                  <c:v>56.229126739957096</c:v>
                </c:pt>
                <c:pt idx="437">
                  <c:v>60.764410544428763</c:v>
                </c:pt>
                <c:pt idx="438">
                  <c:v>47.620083628160259</c:v>
                </c:pt>
                <c:pt idx="439">
                  <c:v>45.243058828467852</c:v>
                </c:pt>
                <c:pt idx="440">
                  <c:v>51.051715529518916</c:v>
                </c:pt>
                <c:pt idx="441">
                  <c:v>53.416910693335339</c:v>
                </c:pt>
                <c:pt idx="442">
                  <c:v>56.507116451749596</c:v>
                </c:pt>
                <c:pt idx="443">
                  <c:v>59.70978586568021</c:v>
                </c:pt>
                <c:pt idx="444">
                  <c:v>59.530513896646745</c:v>
                </c:pt>
                <c:pt idx="445">
                  <c:v>65.451064513450405</c:v>
                </c:pt>
                <c:pt idx="446">
                  <c:v>56.834649914624158</c:v>
                </c:pt>
                <c:pt idx="447">
                  <c:v>60.595501185034244</c:v>
                </c:pt>
                <c:pt idx="448">
                  <c:v>61.980854945231783</c:v>
                </c:pt>
                <c:pt idx="449">
                  <c:v>55.564388312328383</c:v>
                </c:pt>
                <c:pt idx="450">
                  <c:v>56.046379535719005</c:v>
                </c:pt>
                <c:pt idx="451">
                  <c:v>58.202804811104151</c:v>
                </c:pt>
                <c:pt idx="452">
                  <c:v>57.289028254252294</c:v>
                </c:pt>
                <c:pt idx="453">
                  <c:v>58.937895165196778</c:v>
                </c:pt>
                <c:pt idx="454">
                  <c:v>52.249591291198335</c:v>
                </c:pt>
                <c:pt idx="455">
                  <c:v>48.547794606405134</c:v>
                </c:pt>
                <c:pt idx="456">
                  <c:v>49.497903536304669</c:v>
                </c:pt>
                <c:pt idx="457">
                  <c:v>41.787989562216751</c:v>
                </c:pt>
                <c:pt idx="458">
                  <c:v>36.158454850436016</c:v>
                </c:pt>
                <c:pt idx="459">
                  <c:v>42.556693047835751</c:v>
                </c:pt>
                <c:pt idx="460">
                  <c:v>39.744976216332887</c:v>
                </c:pt>
                <c:pt idx="461">
                  <c:v>37.13650784103087</c:v>
                </c:pt>
                <c:pt idx="462">
                  <c:v>43.930121403501815</c:v>
                </c:pt>
                <c:pt idx="463">
                  <c:v>37.76948131265722</c:v>
                </c:pt>
                <c:pt idx="464">
                  <c:v>41.9404123429997</c:v>
                </c:pt>
                <c:pt idx="465">
                  <c:v>48.414130460904246</c:v>
                </c:pt>
                <c:pt idx="466">
                  <c:v>47.373101196953527</c:v>
                </c:pt>
                <c:pt idx="467">
                  <c:v>52.658669415729698</c:v>
                </c:pt>
                <c:pt idx="468">
                  <c:v>54.830048705697337</c:v>
                </c:pt>
                <c:pt idx="469">
                  <c:v>57.489767584003609</c:v>
                </c:pt>
                <c:pt idx="470">
                  <c:v>59.867235320215791</c:v>
                </c:pt>
                <c:pt idx="471">
                  <c:v>66.154875958355845</c:v>
                </c:pt>
                <c:pt idx="472">
                  <c:v>61.687483472375895</c:v>
                </c:pt>
                <c:pt idx="473">
                  <c:v>51.589572645425349</c:v>
                </c:pt>
                <c:pt idx="474">
                  <c:v>53.438830105051863</c:v>
                </c:pt>
                <c:pt idx="475">
                  <c:v>50.556320016443287</c:v>
                </c:pt>
                <c:pt idx="476">
                  <c:v>46.331844821236025</c:v>
                </c:pt>
                <c:pt idx="477">
                  <c:v>46.097671542039961</c:v>
                </c:pt>
                <c:pt idx="478">
                  <c:v>51.011584822955975</c:v>
                </c:pt>
                <c:pt idx="479">
                  <c:v>51.818299099901253</c:v>
                </c:pt>
                <c:pt idx="480">
                  <c:v>43.185063397999627</c:v>
                </c:pt>
                <c:pt idx="481">
                  <c:v>40.244368690376625</c:v>
                </c:pt>
                <c:pt idx="482">
                  <c:v>39.05343330727618</c:v>
                </c:pt>
                <c:pt idx="483">
                  <c:v>38.383561685701395</c:v>
                </c:pt>
                <c:pt idx="484">
                  <c:v>40.208353469145749</c:v>
                </c:pt>
                <c:pt idx="485">
                  <c:v>36.669068505619258</c:v>
                </c:pt>
                <c:pt idx="486">
                  <c:v>38.543441613790961</c:v>
                </c:pt>
                <c:pt idx="487">
                  <c:v>37.228570029312259</c:v>
                </c:pt>
                <c:pt idx="488">
                  <c:v>38.496116958465549</c:v>
                </c:pt>
                <c:pt idx="489">
                  <c:v>47.820508818432295</c:v>
                </c:pt>
                <c:pt idx="490">
                  <c:v>55.043918602444151</c:v>
                </c:pt>
                <c:pt idx="491">
                  <c:v>52.963794140355184</c:v>
                </c:pt>
                <c:pt idx="492">
                  <c:v>57.579284668020051</c:v>
                </c:pt>
                <c:pt idx="493">
                  <c:v>56.575251310377062</c:v>
                </c:pt>
                <c:pt idx="494">
                  <c:v>48.573254225258893</c:v>
                </c:pt>
                <c:pt idx="495">
                  <c:v>50.563105550857671</c:v>
                </c:pt>
                <c:pt idx="496">
                  <c:v>52.051788125257261</c:v>
                </c:pt>
                <c:pt idx="497">
                  <c:v>54.313155722934326</c:v>
                </c:pt>
                <c:pt idx="498">
                  <c:v>53.240826687798673</c:v>
                </c:pt>
                <c:pt idx="499">
                  <c:v>54.255737199082311</c:v>
                </c:pt>
                <c:pt idx="500">
                  <c:v>55.763668365209412</c:v>
                </c:pt>
                <c:pt idx="501">
                  <c:v>52.715926221073239</c:v>
                </c:pt>
                <c:pt idx="502">
                  <c:v>55.775589061774298</c:v>
                </c:pt>
                <c:pt idx="503">
                  <c:v>48.291700181898101</c:v>
                </c:pt>
                <c:pt idx="504">
                  <c:v>52.100810875679834</c:v>
                </c:pt>
                <c:pt idx="505">
                  <c:v>52.331398809882302</c:v>
                </c:pt>
                <c:pt idx="506">
                  <c:v>56.024717259638237</c:v>
                </c:pt>
                <c:pt idx="507">
                  <c:v>50.935230145526063</c:v>
                </c:pt>
                <c:pt idx="508">
                  <c:v>49.05515360089516</c:v>
                </c:pt>
                <c:pt idx="509">
                  <c:v>55.481678741009439</c:v>
                </c:pt>
                <c:pt idx="510">
                  <c:v>60.394264838069383</c:v>
                </c:pt>
                <c:pt idx="511">
                  <c:v>64.147673528058974</c:v>
                </c:pt>
                <c:pt idx="512">
                  <c:v>67.790349978316527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Data!$T$1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+ RSI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#,##0</c:formatCode>
                <c:ptCount val="513"/>
                <c:pt idx="0">
                  <c:v>1806880</c:v>
                </c:pt>
                <c:pt idx="1">
                  <c:v>2014288</c:v>
                </c:pt>
                <c:pt idx="2">
                  <c:v>1727129</c:v>
                </c:pt>
                <c:pt idx="3">
                  <c:v>1971991</c:v>
                </c:pt>
                <c:pt idx="4">
                  <c:v>1203530</c:v>
                </c:pt>
                <c:pt idx="5">
                  <c:v>1291766</c:v>
                </c:pt>
                <c:pt idx="6">
                  <c:v>1572378</c:v>
                </c:pt>
                <c:pt idx="7">
                  <c:v>2045304</c:v>
                </c:pt>
                <c:pt idx="8">
                  <c:v>2202499</c:v>
                </c:pt>
                <c:pt idx="9">
                  <c:v>2038202</c:v>
                </c:pt>
                <c:pt idx="10">
                  <c:v>1885348</c:v>
                </c:pt>
                <c:pt idx="11">
                  <c:v>1682318</c:v>
                </c:pt>
                <c:pt idx="12">
                  <c:v>1689928</c:v>
                </c:pt>
                <c:pt idx="13">
                  <c:v>1678501</c:v>
                </c:pt>
                <c:pt idx="14">
                  <c:v>1586101</c:v>
                </c:pt>
                <c:pt idx="15">
                  <c:v>1932368</c:v>
                </c:pt>
                <c:pt idx="16">
                  <c:v>1548425</c:v>
                </c:pt>
                <c:pt idx="17">
                  <c:v>2218871</c:v>
                </c:pt>
                <c:pt idx="18">
                  <c:v>2173342</c:v>
                </c:pt>
                <c:pt idx="19">
                  <c:v>1550005</c:v>
                </c:pt>
                <c:pt idx="20">
                  <c:v>3138166</c:v>
                </c:pt>
                <c:pt idx="21">
                  <c:v>1625052</c:v>
                </c:pt>
                <c:pt idx="22">
                  <c:v>1978373</c:v>
                </c:pt>
                <c:pt idx="23">
                  <c:v>1852011</c:v>
                </c:pt>
                <c:pt idx="24">
                  <c:v>1621500</c:v>
                </c:pt>
                <c:pt idx="25">
                  <c:v>1413513</c:v>
                </c:pt>
                <c:pt idx="26">
                  <c:v>1626478</c:v>
                </c:pt>
                <c:pt idx="27">
                  <c:v>1457619</c:v>
                </c:pt>
                <c:pt idx="28">
                  <c:v>1627308</c:v>
                </c:pt>
                <c:pt idx="29">
                  <c:v>3513616</c:v>
                </c:pt>
                <c:pt idx="30">
                  <c:v>2412954</c:v>
                </c:pt>
                <c:pt idx="31">
                  <c:v>2168515</c:v>
                </c:pt>
                <c:pt idx="32">
                  <c:v>2949343</c:v>
                </c:pt>
                <c:pt idx="33">
                  <c:v>1974526</c:v>
                </c:pt>
                <c:pt idx="34">
                  <c:v>1747225</c:v>
                </c:pt>
                <c:pt idx="35">
                  <c:v>1628834</c:v>
                </c:pt>
                <c:pt idx="36">
                  <c:v>1190734</c:v>
                </c:pt>
                <c:pt idx="37">
                  <c:v>1562868</c:v>
                </c:pt>
                <c:pt idx="38">
                  <c:v>1159107</c:v>
                </c:pt>
                <c:pt idx="39">
                  <c:v>1185454</c:v>
                </c:pt>
                <c:pt idx="40">
                  <c:v>2803360</c:v>
                </c:pt>
                <c:pt idx="41">
                  <c:v>1571973</c:v>
                </c:pt>
                <c:pt idx="42">
                  <c:v>1960927</c:v>
                </c:pt>
                <c:pt idx="43">
                  <c:v>2037247</c:v>
                </c:pt>
                <c:pt idx="44">
                  <c:v>1436735</c:v>
                </c:pt>
                <c:pt idx="45">
                  <c:v>1007905</c:v>
                </c:pt>
                <c:pt idx="46">
                  <c:v>1072856</c:v>
                </c:pt>
                <c:pt idx="47">
                  <c:v>1197165</c:v>
                </c:pt>
                <c:pt idx="48">
                  <c:v>1316827</c:v>
                </c:pt>
                <c:pt idx="49">
                  <c:v>1673563</c:v>
                </c:pt>
                <c:pt idx="50">
                  <c:v>1450252</c:v>
                </c:pt>
                <c:pt idx="51">
                  <c:v>3462511</c:v>
                </c:pt>
                <c:pt idx="52">
                  <c:v>1354963</c:v>
                </c:pt>
                <c:pt idx="53">
                  <c:v>1507656</c:v>
                </c:pt>
                <c:pt idx="54">
                  <c:v>1545741</c:v>
                </c:pt>
                <c:pt idx="55">
                  <c:v>2162914</c:v>
                </c:pt>
                <c:pt idx="56">
                  <c:v>1507460</c:v>
                </c:pt>
                <c:pt idx="57">
                  <c:v>1163704</c:v>
                </c:pt>
                <c:pt idx="58">
                  <c:v>1411961</c:v>
                </c:pt>
                <c:pt idx="59">
                  <c:v>1935394</c:v>
                </c:pt>
                <c:pt idx="60">
                  <c:v>1785835</c:v>
                </c:pt>
                <c:pt idx="61">
                  <c:v>1109597</c:v>
                </c:pt>
                <c:pt idx="62">
                  <c:v>1829435</c:v>
                </c:pt>
                <c:pt idx="63">
                  <c:v>1404637</c:v>
                </c:pt>
                <c:pt idx="64">
                  <c:v>1666995</c:v>
                </c:pt>
                <c:pt idx="65">
                  <c:v>1737921</c:v>
                </c:pt>
                <c:pt idx="66">
                  <c:v>1437861</c:v>
                </c:pt>
                <c:pt idx="67">
                  <c:v>1184146</c:v>
                </c:pt>
                <c:pt idx="68">
                  <c:v>1623462</c:v>
                </c:pt>
                <c:pt idx="69">
                  <c:v>1325849</c:v>
                </c:pt>
                <c:pt idx="70">
                  <c:v>1395978</c:v>
                </c:pt>
                <c:pt idx="71">
                  <c:v>3517995</c:v>
                </c:pt>
                <c:pt idx="72">
                  <c:v>2098153</c:v>
                </c:pt>
                <c:pt idx="73">
                  <c:v>2923183</c:v>
                </c:pt>
                <c:pt idx="74">
                  <c:v>2528774</c:v>
                </c:pt>
                <c:pt idx="75">
                  <c:v>7398350</c:v>
                </c:pt>
                <c:pt idx="76">
                  <c:v>1818305</c:v>
                </c:pt>
                <c:pt idx="77">
                  <c:v>1843846</c:v>
                </c:pt>
                <c:pt idx="78">
                  <c:v>2001652</c:v>
                </c:pt>
                <c:pt idx="79">
                  <c:v>2191488</c:v>
                </c:pt>
                <c:pt idx="80">
                  <c:v>1418568</c:v>
                </c:pt>
                <c:pt idx="81">
                  <c:v>1146354</c:v>
                </c:pt>
                <c:pt idx="82">
                  <c:v>3731976</c:v>
                </c:pt>
                <c:pt idx="83">
                  <c:v>2372909</c:v>
                </c:pt>
                <c:pt idx="84">
                  <c:v>1991646</c:v>
                </c:pt>
                <c:pt idx="85">
                  <c:v>2465195</c:v>
                </c:pt>
                <c:pt idx="86">
                  <c:v>2071466</c:v>
                </c:pt>
                <c:pt idx="87">
                  <c:v>2029790</c:v>
                </c:pt>
                <c:pt idx="88">
                  <c:v>2179673</c:v>
                </c:pt>
                <c:pt idx="89">
                  <c:v>1613152</c:v>
                </c:pt>
                <c:pt idx="90">
                  <c:v>1688630</c:v>
                </c:pt>
                <c:pt idx="91">
                  <c:v>1557959</c:v>
                </c:pt>
                <c:pt idx="92">
                  <c:v>1723445</c:v>
                </c:pt>
                <c:pt idx="93">
                  <c:v>1749069</c:v>
                </c:pt>
                <c:pt idx="94">
                  <c:v>2388169</c:v>
                </c:pt>
                <c:pt idx="95">
                  <c:v>1570651</c:v>
                </c:pt>
                <c:pt idx="96">
                  <c:v>1224455</c:v>
                </c:pt>
                <c:pt idx="97">
                  <c:v>1515950</c:v>
                </c:pt>
                <c:pt idx="98">
                  <c:v>3657513</c:v>
                </c:pt>
                <c:pt idx="99">
                  <c:v>2056720</c:v>
                </c:pt>
                <c:pt idx="100">
                  <c:v>1639105</c:v>
                </c:pt>
                <c:pt idx="101">
                  <c:v>2168958</c:v>
                </c:pt>
                <c:pt idx="102">
                  <c:v>2013488</c:v>
                </c:pt>
                <c:pt idx="103">
                  <c:v>1929613</c:v>
                </c:pt>
                <c:pt idx="104">
                  <c:v>7907625</c:v>
                </c:pt>
                <c:pt idx="105">
                  <c:v>2211836</c:v>
                </c:pt>
                <c:pt idx="106">
                  <c:v>3445948</c:v>
                </c:pt>
                <c:pt idx="107">
                  <c:v>2129688</c:v>
                </c:pt>
                <c:pt idx="108">
                  <c:v>1416883</c:v>
                </c:pt>
                <c:pt idx="109">
                  <c:v>1312297</c:v>
                </c:pt>
                <c:pt idx="110">
                  <c:v>1803642</c:v>
                </c:pt>
                <c:pt idx="111">
                  <c:v>1315681</c:v>
                </c:pt>
                <c:pt idx="112">
                  <c:v>1333420</c:v>
                </c:pt>
                <c:pt idx="113">
                  <c:v>1598015</c:v>
                </c:pt>
                <c:pt idx="114">
                  <c:v>1258477</c:v>
                </c:pt>
                <c:pt idx="115">
                  <c:v>1401222</c:v>
                </c:pt>
                <c:pt idx="116">
                  <c:v>1336404</c:v>
                </c:pt>
                <c:pt idx="117">
                  <c:v>1383835</c:v>
                </c:pt>
                <c:pt idx="118">
                  <c:v>3202328</c:v>
                </c:pt>
                <c:pt idx="119">
                  <c:v>1441194</c:v>
                </c:pt>
                <c:pt idx="120">
                  <c:v>1531285</c:v>
                </c:pt>
                <c:pt idx="121">
                  <c:v>1838729</c:v>
                </c:pt>
                <c:pt idx="122">
                  <c:v>1258140</c:v>
                </c:pt>
                <c:pt idx="123">
                  <c:v>2647348</c:v>
                </c:pt>
                <c:pt idx="124">
                  <c:v>1145188</c:v>
                </c:pt>
                <c:pt idx="125">
                  <c:v>1128198</c:v>
                </c:pt>
                <c:pt idx="126">
                  <c:v>922354</c:v>
                </c:pt>
                <c:pt idx="127">
                  <c:v>1551140</c:v>
                </c:pt>
                <c:pt idx="128">
                  <c:v>1169376</c:v>
                </c:pt>
                <c:pt idx="129">
                  <c:v>1589236</c:v>
                </c:pt>
                <c:pt idx="130">
                  <c:v>1188425</c:v>
                </c:pt>
                <c:pt idx="131">
                  <c:v>1345746</c:v>
                </c:pt>
                <c:pt idx="132">
                  <c:v>1222858</c:v>
                </c:pt>
                <c:pt idx="133">
                  <c:v>1490241</c:v>
                </c:pt>
                <c:pt idx="134">
                  <c:v>1526591</c:v>
                </c:pt>
                <c:pt idx="135">
                  <c:v>2039333</c:v>
                </c:pt>
                <c:pt idx="136">
                  <c:v>2135657</c:v>
                </c:pt>
                <c:pt idx="137">
                  <c:v>1809737</c:v>
                </c:pt>
                <c:pt idx="138">
                  <c:v>1547938</c:v>
                </c:pt>
                <c:pt idx="139">
                  <c:v>1245714</c:v>
                </c:pt>
                <c:pt idx="140">
                  <c:v>2179846</c:v>
                </c:pt>
                <c:pt idx="141">
                  <c:v>1920793</c:v>
                </c:pt>
                <c:pt idx="142">
                  <c:v>1438755</c:v>
                </c:pt>
                <c:pt idx="143">
                  <c:v>1320213</c:v>
                </c:pt>
                <c:pt idx="144">
                  <c:v>1127031</c:v>
                </c:pt>
                <c:pt idx="145">
                  <c:v>1623371</c:v>
                </c:pt>
                <c:pt idx="146">
                  <c:v>2409332</c:v>
                </c:pt>
                <c:pt idx="147">
                  <c:v>4425804</c:v>
                </c:pt>
                <c:pt idx="148">
                  <c:v>2846485</c:v>
                </c:pt>
                <c:pt idx="149">
                  <c:v>1956382</c:v>
                </c:pt>
                <c:pt idx="150">
                  <c:v>2139807</c:v>
                </c:pt>
                <c:pt idx="151">
                  <c:v>1784635</c:v>
                </c:pt>
                <c:pt idx="152">
                  <c:v>1512920</c:v>
                </c:pt>
                <c:pt idx="153">
                  <c:v>1238505</c:v>
                </c:pt>
                <c:pt idx="154">
                  <c:v>1505744</c:v>
                </c:pt>
                <c:pt idx="155">
                  <c:v>1639219</c:v>
                </c:pt>
                <c:pt idx="156">
                  <c:v>2757442</c:v>
                </c:pt>
                <c:pt idx="157">
                  <c:v>1684765</c:v>
                </c:pt>
                <c:pt idx="158">
                  <c:v>1837783</c:v>
                </c:pt>
                <c:pt idx="159">
                  <c:v>1460744</c:v>
                </c:pt>
                <c:pt idx="160">
                  <c:v>1922499</c:v>
                </c:pt>
                <c:pt idx="161">
                  <c:v>1844957</c:v>
                </c:pt>
                <c:pt idx="162">
                  <c:v>1620024</c:v>
                </c:pt>
                <c:pt idx="163">
                  <c:v>1221535</c:v>
                </c:pt>
                <c:pt idx="164">
                  <c:v>927271</c:v>
                </c:pt>
                <c:pt idx="165">
                  <c:v>1019536</c:v>
                </c:pt>
                <c:pt idx="166">
                  <c:v>1150898</c:v>
                </c:pt>
                <c:pt idx="167">
                  <c:v>2366505</c:v>
                </c:pt>
                <c:pt idx="168">
                  <c:v>2122586</c:v>
                </c:pt>
                <c:pt idx="169">
                  <c:v>1501047</c:v>
                </c:pt>
                <c:pt idx="170">
                  <c:v>1538696</c:v>
                </c:pt>
                <c:pt idx="171">
                  <c:v>1760628</c:v>
                </c:pt>
                <c:pt idx="172">
                  <c:v>1672940</c:v>
                </c:pt>
                <c:pt idx="173">
                  <c:v>1271138</c:v>
                </c:pt>
                <c:pt idx="174">
                  <c:v>2685901</c:v>
                </c:pt>
                <c:pt idx="175">
                  <c:v>1528602</c:v>
                </c:pt>
                <c:pt idx="176">
                  <c:v>1274726</c:v>
                </c:pt>
                <c:pt idx="177">
                  <c:v>1467923</c:v>
                </c:pt>
                <c:pt idx="178">
                  <c:v>1391024</c:v>
                </c:pt>
                <c:pt idx="179">
                  <c:v>1347037</c:v>
                </c:pt>
                <c:pt idx="180">
                  <c:v>1761679</c:v>
                </c:pt>
                <c:pt idx="181">
                  <c:v>3492651</c:v>
                </c:pt>
                <c:pt idx="182">
                  <c:v>1053579</c:v>
                </c:pt>
                <c:pt idx="183">
                  <c:v>1063139</c:v>
                </c:pt>
                <c:pt idx="184">
                  <c:v>1151089</c:v>
                </c:pt>
                <c:pt idx="185">
                  <c:v>1391590</c:v>
                </c:pt>
                <c:pt idx="186">
                  <c:v>1366877</c:v>
                </c:pt>
                <c:pt idx="187">
                  <c:v>1449539</c:v>
                </c:pt>
                <c:pt idx="188">
                  <c:v>1834563</c:v>
                </c:pt>
                <c:pt idx="189">
                  <c:v>996739</c:v>
                </c:pt>
                <c:pt idx="190">
                  <c:v>952060</c:v>
                </c:pt>
                <c:pt idx="191">
                  <c:v>952852</c:v>
                </c:pt>
                <c:pt idx="192">
                  <c:v>1967334</c:v>
                </c:pt>
                <c:pt idx="193">
                  <c:v>1328778</c:v>
                </c:pt>
                <c:pt idx="194">
                  <c:v>1114658</c:v>
                </c:pt>
                <c:pt idx="195">
                  <c:v>1179589</c:v>
                </c:pt>
                <c:pt idx="196">
                  <c:v>1317182</c:v>
                </c:pt>
                <c:pt idx="197">
                  <c:v>1976020</c:v>
                </c:pt>
                <c:pt idx="198">
                  <c:v>2748901</c:v>
                </c:pt>
                <c:pt idx="199">
                  <c:v>1869233</c:v>
                </c:pt>
                <c:pt idx="200">
                  <c:v>1727853</c:v>
                </c:pt>
                <c:pt idx="201">
                  <c:v>6365337</c:v>
                </c:pt>
                <c:pt idx="202">
                  <c:v>1405779</c:v>
                </c:pt>
                <c:pt idx="203">
                  <c:v>1207216</c:v>
                </c:pt>
                <c:pt idx="204">
                  <c:v>1663173</c:v>
                </c:pt>
                <c:pt idx="205">
                  <c:v>1127349</c:v>
                </c:pt>
                <c:pt idx="206">
                  <c:v>1734348</c:v>
                </c:pt>
                <c:pt idx="207">
                  <c:v>1204579</c:v>
                </c:pt>
                <c:pt idx="208">
                  <c:v>1452899</c:v>
                </c:pt>
                <c:pt idx="209">
                  <c:v>1641332</c:v>
                </c:pt>
                <c:pt idx="210">
                  <c:v>3732407</c:v>
                </c:pt>
                <c:pt idx="211">
                  <c:v>2832691</c:v>
                </c:pt>
                <c:pt idx="212">
                  <c:v>2088316</c:v>
                </c:pt>
                <c:pt idx="213">
                  <c:v>2062310</c:v>
                </c:pt>
                <c:pt idx="214">
                  <c:v>3701796</c:v>
                </c:pt>
                <c:pt idx="215">
                  <c:v>3061381</c:v>
                </c:pt>
                <c:pt idx="216">
                  <c:v>2915588</c:v>
                </c:pt>
                <c:pt idx="217">
                  <c:v>1968440</c:v>
                </c:pt>
                <c:pt idx="218">
                  <c:v>2682776</c:v>
                </c:pt>
                <c:pt idx="219">
                  <c:v>2129523</c:v>
                </c:pt>
                <c:pt idx="220">
                  <c:v>2112696</c:v>
                </c:pt>
                <c:pt idx="221">
                  <c:v>2239156</c:v>
                </c:pt>
                <c:pt idx="222">
                  <c:v>1838749</c:v>
                </c:pt>
                <c:pt idx="223">
                  <c:v>1861442</c:v>
                </c:pt>
                <c:pt idx="224">
                  <c:v>2119615</c:v>
                </c:pt>
                <c:pt idx="225">
                  <c:v>1470557</c:v>
                </c:pt>
                <c:pt idx="226">
                  <c:v>1185988</c:v>
                </c:pt>
                <c:pt idx="227">
                  <c:v>3996180</c:v>
                </c:pt>
                <c:pt idx="228">
                  <c:v>2435337</c:v>
                </c:pt>
                <c:pt idx="229">
                  <c:v>1330448</c:v>
                </c:pt>
                <c:pt idx="230">
                  <c:v>952343</c:v>
                </c:pt>
                <c:pt idx="231">
                  <c:v>1911596</c:v>
                </c:pt>
                <c:pt idx="232">
                  <c:v>1535995</c:v>
                </c:pt>
                <c:pt idx="233">
                  <c:v>5090667</c:v>
                </c:pt>
                <c:pt idx="234">
                  <c:v>2615839</c:v>
                </c:pt>
                <c:pt idx="235">
                  <c:v>2813525</c:v>
                </c:pt>
                <c:pt idx="236">
                  <c:v>2529568</c:v>
                </c:pt>
                <c:pt idx="237">
                  <c:v>1695783</c:v>
                </c:pt>
                <c:pt idx="238">
                  <c:v>2352368</c:v>
                </c:pt>
                <c:pt idx="239">
                  <c:v>2300218</c:v>
                </c:pt>
                <c:pt idx="240">
                  <c:v>1868498</c:v>
                </c:pt>
                <c:pt idx="241">
                  <c:v>3004564</c:v>
                </c:pt>
                <c:pt idx="242">
                  <c:v>2172159</c:v>
                </c:pt>
                <c:pt idx="243">
                  <c:v>2677519</c:v>
                </c:pt>
                <c:pt idx="244">
                  <c:v>2555753</c:v>
                </c:pt>
                <c:pt idx="245">
                  <c:v>4876371</c:v>
                </c:pt>
                <c:pt idx="246">
                  <c:v>1979057</c:v>
                </c:pt>
                <c:pt idx="247">
                  <c:v>653911</c:v>
                </c:pt>
                <c:pt idx="248">
                  <c:v>1879775</c:v>
                </c:pt>
                <c:pt idx="249">
                  <c:v>1319594</c:v>
                </c:pt>
                <c:pt idx="250">
                  <c:v>1377975</c:v>
                </c:pt>
                <c:pt idx="251">
                  <c:v>1640959</c:v>
                </c:pt>
                <c:pt idx="252">
                  <c:v>1557946</c:v>
                </c:pt>
                <c:pt idx="253">
                  <c:v>1954733</c:v>
                </c:pt>
                <c:pt idx="254">
                  <c:v>1981278</c:v>
                </c:pt>
                <c:pt idx="255">
                  <c:v>2861220</c:v>
                </c:pt>
                <c:pt idx="256">
                  <c:v>1793238</c:v>
                </c:pt>
                <c:pt idx="257">
                  <c:v>2243180</c:v>
                </c:pt>
                <c:pt idx="258">
                  <c:v>1883715</c:v>
                </c:pt>
                <c:pt idx="259">
                  <c:v>2103980</c:v>
                </c:pt>
                <c:pt idx="260">
                  <c:v>1972026</c:v>
                </c:pt>
                <c:pt idx="261">
                  <c:v>2097561</c:v>
                </c:pt>
                <c:pt idx="262">
                  <c:v>3516804</c:v>
                </c:pt>
                <c:pt idx="263">
                  <c:v>2761523</c:v>
                </c:pt>
                <c:pt idx="264">
                  <c:v>1805432</c:v>
                </c:pt>
                <c:pt idx="265">
                  <c:v>1649741</c:v>
                </c:pt>
                <c:pt idx="266">
                  <c:v>2596989</c:v>
                </c:pt>
                <c:pt idx="267">
                  <c:v>4043815</c:v>
                </c:pt>
                <c:pt idx="268">
                  <c:v>2470603</c:v>
                </c:pt>
                <c:pt idx="269">
                  <c:v>1935876</c:v>
                </c:pt>
                <c:pt idx="270">
                  <c:v>2274316</c:v>
                </c:pt>
                <c:pt idx="271">
                  <c:v>6072722</c:v>
                </c:pt>
                <c:pt idx="272">
                  <c:v>3234925</c:v>
                </c:pt>
                <c:pt idx="273">
                  <c:v>2186451</c:v>
                </c:pt>
                <c:pt idx="274">
                  <c:v>1874087</c:v>
                </c:pt>
                <c:pt idx="275">
                  <c:v>1587040</c:v>
                </c:pt>
                <c:pt idx="276">
                  <c:v>1520031</c:v>
                </c:pt>
                <c:pt idx="277">
                  <c:v>1570620</c:v>
                </c:pt>
                <c:pt idx="278">
                  <c:v>3162385</c:v>
                </c:pt>
                <c:pt idx="279">
                  <c:v>3704165</c:v>
                </c:pt>
                <c:pt idx="280">
                  <c:v>1860296</c:v>
                </c:pt>
                <c:pt idx="281">
                  <c:v>1948212</c:v>
                </c:pt>
                <c:pt idx="282">
                  <c:v>2568491</c:v>
                </c:pt>
                <c:pt idx="283">
                  <c:v>1857550</c:v>
                </c:pt>
                <c:pt idx="284">
                  <c:v>2580181</c:v>
                </c:pt>
                <c:pt idx="285">
                  <c:v>4414893</c:v>
                </c:pt>
                <c:pt idx="286">
                  <c:v>2943078</c:v>
                </c:pt>
                <c:pt idx="287">
                  <c:v>3481345</c:v>
                </c:pt>
                <c:pt idx="288">
                  <c:v>2072708</c:v>
                </c:pt>
                <c:pt idx="289">
                  <c:v>3314096</c:v>
                </c:pt>
                <c:pt idx="290">
                  <c:v>5254613</c:v>
                </c:pt>
                <c:pt idx="291">
                  <c:v>3555914</c:v>
                </c:pt>
                <c:pt idx="292">
                  <c:v>3592034</c:v>
                </c:pt>
                <c:pt idx="293">
                  <c:v>5509676</c:v>
                </c:pt>
                <c:pt idx="294">
                  <c:v>4345916</c:v>
                </c:pt>
                <c:pt idx="295">
                  <c:v>2865771</c:v>
                </c:pt>
                <c:pt idx="296">
                  <c:v>3471894</c:v>
                </c:pt>
                <c:pt idx="297">
                  <c:v>2731268</c:v>
                </c:pt>
                <c:pt idx="298">
                  <c:v>3739207</c:v>
                </c:pt>
                <c:pt idx="299">
                  <c:v>2392163</c:v>
                </c:pt>
                <c:pt idx="300">
                  <c:v>3779158</c:v>
                </c:pt>
                <c:pt idx="301">
                  <c:v>3930736</c:v>
                </c:pt>
                <c:pt idx="302">
                  <c:v>3275711</c:v>
                </c:pt>
                <c:pt idx="303">
                  <c:v>2293611</c:v>
                </c:pt>
                <c:pt idx="304">
                  <c:v>1896164</c:v>
                </c:pt>
                <c:pt idx="305">
                  <c:v>4415458</c:v>
                </c:pt>
                <c:pt idx="306">
                  <c:v>1897938</c:v>
                </c:pt>
                <c:pt idx="307">
                  <c:v>2543771</c:v>
                </c:pt>
                <c:pt idx="308">
                  <c:v>1925093</c:v>
                </c:pt>
                <c:pt idx="309">
                  <c:v>1859144</c:v>
                </c:pt>
                <c:pt idx="310">
                  <c:v>2392331</c:v>
                </c:pt>
                <c:pt idx="311">
                  <c:v>2920439</c:v>
                </c:pt>
                <c:pt idx="312">
                  <c:v>2507642</c:v>
                </c:pt>
                <c:pt idx="313">
                  <c:v>2015191</c:v>
                </c:pt>
                <c:pt idx="314">
                  <c:v>4175537</c:v>
                </c:pt>
                <c:pt idx="315">
                  <c:v>6395885</c:v>
                </c:pt>
                <c:pt idx="316">
                  <c:v>4405486</c:v>
                </c:pt>
                <c:pt idx="317">
                  <c:v>2683063</c:v>
                </c:pt>
                <c:pt idx="318">
                  <c:v>4912769</c:v>
                </c:pt>
                <c:pt idx="319">
                  <c:v>3382289</c:v>
                </c:pt>
                <c:pt idx="320">
                  <c:v>2617288</c:v>
                </c:pt>
                <c:pt idx="321">
                  <c:v>2133340</c:v>
                </c:pt>
                <c:pt idx="322">
                  <c:v>2314523</c:v>
                </c:pt>
                <c:pt idx="323">
                  <c:v>2133038</c:v>
                </c:pt>
                <c:pt idx="324">
                  <c:v>2055242</c:v>
                </c:pt>
                <c:pt idx="325">
                  <c:v>2333943</c:v>
                </c:pt>
                <c:pt idx="326">
                  <c:v>1833656</c:v>
                </c:pt>
                <c:pt idx="327">
                  <c:v>2098373</c:v>
                </c:pt>
                <c:pt idx="328">
                  <c:v>2389269</c:v>
                </c:pt>
                <c:pt idx="329">
                  <c:v>2820849</c:v>
                </c:pt>
                <c:pt idx="330">
                  <c:v>2938240</c:v>
                </c:pt>
                <c:pt idx="331">
                  <c:v>2000418</c:v>
                </c:pt>
                <c:pt idx="332">
                  <c:v>4940839</c:v>
                </c:pt>
                <c:pt idx="333">
                  <c:v>3265519</c:v>
                </c:pt>
                <c:pt idx="334">
                  <c:v>3421767</c:v>
                </c:pt>
                <c:pt idx="335">
                  <c:v>3225219</c:v>
                </c:pt>
                <c:pt idx="336">
                  <c:v>2186858</c:v>
                </c:pt>
                <c:pt idx="337">
                  <c:v>3555181</c:v>
                </c:pt>
                <c:pt idx="338">
                  <c:v>3652455</c:v>
                </c:pt>
                <c:pt idx="339">
                  <c:v>2248912</c:v>
                </c:pt>
                <c:pt idx="340">
                  <c:v>3918415</c:v>
                </c:pt>
                <c:pt idx="341">
                  <c:v>4495917</c:v>
                </c:pt>
                <c:pt idx="342">
                  <c:v>3383905</c:v>
                </c:pt>
                <c:pt idx="343">
                  <c:v>3497345</c:v>
                </c:pt>
                <c:pt idx="344">
                  <c:v>2758882</c:v>
                </c:pt>
                <c:pt idx="345">
                  <c:v>2047865</c:v>
                </c:pt>
                <c:pt idx="346">
                  <c:v>2177662</c:v>
                </c:pt>
                <c:pt idx="347">
                  <c:v>2741568</c:v>
                </c:pt>
                <c:pt idx="348">
                  <c:v>2266069</c:v>
                </c:pt>
                <c:pt idx="349">
                  <c:v>2116235</c:v>
                </c:pt>
                <c:pt idx="350">
                  <c:v>2638922</c:v>
                </c:pt>
                <c:pt idx="351">
                  <c:v>1945687</c:v>
                </c:pt>
                <c:pt idx="352">
                  <c:v>2762859</c:v>
                </c:pt>
                <c:pt idx="353">
                  <c:v>6398572</c:v>
                </c:pt>
                <c:pt idx="354">
                  <c:v>2292241</c:v>
                </c:pt>
                <c:pt idx="355">
                  <c:v>2316659</c:v>
                </c:pt>
                <c:pt idx="356">
                  <c:v>1845717</c:v>
                </c:pt>
                <c:pt idx="357">
                  <c:v>2734457</c:v>
                </c:pt>
                <c:pt idx="358">
                  <c:v>1694578</c:v>
                </c:pt>
                <c:pt idx="359">
                  <c:v>1781808</c:v>
                </c:pt>
                <c:pt idx="360">
                  <c:v>2311885</c:v>
                </c:pt>
                <c:pt idx="361">
                  <c:v>2439137</c:v>
                </c:pt>
                <c:pt idx="362">
                  <c:v>1902564</c:v>
                </c:pt>
                <c:pt idx="363">
                  <c:v>3337359</c:v>
                </c:pt>
                <c:pt idx="364">
                  <c:v>2737989</c:v>
                </c:pt>
                <c:pt idx="365">
                  <c:v>2844894</c:v>
                </c:pt>
                <c:pt idx="366">
                  <c:v>2620595</c:v>
                </c:pt>
                <c:pt idx="367">
                  <c:v>7504224</c:v>
                </c:pt>
                <c:pt idx="368">
                  <c:v>3957784</c:v>
                </c:pt>
                <c:pt idx="369">
                  <c:v>2952898</c:v>
                </c:pt>
                <c:pt idx="370">
                  <c:v>4397192</c:v>
                </c:pt>
                <c:pt idx="371">
                  <c:v>2655622</c:v>
                </c:pt>
                <c:pt idx="372">
                  <c:v>2880053</c:v>
                </c:pt>
                <c:pt idx="373">
                  <c:v>2930483</c:v>
                </c:pt>
                <c:pt idx="374">
                  <c:v>2749128</c:v>
                </c:pt>
                <c:pt idx="375">
                  <c:v>2485839</c:v>
                </c:pt>
                <c:pt idx="376">
                  <c:v>1316576</c:v>
                </c:pt>
                <c:pt idx="377">
                  <c:v>1800719</c:v>
                </c:pt>
                <c:pt idx="378">
                  <c:v>3451218</c:v>
                </c:pt>
                <c:pt idx="379">
                  <c:v>2782533</c:v>
                </c:pt>
                <c:pt idx="380">
                  <c:v>1851807</c:v>
                </c:pt>
                <c:pt idx="381">
                  <c:v>1853687</c:v>
                </c:pt>
                <c:pt idx="382">
                  <c:v>1409864</c:v>
                </c:pt>
                <c:pt idx="383">
                  <c:v>1731322</c:v>
                </c:pt>
                <c:pt idx="384">
                  <c:v>1865373</c:v>
                </c:pt>
                <c:pt idx="385">
                  <c:v>2131709</c:v>
                </c:pt>
                <c:pt idx="386">
                  <c:v>1813453</c:v>
                </c:pt>
                <c:pt idx="387">
                  <c:v>1667769</c:v>
                </c:pt>
                <c:pt idx="388">
                  <c:v>1663862</c:v>
                </c:pt>
                <c:pt idx="389">
                  <c:v>2563086</c:v>
                </c:pt>
                <c:pt idx="390">
                  <c:v>2467810</c:v>
                </c:pt>
                <c:pt idx="391">
                  <c:v>1375737</c:v>
                </c:pt>
                <c:pt idx="392">
                  <c:v>1995248</c:v>
                </c:pt>
                <c:pt idx="393">
                  <c:v>1265041</c:v>
                </c:pt>
                <c:pt idx="394">
                  <c:v>1565213</c:v>
                </c:pt>
                <c:pt idx="395">
                  <c:v>3483197</c:v>
                </c:pt>
                <c:pt idx="396">
                  <c:v>2272580</c:v>
                </c:pt>
                <c:pt idx="397">
                  <c:v>2345153</c:v>
                </c:pt>
                <c:pt idx="398">
                  <c:v>2515949</c:v>
                </c:pt>
                <c:pt idx="399">
                  <c:v>1993167</c:v>
                </c:pt>
                <c:pt idx="400">
                  <c:v>2577713</c:v>
                </c:pt>
                <c:pt idx="401">
                  <c:v>2796477</c:v>
                </c:pt>
                <c:pt idx="402">
                  <c:v>2357182</c:v>
                </c:pt>
                <c:pt idx="403">
                  <c:v>2578774</c:v>
                </c:pt>
                <c:pt idx="404">
                  <c:v>2728415</c:v>
                </c:pt>
                <c:pt idx="405">
                  <c:v>2171761</c:v>
                </c:pt>
                <c:pt idx="406">
                  <c:v>3098753</c:v>
                </c:pt>
                <c:pt idx="407">
                  <c:v>2789322</c:v>
                </c:pt>
                <c:pt idx="408">
                  <c:v>3948355</c:v>
                </c:pt>
                <c:pt idx="409">
                  <c:v>3216440</c:v>
                </c:pt>
                <c:pt idx="410">
                  <c:v>2282712</c:v>
                </c:pt>
                <c:pt idx="411">
                  <c:v>2753050</c:v>
                </c:pt>
                <c:pt idx="412">
                  <c:v>2498894</c:v>
                </c:pt>
                <c:pt idx="413">
                  <c:v>3309463</c:v>
                </c:pt>
                <c:pt idx="414">
                  <c:v>4313818</c:v>
                </c:pt>
                <c:pt idx="415">
                  <c:v>2400163</c:v>
                </c:pt>
                <c:pt idx="416">
                  <c:v>4220120</c:v>
                </c:pt>
                <c:pt idx="417">
                  <c:v>3019315</c:v>
                </c:pt>
                <c:pt idx="418">
                  <c:v>4306674</c:v>
                </c:pt>
                <c:pt idx="419">
                  <c:v>2033303</c:v>
                </c:pt>
                <c:pt idx="420">
                  <c:v>1724666</c:v>
                </c:pt>
                <c:pt idx="421">
                  <c:v>2189394</c:v>
                </c:pt>
                <c:pt idx="422">
                  <c:v>1282697</c:v>
                </c:pt>
                <c:pt idx="423">
                  <c:v>1603960</c:v>
                </c:pt>
                <c:pt idx="424">
                  <c:v>1689992</c:v>
                </c:pt>
                <c:pt idx="425">
                  <c:v>1249463</c:v>
                </c:pt>
                <c:pt idx="426">
                  <c:v>1351898</c:v>
                </c:pt>
                <c:pt idx="427">
                  <c:v>2116706</c:v>
                </c:pt>
                <c:pt idx="428">
                  <c:v>1879757</c:v>
                </c:pt>
                <c:pt idx="429">
                  <c:v>1815705</c:v>
                </c:pt>
                <c:pt idx="430">
                  <c:v>4091681</c:v>
                </c:pt>
                <c:pt idx="431">
                  <c:v>1938992</c:v>
                </c:pt>
                <c:pt idx="432">
                  <c:v>2204294</c:v>
                </c:pt>
                <c:pt idx="433">
                  <c:v>1611788</c:v>
                </c:pt>
                <c:pt idx="434">
                  <c:v>1848471</c:v>
                </c:pt>
                <c:pt idx="435">
                  <c:v>1947302</c:v>
                </c:pt>
                <c:pt idx="436">
                  <c:v>1875302</c:v>
                </c:pt>
                <c:pt idx="437">
                  <c:v>2199219</c:v>
                </c:pt>
                <c:pt idx="438">
                  <c:v>2301874</c:v>
                </c:pt>
                <c:pt idx="439">
                  <c:v>1449485</c:v>
                </c:pt>
                <c:pt idx="440">
                  <c:v>1676205</c:v>
                </c:pt>
                <c:pt idx="441">
                  <c:v>1769805</c:v>
                </c:pt>
                <c:pt idx="442">
                  <c:v>1722042</c:v>
                </c:pt>
                <c:pt idx="443">
                  <c:v>1570590</c:v>
                </c:pt>
                <c:pt idx="444">
                  <c:v>1816124</c:v>
                </c:pt>
                <c:pt idx="445">
                  <c:v>2059205</c:v>
                </c:pt>
                <c:pt idx="446">
                  <c:v>1515680</c:v>
                </c:pt>
                <c:pt idx="447">
                  <c:v>1423256</c:v>
                </c:pt>
                <c:pt idx="448">
                  <c:v>1556615</c:v>
                </c:pt>
                <c:pt idx="449">
                  <c:v>1558806</c:v>
                </c:pt>
                <c:pt idx="450">
                  <c:v>1597575</c:v>
                </c:pt>
                <c:pt idx="451">
                  <c:v>1129321</c:v>
                </c:pt>
                <c:pt idx="452">
                  <c:v>1116965</c:v>
                </c:pt>
                <c:pt idx="453">
                  <c:v>1508989</c:v>
                </c:pt>
                <c:pt idx="454">
                  <c:v>1302838</c:v>
                </c:pt>
                <c:pt idx="455">
                  <c:v>1036366</c:v>
                </c:pt>
                <c:pt idx="456">
                  <c:v>1537561</c:v>
                </c:pt>
                <c:pt idx="457">
                  <c:v>1156747</c:v>
                </c:pt>
                <c:pt idx="458">
                  <c:v>1804147</c:v>
                </c:pt>
                <c:pt idx="459">
                  <c:v>2073284</c:v>
                </c:pt>
                <c:pt idx="460">
                  <c:v>2770794</c:v>
                </c:pt>
                <c:pt idx="461">
                  <c:v>1692176</c:v>
                </c:pt>
                <c:pt idx="462">
                  <c:v>1614634</c:v>
                </c:pt>
                <c:pt idx="463">
                  <c:v>2273863</c:v>
                </c:pt>
                <c:pt idx="464">
                  <c:v>3064515</c:v>
                </c:pt>
                <c:pt idx="465">
                  <c:v>2924446</c:v>
                </c:pt>
                <c:pt idx="466">
                  <c:v>2188924</c:v>
                </c:pt>
                <c:pt idx="467">
                  <c:v>1779798</c:v>
                </c:pt>
                <c:pt idx="468">
                  <c:v>1340259</c:v>
                </c:pt>
                <c:pt idx="469">
                  <c:v>1977816</c:v>
                </c:pt>
                <c:pt idx="470">
                  <c:v>2443256</c:v>
                </c:pt>
                <c:pt idx="471">
                  <c:v>3007831</c:v>
                </c:pt>
                <c:pt idx="472">
                  <c:v>2585563</c:v>
                </c:pt>
                <c:pt idx="473">
                  <c:v>3059734</c:v>
                </c:pt>
                <c:pt idx="474">
                  <c:v>2462396</c:v>
                </c:pt>
                <c:pt idx="475">
                  <c:v>4721989</c:v>
                </c:pt>
                <c:pt idx="476">
                  <c:v>7708010</c:v>
                </c:pt>
                <c:pt idx="477">
                  <c:v>2127188</c:v>
                </c:pt>
                <c:pt idx="478">
                  <c:v>1305669</c:v>
                </c:pt>
                <c:pt idx="479">
                  <c:v>1063335</c:v>
                </c:pt>
                <c:pt idx="480">
                  <c:v>2744812</c:v>
                </c:pt>
                <c:pt idx="481">
                  <c:v>2753150</c:v>
                </c:pt>
                <c:pt idx="482">
                  <c:v>1762033</c:v>
                </c:pt>
                <c:pt idx="483">
                  <c:v>2303530</c:v>
                </c:pt>
                <c:pt idx="484">
                  <c:v>1775844</c:v>
                </c:pt>
                <c:pt idx="485">
                  <c:v>2089307</c:v>
                </c:pt>
                <c:pt idx="486">
                  <c:v>1823336</c:v>
                </c:pt>
                <c:pt idx="487">
                  <c:v>1848956</c:v>
                </c:pt>
                <c:pt idx="488">
                  <c:v>1396780</c:v>
                </c:pt>
                <c:pt idx="489">
                  <c:v>2638227</c:v>
                </c:pt>
                <c:pt idx="490">
                  <c:v>2388088</c:v>
                </c:pt>
                <c:pt idx="491">
                  <c:v>2321135</c:v>
                </c:pt>
                <c:pt idx="492">
                  <c:v>2330732</c:v>
                </c:pt>
                <c:pt idx="493">
                  <c:v>2345340</c:v>
                </c:pt>
                <c:pt idx="494">
                  <c:v>4366286</c:v>
                </c:pt>
                <c:pt idx="495">
                  <c:v>1526222</c:v>
                </c:pt>
                <c:pt idx="496">
                  <c:v>1485103</c:v>
                </c:pt>
                <c:pt idx="497">
                  <c:v>522559</c:v>
                </c:pt>
                <c:pt idx="498">
                  <c:v>611485</c:v>
                </c:pt>
                <c:pt idx="499">
                  <c:v>1647935</c:v>
                </c:pt>
                <c:pt idx="500">
                  <c:v>1019883</c:v>
                </c:pt>
                <c:pt idx="501">
                  <c:v>1218242</c:v>
                </c:pt>
                <c:pt idx="502">
                  <c:v>1441121</c:v>
                </c:pt>
                <c:pt idx="503">
                  <c:v>2112395</c:v>
                </c:pt>
                <c:pt idx="504">
                  <c:v>1643792</c:v>
                </c:pt>
                <c:pt idx="505">
                  <c:v>1638957</c:v>
                </c:pt>
                <c:pt idx="506">
                  <c:v>1717623</c:v>
                </c:pt>
                <c:pt idx="507">
                  <c:v>1354245</c:v>
                </c:pt>
                <c:pt idx="508">
                  <c:v>1987289</c:v>
                </c:pt>
                <c:pt idx="509">
                  <c:v>2073342</c:v>
                </c:pt>
                <c:pt idx="510">
                  <c:v>1963060</c:v>
                </c:pt>
                <c:pt idx="511">
                  <c:v>1813479</c:v>
                </c:pt>
                <c:pt idx="512">
                  <c:v>2201908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6-432A-9CE8-ADD916CB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466976"/>
        <c:axId val="408470336"/>
      </c:areaChar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6-432A-9CE8-ADD916CB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3536"/>
        <c:axId val="408442016"/>
      </c:lineChart>
      <c:dateAx>
        <c:axId val="408453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16"/>
        <c:crosses val="autoZero"/>
        <c:auto val="1"/>
        <c:lblOffset val="100"/>
        <c:baseTimeUnit val="days"/>
      </c:dateAx>
      <c:valAx>
        <c:axId val="40844201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3536"/>
        <c:crosses val="autoZero"/>
        <c:crossBetween val="between"/>
      </c:valAx>
      <c:valAx>
        <c:axId val="4084703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976"/>
        <c:crosses val="max"/>
        <c:crossBetween val="between"/>
      </c:valAx>
      <c:dateAx>
        <c:axId val="4084669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703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Data!$E$2:$E$514</c:f>
              <c:numCache>
                <c:formatCode>General</c:formatCode>
                <c:ptCount val="513"/>
                <c:pt idx="0">
                  <c:v>92.41</c:v>
                </c:pt>
                <c:pt idx="1">
                  <c:v>92.721012214066477</c:v>
                </c:pt>
                <c:pt idx="2">
                  <c:v>92.885680786374621</c:v>
                </c:pt>
                <c:pt idx="3">
                  <c:v>93.052013748675563</c:v>
                </c:pt>
                <c:pt idx="4">
                  <c:v>93.156584842783261</c:v>
                </c:pt>
                <c:pt idx="5">
                  <c:v>93.226672141135239</c:v>
                </c:pt>
                <c:pt idx="6">
                  <c:v>93.375026499914298</c:v>
                </c:pt>
                <c:pt idx="7">
                  <c:v>93.056223565945231</c:v>
                </c:pt>
                <c:pt idx="8">
                  <c:v>92.856468077797317</c:v>
                </c:pt>
                <c:pt idx="9">
                  <c:v>92.708629389883058</c:v>
                </c:pt>
                <c:pt idx="10">
                  <c:v>92.502662350896273</c:v>
                </c:pt>
                <c:pt idx="11">
                  <c:v>92.259226381218255</c:v>
                </c:pt>
                <c:pt idx="12">
                  <c:v>92.083945524039649</c:v>
                </c:pt>
                <c:pt idx="13">
                  <c:v>91.888834949707103</c:v>
                </c:pt>
                <c:pt idx="14">
                  <c:v>91.722460318569787</c:v>
                </c:pt>
                <c:pt idx="15">
                  <c:v>91.490369023723829</c:v>
                </c:pt>
                <c:pt idx="16">
                  <c:v>91.396025245677649</c:v>
                </c:pt>
                <c:pt idx="17">
                  <c:v>91.300896912860367</c:v>
                </c:pt>
                <c:pt idx="18">
                  <c:v>91.255812011082043</c:v>
                </c:pt>
                <c:pt idx="19">
                  <c:v>91.230894867648274</c:v>
                </c:pt>
                <c:pt idx="20">
                  <c:v>91.204239992771591</c:v>
                </c:pt>
                <c:pt idx="21">
                  <c:v>91.267338588617463</c:v>
                </c:pt>
                <c:pt idx="22">
                  <c:v>91.259560106591152</c:v>
                </c:pt>
                <c:pt idx="23">
                  <c:v>91.193275513109128</c:v>
                </c:pt>
                <c:pt idx="24">
                  <c:v>91.143142406975201</c:v>
                </c:pt>
                <c:pt idx="25">
                  <c:v>91.093297965475273</c:v>
                </c:pt>
                <c:pt idx="26">
                  <c:v>91.012982128495182</c:v>
                </c:pt>
                <c:pt idx="27">
                  <c:v>90.956647325215627</c:v>
                </c:pt>
                <c:pt idx="28">
                  <c:v>90.909641628664758</c:v>
                </c:pt>
                <c:pt idx="29">
                  <c:v>90.642069852410927</c:v>
                </c:pt>
                <c:pt idx="30">
                  <c:v>90.484127199566515</c:v>
                </c:pt>
                <c:pt idx="31">
                  <c:v>90.402642633231096</c:v>
                </c:pt>
                <c:pt idx="32">
                  <c:v>90.258793749510147</c:v>
                </c:pt>
                <c:pt idx="33">
                  <c:v>90.177641583188304</c:v>
                </c:pt>
                <c:pt idx="34">
                  <c:v>90.136715063956416</c:v>
                </c:pt>
                <c:pt idx="35">
                  <c:v>90.083808767418191</c:v>
                </c:pt>
                <c:pt idx="36">
                  <c:v>90.047037450501264</c:v>
                </c:pt>
                <c:pt idx="37">
                  <c:v>89.962940307000608</c:v>
                </c:pt>
                <c:pt idx="38">
                  <c:v>89.913628733006945</c:v>
                </c:pt>
                <c:pt idx="39">
                  <c:v>89.861099781989381</c:v>
                </c:pt>
                <c:pt idx="40">
                  <c:v>89.763893371366692</c:v>
                </c:pt>
                <c:pt idx="41">
                  <c:v>89.708412486267875</c:v>
                </c:pt>
                <c:pt idx="42">
                  <c:v>89.694232662692215</c:v>
                </c:pt>
                <c:pt idx="43">
                  <c:v>89.676741891098601</c:v>
                </c:pt>
                <c:pt idx="44">
                  <c:v>89.679724376107487</c:v>
                </c:pt>
                <c:pt idx="45">
                  <c:v>89.68282999345206</c:v>
                </c:pt>
                <c:pt idx="46">
                  <c:v>89.688312831550391</c:v>
                </c:pt>
                <c:pt idx="47">
                  <c:v>89.703655980206179</c:v>
                </c:pt>
                <c:pt idx="48">
                  <c:v>89.707040772796248</c:v>
                </c:pt>
                <c:pt idx="49">
                  <c:v>89.704484838382612</c:v>
                </c:pt>
                <c:pt idx="50">
                  <c:v>89.688031183079687</c:v>
                </c:pt>
                <c:pt idx="51">
                  <c:v>89.660664686989037</c:v>
                </c:pt>
                <c:pt idx="52">
                  <c:v>89.651198660139571</c:v>
                </c:pt>
                <c:pt idx="53">
                  <c:v>89.652107854558366</c:v>
                </c:pt>
                <c:pt idx="54">
                  <c:v>89.642555702960678</c:v>
                </c:pt>
                <c:pt idx="55">
                  <c:v>89.621345275967869</c:v>
                </c:pt>
                <c:pt idx="56">
                  <c:v>89.606356950393277</c:v>
                </c:pt>
                <c:pt idx="57">
                  <c:v>89.593963842468355</c:v>
                </c:pt>
                <c:pt idx="58">
                  <c:v>89.565215046255858</c:v>
                </c:pt>
                <c:pt idx="59">
                  <c:v>89.57396464438294</c:v>
                </c:pt>
                <c:pt idx="60">
                  <c:v>89.594212020898837</c:v>
                </c:pt>
                <c:pt idx="61">
                  <c:v>89.601625406628031</c:v>
                </c:pt>
                <c:pt idx="62">
                  <c:v>89.617939164448799</c:v>
                </c:pt>
                <c:pt idx="63">
                  <c:v>89.621310165183758</c:v>
                </c:pt>
                <c:pt idx="64">
                  <c:v>89.629551521797623</c:v>
                </c:pt>
                <c:pt idx="65">
                  <c:v>89.629855867756291</c:v>
                </c:pt>
                <c:pt idx="66">
                  <c:v>89.641656750836177</c:v>
                </c:pt>
                <c:pt idx="67">
                  <c:v>89.656418598720649</c:v>
                </c:pt>
                <c:pt idx="68">
                  <c:v>89.646136665077535</c:v>
                </c:pt>
                <c:pt idx="69">
                  <c:v>89.63425730474242</c:v>
                </c:pt>
                <c:pt idx="70">
                  <c:v>89.622927294335028</c:v>
                </c:pt>
                <c:pt idx="71">
                  <c:v>89.614552677832592</c:v>
                </c:pt>
                <c:pt idx="72">
                  <c:v>89.578955775629055</c:v>
                </c:pt>
                <c:pt idx="73">
                  <c:v>89.595553375275273</c:v>
                </c:pt>
                <c:pt idx="74">
                  <c:v>89.620023477911047</c:v>
                </c:pt>
                <c:pt idx="75">
                  <c:v>89.73188067677556</c:v>
                </c:pt>
                <c:pt idx="76">
                  <c:v>89.769733036656888</c:v>
                </c:pt>
                <c:pt idx="77">
                  <c:v>89.808543894638277</c:v>
                </c:pt>
                <c:pt idx="78">
                  <c:v>89.857567479688214</c:v>
                </c:pt>
                <c:pt idx="79">
                  <c:v>89.919671601406606</c:v>
                </c:pt>
                <c:pt idx="80">
                  <c:v>89.947863323111108</c:v>
                </c:pt>
                <c:pt idx="81">
                  <c:v>89.978073885519493</c:v>
                </c:pt>
                <c:pt idx="82">
                  <c:v>90.083619881133217</c:v>
                </c:pt>
                <c:pt idx="83">
                  <c:v>90.154128101202971</c:v>
                </c:pt>
                <c:pt idx="84">
                  <c:v>90.217276894041248</c:v>
                </c:pt>
                <c:pt idx="85">
                  <c:v>90.297988771775692</c:v>
                </c:pt>
                <c:pt idx="86">
                  <c:v>90.371092814525639</c:v>
                </c:pt>
                <c:pt idx="87">
                  <c:v>90.457593083474109</c:v>
                </c:pt>
                <c:pt idx="88">
                  <c:v>90.549073713440336</c:v>
                </c:pt>
                <c:pt idx="89">
                  <c:v>90.62046265931545</c:v>
                </c:pt>
                <c:pt idx="90">
                  <c:v>90.689658554542817</c:v>
                </c:pt>
                <c:pt idx="91">
                  <c:v>90.751774675153683</c:v>
                </c:pt>
                <c:pt idx="92">
                  <c:v>90.809418325006448</c:v>
                </c:pt>
                <c:pt idx="93">
                  <c:v>90.869432563789232</c:v>
                </c:pt>
                <c:pt idx="94">
                  <c:v>90.949494167900752</c:v>
                </c:pt>
                <c:pt idx="95">
                  <c:v>91.002644102439177</c:v>
                </c:pt>
                <c:pt idx="96">
                  <c:v>91.039497898003148</c:v>
                </c:pt>
                <c:pt idx="97">
                  <c:v>91.083050582239466</c:v>
                </c:pt>
                <c:pt idx="98">
                  <c:v>91.181158146202307</c:v>
                </c:pt>
                <c:pt idx="99">
                  <c:v>91.210232264051257</c:v>
                </c:pt>
                <c:pt idx="100">
                  <c:v>91.237741023619193</c:v>
                </c:pt>
                <c:pt idx="101">
                  <c:v>91.259789185606692</c:v>
                </c:pt>
                <c:pt idx="102">
                  <c:v>91.266467651850817</c:v>
                </c:pt>
                <c:pt idx="103">
                  <c:v>91.278004039272346</c:v>
                </c:pt>
                <c:pt idx="104">
                  <c:v>91.403684515288333</c:v>
                </c:pt>
                <c:pt idx="105">
                  <c:v>91.42788105365446</c:v>
                </c:pt>
                <c:pt idx="106">
                  <c:v>91.465221581487612</c:v>
                </c:pt>
                <c:pt idx="107">
                  <c:v>91.476532840515532</c:v>
                </c:pt>
                <c:pt idx="108">
                  <c:v>91.479256722891535</c:v>
                </c:pt>
                <c:pt idx="109">
                  <c:v>91.48004963124248</c:v>
                </c:pt>
                <c:pt idx="110">
                  <c:v>91.486993003951781</c:v>
                </c:pt>
                <c:pt idx="111">
                  <c:v>91.48856942958021</c:v>
                </c:pt>
                <c:pt idx="112">
                  <c:v>91.486464771120907</c:v>
                </c:pt>
                <c:pt idx="113">
                  <c:v>91.480168123491111</c:v>
                </c:pt>
                <c:pt idx="114">
                  <c:v>91.476735401026943</c:v>
                </c:pt>
                <c:pt idx="115">
                  <c:v>91.471588978422901</c:v>
                </c:pt>
                <c:pt idx="116">
                  <c:v>91.465205444281182</c:v>
                </c:pt>
                <c:pt idx="117">
                  <c:v>91.45952468477762</c:v>
                </c:pt>
                <c:pt idx="118">
                  <c:v>91.444006091567474</c:v>
                </c:pt>
                <c:pt idx="119">
                  <c:v>91.44292729672793</c:v>
                </c:pt>
                <c:pt idx="120">
                  <c:v>91.429492530615931</c:v>
                </c:pt>
                <c:pt idx="121">
                  <c:v>91.415774041917686</c:v>
                </c:pt>
                <c:pt idx="122">
                  <c:v>91.406562920723218</c:v>
                </c:pt>
                <c:pt idx="123">
                  <c:v>91.384625720623177</c:v>
                </c:pt>
                <c:pt idx="124">
                  <c:v>91.372385504253103</c:v>
                </c:pt>
                <c:pt idx="125">
                  <c:v>91.361186049061743</c:v>
                </c:pt>
                <c:pt idx="126">
                  <c:v>91.351120101619614</c:v>
                </c:pt>
                <c:pt idx="127">
                  <c:v>91.3379162462153</c:v>
                </c:pt>
                <c:pt idx="128">
                  <c:v>91.324026084326846</c:v>
                </c:pt>
                <c:pt idx="129">
                  <c:v>91.308123329187694</c:v>
                </c:pt>
                <c:pt idx="130">
                  <c:v>91.301243699364747</c:v>
                </c:pt>
                <c:pt idx="131">
                  <c:v>91.302099051602696</c:v>
                </c:pt>
                <c:pt idx="132">
                  <c:v>91.306424891380999</c:v>
                </c:pt>
                <c:pt idx="133">
                  <c:v>91.300248660056994</c:v>
                </c:pt>
                <c:pt idx="134">
                  <c:v>91.301749628594422</c:v>
                </c:pt>
                <c:pt idx="135">
                  <c:v>91.321328270129584</c:v>
                </c:pt>
                <c:pt idx="136">
                  <c:v>91.344395206486539</c:v>
                </c:pt>
                <c:pt idx="137">
                  <c:v>91.363158073967995</c:v>
                </c:pt>
                <c:pt idx="138">
                  <c:v>91.382551682340306</c:v>
                </c:pt>
                <c:pt idx="139">
                  <c:v>91.391403917261499</c:v>
                </c:pt>
                <c:pt idx="140">
                  <c:v>91.428330129138658</c:v>
                </c:pt>
                <c:pt idx="141">
                  <c:v>91.460655979648081</c:v>
                </c:pt>
                <c:pt idx="142">
                  <c:v>91.487354406010667</c:v>
                </c:pt>
                <c:pt idx="143">
                  <c:v>91.51370770319204</c:v>
                </c:pt>
                <c:pt idx="144">
                  <c:v>91.541370691223065</c:v>
                </c:pt>
                <c:pt idx="145">
                  <c:v>91.576999992378973</c:v>
                </c:pt>
                <c:pt idx="146">
                  <c:v>91.652687107939485</c:v>
                </c:pt>
                <c:pt idx="147">
                  <c:v>91.813993047349982</c:v>
                </c:pt>
                <c:pt idx="148">
                  <c:v>91.903660725923899</c:v>
                </c:pt>
                <c:pt idx="149">
                  <c:v>91.965555676563085</c:v>
                </c:pt>
                <c:pt idx="150">
                  <c:v>92.034527879892309</c:v>
                </c:pt>
                <c:pt idx="151">
                  <c:v>92.086991711436596</c:v>
                </c:pt>
                <c:pt idx="152">
                  <c:v>92.133678863539004</c:v>
                </c:pt>
                <c:pt idx="153">
                  <c:v>92.175455496570095</c:v>
                </c:pt>
                <c:pt idx="154">
                  <c:v>92.224017599423647</c:v>
                </c:pt>
                <c:pt idx="155">
                  <c:v>92.272190782181923</c:v>
                </c:pt>
                <c:pt idx="156">
                  <c:v>92.336872170264911</c:v>
                </c:pt>
                <c:pt idx="157">
                  <c:v>92.380716832936926</c:v>
                </c:pt>
                <c:pt idx="158">
                  <c:v>92.42988050221345</c:v>
                </c:pt>
                <c:pt idx="159">
                  <c:v>92.46736800788976</c:v>
                </c:pt>
                <c:pt idx="160">
                  <c:v>92.517739202277298</c:v>
                </c:pt>
                <c:pt idx="161">
                  <c:v>92.56699277235542</c:v>
                </c:pt>
                <c:pt idx="162">
                  <c:v>92.609383914277302</c:v>
                </c:pt>
                <c:pt idx="163">
                  <c:v>92.642242099294648</c:v>
                </c:pt>
                <c:pt idx="164">
                  <c:v>92.663082092320124</c:v>
                </c:pt>
                <c:pt idx="165">
                  <c:v>92.688481590609356</c:v>
                </c:pt>
                <c:pt idx="166">
                  <c:v>92.718506506476686</c:v>
                </c:pt>
                <c:pt idx="167">
                  <c:v>92.78521050432532</c:v>
                </c:pt>
                <c:pt idx="168">
                  <c:v>92.855749446492069</c:v>
                </c:pt>
                <c:pt idx="169">
                  <c:v>92.910361758266944</c:v>
                </c:pt>
                <c:pt idx="170">
                  <c:v>92.962866297391287</c:v>
                </c:pt>
                <c:pt idx="171">
                  <c:v>93.019524742610898</c:v>
                </c:pt>
                <c:pt idx="172">
                  <c:v>93.080418620489638</c:v>
                </c:pt>
                <c:pt idx="173">
                  <c:v>93.127130495976061</c:v>
                </c:pt>
                <c:pt idx="174">
                  <c:v>93.215166816139487</c:v>
                </c:pt>
                <c:pt idx="175">
                  <c:v>93.26262041177965</c:v>
                </c:pt>
                <c:pt idx="176">
                  <c:v>93.306388358368409</c:v>
                </c:pt>
                <c:pt idx="177">
                  <c:v>93.357659544550216</c:v>
                </c:pt>
                <c:pt idx="178">
                  <c:v>93.404527032193414</c:v>
                </c:pt>
                <c:pt idx="179">
                  <c:v>93.444971804671226</c:v>
                </c:pt>
                <c:pt idx="180">
                  <c:v>93.490591570401804</c:v>
                </c:pt>
                <c:pt idx="181">
                  <c:v>93.592323431217594</c:v>
                </c:pt>
                <c:pt idx="182">
                  <c:v>93.624679513270351</c:v>
                </c:pt>
                <c:pt idx="183">
                  <c:v>93.653380743538676</c:v>
                </c:pt>
                <c:pt idx="184">
                  <c:v>93.685400157066255</c:v>
                </c:pt>
                <c:pt idx="185">
                  <c:v>93.723660456962961</c:v>
                </c:pt>
                <c:pt idx="186">
                  <c:v>93.764630171106347</c:v>
                </c:pt>
                <c:pt idx="187">
                  <c:v>93.808059025438951</c:v>
                </c:pt>
                <c:pt idx="188">
                  <c:v>93.867884593935713</c:v>
                </c:pt>
                <c:pt idx="189">
                  <c:v>93.898124325954356</c:v>
                </c:pt>
                <c:pt idx="190">
                  <c:v>93.9256771110377</c:v>
                </c:pt>
                <c:pt idx="191">
                  <c:v>93.950739274871395</c:v>
                </c:pt>
                <c:pt idx="192">
                  <c:v>93.990843627678188</c:v>
                </c:pt>
                <c:pt idx="193">
                  <c:v>94.021319719904383</c:v>
                </c:pt>
                <c:pt idx="194">
                  <c:v>94.047525076678994</c:v>
                </c:pt>
                <c:pt idx="195">
                  <c:v>94.072462915283907</c:v>
                </c:pt>
                <c:pt idx="196">
                  <c:v>94.102840825095655</c:v>
                </c:pt>
                <c:pt idx="197">
                  <c:v>94.151952587885475</c:v>
                </c:pt>
                <c:pt idx="198">
                  <c:v>94.237666202797428</c:v>
                </c:pt>
                <c:pt idx="199">
                  <c:v>94.29875311806174</c:v>
                </c:pt>
                <c:pt idx="200">
                  <c:v>94.352398201754852</c:v>
                </c:pt>
                <c:pt idx="201">
                  <c:v>94.564535429386424</c:v>
                </c:pt>
                <c:pt idx="202">
                  <c:v>94.60853063879911</c:v>
                </c:pt>
                <c:pt idx="203">
                  <c:v>94.644245111674991</c:v>
                </c:pt>
                <c:pt idx="204">
                  <c:v>94.700581814852029</c:v>
                </c:pt>
                <c:pt idx="205">
                  <c:v>94.737292508450921</c:v>
                </c:pt>
                <c:pt idx="206">
                  <c:v>94.782373389241428</c:v>
                </c:pt>
                <c:pt idx="207">
                  <c:v>94.814106810017122</c:v>
                </c:pt>
                <c:pt idx="208">
                  <c:v>94.844891097735371</c:v>
                </c:pt>
                <c:pt idx="209">
                  <c:v>94.878574841363331</c:v>
                </c:pt>
                <c:pt idx="210">
                  <c:v>94.944091616897438</c:v>
                </c:pt>
                <c:pt idx="211">
                  <c:v>94.980785909486087</c:v>
                </c:pt>
                <c:pt idx="212">
                  <c:v>95.00297466910618</c:v>
                </c:pt>
                <c:pt idx="213">
                  <c:v>95.028159492782081</c:v>
                </c:pt>
                <c:pt idx="214">
                  <c:v>95.064715412190878</c:v>
                </c:pt>
                <c:pt idx="215">
                  <c:v>95.083907726843833</c:v>
                </c:pt>
                <c:pt idx="216">
                  <c:v>95.105883668359084</c:v>
                </c:pt>
                <c:pt idx="217">
                  <c:v>95.122238658544561</c:v>
                </c:pt>
                <c:pt idx="218">
                  <c:v>95.134824649654206</c:v>
                </c:pt>
                <c:pt idx="219">
                  <c:v>95.136250729211511</c:v>
                </c:pt>
                <c:pt idx="220">
                  <c:v>95.136781426360628</c:v>
                </c:pt>
                <c:pt idx="221">
                  <c:v>95.143808559668258</c:v>
                </c:pt>
                <c:pt idx="222">
                  <c:v>95.149566764237747</c:v>
                </c:pt>
                <c:pt idx="223">
                  <c:v>95.157654895941477</c:v>
                </c:pt>
                <c:pt idx="224">
                  <c:v>95.171358426547314</c:v>
                </c:pt>
                <c:pt idx="225">
                  <c:v>95.183638689519185</c:v>
                </c:pt>
                <c:pt idx="226">
                  <c:v>95.192528883062039</c:v>
                </c:pt>
                <c:pt idx="227">
                  <c:v>95.232491748654752</c:v>
                </c:pt>
                <c:pt idx="228">
                  <c:v>95.269106398568113</c:v>
                </c:pt>
                <c:pt idx="229">
                  <c:v>95.288564768806353</c:v>
                </c:pt>
                <c:pt idx="230">
                  <c:v>95.300239505704127</c:v>
                </c:pt>
                <c:pt idx="231">
                  <c:v>95.314321310883358</c:v>
                </c:pt>
                <c:pt idx="232">
                  <c:v>95.322128744383008</c:v>
                </c:pt>
                <c:pt idx="233">
                  <c:v>95.337110941322763</c:v>
                </c:pt>
                <c:pt idx="234">
                  <c:v>95.343968191474957</c:v>
                </c:pt>
                <c:pt idx="235">
                  <c:v>95.340665936204502</c:v>
                </c:pt>
                <c:pt idx="236">
                  <c:v>95.337506922113661</c:v>
                </c:pt>
                <c:pt idx="237">
                  <c:v>95.335070354908808</c:v>
                </c:pt>
                <c:pt idx="238">
                  <c:v>95.321646408208167</c:v>
                </c:pt>
                <c:pt idx="239">
                  <c:v>95.307946899766719</c:v>
                </c:pt>
                <c:pt idx="240">
                  <c:v>95.297247048262236</c:v>
                </c:pt>
                <c:pt idx="241">
                  <c:v>95.270887002134927</c:v>
                </c:pt>
                <c:pt idx="242">
                  <c:v>95.250070081621018</c:v>
                </c:pt>
                <c:pt idx="243">
                  <c:v>95.213334714307067</c:v>
                </c:pt>
                <c:pt idx="244">
                  <c:v>95.179755611025655</c:v>
                </c:pt>
                <c:pt idx="245">
                  <c:v>95.126603123675551</c:v>
                </c:pt>
                <c:pt idx="246">
                  <c:v>95.103841381847005</c:v>
                </c:pt>
                <c:pt idx="247">
                  <c:v>95.096238355598828</c:v>
                </c:pt>
                <c:pt idx="248">
                  <c:v>95.074537715502359</c:v>
                </c:pt>
                <c:pt idx="249">
                  <c:v>95.059323091104687</c:v>
                </c:pt>
                <c:pt idx="250">
                  <c:v>95.042375581820409</c:v>
                </c:pt>
                <c:pt idx="251">
                  <c:v>95.022558917627904</c:v>
                </c:pt>
                <c:pt idx="252">
                  <c:v>95.00322408760205</c:v>
                </c:pt>
                <c:pt idx="253">
                  <c:v>94.979987410126299</c:v>
                </c:pt>
                <c:pt idx="254">
                  <c:v>94.953084705749035</c:v>
                </c:pt>
                <c:pt idx="255">
                  <c:v>94.912455950329942</c:v>
                </c:pt>
                <c:pt idx="256">
                  <c:v>94.890918818612477</c:v>
                </c:pt>
                <c:pt idx="257">
                  <c:v>94.860290537484062</c:v>
                </c:pt>
                <c:pt idx="258">
                  <c:v>94.836000885389367</c:v>
                </c:pt>
                <c:pt idx="259">
                  <c:v>94.812893175194276</c:v>
                </c:pt>
                <c:pt idx="260">
                  <c:v>94.794805592475797</c:v>
                </c:pt>
                <c:pt idx="261">
                  <c:v>94.784041737212064</c:v>
                </c:pt>
                <c:pt idx="262">
                  <c:v>94.776148545503219</c:v>
                </c:pt>
                <c:pt idx="263">
                  <c:v>94.767635402633871</c:v>
                </c:pt>
                <c:pt idx="264">
                  <c:v>94.753479030298735</c:v>
                </c:pt>
                <c:pt idx="265">
                  <c:v>94.740598557418494</c:v>
                </c:pt>
                <c:pt idx="266">
                  <c:v>94.719681605699961</c:v>
                </c:pt>
                <c:pt idx="267">
                  <c:v>94.72101088173828</c:v>
                </c:pt>
                <c:pt idx="268">
                  <c:v>94.714694316576441</c:v>
                </c:pt>
                <c:pt idx="269">
                  <c:v>94.706748703821276</c:v>
                </c:pt>
                <c:pt idx="270">
                  <c:v>94.703079231164253</c:v>
                </c:pt>
                <c:pt idx="271">
                  <c:v>94.692062640010121</c:v>
                </c:pt>
                <c:pt idx="272">
                  <c:v>94.697682769898563</c:v>
                </c:pt>
                <c:pt idx="273">
                  <c:v>94.69854836397316</c:v>
                </c:pt>
                <c:pt idx="274">
                  <c:v>94.703742020602434</c:v>
                </c:pt>
                <c:pt idx="275">
                  <c:v>94.705847993821052</c:v>
                </c:pt>
                <c:pt idx="276">
                  <c:v>94.709706875139105</c:v>
                </c:pt>
                <c:pt idx="277">
                  <c:v>94.715465304184733</c:v>
                </c:pt>
                <c:pt idx="278">
                  <c:v>94.724700411405138</c:v>
                </c:pt>
                <c:pt idx="279">
                  <c:v>94.723658001018833</c:v>
                </c:pt>
                <c:pt idx="280">
                  <c:v>94.726815958605627</c:v>
                </c:pt>
                <c:pt idx="281">
                  <c:v>94.727495891346123</c:v>
                </c:pt>
                <c:pt idx="282">
                  <c:v>94.732264786541293</c:v>
                </c:pt>
                <c:pt idx="283">
                  <c:v>94.734021723834175</c:v>
                </c:pt>
                <c:pt idx="284">
                  <c:v>94.738744358129978</c:v>
                </c:pt>
                <c:pt idx="285">
                  <c:v>94.766261703293381</c:v>
                </c:pt>
                <c:pt idx="286">
                  <c:v>94.791726841171737</c:v>
                </c:pt>
                <c:pt idx="287">
                  <c:v>94.829370531620015</c:v>
                </c:pt>
                <c:pt idx="288">
                  <c:v>94.847914992599456</c:v>
                </c:pt>
                <c:pt idx="289">
                  <c:v>94.877059343132416</c:v>
                </c:pt>
                <c:pt idx="290">
                  <c:v>94.937033637292046</c:v>
                </c:pt>
                <c:pt idx="291">
                  <c:v>94.992190262200637</c:v>
                </c:pt>
                <c:pt idx="292">
                  <c:v>95.035830127200271</c:v>
                </c:pt>
                <c:pt idx="293">
                  <c:v>95.083676264997735</c:v>
                </c:pt>
                <c:pt idx="294">
                  <c:v>95.125946429771957</c:v>
                </c:pt>
                <c:pt idx="295">
                  <c:v>95.166484503884334</c:v>
                </c:pt>
                <c:pt idx="296">
                  <c:v>95.23240289939686</c:v>
                </c:pt>
                <c:pt idx="297">
                  <c:v>95.270749971205774</c:v>
                </c:pt>
                <c:pt idx="298">
                  <c:v>95.315787306808843</c:v>
                </c:pt>
                <c:pt idx="299">
                  <c:v>95.351829019307999</c:v>
                </c:pt>
                <c:pt idx="300">
                  <c:v>95.419451266369308</c:v>
                </c:pt>
                <c:pt idx="301">
                  <c:v>95.496561309288424</c:v>
                </c:pt>
                <c:pt idx="302">
                  <c:v>95.561076384815237</c:v>
                </c:pt>
                <c:pt idx="303">
                  <c:v>95.604678441729675</c:v>
                </c:pt>
                <c:pt idx="304">
                  <c:v>95.64346753052773</c:v>
                </c:pt>
                <c:pt idx="305">
                  <c:v>95.728156132633146</c:v>
                </c:pt>
                <c:pt idx="306">
                  <c:v>95.761301137349449</c:v>
                </c:pt>
                <c:pt idx="307">
                  <c:v>95.800314158435683</c:v>
                </c:pt>
                <c:pt idx="308">
                  <c:v>95.835376201932092</c:v>
                </c:pt>
                <c:pt idx="309">
                  <c:v>95.870282672901581</c:v>
                </c:pt>
                <c:pt idx="310">
                  <c:v>95.918170537905098</c:v>
                </c:pt>
                <c:pt idx="311">
                  <c:v>95.9843605906931</c:v>
                </c:pt>
                <c:pt idx="312">
                  <c:v>96.038674981061163</c:v>
                </c:pt>
                <c:pt idx="313">
                  <c:v>96.080536402268322</c:v>
                </c:pt>
                <c:pt idx="314">
                  <c:v>96.186441112080743</c:v>
                </c:pt>
                <c:pt idx="315">
                  <c:v>96.313245188768889</c:v>
                </c:pt>
                <c:pt idx="316">
                  <c:v>96.373275989143721</c:v>
                </c:pt>
                <c:pt idx="317">
                  <c:v>96.412054118258382</c:v>
                </c:pt>
                <c:pt idx="318">
                  <c:v>96.480218807036607</c:v>
                </c:pt>
                <c:pt idx="319">
                  <c:v>96.539198190385775</c:v>
                </c:pt>
                <c:pt idx="320">
                  <c:v>96.590358799804193</c:v>
                </c:pt>
                <c:pt idx="321">
                  <c:v>96.63930159654133</c:v>
                </c:pt>
                <c:pt idx="322">
                  <c:v>96.690569297062297</c:v>
                </c:pt>
                <c:pt idx="323">
                  <c:v>96.736362407738923</c:v>
                </c:pt>
                <c:pt idx="324">
                  <c:v>96.782185676158448</c:v>
                </c:pt>
                <c:pt idx="325">
                  <c:v>96.830044286968885</c:v>
                </c:pt>
                <c:pt idx="326">
                  <c:v>96.873607571449313</c:v>
                </c:pt>
                <c:pt idx="327">
                  <c:v>96.920824166337866</c:v>
                </c:pt>
                <c:pt idx="328">
                  <c:v>96.970028680979709</c:v>
                </c:pt>
                <c:pt idx="329">
                  <c:v>97.024306776762188</c:v>
                </c:pt>
                <c:pt idx="330">
                  <c:v>97.083220953565871</c:v>
                </c:pt>
                <c:pt idx="331">
                  <c:v>97.125885706012511</c:v>
                </c:pt>
                <c:pt idx="332">
                  <c:v>97.234545813019793</c:v>
                </c:pt>
                <c:pt idx="333">
                  <c:v>97.304666785719007</c:v>
                </c:pt>
                <c:pt idx="334">
                  <c:v>97.365385806710137</c:v>
                </c:pt>
                <c:pt idx="335">
                  <c:v>97.419805579196307</c:v>
                </c:pt>
                <c:pt idx="336">
                  <c:v>97.459303792806466</c:v>
                </c:pt>
                <c:pt idx="337">
                  <c:v>97.525799249157117</c:v>
                </c:pt>
                <c:pt idx="338">
                  <c:v>97.57697253584189</c:v>
                </c:pt>
                <c:pt idx="339">
                  <c:v>97.608012179207947</c:v>
                </c:pt>
                <c:pt idx="340">
                  <c:v>97.639597464110423</c:v>
                </c:pt>
                <c:pt idx="341">
                  <c:v>97.657452224325496</c:v>
                </c:pt>
                <c:pt idx="342">
                  <c:v>97.664788562732014</c:v>
                </c:pt>
                <c:pt idx="343">
                  <c:v>97.685124336682037</c:v>
                </c:pt>
                <c:pt idx="344">
                  <c:v>97.709418877146788</c:v>
                </c:pt>
                <c:pt idx="345">
                  <c:v>97.730304929580115</c:v>
                </c:pt>
                <c:pt idx="346">
                  <c:v>97.753343094208333</c:v>
                </c:pt>
                <c:pt idx="347">
                  <c:v>97.780383963747482</c:v>
                </c:pt>
                <c:pt idx="348">
                  <c:v>97.797215354963498</c:v>
                </c:pt>
                <c:pt idx="349">
                  <c:v>97.81473337208898</c:v>
                </c:pt>
                <c:pt idx="350">
                  <c:v>97.835993182803605</c:v>
                </c:pt>
                <c:pt idx="351">
                  <c:v>97.846849676724801</c:v>
                </c:pt>
                <c:pt idx="352">
                  <c:v>97.8667357454719</c:v>
                </c:pt>
                <c:pt idx="353">
                  <c:v>97.921408762896917</c:v>
                </c:pt>
                <c:pt idx="354">
                  <c:v>97.938918483479839</c:v>
                </c:pt>
                <c:pt idx="355">
                  <c:v>97.954668096378725</c:v>
                </c:pt>
                <c:pt idx="356">
                  <c:v>97.964716916130342</c:v>
                </c:pt>
                <c:pt idx="357">
                  <c:v>97.979726635343951</c:v>
                </c:pt>
                <c:pt idx="358">
                  <c:v>97.987553059007951</c:v>
                </c:pt>
                <c:pt idx="359">
                  <c:v>97.994615178550276</c:v>
                </c:pt>
                <c:pt idx="360">
                  <c:v>98.007505286890819</c:v>
                </c:pt>
                <c:pt idx="361">
                  <c:v>98.021485007545877</c:v>
                </c:pt>
                <c:pt idx="362">
                  <c:v>98.03522749586449</c:v>
                </c:pt>
                <c:pt idx="363">
                  <c:v>98.060012022801956</c:v>
                </c:pt>
                <c:pt idx="364">
                  <c:v>98.072222048186546</c:v>
                </c:pt>
                <c:pt idx="365">
                  <c:v>98.083829131576238</c:v>
                </c:pt>
                <c:pt idx="366">
                  <c:v>98.092432745941707</c:v>
                </c:pt>
                <c:pt idx="367">
                  <c:v>98.118976947235481</c:v>
                </c:pt>
                <c:pt idx="368">
                  <c:v>98.133651739475908</c:v>
                </c:pt>
                <c:pt idx="369">
                  <c:v>98.14105306982853</c:v>
                </c:pt>
                <c:pt idx="370">
                  <c:v>98.140567654790615</c:v>
                </c:pt>
                <c:pt idx="371">
                  <c:v>98.141432350215865</c:v>
                </c:pt>
                <c:pt idx="372">
                  <c:v>98.1414620669035</c:v>
                </c:pt>
                <c:pt idx="373">
                  <c:v>98.149229048304704</c:v>
                </c:pt>
                <c:pt idx="374">
                  <c:v>98.157879837855489</c:v>
                </c:pt>
                <c:pt idx="375">
                  <c:v>98.163103761954289</c:v>
                </c:pt>
                <c:pt idx="376">
                  <c:v>98.166469373335133</c:v>
                </c:pt>
                <c:pt idx="377">
                  <c:v>98.169771836527332</c:v>
                </c:pt>
                <c:pt idx="378">
                  <c:v>98.174428380522627</c:v>
                </c:pt>
                <c:pt idx="379">
                  <c:v>98.1803210895646</c:v>
                </c:pt>
                <c:pt idx="380">
                  <c:v>98.186618612444875</c:v>
                </c:pt>
                <c:pt idx="381">
                  <c:v>98.191850243971516</c:v>
                </c:pt>
                <c:pt idx="382">
                  <c:v>98.196508259331239</c:v>
                </c:pt>
                <c:pt idx="383">
                  <c:v>98.200060158217923</c:v>
                </c:pt>
                <c:pt idx="384">
                  <c:v>98.2049816276581</c:v>
                </c:pt>
                <c:pt idx="385">
                  <c:v>98.210927143498893</c:v>
                </c:pt>
                <c:pt idx="386">
                  <c:v>98.216973370720339</c:v>
                </c:pt>
                <c:pt idx="387">
                  <c:v>98.224426413369315</c:v>
                </c:pt>
                <c:pt idx="388">
                  <c:v>98.234760970306738</c:v>
                </c:pt>
                <c:pt idx="389">
                  <c:v>98.247526527725071</c:v>
                </c:pt>
                <c:pt idx="390">
                  <c:v>98.258326295677975</c:v>
                </c:pt>
                <c:pt idx="391">
                  <c:v>98.264652256737421</c:v>
                </c:pt>
                <c:pt idx="392">
                  <c:v>98.270863480824062</c:v>
                </c:pt>
                <c:pt idx="393">
                  <c:v>98.276611604352709</c:v>
                </c:pt>
                <c:pt idx="394">
                  <c:v>98.284326676243438</c:v>
                </c:pt>
                <c:pt idx="395">
                  <c:v>98.305004801110172</c:v>
                </c:pt>
                <c:pt idx="396">
                  <c:v>98.320833098916296</c:v>
                </c:pt>
                <c:pt idx="397">
                  <c:v>98.339524356564965</c:v>
                </c:pt>
                <c:pt idx="398">
                  <c:v>98.356114903785226</c:v>
                </c:pt>
                <c:pt idx="399">
                  <c:v>98.36912402620132</c:v>
                </c:pt>
                <c:pt idx="400">
                  <c:v>98.388323115000958</c:v>
                </c:pt>
                <c:pt idx="401">
                  <c:v>98.407397969021119</c:v>
                </c:pt>
                <c:pt idx="402">
                  <c:v>98.42243615419946</c:v>
                </c:pt>
                <c:pt idx="403">
                  <c:v>98.437562794999366</c:v>
                </c:pt>
                <c:pt idx="404">
                  <c:v>98.453382032427342</c:v>
                </c:pt>
                <c:pt idx="405">
                  <c:v>98.46398124143164</c:v>
                </c:pt>
                <c:pt idx="406">
                  <c:v>98.471868351272391</c:v>
                </c:pt>
                <c:pt idx="407">
                  <c:v>98.475760559623822</c:v>
                </c:pt>
                <c:pt idx="408">
                  <c:v>98.487112497135996</c:v>
                </c:pt>
                <c:pt idx="409">
                  <c:v>98.498605384336756</c:v>
                </c:pt>
                <c:pt idx="410">
                  <c:v>98.506066707552947</c:v>
                </c:pt>
                <c:pt idx="411">
                  <c:v>98.515464566343255</c:v>
                </c:pt>
                <c:pt idx="412">
                  <c:v>98.519346283215228</c:v>
                </c:pt>
                <c:pt idx="413">
                  <c:v>98.523633608893931</c:v>
                </c:pt>
                <c:pt idx="414">
                  <c:v>98.530797824744411</c:v>
                </c:pt>
                <c:pt idx="415">
                  <c:v>98.529870181382549</c:v>
                </c:pt>
                <c:pt idx="416">
                  <c:v>98.528520672938171</c:v>
                </c:pt>
                <c:pt idx="417">
                  <c:v>98.524256859641966</c:v>
                </c:pt>
                <c:pt idx="418">
                  <c:v>98.521184265463248</c:v>
                </c:pt>
                <c:pt idx="419">
                  <c:v>98.519635973719403</c:v>
                </c:pt>
                <c:pt idx="420">
                  <c:v>98.518782322074756</c:v>
                </c:pt>
                <c:pt idx="421">
                  <c:v>98.514480068618511</c:v>
                </c:pt>
                <c:pt idx="422">
                  <c:v>98.512413197893139</c:v>
                </c:pt>
                <c:pt idx="423">
                  <c:v>98.510004629625428</c:v>
                </c:pt>
                <c:pt idx="424">
                  <c:v>98.508572110202707</c:v>
                </c:pt>
                <c:pt idx="425">
                  <c:v>98.507320384771504</c:v>
                </c:pt>
                <c:pt idx="426">
                  <c:v>98.505193728933392</c:v>
                </c:pt>
                <c:pt idx="427">
                  <c:v>98.498723990836837</c:v>
                </c:pt>
                <c:pt idx="428">
                  <c:v>98.494623865369817</c:v>
                </c:pt>
                <c:pt idx="429">
                  <c:v>98.490584456953428</c:v>
                </c:pt>
                <c:pt idx="430">
                  <c:v>98.481452688108703</c:v>
                </c:pt>
                <c:pt idx="431">
                  <c:v>98.477731848595624</c:v>
                </c:pt>
                <c:pt idx="432">
                  <c:v>98.47789569752851</c:v>
                </c:pt>
                <c:pt idx="433">
                  <c:v>98.478445352538614</c:v>
                </c:pt>
                <c:pt idx="434">
                  <c:v>98.478202011559105</c:v>
                </c:pt>
                <c:pt idx="435">
                  <c:v>98.480476275662895</c:v>
                </c:pt>
                <c:pt idx="436">
                  <c:v>98.482562177968134</c:v>
                </c:pt>
                <c:pt idx="437">
                  <c:v>98.487126380576356</c:v>
                </c:pt>
                <c:pt idx="438">
                  <c:v>98.486384542915744</c:v>
                </c:pt>
                <c:pt idx="439">
                  <c:v>98.485139635213642</c:v>
                </c:pt>
                <c:pt idx="440">
                  <c:v>98.485691257105699</c:v>
                </c:pt>
                <c:pt idx="441">
                  <c:v>98.487202263882764</c:v>
                </c:pt>
                <c:pt idx="442">
                  <c:v>98.48990151158489</c:v>
                </c:pt>
                <c:pt idx="443">
                  <c:v>98.493605700071882</c:v>
                </c:pt>
                <c:pt idx="444">
                  <c:v>98.497819568480708</c:v>
                </c:pt>
                <c:pt idx="445">
                  <c:v>98.505865859196803</c:v>
                </c:pt>
                <c:pt idx="446">
                  <c:v>98.509442551340868</c:v>
                </c:pt>
                <c:pt idx="447">
                  <c:v>98.514258646090681</c:v>
                </c:pt>
                <c:pt idx="448">
                  <c:v>98.520132605805145</c:v>
                </c:pt>
                <c:pt idx="449">
                  <c:v>98.524098865250707</c:v>
                </c:pt>
                <c:pt idx="450">
                  <c:v>98.528341981842658</c:v>
                </c:pt>
                <c:pt idx="451">
                  <c:v>98.531928929741838</c:v>
                </c:pt>
                <c:pt idx="452">
                  <c:v>98.53529105948131</c:v>
                </c:pt>
                <c:pt idx="453">
                  <c:v>98.540390516614465</c:v>
                </c:pt>
                <c:pt idx="454">
                  <c:v>98.543270008480619</c:v>
                </c:pt>
                <c:pt idx="455">
                  <c:v>98.544806065436276</c:v>
                </c:pt>
                <c:pt idx="456">
                  <c:v>98.547352821789815</c:v>
                </c:pt>
                <c:pt idx="457">
                  <c:v>98.547355846021617</c:v>
                </c:pt>
                <c:pt idx="458">
                  <c:v>98.544603630206112</c:v>
                </c:pt>
                <c:pt idx="459">
                  <c:v>98.543880301750178</c:v>
                </c:pt>
                <c:pt idx="460">
                  <c:v>98.540797662400934</c:v>
                </c:pt>
                <c:pt idx="461">
                  <c:v>98.537646924981189</c:v>
                </c:pt>
                <c:pt idx="462">
                  <c:v>98.536734744029275</c:v>
                </c:pt>
                <c:pt idx="463">
                  <c:v>98.531349984638965</c:v>
                </c:pt>
                <c:pt idx="464">
                  <c:v>98.526754345699189</c:v>
                </c:pt>
                <c:pt idx="465">
                  <c:v>98.526735182154709</c:v>
                </c:pt>
                <c:pt idx="466">
                  <c:v>98.526127552011644</c:v>
                </c:pt>
                <c:pt idx="467">
                  <c:v>98.527957506342446</c:v>
                </c:pt>
                <c:pt idx="468">
                  <c:v>98.530107556815764</c:v>
                </c:pt>
                <c:pt idx="469">
                  <c:v>98.534718305759824</c:v>
                </c:pt>
                <c:pt idx="470">
                  <c:v>98.542057132811507</c:v>
                </c:pt>
                <c:pt idx="471">
                  <c:v>98.55735724175284</c:v>
                </c:pt>
                <c:pt idx="472">
                  <c:v>98.568115655136211</c:v>
                </c:pt>
                <c:pt idx="473">
                  <c:v>98.5733999345493</c:v>
                </c:pt>
                <c:pt idx="474">
                  <c:v>98.578964964381484</c:v>
                </c:pt>
                <c:pt idx="475">
                  <c:v>98.586032600782616</c:v>
                </c:pt>
                <c:pt idx="476">
                  <c:v>98.588451938500867</c:v>
                </c:pt>
                <c:pt idx="477">
                  <c:v>98.588973781856168</c:v>
                </c:pt>
                <c:pt idx="478">
                  <c:v>98.590870939727012</c:v>
                </c:pt>
                <c:pt idx="479">
                  <c:v>98.592631490124319</c:v>
                </c:pt>
                <c:pt idx="480">
                  <c:v>98.59080556795746</c:v>
                </c:pt>
                <c:pt idx="481">
                  <c:v>98.586394420094052</c:v>
                </c:pt>
                <c:pt idx="482">
                  <c:v>98.582895182025936</c:v>
                </c:pt>
                <c:pt idx="483">
                  <c:v>98.577846390961525</c:v>
                </c:pt>
                <c:pt idx="484">
                  <c:v>98.574593783553368</c:v>
                </c:pt>
                <c:pt idx="485">
                  <c:v>98.568559987354917</c:v>
                </c:pt>
                <c:pt idx="486">
                  <c:v>98.563935799529077</c:v>
                </c:pt>
                <c:pt idx="487">
                  <c:v>98.558564211833399</c:v>
                </c:pt>
                <c:pt idx="488">
                  <c:v>98.554813945666382</c:v>
                </c:pt>
                <c:pt idx="489">
                  <c:v>98.552332702971768</c:v>
                </c:pt>
                <c:pt idx="490">
                  <c:v>98.554164524608467</c:v>
                </c:pt>
                <c:pt idx="491">
                  <c:v>98.554898039818596</c:v>
                </c:pt>
                <c:pt idx="492">
                  <c:v>98.558415525299765</c:v>
                </c:pt>
                <c:pt idx="493">
                  <c:v>98.561470518442761</c:v>
                </c:pt>
                <c:pt idx="494">
                  <c:v>98.559486146508007</c:v>
                </c:pt>
                <c:pt idx="495">
                  <c:v>98.55950066912294</c:v>
                </c:pt>
                <c:pt idx="496">
                  <c:v>98.560024822914414</c:v>
                </c:pt>
                <c:pt idx="497">
                  <c:v>98.560482725131052</c:v>
                </c:pt>
                <c:pt idx="498">
                  <c:v>98.56089101733005</c:v>
                </c:pt>
                <c:pt idx="499">
                  <c:v>98.562345680194241</c:v>
                </c:pt>
                <c:pt idx="500">
                  <c:v>98.563565308412521</c:v>
                </c:pt>
                <c:pt idx="501">
                  <c:v>98.564394434947474</c:v>
                </c:pt>
                <c:pt idx="502">
                  <c:v>98.566240524999387</c:v>
                </c:pt>
                <c:pt idx="503">
                  <c:v>98.566115029433945</c:v>
                </c:pt>
                <c:pt idx="504">
                  <c:v>98.56722482155179</c:v>
                </c:pt>
                <c:pt idx="505">
                  <c:v>98.568401381898738</c:v>
                </c:pt>
                <c:pt idx="506">
                  <c:v>98.57087294041537</c:v>
                </c:pt>
                <c:pt idx="507">
                  <c:v>98.571644813320461</c:v>
                </c:pt>
                <c:pt idx="508">
                  <c:v>98.572101870537594</c:v>
                </c:pt>
                <c:pt idx="509">
                  <c:v>98.575119384910352</c:v>
                </c:pt>
                <c:pt idx="510">
                  <c:v>98.580160177872699</c:v>
                </c:pt>
                <c:pt idx="511">
                  <c:v>98.586583973503949</c:v>
                </c:pt>
                <c:pt idx="512">
                  <c:v>98.596749838073848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Data!$G$2:$G$514</c:f>
              <c:numCache>
                <c:formatCode>General</c:formatCode>
                <c:ptCount val="513"/>
                <c:pt idx="0">
                  <c:v>92.41</c:v>
                </c:pt>
                <c:pt idx="1">
                  <c:v>93.016012214066478</c:v>
                </c:pt>
                <c:pt idx="2">
                  <c:v>93.237848675629479</c:v>
                </c:pt>
                <c:pt idx="3">
                  <c:v>93.462166159371876</c:v>
                </c:pt>
                <c:pt idx="4">
                  <c:v>93.634304425802426</c:v>
                </c:pt>
                <c:pt idx="5">
                  <c:v>93.70120407426046</c:v>
                </c:pt>
                <c:pt idx="6">
                  <c:v>93.945139270713696</c:v>
                </c:pt>
                <c:pt idx="7">
                  <c:v>93.952992070075481</c:v>
                </c:pt>
                <c:pt idx="8">
                  <c:v>93.830280745157481</c:v>
                </c:pt>
                <c:pt idx="9">
                  <c:v>93.726796370294423</c:v>
                </c:pt>
                <c:pt idx="10">
                  <c:v>93.676261040524679</c:v>
                </c:pt>
                <c:pt idx="11">
                  <c:v>93.695265252171581</c:v>
                </c:pt>
                <c:pt idx="12">
                  <c:v>93.616732752062674</c:v>
                </c:pt>
                <c:pt idx="13">
                  <c:v>93.552533343929682</c:v>
                </c:pt>
                <c:pt idx="14">
                  <c:v>93.479013256064761</c:v>
                </c:pt>
                <c:pt idx="15">
                  <c:v>93.385253481777937</c:v>
                </c:pt>
                <c:pt idx="16">
                  <c:v>93.287116177783986</c:v>
                </c:pt>
                <c:pt idx="17">
                  <c:v>93.167457095008331</c:v>
                </c:pt>
                <c:pt idx="18">
                  <c:v>93.080823527761069</c:v>
                </c:pt>
                <c:pt idx="19">
                  <c:v>93.015237533730101</c:v>
                </c:pt>
                <c:pt idx="20">
                  <c:v>92.94758509750416</c:v>
                </c:pt>
                <c:pt idx="21">
                  <c:v>92.99925537178045</c:v>
                </c:pt>
                <c:pt idx="22">
                  <c:v>92.954128545107764</c:v>
                </c:pt>
                <c:pt idx="23">
                  <c:v>92.885072511372613</c:v>
                </c:pt>
                <c:pt idx="24">
                  <c:v>92.826361988610344</c:v>
                </c:pt>
                <c:pt idx="25">
                  <c:v>92.777133049952369</c:v>
                </c:pt>
                <c:pt idx="26">
                  <c:v>92.729724026243417</c:v>
                </c:pt>
                <c:pt idx="27">
                  <c:v>92.68222453565383</c:v>
                </c:pt>
                <c:pt idx="28">
                  <c:v>92.62785586631631</c:v>
                </c:pt>
                <c:pt idx="29">
                  <c:v>92.495780515438526</c:v>
                </c:pt>
                <c:pt idx="30">
                  <c:v>92.436029444180377</c:v>
                </c:pt>
                <c:pt idx="31">
                  <c:v>92.369875158529965</c:v>
                </c:pt>
                <c:pt idx="32">
                  <c:v>92.27482008047059</c:v>
                </c:pt>
                <c:pt idx="33">
                  <c:v>92.223258574570735</c:v>
                </c:pt>
                <c:pt idx="34">
                  <c:v>92.174653077473707</c:v>
                </c:pt>
                <c:pt idx="35">
                  <c:v>92.132593468161531</c:v>
                </c:pt>
                <c:pt idx="36">
                  <c:v>92.103387376525902</c:v>
                </c:pt>
                <c:pt idx="37">
                  <c:v>92.090717374577821</c:v>
                </c:pt>
                <c:pt idx="38">
                  <c:v>92.074942375237526</c:v>
                </c:pt>
                <c:pt idx="39">
                  <c:v>92.059231431822937</c:v>
                </c:pt>
                <c:pt idx="40">
                  <c:v>91.97547289686888</c:v>
                </c:pt>
                <c:pt idx="41">
                  <c:v>91.936641499441208</c:v>
                </c:pt>
                <c:pt idx="42">
                  <c:v>91.898739943837612</c:v>
                </c:pt>
                <c:pt idx="43">
                  <c:v>91.859297732308633</c:v>
                </c:pt>
                <c:pt idx="44">
                  <c:v>91.837925570403726</c:v>
                </c:pt>
                <c:pt idx="45">
                  <c:v>91.817584542545973</c:v>
                </c:pt>
                <c:pt idx="46">
                  <c:v>91.8008203686163</c:v>
                </c:pt>
                <c:pt idx="47">
                  <c:v>91.799085271528256</c:v>
                </c:pt>
                <c:pt idx="48">
                  <c:v>91.781054480877216</c:v>
                </c:pt>
                <c:pt idx="49">
                  <c:v>91.757920681061904</c:v>
                </c:pt>
                <c:pt idx="50">
                  <c:v>91.727282257433259</c:v>
                </c:pt>
                <c:pt idx="51">
                  <c:v>91.683501503685392</c:v>
                </c:pt>
                <c:pt idx="52">
                  <c:v>91.65762292759814</c:v>
                </c:pt>
                <c:pt idx="53">
                  <c:v>91.639874211342587</c:v>
                </c:pt>
                <c:pt idx="54">
                  <c:v>91.614439762382446</c:v>
                </c:pt>
                <c:pt idx="55">
                  <c:v>91.580822043578578</c:v>
                </c:pt>
                <c:pt idx="56">
                  <c:v>91.554086741425266</c:v>
                </c:pt>
                <c:pt idx="57">
                  <c:v>91.531099224906299</c:v>
                </c:pt>
                <c:pt idx="58">
                  <c:v>91.507231977583388</c:v>
                </c:pt>
                <c:pt idx="59">
                  <c:v>91.500452373962915</c:v>
                </c:pt>
                <c:pt idx="60">
                  <c:v>91.510563813347545</c:v>
                </c:pt>
                <c:pt idx="61">
                  <c:v>91.504310875305379</c:v>
                </c:pt>
                <c:pt idx="62">
                  <c:v>91.509003258127166</c:v>
                </c:pt>
                <c:pt idx="63">
                  <c:v>91.497707144769905</c:v>
                </c:pt>
                <c:pt idx="64">
                  <c:v>91.492465279500607</c:v>
                </c:pt>
                <c:pt idx="65">
                  <c:v>91.478612926699839</c:v>
                </c:pt>
                <c:pt idx="66">
                  <c:v>91.479811898308654</c:v>
                </c:pt>
                <c:pt idx="67">
                  <c:v>91.488964966332219</c:v>
                </c:pt>
                <c:pt idx="68">
                  <c:v>91.468147240590767</c:v>
                </c:pt>
                <c:pt idx="69">
                  <c:v>91.448540100015663</c:v>
                </c:pt>
                <c:pt idx="70">
                  <c:v>91.428834219252252</c:v>
                </c:pt>
                <c:pt idx="71">
                  <c:v>91.408396230475361</c:v>
                </c:pt>
                <c:pt idx="72">
                  <c:v>91.379809621195278</c:v>
                </c:pt>
                <c:pt idx="73">
                  <c:v>91.385902926537511</c:v>
                </c:pt>
                <c:pt idx="74">
                  <c:v>91.404052007827417</c:v>
                </c:pt>
                <c:pt idx="75">
                  <c:v>91.520077763987899</c:v>
                </c:pt>
                <c:pt idx="76">
                  <c:v>91.578957847804205</c:v>
                </c:pt>
                <c:pt idx="77">
                  <c:v>91.639526289935105</c:v>
                </c:pt>
                <c:pt idx="78">
                  <c:v>91.721987456266092</c:v>
                </c:pt>
                <c:pt idx="79">
                  <c:v>91.83240655021028</c:v>
                </c:pt>
                <c:pt idx="80">
                  <c:v>91.87826084652032</c:v>
                </c:pt>
                <c:pt idx="81">
                  <c:v>91.947418048856733</c:v>
                </c:pt>
                <c:pt idx="82">
                  <c:v>92.099796210439507</c:v>
                </c:pt>
                <c:pt idx="83">
                  <c:v>92.224087470018887</c:v>
                </c:pt>
                <c:pt idx="84">
                  <c:v>92.349132767952057</c:v>
                </c:pt>
                <c:pt idx="85">
                  <c:v>92.495531944920799</c:v>
                </c:pt>
                <c:pt idx="86">
                  <c:v>92.645388740298387</c:v>
                </c:pt>
                <c:pt idx="87">
                  <c:v>92.845109057956606</c:v>
                </c:pt>
                <c:pt idx="88">
                  <c:v>93.04192631167102</c:v>
                </c:pt>
                <c:pt idx="89">
                  <c:v>93.226954469307486</c:v>
                </c:pt>
                <c:pt idx="90">
                  <c:v>93.387622753702857</c:v>
                </c:pt>
                <c:pt idx="91">
                  <c:v>93.532514817137482</c:v>
                </c:pt>
                <c:pt idx="92">
                  <c:v>93.642696319201903</c:v>
                </c:pt>
                <c:pt idx="93">
                  <c:v>93.757765350302861</c:v>
                </c:pt>
                <c:pt idx="94">
                  <c:v>93.889306406803087</c:v>
                </c:pt>
                <c:pt idx="95">
                  <c:v>93.994683997623568</c:v>
                </c:pt>
                <c:pt idx="96">
                  <c:v>94.068839940552266</c:v>
                </c:pt>
                <c:pt idx="97">
                  <c:v>94.144404785273608</c:v>
                </c:pt>
                <c:pt idx="98">
                  <c:v>94.269098514273495</c:v>
                </c:pt>
                <c:pt idx="99">
                  <c:v>94.295029273580411</c:v>
                </c:pt>
                <c:pt idx="100">
                  <c:v>94.324591391169889</c:v>
                </c:pt>
                <c:pt idx="101">
                  <c:v>94.33810049368121</c:v>
                </c:pt>
                <c:pt idx="102">
                  <c:v>94.330633840415558</c:v>
                </c:pt>
                <c:pt idx="103">
                  <c:v>94.329889804094435</c:v>
                </c:pt>
                <c:pt idx="104">
                  <c:v>94.458381065084708</c:v>
                </c:pt>
                <c:pt idx="105">
                  <c:v>94.477332054440396</c:v>
                </c:pt>
                <c:pt idx="106">
                  <c:v>94.509643395850972</c:v>
                </c:pt>
                <c:pt idx="107">
                  <c:v>94.509471759159453</c:v>
                </c:pt>
                <c:pt idx="108">
                  <c:v>94.498792614981454</c:v>
                </c:pt>
                <c:pt idx="109">
                  <c:v>94.485977059255234</c:v>
                </c:pt>
                <c:pt idx="110">
                  <c:v>94.480905652206204</c:v>
                </c:pt>
                <c:pt idx="111">
                  <c:v>94.469376753226186</c:v>
                </c:pt>
                <c:pt idx="112">
                  <c:v>94.45409693778825</c:v>
                </c:pt>
                <c:pt idx="113">
                  <c:v>94.43547697109635</c:v>
                </c:pt>
                <c:pt idx="114">
                  <c:v>94.419442956669201</c:v>
                </c:pt>
                <c:pt idx="115">
                  <c:v>94.402201610337144</c:v>
                </c:pt>
                <c:pt idx="116">
                  <c:v>94.384455278120939</c:v>
                </c:pt>
                <c:pt idx="117">
                  <c:v>94.367206459108445</c:v>
                </c:pt>
                <c:pt idx="118">
                  <c:v>94.340717487484412</c:v>
                </c:pt>
                <c:pt idx="119">
                  <c:v>94.327543821165023</c:v>
                </c:pt>
                <c:pt idx="120">
                  <c:v>94.307215931951077</c:v>
                </c:pt>
                <c:pt idx="121">
                  <c:v>94.285249249502584</c:v>
                </c:pt>
                <c:pt idx="122">
                  <c:v>94.267798926126687</c:v>
                </c:pt>
                <c:pt idx="123">
                  <c:v>94.238902286154101</c:v>
                </c:pt>
                <c:pt idx="124">
                  <c:v>94.223295226850439</c:v>
                </c:pt>
                <c:pt idx="125">
                  <c:v>94.20763035405102</c:v>
                </c:pt>
                <c:pt idx="126">
                  <c:v>94.194726810255361</c:v>
                </c:pt>
                <c:pt idx="127">
                  <c:v>94.175278524974871</c:v>
                </c:pt>
                <c:pt idx="128">
                  <c:v>94.160459839048642</c:v>
                </c:pt>
                <c:pt idx="129">
                  <c:v>94.140605482340476</c:v>
                </c:pt>
                <c:pt idx="130">
                  <c:v>94.124947169597363</c:v>
                </c:pt>
                <c:pt idx="131">
                  <c:v>94.115261960928734</c:v>
                </c:pt>
                <c:pt idx="132">
                  <c:v>94.110572689794324</c:v>
                </c:pt>
                <c:pt idx="133">
                  <c:v>94.094867709904648</c:v>
                </c:pt>
                <c:pt idx="134">
                  <c:v>94.086263885845412</c:v>
                </c:pt>
                <c:pt idx="135">
                  <c:v>94.104840914550707</c:v>
                </c:pt>
                <c:pt idx="136">
                  <c:v>94.129346714926783</c:v>
                </c:pt>
                <c:pt idx="137">
                  <c:v>94.148830862334918</c:v>
                </c:pt>
                <c:pt idx="138">
                  <c:v>94.173655890107923</c:v>
                </c:pt>
                <c:pt idx="139">
                  <c:v>94.177913410904623</c:v>
                </c:pt>
                <c:pt idx="140">
                  <c:v>94.232490747721357</c:v>
                </c:pt>
                <c:pt idx="141">
                  <c:v>94.282191882875921</c:v>
                </c:pt>
                <c:pt idx="142">
                  <c:v>94.331779421739881</c:v>
                </c:pt>
                <c:pt idx="143">
                  <c:v>94.385603769860694</c:v>
                </c:pt>
                <c:pt idx="144">
                  <c:v>94.458338910275714</c:v>
                </c:pt>
                <c:pt idx="145">
                  <c:v>94.527526520478546</c:v>
                </c:pt>
                <c:pt idx="146">
                  <c:v>94.680290723830865</c:v>
                </c:pt>
                <c:pt idx="147">
                  <c:v>94.947844738862742</c:v>
                </c:pt>
                <c:pt idx="148">
                  <c:v>95.114768393052117</c:v>
                </c:pt>
                <c:pt idx="149">
                  <c:v>95.253498177412041</c:v>
                </c:pt>
                <c:pt idx="150">
                  <c:v>95.400941158495002</c:v>
                </c:pt>
                <c:pt idx="151">
                  <c:v>95.516025445757109</c:v>
                </c:pt>
                <c:pt idx="152">
                  <c:v>95.63113329139118</c:v>
                </c:pt>
                <c:pt idx="153">
                  <c:v>95.754130223544351</c:v>
                </c:pt>
                <c:pt idx="154">
                  <c:v>95.87408204371097</c:v>
                </c:pt>
                <c:pt idx="155">
                  <c:v>95.978639508800256</c:v>
                </c:pt>
                <c:pt idx="156">
                  <c:v>96.075332502894838</c:v>
                </c:pt>
                <c:pt idx="157">
                  <c:v>96.160937903023665</c:v>
                </c:pt>
                <c:pt idx="158">
                  <c:v>96.254338393400786</c:v>
                </c:pt>
                <c:pt idx="159">
                  <c:v>96.331210104313186</c:v>
                </c:pt>
                <c:pt idx="160">
                  <c:v>96.422641947893595</c:v>
                </c:pt>
                <c:pt idx="161">
                  <c:v>96.514592632754969</c:v>
                </c:pt>
                <c:pt idx="162">
                  <c:v>96.597165980007105</c:v>
                </c:pt>
                <c:pt idx="163">
                  <c:v>96.672464903394214</c:v>
                </c:pt>
                <c:pt idx="164">
                  <c:v>96.71902704714681</c:v>
                </c:pt>
                <c:pt idx="165">
                  <c:v>96.778011708233919</c:v>
                </c:pt>
                <c:pt idx="166">
                  <c:v>96.845293084902409</c:v>
                </c:pt>
                <c:pt idx="167">
                  <c:v>96.957049511214819</c:v>
                </c:pt>
                <c:pt idx="168">
                  <c:v>97.094353590813483</c:v>
                </c:pt>
                <c:pt idx="169">
                  <c:v>97.229927564093387</c:v>
                </c:pt>
                <c:pt idx="170">
                  <c:v>97.350793919835368</c:v>
                </c:pt>
                <c:pt idx="171">
                  <c:v>97.465994368154469</c:v>
                </c:pt>
                <c:pt idx="172">
                  <c:v>97.603993608179195</c:v>
                </c:pt>
                <c:pt idx="173">
                  <c:v>97.72790075609467</c:v>
                </c:pt>
                <c:pt idx="174">
                  <c:v>97.87410855460854</c:v>
                </c:pt>
                <c:pt idx="175">
                  <c:v>97.972164870663278</c:v>
                </c:pt>
                <c:pt idx="176">
                  <c:v>98.079637958954706</c:v>
                </c:pt>
                <c:pt idx="177">
                  <c:v>98.19607444043389</c:v>
                </c:pt>
                <c:pt idx="178">
                  <c:v>98.301665009576382</c:v>
                </c:pt>
                <c:pt idx="179">
                  <c:v>98.385314208896631</c:v>
                </c:pt>
                <c:pt idx="180">
                  <c:v>98.459355531255483</c:v>
                </c:pt>
                <c:pt idx="181">
                  <c:v>98.601041299034321</c:v>
                </c:pt>
                <c:pt idx="182">
                  <c:v>98.679358961386782</c:v>
                </c:pt>
                <c:pt idx="183">
                  <c:v>98.739938415565078</c:v>
                </c:pt>
                <c:pt idx="184">
                  <c:v>98.806155070824445</c:v>
                </c:pt>
                <c:pt idx="185">
                  <c:v>98.877121584296262</c:v>
                </c:pt>
                <c:pt idx="186">
                  <c:v>98.959152490203181</c:v>
                </c:pt>
                <c:pt idx="187">
                  <c:v>99.043149299618946</c:v>
                </c:pt>
                <c:pt idx="188">
                  <c:v>99.153225747858585</c:v>
                </c:pt>
                <c:pt idx="189">
                  <c:v>99.224563277099577</c:v>
                </c:pt>
                <c:pt idx="190">
                  <c:v>99.287614473732418</c:v>
                </c:pt>
                <c:pt idx="191">
                  <c:v>99.339059740148443</c:v>
                </c:pt>
                <c:pt idx="192">
                  <c:v>99.389224934462888</c:v>
                </c:pt>
                <c:pt idx="193">
                  <c:v>99.436321408578266</c:v>
                </c:pt>
                <c:pt idx="194">
                  <c:v>99.480597076783255</c:v>
                </c:pt>
                <c:pt idx="195">
                  <c:v>99.517295747282418</c:v>
                </c:pt>
                <c:pt idx="196">
                  <c:v>99.564331230282988</c:v>
                </c:pt>
                <c:pt idx="197">
                  <c:v>99.63514207250968</c:v>
                </c:pt>
                <c:pt idx="198">
                  <c:v>99.763637630811388</c:v>
                </c:pt>
                <c:pt idx="199">
                  <c:v>99.873250181474731</c:v>
                </c:pt>
                <c:pt idx="200">
                  <c:v>99.96905815126145</c:v>
                </c:pt>
                <c:pt idx="201">
                  <c:v>100.23332201893997</c:v>
                </c:pt>
                <c:pt idx="202">
                  <c:v>100.32268705231839</c:v>
                </c:pt>
                <c:pt idx="203">
                  <c:v>100.39699466406589</c:v>
                </c:pt>
                <c:pt idx="204">
                  <c:v>100.50773902185864</c:v>
                </c:pt>
                <c:pt idx="205">
                  <c:v>100.59305714428295</c:v>
                </c:pt>
                <c:pt idx="206">
                  <c:v>100.66367077121338</c:v>
                </c:pt>
                <c:pt idx="207">
                  <c:v>100.72188893554097</c:v>
                </c:pt>
                <c:pt idx="208">
                  <c:v>100.76466085484959</c:v>
                </c:pt>
                <c:pt idx="209">
                  <c:v>100.80874512949659</c:v>
                </c:pt>
                <c:pt idx="210">
                  <c:v>100.87831139058754</c:v>
                </c:pt>
                <c:pt idx="211">
                  <c:v>100.91103612227894</c:v>
                </c:pt>
                <c:pt idx="212">
                  <c:v>100.92612161582919</c:v>
                </c:pt>
                <c:pt idx="213">
                  <c:v>100.94655507106741</c:v>
                </c:pt>
                <c:pt idx="214">
                  <c:v>100.97538021142016</c:v>
                </c:pt>
                <c:pt idx="215">
                  <c:v>100.983376681629</c:v>
                </c:pt>
                <c:pt idx="216">
                  <c:v>100.99541301076371</c:v>
                </c:pt>
                <c:pt idx="217">
                  <c:v>101.00274732331023</c:v>
                </c:pt>
                <c:pt idx="218">
                  <c:v>101.00336392413766</c:v>
                </c:pt>
                <c:pt idx="219">
                  <c:v>100.9914744651531</c:v>
                </c:pt>
                <c:pt idx="220">
                  <c:v>100.97875048389909</c:v>
                </c:pt>
                <c:pt idx="221">
                  <c:v>100.97329420241068</c:v>
                </c:pt>
                <c:pt idx="222">
                  <c:v>100.96665862001149</c:v>
                </c:pt>
                <c:pt idx="223">
                  <c:v>100.96306688550283</c:v>
                </c:pt>
                <c:pt idx="224">
                  <c:v>100.96675977316646</c:v>
                </c:pt>
                <c:pt idx="225">
                  <c:v>100.97104533341064</c:v>
                </c:pt>
                <c:pt idx="226">
                  <c:v>100.97108566287892</c:v>
                </c:pt>
                <c:pt idx="227">
                  <c:v>101.0053789113035</c:v>
                </c:pt>
                <c:pt idx="228">
                  <c:v>101.04538132899275</c:v>
                </c:pt>
                <c:pt idx="229">
                  <c:v>101.06747990172028</c:v>
                </c:pt>
                <c:pt idx="230">
                  <c:v>101.0773235392509</c:v>
                </c:pt>
                <c:pt idx="231">
                  <c:v>101.08284217157708</c:v>
                </c:pt>
                <c:pt idx="232">
                  <c:v>101.0801426882462</c:v>
                </c:pt>
                <c:pt idx="233">
                  <c:v>101.08346726842777</c:v>
                </c:pt>
                <c:pt idx="234">
                  <c:v>101.07862466419569</c:v>
                </c:pt>
                <c:pt idx="235">
                  <c:v>101.06324361364554</c:v>
                </c:pt>
                <c:pt idx="236">
                  <c:v>101.04809636384154</c:v>
                </c:pt>
                <c:pt idx="237">
                  <c:v>101.03378342634025</c:v>
                </c:pt>
                <c:pt idx="238">
                  <c:v>101.01078805798822</c:v>
                </c:pt>
                <c:pt idx="239">
                  <c:v>100.98782718004234</c:v>
                </c:pt>
                <c:pt idx="240">
                  <c:v>100.96775369761649</c:v>
                </c:pt>
                <c:pt idx="241">
                  <c:v>100.93547335200451</c:v>
                </c:pt>
                <c:pt idx="242">
                  <c:v>100.91000583234575</c:v>
                </c:pt>
                <c:pt idx="243">
                  <c:v>100.87622397088474</c:v>
                </c:pt>
                <c:pt idx="244">
                  <c:v>100.84456095500464</c:v>
                </c:pt>
                <c:pt idx="245">
                  <c:v>100.78934207067367</c:v>
                </c:pt>
                <c:pt idx="246">
                  <c:v>100.76581288421079</c:v>
                </c:pt>
                <c:pt idx="247">
                  <c:v>100.7577139545338</c:v>
                </c:pt>
                <c:pt idx="248">
                  <c:v>100.7353949674865</c:v>
                </c:pt>
                <c:pt idx="249">
                  <c:v>100.71959753321437</c:v>
                </c:pt>
                <c:pt idx="250">
                  <c:v>100.70358554714196</c:v>
                </c:pt>
                <c:pt idx="251">
                  <c:v>100.68431477237655</c:v>
                </c:pt>
                <c:pt idx="252">
                  <c:v>100.66624713950587</c:v>
                </c:pt>
                <c:pt idx="253">
                  <c:v>100.64331813562519</c:v>
                </c:pt>
                <c:pt idx="254">
                  <c:v>100.62032886195304</c:v>
                </c:pt>
                <c:pt idx="255">
                  <c:v>100.58517904409928</c:v>
                </c:pt>
                <c:pt idx="256">
                  <c:v>100.5645229758473</c:v>
                </c:pt>
                <c:pt idx="257">
                  <c:v>100.53836989896381</c:v>
                </c:pt>
                <c:pt idx="258">
                  <c:v>100.51697817526244</c:v>
                </c:pt>
                <c:pt idx="259">
                  <c:v>100.49304432588336</c:v>
                </c:pt>
                <c:pt idx="260">
                  <c:v>100.47115674614942</c:v>
                </c:pt>
                <c:pt idx="261">
                  <c:v>100.45178968179292</c:v>
                </c:pt>
                <c:pt idx="262">
                  <c:v>100.43354918644894</c:v>
                </c:pt>
                <c:pt idx="263">
                  <c:v>100.41514482151103</c:v>
                </c:pt>
                <c:pt idx="264">
                  <c:v>100.39569207331509</c:v>
                </c:pt>
                <c:pt idx="265">
                  <c:v>100.37753648866902</c:v>
                </c:pt>
                <c:pt idx="266">
                  <c:v>100.35177098771415</c:v>
                </c:pt>
                <c:pt idx="267">
                  <c:v>100.34259046295163</c:v>
                </c:pt>
                <c:pt idx="268">
                  <c:v>100.32641521728981</c:v>
                </c:pt>
                <c:pt idx="269">
                  <c:v>100.30960938078194</c:v>
                </c:pt>
                <c:pt idx="270">
                  <c:v>100.29583915521197</c:v>
                </c:pt>
                <c:pt idx="271">
                  <c:v>100.27484881345644</c:v>
                </c:pt>
                <c:pt idx="272">
                  <c:v>100.2705007190156</c:v>
                </c:pt>
                <c:pt idx="273">
                  <c:v>100.26119920110764</c:v>
                </c:pt>
                <c:pt idx="274">
                  <c:v>100.25697218941127</c:v>
                </c:pt>
                <c:pt idx="275">
                  <c:v>100.24916478163225</c:v>
                </c:pt>
                <c:pt idx="276">
                  <c:v>100.2436005671984</c:v>
                </c:pt>
                <c:pt idx="277">
                  <c:v>100.2406490750963</c:v>
                </c:pt>
                <c:pt idx="278">
                  <c:v>100.24076909087216</c:v>
                </c:pt>
                <c:pt idx="279">
                  <c:v>100.22987798935466</c:v>
                </c:pt>
                <c:pt idx="280">
                  <c:v>100.22349832412333</c:v>
                </c:pt>
                <c:pt idx="281">
                  <c:v>100.21443294646336</c:v>
                </c:pt>
                <c:pt idx="282">
                  <c:v>100.20982610210528</c:v>
                </c:pt>
                <c:pt idx="283">
                  <c:v>100.20201282794997</c:v>
                </c:pt>
                <c:pt idx="284">
                  <c:v>100.19745653092411</c:v>
                </c:pt>
                <c:pt idx="285">
                  <c:v>100.21933709478058</c:v>
                </c:pt>
                <c:pt idx="286">
                  <c:v>100.24296974224993</c:v>
                </c:pt>
                <c:pt idx="287">
                  <c:v>100.28327228393286</c:v>
                </c:pt>
                <c:pt idx="288">
                  <c:v>100.30076232547351</c:v>
                </c:pt>
                <c:pt idx="289">
                  <c:v>100.32867282714543</c:v>
                </c:pt>
                <c:pt idx="290">
                  <c:v>100.39326734900962</c:v>
                </c:pt>
                <c:pt idx="291">
                  <c:v>100.4652443394625</c:v>
                </c:pt>
                <c:pt idx="292">
                  <c:v>100.51587051603691</c:v>
                </c:pt>
                <c:pt idx="293">
                  <c:v>100.56300191938038</c:v>
                </c:pt>
                <c:pt idx="294">
                  <c:v>100.60696033857967</c:v>
                </c:pt>
                <c:pt idx="295">
                  <c:v>100.66134528722593</c:v>
                </c:pt>
                <c:pt idx="296">
                  <c:v>100.75948359666688</c:v>
                </c:pt>
                <c:pt idx="297">
                  <c:v>100.81164005062153</c:v>
                </c:pt>
                <c:pt idx="298">
                  <c:v>100.8646819775298</c:v>
                </c:pt>
                <c:pt idx="299">
                  <c:v>100.91836958674205</c:v>
                </c:pt>
                <c:pt idx="300">
                  <c:v>101.01459341330525</c:v>
                </c:pt>
                <c:pt idx="301">
                  <c:v>101.12813943310044</c:v>
                </c:pt>
                <c:pt idx="302">
                  <c:v>101.22970079622216</c:v>
                </c:pt>
                <c:pt idx="303">
                  <c:v>101.30728352029593</c:v>
                </c:pt>
                <c:pt idx="304">
                  <c:v>101.38651294621098</c:v>
                </c:pt>
                <c:pt idx="305">
                  <c:v>101.50586502978045</c:v>
                </c:pt>
                <c:pt idx="306">
                  <c:v>101.56647936498217</c:v>
                </c:pt>
                <c:pt idx="307">
                  <c:v>101.6247498427262</c:v>
                </c:pt>
                <c:pt idx="308">
                  <c:v>101.69036011667046</c:v>
                </c:pt>
                <c:pt idx="309">
                  <c:v>101.75807201475367</c:v>
                </c:pt>
                <c:pt idx="310">
                  <c:v>101.84420953398175</c:v>
                </c:pt>
                <c:pt idx="311">
                  <c:v>101.96161582296891</c:v>
                </c:pt>
                <c:pt idx="312">
                  <c:v>102.06188254381178</c:v>
                </c:pt>
                <c:pt idx="313">
                  <c:v>102.14515131424662</c:v>
                </c:pt>
                <c:pt idx="314">
                  <c:v>102.31670757838103</c:v>
                </c:pt>
                <c:pt idx="315">
                  <c:v>102.4810910721297</c:v>
                </c:pt>
                <c:pt idx="316">
                  <c:v>102.55491672040451</c:v>
                </c:pt>
                <c:pt idx="317">
                  <c:v>102.61048214068239</c:v>
                </c:pt>
                <c:pt idx="318">
                  <c:v>102.69370298857888</c:v>
                </c:pt>
                <c:pt idx="319">
                  <c:v>102.781549328729</c:v>
                </c:pt>
                <c:pt idx="320">
                  <c:v>102.87104653178559</c:v>
                </c:pt>
                <c:pt idx="321">
                  <c:v>102.97534384369999</c:v>
                </c:pt>
                <c:pt idx="322">
                  <c:v>103.07734791669624</c:v>
                </c:pt>
                <c:pt idx="323">
                  <c:v>103.17004740710645</c:v>
                </c:pt>
                <c:pt idx="324">
                  <c:v>103.26669769241643</c:v>
                </c:pt>
                <c:pt idx="325">
                  <c:v>103.35610884385343</c:v>
                </c:pt>
                <c:pt idx="326">
                  <c:v>103.45767391404912</c:v>
                </c:pt>
                <c:pt idx="327">
                  <c:v>103.55568236069445</c:v>
                </c:pt>
                <c:pt idx="328">
                  <c:v>103.64592197862819</c:v>
                </c:pt>
                <c:pt idx="329">
                  <c:v>103.73494544906949</c:v>
                </c:pt>
                <c:pt idx="330">
                  <c:v>103.83231867041683</c:v>
                </c:pt>
                <c:pt idx="331">
                  <c:v>103.91942227572093</c:v>
                </c:pt>
                <c:pt idx="332">
                  <c:v>104.07597360331953</c:v>
                </c:pt>
                <c:pt idx="333">
                  <c:v>104.19169896267488</c:v>
                </c:pt>
                <c:pt idx="334">
                  <c:v>104.28112816731807</c:v>
                </c:pt>
                <c:pt idx="335">
                  <c:v>104.36087366532713</c:v>
                </c:pt>
                <c:pt idx="336">
                  <c:v>104.43062282931768</c:v>
                </c:pt>
                <c:pt idx="337">
                  <c:v>104.53019637412375</c:v>
                </c:pt>
                <c:pt idx="338">
                  <c:v>104.59643345227491</c:v>
                </c:pt>
                <c:pt idx="339">
                  <c:v>104.64194881024264</c:v>
                </c:pt>
                <c:pt idx="340">
                  <c:v>104.67262590447108</c:v>
                </c:pt>
                <c:pt idx="341">
                  <c:v>104.68310504365154</c:v>
                </c:pt>
                <c:pt idx="342">
                  <c:v>104.68141201516431</c:v>
                </c:pt>
                <c:pt idx="343">
                  <c:v>104.69704545723368</c:v>
                </c:pt>
                <c:pt idx="344">
                  <c:v>104.72253715211323</c:v>
                </c:pt>
                <c:pt idx="345">
                  <c:v>104.74810610871421</c:v>
                </c:pt>
                <c:pt idx="346">
                  <c:v>104.77687772498585</c:v>
                </c:pt>
                <c:pt idx="347">
                  <c:v>104.80782023451518</c:v>
                </c:pt>
                <c:pt idx="348">
                  <c:v>104.82306425332364</c:v>
                </c:pt>
                <c:pt idx="349">
                  <c:v>104.84082511027952</c:v>
                </c:pt>
                <c:pt idx="350">
                  <c:v>104.8618981727268</c:v>
                </c:pt>
                <c:pt idx="351">
                  <c:v>104.86799678100874</c:v>
                </c:pt>
                <c:pt idx="352">
                  <c:v>104.88603857408393</c:v>
                </c:pt>
                <c:pt idx="353">
                  <c:v>104.94189770789301</c:v>
                </c:pt>
                <c:pt idx="354">
                  <c:v>104.95873421822755</c:v>
                </c:pt>
                <c:pt idx="355">
                  <c:v>104.97216473276052</c:v>
                </c:pt>
                <c:pt idx="356">
                  <c:v>104.97756111851044</c:v>
                </c:pt>
                <c:pt idx="357">
                  <c:v>104.98803445870743</c:v>
                </c:pt>
                <c:pt idx="358">
                  <c:v>104.9900605590902</c:v>
                </c:pt>
                <c:pt idx="359">
                  <c:v>104.99049450797135</c:v>
                </c:pt>
                <c:pt idx="360">
                  <c:v>104.99911132416112</c:v>
                </c:pt>
                <c:pt idx="361">
                  <c:v>105.00912224406157</c:v>
                </c:pt>
                <c:pt idx="362">
                  <c:v>105.02172249669962</c:v>
                </c:pt>
                <c:pt idx="363">
                  <c:v>105.04584607357769</c:v>
                </c:pt>
                <c:pt idx="364">
                  <c:v>105.05227406880546</c:v>
                </c:pt>
                <c:pt idx="365">
                  <c:v>105.05764030671061</c:v>
                </c:pt>
                <c:pt idx="366">
                  <c:v>105.05909732551518</c:v>
                </c:pt>
                <c:pt idx="367">
                  <c:v>105.07884914120596</c:v>
                </c:pt>
                <c:pt idx="368">
                  <c:v>105.08701241902001</c:v>
                </c:pt>
                <c:pt idx="369">
                  <c:v>105.08665313987935</c:v>
                </c:pt>
                <c:pt idx="370">
                  <c:v>105.07691302038148</c:v>
                </c:pt>
                <c:pt idx="371">
                  <c:v>105.06869073936474</c:v>
                </c:pt>
                <c:pt idx="372">
                  <c:v>105.05956997858543</c:v>
                </c:pt>
                <c:pt idx="373">
                  <c:v>105.05988144879611</c:v>
                </c:pt>
                <c:pt idx="374">
                  <c:v>105.06163906404201</c:v>
                </c:pt>
                <c:pt idx="375">
                  <c:v>105.05898294140998</c:v>
                </c:pt>
                <c:pt idx="376">
                  <c:v>105.05491300150598</c:v>
                </c:pt>
                <c:pt idx="377">
                  <c:v>105.05018526791868</c:v>
                </c:pt>
                <c:pt idx="378">
                  <c:v>105.04650577797383</c:v>
                </c:pt>
                <c:pt idx="379">
                  <c:v>105.04467279716604</c:v>
                </c:pt>
                <c:pt idx="380">
                  <c:v>105.0446020627835</c:v>
                </c:pt>
                <c:pt idx="381">
                  <c:v>105.04284373961984</c:v>
                </c:pt>
                <c:pt idx="382">
                  <c:v>105.04107972811622</c:v>
                </c:pt>
                <c:pt idx="383">
                  <c:v>105.03697353201419</c:v>
                </c:pt>
                <c:pt idx="384">
                  <c:v>105.03480788138499</c:v>
                </c:pt>
                <c:pt idx="385">
                  <c:v>105.03385291226323</c:v>
                </c:pt>
                <c:pt idx="386">
                  <c:v>105.03364205433144</c:v>
                </c:pt>
                <c:pt idx="387">
                  <c:v>105.03640863302807</c:v>
                </c:pt>
                <c:pt idx="388">
                  <c:v>105.04515370135699</c:v>
                </c:pt>
                <c:pt idx="389">
                  <c:v>105.05409927109953</c:v>
                </c:pt>
                <c:pt idx="390">
                  <c:v>105.06016161291879</c:v>
                </c:pt>
                <c:pt idx="391">
                  <c:v>105.06211990204508</c:v>
                </c:pt>
                <c:pt idx="392">
                  <c:v>105.06197709165852</c:v>
                </c:pt>
                <c:pt idx="393">
                  <c:v>105.06332676293397</c:v>
                </c:pt>
                <c:pt idx="394">
                  <c:v>105.06728282035024</c:v>
                </c:pt>
                <c:pt idx="395">
                  <c:v>105.08606700805825</c:v>
                </c:pt>
                <c:pt idx="396">
                  <c:v>105.10222314775952</c:v>
                </c:pt>
                <c:pt idx="397">
                  <c:v>105.12369849123702</c:v>
                </c:pt>
                <c:pt idx="398">
                  <c:v>105.13986623630353</c:v>
                </c:pt>
                <c:pt idx="399">
                  <c:v>105.15234166534574</c:v>
                </c:pt>
                <c:pt idx="400">
                  <c:v>105.17314685269194</c:v>
                </c:pt>
                <c:pt idx="401">
                  <c:v>105.19241370599815</c:v>
                </c:pt>
                <c:pt idx="402">
                  <c:v>105.20672379335198</c:v>
                </c:pt>
                <c:pt idx="403">
                  <c:v>105.2201077252367</c:v>
                </c:pt>
                <c:pt idx="404">
                  <c:v>105.23409405256773</c:v>
                </c:pt>
                <c:pt idx="405">
                  <c:v>105.24121649582142</c:v>
                </c:pt>
                <c:pt idx="406">
                  <c:v>105.24249476420016</c:v>
                </c:pt>
                <c:pt idx="407">
                  <c:v>105.23884184365706</c:v>
                </c:pt>
                <c:pt idx="408">
                  <c:v>105.24400976817277</c:v>
                </c:pt>
                <c:pt idx="409">
                  <c:v>105.25021866958933</c:v>
                </c:pt>
                <c:pt idx="410">
                  <c:v>105.25203713749808</c:v>
                </c:pt>
                <c:pt idx="411">
                  <c:v>105.25600977637001</c:v>
                </c:pt>
                <c:pt idx="412">
                  <c:v>105.25260601689425</c:v>
                </c:pt>
                <c:pt idx="413">
                  <c:v>105.24945839878376</c:v>
                </c:pt>
                <c:pt idx="414">
                  <c:v>105.2494811531642</c:v>
                </c:pt>
                <c:pt idx="415">
                  <c:v>105.24050469181034</c:v>
                </c:pt>
                <c:pt idx="416">
                  <c:v>105.23114481830187</c:v>
                </c:pt>
                <c:pt idx="417">
                  <c:v>105.21891323495652</c:v>
                </c:pt>
                <c:pt idx="418">
                  <c:v>105.20784873709623</c:v>
                </c:pt>
                <c:pt idx="419">
                  <c:v>105.19833579660882</c:v>
                </c:pt>
                <c:pt idx="420">
                  <c:v>105.18956124446761</c:v>
                </c:pt>
                <c:pt idx="421">
                  <c:v>105.17756628849745</c:v>
                </c:pt>
                <c:pt idx="422">
                  <c:v>105.16772387609058</c:v>
                </c:pt>
                <c:pt idx="423">
                  <c:v>105.15754149040437</c:v>
                </c:pt>
                <c:pt idx="424">
                  <c:v>105.14828412063308</c:v>
                </c:pt>
                <c:pt idx="425">
                  <c:v>105.13924155737098</c:v>
                </c:pt>
                <c:pt idx="426">
                  <c:v>105.12944283691468</c:v>
                </c:pt>
                <c:pt idx="427">
                  <c:v>105.11606280605993</c:v>
                </c:pt>
                <c:pt idx="428">
                  <c:v>105.10456125820058</c:v>
                </c:pt>
                <c:pt idx="429">
                  <c:v>105.09316906523105</c:v>
                </c:pt>
                <c:pt idx="430">
                  <c:v>105.07671870481383</c:v>
                </c:pt>
                <c:pt idx="431">
                  <c:v>105.06557591977497</c:v>
                </c:pt>
                <c:pt idx="432">
                  <c:v>105.05824668294359</c:v>
                </c:pt>
                <c:pt idx="433">
                  <c:v>105.05141522029353</c:v>
                </c:pt>
                <c:pt idx="434">
                  <c:v>105.04367918858358</c:v>
                </c:pt>
                <c:pt idx="435">
                  <c:v>105.03904110572631</c:v>
                </c:pt>
                <c:pt idx="436">
                  <c:v>105.03420384724815</c:v>
                </c:pt>
                <c:pt idx="437">
                  <c:v>105.03262814170796</c:v>
                </c:pt>
                <c:pt idx="438">
                  <c:v>105.02445800727352</c:v>
                </c:pt>
                <c:pt idx="439">
                  <c:v>105.01578130184915</c:v>
                </c:pt>
                <c:pt idx="440">
                  <c:v>105.00911972022352</c:v>
                </c:pt>
                <c:pt idx="441">
                  <c:v>105.00367894020638</c:v>
                </c:pt>
                <c:pt idx="442">
                  <c:v>104.99992265850734</c:v>
                </c:pt>
                <c:pt idx="443">
                  <c:v>104.99792018408225</c:v>
                </c:pt>
                <c:pt idx="444">
                  <c:v>104.99640919958807</c:v>
                </c:pt>
                <c:pt idx="445">
                  <c:v>105.00083741257541</c:v>
                </c:pt>
                <c:pt idx="446">
                  <c:v>104.99877262898664</c:v>
                </c:pt>
                <c:pt idx="447">
                  <c:v>104.99922832053726</c:v>
                </c:pt>
                <c:pt idx="448">
                  <c:v>105.00133396272298</c:v>
                </c:pt>
                <c:pt idx="449">
                  <c:v>104.99991470307624</c:v>
                </c:pt>
                <c:pt idx="450">
                  <c:v>104.99891960063927</c:v>
                </c:pt>
                <c:pt idx="451">
                  <c:v>104.99793562515048</c:v>
                </c:pt>
                <c:pt idx="452">
                  <c:v>104.99652474715509</c:v>
                </c:pt>
                <c:pt idx="453">
                  <c:v>104.99736386735103</c:v>
                </c:pt>
                <c:pt idx="454">
                  <c:v>104.99459275696937</c:v>
                </c:pt>
                <c:pt idx="455">
                  <c:v>104.98986022342558</c:v>
                </c:pt>
                <c:pt idx="456">
                  <c:v>104.98629467652256</c:v>
                </c:pt>
                <c:pt idx="457">
                  <c:v>104.9793434919535</c:v>
                </c:pt>
                <c:pt idx="458">
                  <c:v>104.96970848685748</c:v>
                </c:pt>
                <c:pt idx="459">
                  <c:v>104.96201524216873</c:v>
                </c:pt>
                <c:pt idx="460">
                  <c:v>104.95200299797654</c:v>
                </c:pt>
                <c:pt idx="461">
                  <c:v>104.94216347411474</c:v>
                </c:pt>
                <c:pt idx="462">
                  <c:v>104.93433279904497</c:v>
                </c:pt>
                <c:pt idx="463">
                  <c:v>104.92256779338052</c:v>
                </c:pt>
                <c:pt idx="464">
                  <c:v>104.91122335708063</c:v>
                </c:pt>
                <c:pt idx="465">
                  <c:v>104.90442378728025</c:v>
                </c:pt>
                <c:pt idx="466">
                  <c:v>104.89700842115738</c:v>
                </c:pt>
                <c:pt idx="467">
                  <c:v>104.89252942104828</c:v>
                </c:pt>
                <c:pt idx="468">
                  <c:v>104.88879583040357</c:v>
                </c:pt>
                <c:pt idx="469">
                  <c:v>104.88822473209335</c:v>
                </c:pt>
                <c:pt idx="470">
                  <c:v>104.8912053528401</c:v>
                </c:pt>
                <c:pt idx="471">
                  <c:v>104.90570651323208</c:v>
                </c:pt>
                <c:pt idx="472">
                  <c:v>104.91393073513149</c:v>
                </c:pt>
                <c:pt idx="473">
                  <c:v>104.91353322652769</c:v>
                </c:pt>
                <c:pt idx="474">
                  <c:v>104.91395146821614</c:v>
                </c:pt>
                <c:pt idx="475">
                  <c:v>104.91519346360705</c:v>
                </c:pt>
                <c:pt idx="476">
                  <c:v>104.91113940114019</c:v>
                </c:pt>
                <c:pt idx="477">
                  <c:v>104.90518544236721</c:v>
                </c:pt>
                <c:pt idx="478">
                  <c:v>104.90129441108627</c:v>
                </c:pt>
                <c:pt idx="479">
                  <c:v>104.89745042407719</c:v>
                </c:pt>
                <c:pt idx="480">
                  <c:v>104.88906775736801</c:v>
                </c:pt>
                <c:pt idx="481">
                  <c:v>104.8783069511325</c:v>
                </c:pt>
                <c:pt idx="482">
                  <c:v>104.86865314334142</c:v>
                </c:pt>
                <c:pt idx="483">
                  <c:v>104.85758827998423</c:v>
                </c:pt>
                <c:pt idx="484">
                  <c:v>104.84814752394101</c:v>
                </c:pt>
                <c:pt idx="485">
                  <c:v>104.83665965602378</c:v>
                </c:pt>
                <c:pt idx="486">
                  <c:v>104.82631831460137</c:v>
                </c:pt>
                <c:pt idx="487">
                  <c:v>104.8155531631071</c:v>
                </c:pt>
                <c:pt idx="488">
                  <c:v>104.8062434593449</c:v>
                </c:pt>
                <c:pt idx="489">
                  <c:v>104.79740299341111</c:v>
                </c:pt>
                <c:pt idx="490">
                  <c:v>104.7932311630459</c:v>
                </c:pt>
                <c:pt idx="491">
                  <c:v>104.78778100358339</c:v>
                </c:pt>
                <c:pt idx="492">
                  <c:v>104.78583358843989</c:v>
                </c:pt>
                <c:pt idx="493">
                  <c:v>104.78328147037458</c:v>
                </c:pt>
                <c:pt idx="494">
                  <c:v>104.7750124848716</c:v>
                </c:pt>
                <c:pt idx="495">
                  <c:v>104.76882678451952</c:v>
                </c:pt>
                <c:pt idx="496">
                  <c:v>104.76327247600834</c:v>
                </c:pt>
                <c:pt idx="497">
                  <c:v>104.75791676912193</c:v>
                </c:pt>
                <c:pt idx="498">
                  <c:v>104.75241702850133</c:v>
                </c:pt>
                <c:pt idx="499">
                  <c:v>104.74809595290975</c:v>
                </c:pt>
                <c:pt idx="500">
                  <c:v>104.74375701982105</c:v>
                </c:pt>
                <c:pt idx="501">
                  <c:v>104.73873596054435</c:v>
                </c:pt>
                <c:pt idx="502">
                  <c:v>104.7351182703963</c:v>
                </c:pt>
                <c:pt idx="503">
                  <c:v>104.72891971807772</c:v>
                </c:pt>
                <c:pt idx="504">
                  <c:v>104.72422866827718</c:v>
                </c:pt>
                <c:pt idx="505">
                  <c:v>104.71964309778954</c:v>
                </c:pt>
                <c:pt idx="506">
                  <c:v>104.71684226700563</c:v>
                </c:pt>
                <c:pt idx="507">
                  <c:v>104.71181446900826</c:v>
                </c:pt>
                <c:pt idx="508">
                  <c:v>104.70635898920375</c:v>
                </c:pt>
                <c:pt idx="509">
                  <c:v>104.70416932621501</c:v>
                </c:pt>
                <c:pt idx="510">
                  <c:v>104.7051720626868</c:v>
                </c:pt>
                <c:pt idx="511">
                  <c:v>104.70899681149031</c:v>
                </c:pt>
                <c:pt idx="512">
                  <c:v>104.71859903850765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Data!$H$1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92.41</c:v>
                </c:pt>
                <c:pt idx="1">
                  <c:v>92.426012214066475</c:v>
                </c:pt>
                <c:pt idx="2">
                  <c:v>92.533512897119763</c:v>
                </c:pt>
                <c:pt idx="3">
                  <c:v>92.64186133797925</c:v>
                </c:pt>
                <c:pt idx="4">
                  <c:v>92.678865259764095</c:v>
                </c:pt>
                <c:pt idx="5">
                  <c:v>92.752140208010019</c:v>
                </c:pt>
                <c:pt idx="6">
                  <c:v>92.804913729114901</c:v>
                </c:pt>
                <c:pt idx="7">
                  <c:v>92.159455061814981</c:v>
                </c:pt>
                <c:pt idx="8">
                  <c:v>91.882655410437152</c:v>
                </c:pt>
                <c:pt idx="9">
                  <c:v>91.690462409471692</c:v>
                </c:pt>
                <c:pt idx="10">
                  <c:v>91.329063661267867</c:v>
                </c:pt>
                <c:pt idx="11">
                  <c:v>90.82318751026493</c:v>
                </c:pt>
                <c:pt idx="12">
                  <c:v>90.551158296016624</c:v>
                </c:pt>
                <c:pt idx="13">
                  <c:v>90.225136555484525</c:v>
                </c:pt>
                <c:pt idx="14">
                  <c:v>89.965907381074814</c:v>
                </c:pt>
                <c:pt idx="15">
                  <c:v>89.595484565669722</c:v>
                </c:pt>
                <c:pt idx="16">
                  <c:v>89.504934313571312</c:v>
                </c:pt>
                <c:pt idx="17">
                  <c:v>89.434336730712403</c:v>
                </c:pt>
                <c:pt idx="18">
                  <c:v>89.430800494403016</c:v>
                </c:pt>
                <c:pt idx="19">
                  <c:v>89.446552201566448</c:v>
                </c:pt>
                <c:pt idx="20">
                  <c:v>89.460894888039022</c:v>
                </c:pt>
                <c:pt idx="21">
                  <c:v>89.535421805454476</c:v>
                </c:pt>
                <c:pt idx="22">
                  <c:v>89.564991668074541</c:v>
                </c:pt>
                <c:pt idx="23">
                  <c:v>89.501478514845644</c:v>
                </c:pt>
                <c:pt idx="24">
                  <c:v>89.459922825340058</c:v>
                </c:pt>
                <c:pt idx="25">
                  <c:v>89.409462880998177</c:v>
                </c:pt>
                <c:pt idx="26">
                  <c:v>89.296240230746946</c:v>
                </c:pt>
                <c:pt idx="27">
                  <c:v>89.231070114777424</c:v>
                </c:pt>
                <c:pt idx="28">
                  <c:v>89.191427391013207</c:v>
                </c:pt>
                <c:pt idx="29">
                  <c:v>88.788359189383328</c:v>
                </c:pt>
                <c:pt idx="30">
                  <c:v>88.532224954952653</c:v>
                </c:pt>
                <c:pt idx="31">
                  <c:v>88.435410107932228</c:v>
                </c:pt>
                <c:pt idx="32">
                  <c:v>88.242767418549704</c:v>
                </c:pt>
                <c:pt idx="33">
                  <c:v>88.132024591805873</c:v>
                </c:pt>
                <c:pt idx="34">
                  <c:v>88.098777050439125</c:v>
                </c:pt>
                <c:pt idx="35">
                  <c:v>88.03502406667485</c:v>
                </c:pt>
                <c:pt idx="36">
                  <c:v>87.990687524476627</c:v>
                </c:pt>
                <c:pt idx="37">
                  <c:v>87.835163239423395</c:v>
                </c:pt>
                <c:pt idx="38">
                  <c:v>87.752315090776364</c:v>
                </c:pt>
                <c:pt idx="39">
                  <c:v>87.662968132155825</c:v>
                </c:pt>
                <c:pt idx="40">
                  <c:v>87.552313845864504</c:v>
                </c:pt>
                <c:pt idx="41">
                  <c:v>87.480183473094542</c:v>
                </c:pt>
                <c:pt idx="42">
                  <c:v>87.489725381546819</c:v>
                </c:pt>
                <c:pt idx="43">
                  <c:v>87.494186049888569</c:v>
                </c:pt>
                <c:pt idx="44">
                  <c:v>87.521523181811247</c:v>
                </c:pt>
                <c:pt idx="45">
                  <c:v>87.548075444358147</c:v>
                </c:pt>
                <c:pt idx="46">
                  <c:v>87.575805294484482</c:v>
                </c:pt>
                <c:pt idx="47">
                  <c:v>87.608226688884102</c:v>
                </c:pt>
                <c:pt idx="48">
                  <c:v>87.633027064715279</c:v>
                </c:pt>
                <c:pt idx="49">
                  <c:v>87.65104899570332</c:v>
                </c:pt>
                <c:pt idx="50">
                  <c:v>87.648780108726115</c:v>
                </c:pt>
                <c:pt idx="51">
                  <c:v>87.637827870292682</c:v>
                </c:pt>
                <c:pt idx="52">
                  <c:v>87.644774392681001</c:v>
                </c:pt>
                <c:pt idx="53">
                  <c:v>87.664341497774146</c:v>
                </c:pt>
                <c:pt idx="54">
                  <c:v>87.67067164353891</c:v>
                </c:pt>
                <c:pt idx="55">
                  <c:v>87.661868508357159</c:v>
                </c:pt>
                <c:pt idx="56">
                  <c:v>87.658627159361288</c:v>
                </c:pt>
                <c:pt idx="57">
                  <c:v>87.656828460030411</c:v>
                </c:pt>
                <c:pt idx="58">
                  <c:v>87.623198114928329</c:v>
                </c:pt>
                <c:pt idx="59">
                  <c:v>87.647476914802965</c:v>
                </c:pt>
                <c:pt idx="60">
                  <c:v>87.677860228450129</c:v>
                </c:pt>
                <c:pt idx="61">
                  <c:v>87.698939937950684</c:v>
                </c:pt>
                <c:pt idx="62">
                  <c:v>87.726875070770433</c:v>
                </c:pt>
                <c:pt idx="63">
                  <c:v>87.744913185597611</c:v>
                </c:pt>
                <c:pt idx="64">
                  <c:v>87.766637764094639</c:v>
                </c:pt>
                <c:pt idx="65">
                  <c:v>87.781098808812743</c:v>
                </c:pt>
                <c:pt idx="66">
                  <c:v>87.803501603363699</c:v>
                </c:pt>
                <c:pt idx="67">
                  <c:v>87.823872231109078</c:v>
                </c:pt>
                <c:pt idx="68">
                  <c:v>87.824126089564302</c:v>
                </c:pt>
                <c:pt idx="69">
                  <c:v>87.819974509469176</c:v>
                </c:pt>
                <c:pt idx="70">
                  <c:v>87.817020369417804</c:v>
                </c:pt>
                <c:pt idx="71">
                  <c:v>87.820709125189822</c:v>
                </c:pt>
                <c:pt idx="72">
                  <c:v>87.778101930062832</c:v>
                </c:pt>
                <c:pt idx="73">
                  <c:v>87.805203824013034</c:v>
                </c:pt>
                <c:pt idx="74">
                  <c:v>87.835994947994678</c:v>
                </c:pt>
                <c:pt idx="75">
                  <c:v>87.943683589563221</c:v>
                </c:pt>
                <c:pt idx="76">
                  <c:v>87.960508225509571</c:v>
                </c:pt>
                <c:pt idx="77">
                  <c:v>87.977561499341448</c:v>
                </c:pt>
                <c:pt idx="78">
                  <c:v>87.993147503110336</c:v>
                </c:pt>
                <c:pt idx="79">
                  <c:v>88.006936652602931</c:v>
                </c:pt>
                <c:pt idx="80">
                  <c:v>88.017465799701895</c:v>
                </c:pt>
                <c:pt idx="81">
                  <c:v>88.008729722182252</c:v>
                </c:pt>
                <c:pt idx="82">
                  <c:v>88.067443551826926</c:v>
                </c:pt>
                <c:pt idx="83">
                  <c:v>88.084168732387056</c:v>
                </c:pt>
                <c:pt idx="84">
                  <c:v>88.08542102013044</c:v>
                </c:pt>
                <c:pt idx="85">
                  <c:v>88.100445598630586</c:v>
                </c:pt>
                <c:pt idx="86">
                  <c:v>88.096796888752891</c:v>
                </c:pt>
                <c:pt idx="87">
                  <c:v>88.070077108991612</c:v>
                </c:pt>
                <c:pt idx="88">
                  <c:v>88.056221115209652</c:v>
                </c:pt>
                <c:pt idx="89">
                  <c:v>88.013970849323414</c:v>
                </c:pt>
                <c:pt idx="90">
                  <c:v>87.991694355382776</c:v>
                </c:pt>
                <c:pt idx="91">
                  <c:v>87.971034533169885</c:v>
                </c:pt>
                <c:pt idx="92">
                  <c:v>87.976140330810992</c:v>
                </c:pt>
                <c:pt idx="93">
                  <c:v>87.981099777275602</c:v>
                </c:pt>
                <c:pt idx="94">
                  <c:v>88.009681928998418</c:v>
                </c:pt>
                <c:pt idx="95">
                  <c:v>88.010604207254787</c:v>
                </c:pt>
                <c:pt idx="96">
                  <c:v>88.01015585545403</c:v>
                </c:pt>
                <c:pt idx="97">
                  <c:v>88.021696379205324</c:v>
                </c:pt>
                <c:pt idx="98">
                  <c:v>88.09321777813112</c:v>
                </c:pt>
                <c:pt idx="99">
                  <c:v>88.125435254522102</c:v>
                </c:pt>
                <c:pt idx="100">
                  <c:v>88.150890656068498</c:v>
                </c:pt>
                <c:pt idx="101">
                  <c:v>88.181477877532174</c:v>
                </c:pt>
                <c:pt idx="102">
                  <c:v>88.202301463286076</c:v>
                </c:pt>
                <c:pt idx="103">
                  <c:v>88.226118274450258</c:v>
                </c:pt>
                <c:pt idx="104">
                  <c:v>88.348987965491958</c:v>
                </c:pt>
                <c:pt idx="105">
                  <c:v>88.378430052868524</c:v>
                </c:pt>
                <c:pt idx="106">
                  <c:v>88.420799767124251</c:v>
                </c:pt>
                <c:pt idx="107">
                  <c:v>88.44359392187161</c:v>
                </c:pt>
                <c:pt idx="108">
                  <c:v>88.459720830801615</c:v>
                </c:pt>
                <c:pt idx="109">
                  <c:v>88.474122203229726</c:v>
                </c:pt>
                <c:pt idx="110">
                  <c:v>88.493080355697359</c:v>
                </c:pt>
                <c:pt idx="111">
                  <c:v>88.507762105934233</c:v>
                </c:pt>
                <c:pt idx="112">
                  <c:v>88.518832604453564</c:v>
                </c:pt>
                <c:pt idx="113">
                  <c:v>88.524859275885873</c:v>
                </c:pt>
                <c:pt idx="114">
                  <c:v>88.534027845384685</c:v>
                </c:pt>
                <c:pt idx="115">
                  <c:v>88.540976346508657</c:v>
                </c:pt>
                <c:pt idx="116">
                  <c:v>88.545955610441425</c:v>
                </c:pt>
                <c:pt idx="117">
                  <c:v>88.551842910446794</c:v>
                </c:pt>
                <c:pt idx="118">
                  <c:v>88.547294695650535</c:v>
                </c:pt>
                <c:pt idx="119">
                  <c:v>88.558310772290838</c:v>
                </c:pt>
                <c:pt idx="120">
                  <c:v>88.551769129280785</c:v>
                </c:pt>
                <c:pt idx="121">
                  <c:v>88.546298834332788</c:v>
                </c:pt>
                <c:pt idx="122">
                  <c:v>88.545326915319748</c:v>
                </c:pt>
                <c:pt idx="123">
                  <c:v>88.530349155092253</c:v>
                </c:pt>
                <c:pt idx="124">
                  <c:v>88.521475781655766</c:v>
                </c:pt>
                <c:pt idx="125">
                  <c:v>88.514741744072467</c:v>
                </c:pt>
                <c:pt idx="126">
                  <c:v>88.507513392983867</c:v>
                </c:pt>
                <c:pt idx="127">
                  <c:v>88.50055396745573</c:v>
                </c:pt>
                <c:pt idx="128">
                  <c:v>88.48759232960505</c:v>
                </c:pt>
                <c:pt idx="129">
                  <c:v>88.475641176034912</c:v>
                </c:pt>
                <c:pt idx="130">
                  <c:v>88.477540229132131</c:v>
                </c:pt>
                <c:pt idx="131">
                  <c:v>88.488936142276657</c:v>
                </c:pt>
                <c:pt idx="132">
                  <c:v>88.502277092967674</c:v>
                </c:pt>
                <c:pt idx="133">
                  <c:v>88.50562961020934</c:v>
                </c:pt>
                <c:pt idx="134">
                  <c:v>88.517235371343432</c:v>
                </c:pt>
                <c:pt idx="135">
                  <c:v>88.537815625708461</c:v>
                </c:pt>
                <c:pt idx="136">
                  <c:v>88.559443698046294</c:v>
                </c:pt>
                <c:pt idx="137">
                  <c:v>88.577485285601071</c:v>
                </c:pt>
                <c:pt idx="138">
                  <c:v>88.591447474572689</c:v>
                </c:pt>
                <c:pt idx="139">
                  <c:v>88.604894423618376</c:v>
                </c:pt>
                <c:pt idx="140">
                  <c:v>88.624169510555959</c:v>
                </c:pt>
                <c:pt idx="141">
                  <c:v>88.639120076420241</c:v>
                </c:pt>
                <c:pt idx="142">
                  <c:v>88.642929390281452</c:v>
                </c:pt>
                <c:pt idx="143">
                  <c:v>88.641811636523386</c:v>
                </c:pt>
                <c:pt idx="144">
                  <c:v>88.624402472170416</c:v>
                </c:pt>
                <c:pt idx="145">
                  <c:v>88.6264734642794</c:v>
                </c:pt>
                <c:pt idx="146">
                  <c:v>88.625083492048105</c:v>
                </c:pt>
                <c:pt idx="147">
                  <c:v>88.680141355837222</c:v>
                </c:pt>
                <c:pt idx="148">
                  <c:v>88.692553058795681</c:v>
                </c:pt>
                <c:pt idx="149">
                  <c:v>88.677613175714129</c:v>
                </c:pt>
                <c:pt idx="150">
                  <c:v>88.668114601289616</c:v>
                </c:pt>
                <c:pt idx="151">
                  <c:v>88.657957977116084</c:v>
                </c:pt>
                <c:pt idx="152">
                  <c:v>88.636224435686827</c:v>
                </c:pt>
                <c:pt idx="153">
                  <c:v>88.596780769595838</c:v>
                </c:pt>
                <c:pt idx="154">
                  <c:v>88.573953155136323</c:v>
                </c:pt>
                <c:pt idx="155">
                  <c:v>88.565742055563589</c:v>
                </c:pt>
                <c:pt idx="156">
                  <c:v>88.598411837634984</c:v>
                </c:pt>
                <c:pt idx="157">
                  <c:v>88.600495762850187</c:v>
                </c:pt>
                <c:pt idx="158">
                  <c:v>88.605422611026114</c:v>
                </c:pt>
                <c:pt idx="159">
                  <c:v>88.603525911466335</c:v>
                </c:pt>
                <c:pt idx="160">
                  <c:v>88.612836456661</c:v>
                </c:pt>
                <c:pt idx="161">
                  <c:v>88.61939291195587</c:v>
                </c:pt>
                <c:pt idx="162">
                  <c:v>88.621601848547499</c:v>
                </c:pt>
                <c:pt idx="163">
                  <c:v>88.612019295195083</c:v>
                </c:pt>
                <c:pt idx="164">
                  <c:v>88.607137137493439</c:v>
                </c:pt>
                <c:pt idx="165">
                  <c:v>88.598951472984794</c:v>
                </c:pt>
                <c:pt idx="166">
                  <c:v>88.591719928050964</c:v>
                </c:pt>
                <c:pt idx="167">
                  <c:v>88.613371497435821</c:v>
                </c:pt>
                <c:pt idx="168">
                  <c:v>88.617145302170655</c:v>
                </c:pt>
                <c:pt idx="169">
                  <c:v>88.590795952440502</c:v>
                </c:pt>
                <c:pt idx="170">
                  <c:v>88.574938674947205</c:v>
                </c:pt>
                <c:pt idx="171">
                  <c:v>88.573055117067327</c:v>
                </c:pt>
                <c:pt idx="172">
                  <c:v>88.556843632800081</c:v>
                </c:pt>
                <c:pt idx="173">
                  <c:v>88.526360235857453</c:v>
                </c:pt>
                <c:pt idx="174">
                  <c:v>88.556225077670433</c:v>
                </c:pt>
                <c:pt idx="175">
                  <c:v>88.553075952896023</c:v>
                </c:pt>
                <c:pt idx="176">
                  <c:v>88.533138757782112</c:v>
                </c:pt>
                <c:pt idx="177">
                  <c:v>88.519244648666543</c:v>
                </c:pt>
                <c:pt idx="178">
                  <c:v>88.507389054810446</c:v>
                </c:pt>
                <c:pt idx="179">
                  <c:v>88.504629400445822</c:v>
                </c:pt>
                <c:pt idx="180">
                  <c:v>88.521827609548126</c:v>
                </c:pt>
                <c:pt idx="181">
                  <c:v>88.583605563400866</c:v>
                </c:pt>
                <c:pt idx="182">
                  <c:v>88.57000006515392</c:v>
                </c:pt>
                <c:pt idx="183">
                  <c:v>88.566823071512275</c:v>
                </c:pt>
                <c:pt idx="184">
                  <c:v>88.564645243308064</c:v>
                </c:pt>
                <c:pt idx="185">
                  <c:v>88.570199329629659</c:v>
                </c:pt>
                <c:pt idx="186">
                  <c:v>88.570107852009514</c:v>
                </c:pt>
                <c:pt idx="187">
                  <c:v>88.572968751258955</c:v>
                </c:pt>
                <c:pt idx="188">
                  <c:v>88.582543440012842</c:v>
                </c:pt>
                <c:pt idx="189">
                  <c:v>88.571685374809135</c:v>
                </c:pt>
                <c:pt idx="190">
                  <c:v>88.563739748342982</c:v>
                </c:pt>
                <c:pt idx="191">
                  <c:v>88.562418809594348</c:v>
                </c:pt>
                <c:pt idx="192">
                  <c:v>88.592462320893489</c:v>
                </c:pt>
                <c:pt idx="193">
                  <c:v>88.606318031230501</c:v>
                </c:pt>
                <c:pt idx="194">
                  <c:v>88.614453076574733</c:v>
                </c:pt>
                <c:pt idx="195">
                  <c:v>88.627630083285396</c:v>
                </c:pt>
                <c:pt idx="196">
                  <c:v>88.641350419908321</c:v>
                </c:pt>
                <c:pt idx="197">
                  <c:v>88.66876310326127</c:v>
                </c:pt>
                <c:pt idx="198">
                  <c:v>88.711694774783467</c:v>
                </c:pt>
                <c:pt idx="199">
                  <c:v>88.724256054648748</c:v>
                </c:pt>
                <c:pt idx="200">
                  <c:v>88.735738252248254</c:v>
                </c:pt>
                <c:pt idx="201">
                  <c:v>88.895748839832876</c:v>
                </c:pt>
                <c:pt idx="202">
                  <c:v>88.894374225279833</c:v>
                </c:pt>
                <c:pt idx="203">
                  <c:v>88.891495559284095</c:v>
                </c:pt>
                <c:pt idx="204">
                  <c:v>88.893424607845418</c:v>
                </c:pt>
                <c:pt idx="205">
                  <c:v>88.881527872618889</c:v>
                </c:pt>
                <c:pt idx="206">
                  <c:v>88.901076007269481</c:v>
                </c:pt>
                <c:pt idx="207">
                  <c:v>88.906324684493271</c:v>
                </c:pt>
                <c:pt idx="208">
                  <c:v>88.925121340621146</c:v>
                </c:pt>
                <c:pt idx="209">
                  <c:v>88.948404553230077</c:v>
                </c:pt>
                <c:pt idx="210">
                  <c:v>89.009871843207335</c:v>
                </c:pt>
                <c:pt idx="211">
                  <c:v>89.050535696693231</c:v>
                </c:pt>
                <c:pt idx="212">
                  <c:v>89.079827722383172</c:v>
                </c:pt>
                <c:pt idx="213">
                  <c:v>89.109763914496753</c:v>
                </c:pt>
                <c:pt idx="214">
                  <c:v>89.154050612961598</c:v>
                </c:pt>
                <c:pt idx="215">
                  <c:v>89.18443877205867</c:v>
                </c:pt>
                <c:pt idx="216">
                  <c:v>89.216354325954455</c:v>
                </c:pt>
                <c:pt idx="217">
                  <c:v>89.24172999377889</c:v>
                </c:pt>
                <c:pt idx="218">
                  <c:v>89.266285375170753</c:v>
                </c:pt>
                <c:pt idx="219">
                  <c:v>89.281026993269919</c:v>
                </c:pt>
                <c:pt idx="220">
                  <c:v>89.294812368822164</c:v>
                </c:pt>
                <c:pt idx="221">
                  <c:v>89.314322916925832</c:v>
                </c:pt>
                <c:pt idx="222">
                  <c:v>89.332474908464008</c:v>
                </c:pt>
                <c:pt idx="223">
                  <c:v>89.352242906380127</c:v>
                </c:pt>
                <c:pt idx="224">
                  <c:v>89.37595707992817</c:v>
                </c:pt>
                <c:pt idx="225">
                  <c:v>89.396232045627727</c:v>
                </c:pt>
                <c:pt idx="226">
                  <c:v>89.413972103245158</c:v>
                </c:pt>
                <c:pt idx="227">
                  <c:v>89.459604586006009</c:v>
                </c:pt>
                <c:pt idx="228">
                  <c:v>89.492831468143478</c:v>
                </c:pt>
                <c:pt idx="229">
                  <c:v>89.50964963589243</c:v>
                </c:pt>
                <c:pt idx="230">
                  <c:v>89.523155472157356</c:v>
                </c:pt>
                <c:pt idx="231">
                  <c:v>89.545800450189631</c:v>
                </c:pt>
                <c:pt idx="232">
                  <c:v>89.564114800519818</c:v>
                </c:pt>
                <c:pt idx="233">
                  <c:v>89.590754614217758</c:v>
                </c:pt>
                <c:pt idx="234">
                  <c:v>89.609311718754228</c:v>
                </c:pt>
                <c:pt idx="235">
                  <c:v>89.618088258763464</c:v>
                </c:pt>
                <c:pt idx="236">
                  <c:v>89.626917480385785</c:v>
                </c:pt>
                <c:pt idx="237">
                  <c:v>89.636357283477366</c:v>
                </c:pt>
                <c:pt idx="238">
                  <c:v>89.632504758428112</c:v>
                </c:pt>
                <c:pt idx="239">
                  <c:v>89.628066619491094</c:v>
                </c:pt>
                <c:pt idx="240">
                  <c:v>89.626740398907984</c:v>
                </c:pt>
                <c:pt idx="241">
                  <c:v>89.606300652265347</c:v>
                </c:pt>
                <c:pt idx="242">
                  <c:v>89.590134330896291</c:v>
                </c:pt>
                <c:pt idx="243">
                  <c:v>89.550445457729396</c:v>
                </c:pt>
                <c:pt idx="244">
                  <c:v>89.514950267046672</c:v>
                </c:pt>
                <c:pt idx="245">
                  <c:v>89.463864176677433</c:v>
                </c:pt>
                <c:pt idx="246">
                  <c:v>89.441869879483221</c:v>
                </c:pt>
                <c:pt idx="247">
                  <c:v>89.434762756663858</c:v>
                </c:pt>
                <c:pt idx="248">
                  <c:v>89.413680463518219</c:v>
                </c:pt>
                <c:pt idx="249">
                  <c:v>89.399048648995006</c:v>
                </c:pt>
                <c:pt idx="250">
                  <c:v>89.381165616498862</c:v>
                </c:pt>
                <c:pt idx="251">
                  <c:v>89.360803062879256</c:v>
                </c:pt>
                <c:pt idx="252">
                  <c:v>89.340201035698229</c:v>
                </c:pt>
                <c:pt idx="253">
                  <c:v>89.316656684627404</c:v>
                </c:pt>
                <c:pt idx="254">
                  <c:v>89.285840549545028</c:v>
                </c:pt>
                <c:pt idx="255">
                  <c:v>89.239732856560607</c:v>
                </c:pt>
                <c:pt idx="256">
                  <c:v>89.217314661377657</c:v>
                </c:pt>
                <c:pt idx="257">
                  <c:v>89.182211176004316</c:v>
                </c:pt>
                <c:pt idx="258">
                  <c:v>89.155023595516298</c:v>
                </c:pt>
                <c:pt idx="259">
                  <c:v>89.132742024505191</c:v>
                </c:pt>
                <c:pt idx="260">
                  <c:v>89.118454438802175</c:v>
                </c:pt>
                <c:pt idx="261">
                  <c:v>89.116293792631211</c:v>
                </c:pt>
                <c:pt idx="262">
                  <c:v>89.118747904557495</c:v>
                </c:pt>
                <c:pt idx="263">
                  <c:v>89.120125983756708</c:v>
                </c:pt>
                <c:pt idx="264">
                  <c:v>89.11126598728238</c:v>
                </c:pt>
                <c:pt idx="265">
                  <c:v>89.103660626167965</c:v>
                </c:pt>
                <c:pt idx="266">
                  <c:v>89.087592223685775</c:v>
                </c:pt>
                <c:pt idx="267">
                  <c:v>89.099431300524927</c:v>
                </c:pt>
                <c:pt idx="268">
                  <c:v>89.102973415863076</c:v>
                </c:pt>
                <c:pt idx="269">
                  <c:v>89.103888026860616</c:v>
                </c:pt>
                <c:pt idx="270">
                  <c:v>89.110319307116541</c:v>
                </c:pt>
                <c:pt idx="271">
                  <c:v>89.109276466563799</c:v>
                </c:pt>
                <c:pt idx="272">
                  <c:v>89.124864820781525</c:v>
                </c:pt>
                <c:pt idx="273">
                  <c:v>89.135897526838676</c:v>
                </c:pt>
                <c:pt idx="274">
                  <c:v>89.150511851793595</c:v>
                </c:pt>
                <c:pt idx="275">
                  <c:v>89.162531206009859</c:v>
                </c:pt>
                <c:pt idx="276">
                  <c:v>89.175813183079811</c:v>
                </c:pt>
                <c:pt idx="277">
                  <c:v>89.190281533273165</c:v>
                </c:pt>
                <c:pt idx="278">
                  <c:v>89.208631731938112</c:v>
                </c:pt>
                <c:pt idx="279">
                  <c:v>89.217438012683004</c:v>
                </c:pt>
                <c:pt idx="280">
                  <c:v>89.230133593087928</c:v>
                </c:pt>
                <c:pt idx="281">
                  <c:v>89.240558836228885</c:v>
                </c:pt>
                <c:pt idx="282">
                  <c:v>89.254703470977304</c:v>
                </c:pt>
                <c:pt idx="283">
                  <c:v>89.266030619718379</c:v>
                </c:pt>
                <c:pt idx="284">
                  <c:v>89.280032185335841</c:v>
                </c:pt>
                <c:pt idx="285">
                  <c:v>89.313186311806177</c:v>
                </c:pt>
                <c:pt idx="286">
                  <c:v>89.340483940093549</c:v>
                </c:pt>
                <c:pt idx="287">
                  <c:v>89.37546877930717</c:v>
                </c:pt>
                <c:pt idx="288">
                  <c:v>89.395067659725399</c:v>
                </c:pt>
                <c:pt idx="289">
                  <c:v>89.425445859119407</c:v>
                </c:pt>
                <c:pt idx="290">
                  <c:v>89.480799925574473</c:v>
                </c:pt>
                <c:pt idx="291">
                  <c:v>89.519136184938773</c:v>
                </c:pt>
                <c:pt idx="292">
                  <c:v>89.555789738363629</c:v>
                </c:pt>
                <c:pt idx="293">
                  <c:v>89.604350610615086</c:v>
                </c:pt>
                <c:pt idx="294">
                  <c:v>89.644932520964247</c:v>
                </c:pt>
                <c:pt idx="295">
                  <c:v>89.67162372054274</c:v>
                </c:pt>
                <c:pt idx="296">
                  <c:v>89.705322202126837</c:v>
                </c:pt>
                <c:pt idx="297">
                  <c:v>89.729859891790014</c:v>
                </c:pt>
                <c:pt idx="298">
                  <c:v>89.766892636087888</c:v>
                </c:pt>
                <c:pt idx="299">
                  <c:v>89.785288451873953</c:v>
                </c:pt>
                <c:pt idx="300">
                  <c:v>89.824309119433366</c:v>
                </c:pt>
                <c:pt idx="301">
                  <c:v>89.864983185476405</c:v>
                </c:pt>
                <c:pt idx="302">
                  <c:v>89.892451973408313</c:v>
                </c:pt>
                <c:pt idx="303">
                  <c:v>89.902073363163424</c:v>
                </c:pt>
                <c:pt idx="304">
                  <c:v>89.900422114844474</c:v>
                </c:pt>
                <c:pt idx="305">
                  <c:v>89.950447235485839</c:v>
                </c:pt>
                <c:pt idx="306">
                  <c:v>89.956122909716726</c:v>
                </c:pt>
                <c:pt idx="307">
                  <c:v>89.975878474145162</c:v>
                </c:pt>
                <c:pt idx="308">
                  <c:v>89.980392287193723</c:v>
                </c:pt>
                <c:pt idx="309">
                  <c:v>89.982493331049497</c:v>
                </c:pt>
                <c:pt idx="310">
                  <c:v>89.992131541828442</c:v>
                </c:pt>
                <c:pt idx="311">
                  <c:v>90.007105358417292</c:v>
                </c:pt>
                <c:pt idx="312">
                  <c:v>90.01546741831055</c:v>
                </c:pt>
                <c:pt idx="313">
                  <c:v>90.015921490290026</c:v>
                </c:pt>
                <c:pt idx="314">
                  <c:v>90.056174645780459</c:v>
                </c:pt>
                <c:pt idx="315">
                  <c:v>90.145399305408077</c:v>
                </c:pt>
                <c:pt idx="316">
                  <c:v>90.191635257882936</c:v>
                </c:pt>
                <c:pt idx="317">
                  <c:v>90.213626095834371</c:v>
                </c:pt>
                <c:pt idx="318">
                  <c:v>90.266734625494337</c:v>
                </c:pt>
                <c:pt idx="319">
                  <c:v>90.296847052042551</c:v>
                </c:pt>
                <c:pt idx="320">
                  <c:v>90.309671067822791</c:v>
                </c:pt>
                <c:pt idx="321">
                  <c:v>90.303259349382671</c:v>
                </c:pt>
                <c:pt idx="322">
                  <c:v>90.303790677428353</c:v>
                </c:pt>
                <c:pt idx="323">
                  <c:v>90.302677408371395</c:v>
                </c:pt>
                <c:pt idx="324">
                  <c:v>90.297673659900468</c:v>
                </c:pt>
                <c:pt idx="325">
                  <c:v>90.303979730084336</c:v>
                </c:pt>
                <c:pt idx="326">
                  <c:v>90.289541228849501</c:v>
                </c:pt>
                <c:pt idx="327">
                  <c:v>90.285965971981284</c:v>
                </c:pt>
                <c:pt idx="328">
                  <c:v>90.294135383331223</c:v>
                </c:pt>
                <c:pt idx="329">
                  <c:v>90.313668104454891</c:v>
                </c:pt>
                <c:pt idx="330">
                  <c:v>90.334123236714916</c:v>
                </c:pt>
                <c:pt idx="331">
                  <c:v>90.332349136304089</c:v>
                </c:pt>
                <c:pt idx="332">
                  <c:v>90.39311802272006</c:v>
                </c:pt>
                <c:pt idx="333">
                  <c:v>90.417634608763137</c:v>
                </c:pt>
                <c:pt idx="334">
                  <c:v>90.449643446102201</c:v>
                </c:pt>
                <c:pt idx="335">
                  <c:v>90.478737493065481</c:v>
                </c:pt>
                <c:pt idx="336">
                  <c:v>90.487984756295248</c:v>
                </c:pt>
                <c:pt idx="337">
                  <c:v>90.521402124190487</c:v>
                </c:pt>
                <c:pt idx="338">
                  <c:v>90.557511619408871</c:v>
                </c:pt>
                <c:pt idx="339">
                  <c:v>90.574075548173255</c:v>
                </c:pt>
                <c:pt idx="340">
                  <c:v>90.606569023749771</c:v>
                </c:pt>
                <c:pt idx="341">
                  <c:v>90.631799404999455</c:v>
                </c:pt>
                <c:pt idx="342">
                  <c:v>90.648165110299715</c:v>
                </c:pt>
                <c:pt idx="343">
                  <c:v>90.673203216130389</c:v>
                </c:pt>
                <c:pt idx="344">
                  <c:v>90.696300602180344</c:v>
                </c:pt>
                <c:pt idx="345">
                  <c:v>90.712503750446018</c:v>
                </c:pt>
                <c:pt idx="346">
                  <c:v>90.729808463430814</c:v>
                </c:pt>
                <c:pt idx="347">
                  <c:v>90.752947692979788</c:v>
                </c:pt>
                <c:pt idx="348">
                  <c:v>90.77136645660336</c:v>
                </c:pt>
                <c:pt idx="349">
                  <c:v>90.788641633898436</c:v>
                </c:pt>
                <c:pt idx="350">
                  <c:v>90.810088192880414</c:v>
                </c:pt>
                <c:pt idx="351">
                  <c:v>90.825702572440861</c:v>
                </c:pt>
                <c:pt idx="352">
                  <c:v>90.847432916859873</c:v>
                </c:pt>
                <c:pt idx="353">
                  <c:v>90.900919817900828</c:v>
                </c:pt>
                <c:pt idx="354">
                  <c:v>90.919102748732129</c:v>
                </c:pt>
                <c:pt idx="355">
                  <c:v>90.937171459996932</c:v>
                </c:pt>
                <c:pt idx="356">
                  <c:v>90.951872713750248</c:v>
                </c:pt>
                <c:pt idx="357">
                  <c:v>90.97141881198047</c:v>
                </c:pt>
                <c:pt idx="358">
                  <c:v>90.985045558925705</c:v>
                </c:pt>
                <c:pt idx="359">
                  <c:v>90.998735849129204</c:v>
                </c:pt>
                <c:pt idx="360">
                  <c:v>91.015899249620517</c:v>
                </c:pt>
                <c:pt idx="361">
                  <c:v>91.033847771030182</c:v>
                </c:pt>
                <c:pt idx="362">
                  <c:v>91.048732495029356</c:v>
                </c:pt>
                <c:pt idx="363">
                  <c:v>91.07417797202622</c:v>
                </c:pt>
                <c:pt idx="364">
                  <c:v>91.092170027567633</c:v>
                </c:pt>
                <c:pt idx="365">
                  <c:v>91.110017956441865</c:v>
                </c:pt>
                <c:pt idx="366">
                  <c:v>91.125768166368232</c:v>
                </c:pt>
                <c:pt idx="367">
                  <c:v>91.159104753264998</c:v>
                </c:pt>
                <c:pt idx="368">
                  <c:v>91.180291059931804</c:v>
                </c:pt>
                <c:pt idx="369">
                  <c:v>91.195452999777714</c:v>
                </c:pt>
                <c:pt idx="370">
                  <c:v>91.204222289199748</c:v>
                </c:pt>
                <c:pt idx="371">
                  <c:v>91.21417396106699</c:v>
                </c:pt>
                <c:pt idx="372">
                  <c:v>91.223354155221571</c:v>
                </c:pt>
                <c:pt idx="373">
                  <c:v>91.238576647813304</c:v>
                </c:pt>
                <c:pt idx="374">
                  <c:v>91.254120611668966</c:v>
                </c:pt>
                <c:pt idx="375">
                  <c:v>91.267224582498599</c:v>
                </c:pt>
                <c:pt idx="376">
                  <c:v>91.278025745164285</c:v>
                </c:pt>
                <c:pt idx="377">
                  <c:v>91.289358405135985</c:v>
                </c:pt>
                <c:pt idx="378">
                  <c:v>91.30235098307142</c:v>
                </c:pt>
                <c:pt idx="379">
                  <c:v>91.315969381963157</c:v>
                </c:pt>
                <c:pt idx="380">
                  <c:v>91.328635162106252</c:v>
                </c:pt>
                <c:pt idx="381">
                  <c:v>91.340856748323191</c:v>
                </c:pt>
                <c:pt idx="382">
                  <c:v>91.351936790546262</c:v>
                </c:pt>
                <c:pt idx="383">
                  <c:v>91.363146784421659</c:v>
                </c:pt>
                <c:pt idx="384">
                  <c:v>91.375155373931207</c:v>
                </c:pt>
                <c:pt idx="385">
                  <c:v>91.388001374734557</c:v>
                </c:pt>
                <c:pt idx="386">
                  <c:v>91.400304687109241</c:v>
                </c:pt>
                <c:pt idx="387">
                  <c:v>91.412444193710556</c:v>
                </c:pt>
                <c:pt idx="388">
                  <c:v>91.424368239256481</c:v>
                </c:pt>
                <c:pt idx="389">
                  <c:v>91.440953784350611</c:v>
                </c:pt>
                <c:pt idx="390">
                  <c:v>91.456490978437159</c:v>
                </c:pt>
                <c:pt idx="391">
                  <c:v>91.467184611429758</c:v>
                </c:pt>
                <c:pt idx="392">
                  <c:v>91.479749869989604</c:v>
                </c:pt>
                <c:pt idx="393">
                  <c:v>91.48989644577145</c:v>
                </c:pt>
                <c:pt idx="394">
                  <c:v>91.501370532136633</c:v>
                </c:pt>
                <c:pt idx="395">
                  <c:v>91.523942594162094</c:v>
                </c:pt>
                <c:pt idx="396">
                  <c:v>91.539443050073075</c:v>
                </c:pt>
                <c:pt idx="397">
                  <c:v>91.555350221892908</c:v>
                </c:pt>
                <c:pt idx="398">
                  <c:v>91.572363571266919</c:v>
                </c:pt>
                <c:pt idx="399">
                  <c:v>91.585906387056895</c:v>
                </c:pt>
                <c:pt idx="400">
                  <c:v>91.603499377309973</c:v>
                </c:pt>
                <c:pt idx="401">
                  <c:v>91.622382232044089</c:v>
                </c:pt>
                <c:pt idx="402">
                  <c:v>91.638148515046936</c:v>
                </c:pt>
                <c:pt idx="403">
                  <c:v>91.65501786476203</c:v>
                </c:pt>
                <c:pt idx="404">
                  <c:v>91.672670012286957</c:v>
                </c:pt>
                <c:pt idx="405">
                  <c:v>91.68674598704186</c:v>
                </c:pt>
                <c:pt idx="406">
                  <c:v>91.701241938344623</c:v>
                </c:pt>
                <c:pt idx="407">
                  <c:v>91.712679275590588</c:v>
                </c:pt>
                <c:pt idx="408">
                  <c:v>91.730215226099219</c:v>
                </c:pt>
                <c:pt idx="409">
                  <c:v>91.746992099084181</c:v>
                </c:pt>
                <c:pt idx="410">
                  <c:v>91.760096277607815</c:v>
                </c:pt>
                <c:pt idx="411">
                  <c:v>91.774919356316502</c:v>
                </c:pt>
                <c:pt idx="412">
                  <c:v>91.786086549536208</c:v>
                </c:pt>
                <c:pt idx="413">
                  <c:v>91.797808819004103</c:v>
                </c:pt>
                <c:pt idx="414">
                  <c:v>91.812114496324625</c:v>
                </c:pt>
                <c:pt idx="415">
                  <c:v>91.819235670954754</c:v>
                </c:pt>
                <c:pt idx="416">
                  <c:v>91.825896527574471</c:v>
                </c:pt>
                <c:pt idx="417">
                  <c:v>91.829600484327415</c:v>
                </c:pt>
                <c:pt idx="418">
                  <c:v>91.834519793830268</c:v>
                </c:pt>
                <c:pt idx="419">
                  <c:v>91.84093615082999</c:v>
                </c:pt>
                <c:pt idx="420">
                  <c:v>91.8480033996819</c:v>
                </c:pt>
                <c:pt idx="421">
                  <c:v>91.851393848739576</c:v>
                </c:pt>
                <c:pt idx="422">
                  <c:v>91.857102519695701</c:v>
                </c:pt>
                <c:pt idx="423">
                  <c:v>91.862467768846486</c:v>
                </c:pt>
                <c:pt idx="424">
                  <c:v>91.868860099772334</c:v>
                </c:pt>
                <c:pt idx="425">
                  <c:v>91.875399212172027</c:v>
                </c:pt>
                <c:pt idx="426">
                  <c:v>91.880944620952107</c:v>
                </c:pt>
                <c:pt idx="427">
                  <c:v>91.881385175613744</c:v>
                </c:pt>
                <c:pt idx="428">
                  <c:v>91.884686472539059</c:v>
                </c:pt>
                <c:pt idx="429">
                  <c:v>91.887999848675804</c:v>
                </c:pt>
                <c:pt idx="430">
                  <c:v>91.886186671403578</c:v>
                </c:pt>
                <c:pt idx="431">
                  <c:v>91.889887777416277</c:v>
                </c:pt>
                <c:pt idx="432">
                  <c:v>91.897544712113429</c:v>
                </c:pt>
                <c:pt idx="433">
                  <c:v>91.905475484783693</c:v>
                </c:pt>
                <c:pt idx="434">
                  <c:v>91.912724834534629</c:v>
                </c:pt>
                <c:pt idx="435">
                  <c:v>91.921911445599477</c:v>
                </c:pt>
                <c:pt idx="436">
                  <c:v>91.930920508688118</c:v>
                </c:pt>
                <c:pt idx="437">
                  <c:v>91.941624619444752</c:v>
                </c:pt>
                <c:pt idx="438">
                  <c:v>91.948311078557964</c:v>
                </c:pt>
                <c:pt idx="439">
                  <c:v>91.954497968578139</c:v>
                </c:pt>
                <c:pt idx="440">
                  <c:v>91.962262793987875</c:v>
                </c:pt>
                <c:pt idx="441">
                  <c:v>91.970725587559144</c:v>
                </c:pt>
                <c:pt idx="442">
                  <c:v>91.979880364662435</c:v>
                </c:pt>
                <c:pt idx="443">
                  <c:v>91.989291216061517</c:v>
                </c:pt>
                <c:pt idx="444">
                  <c:v>91.999229937373343</c:v>
                </c:pt>
                <c:pt idx="445">
                  <c:v>92.010894305818198</c:v>
                </c:pt>
                <c:pt idx="446">
                  <c:v>92.020112473695093</c:v>
                </c:pt>
                <c:pt idx="447">
                  <c:v>92.029288971644107</c:v>
                </c:pt>
                <c:pt idx="448">
                  <c:v>92.038931248887309</c:v>
                </c:pt>
                <c:pt idx="449">
                  <c:v>92.048283027425171</c:v>
                </c:pt>
                <c:pt idx="450">
                  <c:v>92.057764363046047</c:v>
                </c:pt>
                <c:pt idx="451">
                  <c:v>92.0659222343332</c:v>
                </c:pt>
                <c:pt idx="452">
                  <c:v>92.074057371807527</c:v>
                </c:pt>
                <c:pt idx="453">
                  <c:v>92.083417165877904</c:v>
                </c:pt>
                <c:pt idx="454">
                  <c:v>92.091947259991869</c:v>
                </c:pt>
                <c:pt idx="455">
                  <c:v>92.099751907446972</c:v>
                </c:pt>
                <c:pt idx="456">
                  <c:v>92.108410967057068</c:v>
                </c:pt>
                <c:pt idx="457">
                  <c:v>92.115368200089733</c:v>
                </c:pt>
                <c:pt idx="458">
                  <c:v>92.119498773554739</c:v>
                </c:pt>
                <c:pt idx="459">
                  <c:v>92.125745361331624</c:v>
                </c:pt>
                <c:pt idx="460">
                  <c:v>92.129592326825332</c:v>
                </c:pt>
                <c:pt idx="461">
                  <c:v>92.133130375847642</c:v>
                </c:pt>
                <c:pt idx="462">
                  <c:v>92.139136689013583</c:v>
                </c:pt>
                <c:pt idx="463">
                  <c:v>92.140132175897406</c:v>
                </c:pt>
                <c:pt idx="464">
                  <c:v>92.142285334317748</c:v>
                </c:pt>
                <c:pt idx="465">
                  <c:v>92.149046577029168</c:v>
                </c:pt>
                <c:pt idx="466">
                  <c:v>92.155246682865908</c:v>
                </c:pt>
                <c:pt idx="467">
                  <c:v>92.163385591636612</c:v>
                </c:pt>
                <c:pt idx="468">
                  <c:v>92.171419283227962</c:v>
                </c:pt>
                <c:pt idx="469">
                  <c:v>92.1812118794263</c:v>
                </c:pt>
                <c:pt idx="470">
                  <c:v>92.192908912782912</c:v>
                </c:pt>
                <c:pt idx="471">
                  <c:v>92.209007970273603</c:v>
                </c:pt>
                <c:pt idx="472">
                  <c:v>92.222300575140935</c:v>
                </c:pt>
                <c:pt idx="473">
                  <c:v>92.233266642570911</c:v>
                </c:pt>
                <c:pt idx="474">
                  <c:v>92.243978460546828</c:v>
                </c:pt>
                <c:pt idx="475">
                  <c:v>92.256871737958178</c:v>
                </c:pt>
                <c:pt idx="476">
                  <c:v>92.265764475861545</c:v>
                </c:pt>
                <c:pt idx="477">
                  <c:v>92.272762121345124</c:v>
                </c:pt>
                <c:pt idx="478">
                  <c:v>92.280447468367754</c:v>
                </c:pt>
                <c:pt idx="479">
                  <c:v>92.287812556171446</c:v>
                </c:pt>
                <c:pt idx="480">
                  <c:v>92.29254337854691</c:v>
                </c:pt>
                <c:pt idx="481">
                  <c:v>92.294481889055604</c:v>
                </c:pt>
                <c:pt idx="482">
                  <c:v>92.297137220710454</c:v>
                </c:pt>
                <c:pt idx="483">
                  <c:v>92.298104501938823</c:v>
                </c:pt>
                <c:pt idx="484">
                  <c:v>92.301040043165727</c:v>
                </c:pt>
                <c:pt idx="485">
                  <c:v>92.300460318686049</c:v>
                </c:pt>
                <c:pt idx="486">
                  <c:v>92.301553284456787</c:v>
                </c:pt>
                <c:pt idx="487">
                  <c:v>92.301575260559702</c:v>
                </c:pt>
                <c:pt idx="488">
                  <c:v>92.303384431987865</c:v>
                </c:pt>
                <c:pt idx="489">
                  <c:v>92.307262412532424</c:v>
                </c:pt>
                <c:pt idx="490">
                  <c:v>92.315097886171031</c:v>
                </c:pt>
                <c:pt idx="491">
                  <c:v>92.322015076053802</c:v>
                </c:pt>
                <c:pt idx="492">
                  <c:v>92.330997462159644</c:v>
                </c:pt>
                <c:pt idx="493">
                  <c:v>92.339659566510946</c:v>
                </c:pt>
                <c:pt idx="494">
                  <c:v>92.343959808144419</c:v>
                </c:pt>
                <c:pt idx="495">
                  <c:v>92.350174553726362</c:v>
                </c:pt>
                <c:pt idx="496">
                  <c:v>92.356777169820489</c:v>
                </c:pt>
                <c:pt idx="497">
                  <c:v>92.363048681140171</c:v>
                </c:pt>
                <c:pt idx="498">
                  <c:v>92.369365006158773</c:v>
                </c:pt>
                <c:pt idx="499">
                  <c:v>92.376595407478732</c:v>
                </c:pt>
                <c:pt idx="500">
                  <c:v>92.383373597003995</c:v>
                </c:pt>
                <c:pt idx="501">
                  <c:v>92.390052909350601</c:v>
                </c:pt>
                <c:pt idx="502">
                  <c:v>92.397362779602474</c:v>
                </c:pt>
                <c:pt idx="503">
                  <c:v>92.403310340790171</c:v>
                </c:pt>
                <c:pt idx="504">
                  <c:v>92.410220974826402</c:v>
                </c:pt>
                <c:pt idx="505">
                  <c:v>92.417159666007933</c:v>
                </c:pt>
                <c:pt idx="506">
                  <c:v>92.424903613825109</c:v>
                </c:pt>
                <c:pt idx="507">
                  <c:v>92.431475157632661</c:v>
                </c:pt>
                <c:pt idx="508">
                  <c:v>92.437844751871438</c:v>
                </c:pt>
                <c:pt idx="509">
                  <c:v>92.446069443605694</c:v>
                </c:pt>
                <c:pt idx="510">
                  <c:v>92.455148293058599</c:v>
                </c:pt>
                <c:pt idx="511">
                  <c:v>92.464171135517589</c:v>
                </c:pt>
                <c:pt idx="512">
                  <c:v>92.474900637640047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19">
                  <c:v>91.292500000000004</c:v>
                </c:pt>
                <c:pt idx="20">
                  <c:v>91.216999999999999</c:v>
                </c:pt>
                <c:pt idx="21">
                  <c:v>91.205999999999989</c:v>
                </c:pt>
                <c:pt idx="22">
                  <c:v>91.098499999999987</c:v>
                </c:pt>
                <c:pt idx="23">
                  <c:v>90.906000000000006</c:v>
                </c:pt>
                <c:pt idx="24">
                  <c:v>90.704000000000008</c:v>
                </c:pt>
                <c:pt idx="25">
                  <c:v>90.492500000000007</c:v>
                </c:pt>
                <c:pt idx="26">
                  <c:v>90.210000000000008</c:v>
                </c:pt>
                <c:pt idx="27">
                  <c:v>90.100500000000011</c:v>
                </c:pt>
                <c:pt idx="28">
                  <c:v>89.992000000000004</c:v>
                </c:pt>
                <c:pt idx="29">
                  <c:v>89.747500000000016</c:v>
                </c:pt>
                <c:pt idx="30">
                  <c:v>89.561999999999998</c:v>
                </c:pt>
                <c:pt idx="31">
                  <c:v>89.503000000000014</c:v>
                </c:pt>
                <c:pt idx="32">
                  <c:v>89.376000000000005</c:v>
                </c:pt>
                <c:pt idx="33">
                  <c:v>89.294999999999987</c:v>
                </c:pt>
                <c:pt idx="34">
                  <c:v>89.269499999999994</c:v>
                </c:pt>
                <c:pt idx="35">
                  <c:v>89.248999999999995</c:v>
                </c:pt>
                <c:pt idx="36">
                  <c:v>89.162000000000006</c:v>
                </c:pt>
                <c:pt idx="37">
                  <c:v>88.971500000000006</c:v>
                </c:pt>
                <c:pt idx="38">
                  <c:v>88.786000000000016</c:v>
                </c:pt>
                <c:pt idx="39">
                  <c:v>88.584500000000006</c:v>
                </c:pt>
                <c:pt idx="40">
                  <c:v>88.4</c:v>
                </c:pt>
                <c:pt idx="41">
                  <c:v>88.111500000000007</c:v>
                </c:pt>
                <c:pt idx="42">
                  <c:v>88.013000000000005</c:v>
                </c:pt>
                <c:pt idx="43">
                  <c:v>87.979000000000013</c:v>
                </c:pt>
                <c:pt idx="44">
                  <c:v>87.983000000000004</c:v>
                </c:pt>
                <c:pt idx="45">
                  <c:v>88.006499999999988</c:v>
                </c:pt>
                <c:pt idx="46">
                  <c:v>88.078999999999994</c:v>
                </c:pt>
                <c:pt idx="47">
                  <c:v>88.165999999999997</c:v>
                </c:pt>
                <c:pt idx="48">
                  <c:v>88.190000000000012</c:v>
                </c:pt>
                <c:pt idx="49">
                  <c:v>88.335000000000008</c:v>
                </c:pt>
                <c:pt idx="50">
                  <c:v>88.426500000000004</c:v>
                </c:pt>
                <c:pt idx="51">
                  <c:v>88.462499999999991</c:v>
                </c:pt>
                <c:pt idx="52">
                  <c:v>88.546000000000006</c:v>
                </c:pt>
                <c:pt idx="53">
                  <c:v>88.652500000000003</c:v>
                </c:pt>
                <c:pt idx="54">
                  <c:v>88.674000000000007</c:v>
                </c:pt>
                <c:pt idx="55">
                  <c:v>88.711000000000013</c:v>
                </c:pt>
                <c:pt idx="56">
                  <c:v>88.744499999999988</c:v>
                </c:pt>
                <c:pt idx="57">
                  <c:v>88.859000000000009</c:v>
                </c:pt>
                <c:pt idx="58">
                  <c:v>88.887500000000003</c:v>
                </c:pt>
                <c:pt idx="59">
                  <c:v>89.05749999999999</c:v>
                </c:pt>
                <c:pt idx="60">
                  <c:v>89.237499999999983</c:v>
                </c:pt>
                <c:pt idx="61">
                  <c:v>89.40349999999998</c:v>
                </c:pt>
                <c:pt idx="62">
                  <c:v>89.47699999999999</c:v>
                </c:pt>
                <c:pt idx="63">
                  <c:v>89.521999999999991</c:v>
                </c:pt>
                <c:pt idx="64">
                  <c:v>89.539000000000001</c:v>
                </c:pt>
                <c:pt idx="65">
                  <c:v>89.524500000000003</c:v>
                </c:pt>
                <c:pt idx="66">
                  <c:v>89.54849999999999</c:v>
                </c:pt>
                <c:pt idx="67">
                  <c:v>89.565000000000012</c:v>
                </c:pt>
                <c:pt idx="68">
                  <c:v>89.513000000000005</c:v>
                </c:pt>
                <c:pt idx="69">
                  <c:v>89.462000000000018</c:v>
                </c:pt>
                <c:pt idx="70">
                  <c:v>89.460000000000008</c:v>
                </c:pt>
                <c:pt idx="71">
                  <c:v>89.479000000000013</c:v>
                </c:pt>
                <c:pt idx="72">
                  <c:v>89.400499999999994</c:v>
                </c:pt>
                <c:pt idx="73">
                  <c:v>89.4315</c:v>
                </c:pt>
                <c:pt idx="74">
                  <c:v>89.524500000000003</c:v>
                </c:pt>
                <c:pt idx="75">
                  <c:v>89.680500000000023</c:v>
                </c:pt>
                <c:pt idx="76">
                  <c:v>89.887</c:v>
                </c:pt>
                <c:pt idx="77">
                  <c:v>90.103999999999999</c:v>
                </c:pt>
                <c:pt idx="78">
                  <c:v>90.402999999999992</c:v>
                </c:pt>
                <c:pt idx="79">
                  <c:v>90.605999999999995</c:v>
                </c:pt>
                <c:pt idx="80">
                  <c:v>90.712000000000003</c:v>
                </c:pt>
                <c:pt idx="81">
                  <c:v>90.894000000000005</c:v>
                </c:pt>
                <c:pt idx="82">
                  <c:v>91.084000000000003</c:v>
                </c:pt>
                <c:pt idx="83">
                  <c:v>91.32950000000001</c:v>
                </c:pt>
                <c:pt idx="84">
                  <c:v>91.582499999999996</c:v>
                </c:pt>
                <c:pt idx="85">
                  <c:v>91.878</c:v>
                </c:pt>
                <c:pt idx="86">
                  <c:v>92.154500000000013</c:v>
                </c:pt>
                <c:pt idx="87">
                  <c:v>92.472999999999999</c:v>
                </c:pt>
                <c:pt idx="88">
                  <c:v>92.907000000000011</c:v>
                </c:pt>
                <c:pt idx="89">
                  <c:v>93.385500000000008</c:v>
                </c:pt>
                <c:pt idx="90">
                  <c:v>93.838999999999999</c:v>
                </c:pt>
                <c:pt idx="91">
                  <c:v>94.255000000000024</c:v>
                </c:pt>
                <c:pt idx="92">
                  <c:v>94.716000000000022</c:v>
                </c:pt>
                <c:pt idx="93">
                  <c:v>95.04500000000003</c:v>
                </c:pt>
                <c:pt idx="94">
                  <c:v>95.34550000000003</c:v>
                </c:pt>
                <c:pt idx="95">
                  <c:v>95.612000000000023</c:v>
                </c:pt>
                <c:pt idx="96">
                  <c:v>95.801000000000016</c:v>
                </c:pt>
                <c:pt idx="97">
                  <c:v>95.976000000000013</c:v>
                </c:pt>
                <c:pt idx="98">
                  <c:v>96.111000000000018</c:v>
                </c:pt>
                <c:pt idx="99">
                  <c:v>96.099000000000004</c:v>
                </c:pt>
                <c:pt idx="100">
                  <c:v>96.174000000000007</c:v>
                </c:pt>
                <c:pt idx="101">
                  <c:v>96.135999999999996</c:v>
                </c:pt>
                <c:pt idx="102">
                  <c:v>96.011499999999998</c:v>
                </c:pt>
                <c:pt idx="103">
                  <c:v>95.893999999999991</c:v>
                </c:pt>
                <c:pt idx="104">
                  <c:v>95.858999999999995</c:v>
                </c:pt>
                <c:pt idx="105">
                  <c:v>95.765000000000001</c:v>
                </c:pt>
                <c:pt idx="106">
                  <c:v>95.644499999999994</c:v>
                </c:pt>
                <c:pt idx="107">
                  <c:v>95.399500000000018</c:v>
                </c:pt>
                <c:pt idx="108">
                  <c:v>95.115500000000011</c:v>
                </c:pt>
                <c:pt idx="109">
                  <c:v>94.79</c:v>
                </c:pt>
                <c:pt idx="110">
                  <c:v>94.521000000000001</c:v>
                </c:pt>
                <c:pt idx="111">
                  <c:v>94.226500000000016</c:v>
                </c:pt>
                <c:pt idx="112">
                  <c:v>93.951499999999996</c:v>
                </c:pt>
                <c:pt idx="113">
                  <c:v>93.636499999999998</c:v>
                </c:pt>
                <c:pt idx="114">
                  <c:v>93.334500000000006</c:v>
                </c:pt>
                <c:pt idx="115">
                  <c:v>93.011999999999986</c:v>
                </c:pt>
                <c:pt idx="116">
                  <c:v>92.706000000000003</c:v>
                </c:pt>
                <c:pt idx="117">
                  <c:v>92.415499999999994</c:v>
                </c:pt>
                <c:pt idx="118">
                  <c:v>92.126000000000005</c:v>
                </c:pt>
                <c:pt idx="119">
                  <c:v>91.996000000000009</c:v>
                </c:pt>
                <c:pt idx="120">
                  <c:v>91.744</c:v>
                </c:pt>
                <c:pt idx="121">
                  <c:v>91.567000000000007</c:v>
                </c:pt>
                <c:pt idx="122">
                  <c:v>91.455500000000015</c:v>
                </c:pt>
                <c:pt idx="123">
                  <c:v>91.304000000000016</c:v>
                </c:pt>
                <c:pt idx="124">
                  <c:v>91.01700000000001</c:v>
                </c:pt>
                <c:pt idx="125">
                  <c:v>90.781500000000008</c:v>
                </c:pt>
                <c:pt idx="126">
                  <c:v>90.53100000000002</c:v>
                </c:pt>
                <c:pt idx="127">
                  <c:v>90.364500000000007</c:v>
                </c:pt>
                <c:pt idx="128">
                  <c:v>90.191000000000003</c:v>
                </c:pt>
                <c:pt idx="129">
                  <c:v>90.053000000000011</c:v>
                </c:pt>
                <c:pt idx="130">
                  <c:v>89.930500000000009</c:v>
                </c:pt>
                <c:pt idx="131">
                  <c:v>89.916000000000011</c:v>
                </c:pt>
                <c:pt idx="132">
                  <c:v>89.968499999999992</c:v>
                </c:pt>
                <c:pt idx="133">
                  <c:v>89.951000000000008</c:v>
                </c:pt>
                <c:pt idx="134">
                  <c:v>89.985000000000014</c:v>
                </c:pt>
                <c:pt idx="135">
                  <c:v>90.140500000000003</c:v>
                </c:pt>
                <c:pt idx="136">
                  <c:v>90.326499999999982</c:v>
                </c:pt>
                <c:pt idx="137">
                  <c:v>90.501999999999995</c:v>
                </c:pt>
                <c:pt idx="138">
                  <c:v>90.716999999999999</c:v>
                </c:pt>
                <c:pt idx="139">
                  <c:v>90.816000000000003</c:v>
                </c:pt>
                <c:pt idx="140">
                  <c:v>91.140500000000003</c:v>
                </c:pt>
                <c:pt idx="141">
                  <c:v>91.453000000000003</c:v>
                </c:pt>
                <c:pt idx="142">
                  <c:v>91.791000000000011</c:v>
                </c:pt>
                <c:pt idx="143">
                  <c:v>92.163499999999999</c:v>
                </c:pt>
                <c:pt idx="144">
                  <c:v>92.631</c:v>
                </c:pt>
                <c:pt idx="145">
                  <c:v>93.058500000000009</c:v>
                </c:pt>
                <c:pt idx="146">
                  <c:v>93.633499999999998</c:v>
                </c:pt>
                <c:pt idx="147">
                  <c:v>94.261499999999984</c:v>
                </c:pt>
                <c:pt idx="148">
                  <c:v>94.875500000000017</c:v>
                </c:pt>
                <c:pt idx="149">
                  <c:v>95.47750000000002</c:v>
                </c:pt>
                <c:pt idx="150">
                  <c:v>96.043500000000009</c:v>
                </c:pt>
                <c:pt idx="151">
                  <c:v>96.495500000000007</c:v>
                </c:pt>
                <c:pt idx="152">
                  <c:v>96.936999999999998</c:v>
                </c:pt>
                <c:pt idx="153">
                  <c:v>97.521000000000001</c:v>
                </c:pt>
                <c:pt idx="154">
                  <c:v>98.023499999999999</c:v>
                </c:pt>
                <c:pt idx="155">
                  <c:v>98.378500000000003</c:v>
                </c:pt>
                <c:pt idx="156">
                  <c:v>98.634500000000003</c:v>
                </c:pt>
                <c:pt idx="157">
                  <c:v>98.9375</c:v>
                </c:pt>
                <c:pt idx="158">
                  <c:v>99.225999999999999</c:v>
                </c:pt>
                <c:pt idx="159">
                  <c:v>99.572000000000003</c:v>
                </c:pt>
                <c:pt idx="160">
                  <c:v>99.799000000000007</c:v>
                </c:pt>
                <c:pt idx="161">
                  <c:v>100.0365</c:v>
                </c:pt>
                <c:pt idx="162">
                  <c:v>100.24449999999999</c:v>
                </c:pt>
                <c:pt idx="163">
                  <c:v>100.446</c:v>
                </c:pt>
                <c:pt idx="164">
                  <c:v>100.51750000000001</c:v>
                </c:pt>
                <c:pt idx="165">
                  <c:v>100.66100000000002</c:v>
                </c:pt>
                <c:pt idx="166">
                  <c:v>100.691</c:v>
                </c:pt>
                <c:pt idx="167">
                  <c:v>100.67750000000001</c:v>
                </c:pt>
                <c:pt idx="168">
                  <c:v>100.8065</c:v>
                </c:pt>
                <c:pt idx="169">
                  <c:v>100.982</c:v>
                </c:pt>
                <c:pt idx="170">
                  <c:v>101.11199999999999</c:v>
                </c:pt>
                <c:pt idx="171">
                  <c:v>101.25099999999999</c:v>
                </c:pt>
                <c:pt idx="172">
                  <c:v>101.43749999999999</c:v>
                </c:pt>
                <c:pt idx="173">
                  <c:v>101.58899999999998</c:v>
                </c:pt>
                <c:pt idx="174">
                  <c:v>101.7</c:v>
                </c:pt>
                <c:pt idx="175">
                  <c:v>101.8265</c:v>
                </c:pt>
                <c:pt idx="176">
                  <c:v>102.09299999999999</c:v>
                </c:pt>
                <c:pt idx="177">
                  <c:v>102.3305</c:v>
                </c:pt>
                <c:pt idx="178">
                  <c:v>102.53699999999999</c:v>
                </c:pt>
                <c:pt idx="179">
                  <c:v>102.699</c:v>
                </c:pt>
                <c:pt idx="180">
                  <c:v>102.78399999999999</c:v>
                </c:pt>
                <c:pt idx="181">
                  <c:v>102.91799999999998</c:v>
                </c:pt>
                <c:pt idx="182">
                  <c:v>103.08899999999998</c:v>
                </c:pt>
                <c:pt idx="183">
                  <c:v>103.18499999999999</c:v>
                </c:pt>
                <c:pt idx="184">
                  <c:v>103.3635</c:v>
                </c:pt>
                <c:pt idx="185">
                  <c:v>103.49999999999997</c:v>
                </c:pt>
                <c:pt idx="186">
                  <c:v>103.66200000000001</c:v>
                </c:pt>
                <c:pt idx="187">
                  <c:v>103.79049999999998</c:v>
                </c:pt>
                <c:pt idx="188">
                  <c:v>103.88399999999999</c:v>
                </c:pt>
                <c:pt idx="189">
                  <c:v>103.88649999999998</c:v>
                </c:pt>
                <c:pt idx="190">
                  <c:v>103.898</c:v>
                </c:pt>
                <c:pt idx="191">
                  <c:v>103.89149999999999</c:v>
                </c:pt>
                <c:pt idx="192">
                  <c:v>103.71100000000001</c:v>
                </c:pt>
                <c:pt idx="193">
                  <c:v>103.56800000000001</c:v>
                </c:pt>
                <c:pt idx="194">
                  <c:v>103.49550000000002</c:v>
                </c:pt>
                <c:pt idx="195">
                  <c:v>103.40500000000002</c:v>
                </c:pt>
                <c:pt idx="196">
                  <c:v>103.29300000000001</c:v>
                </c:pt>
                <c:pt idx="197">
                  <c:v>103.20250000000001</c:v>
                </c:pt>
                <c:pt idx="198">
                  <c:v>103.248</c:v>
                </c:pt>
                <c:pt idx="199">
                  <c:v>103.38449999999997</c:v>
                </c:pt>
                <c:pt idx="200">
                  <c:v>103.5615</c:v>
                </c:pt>
                <c:pt idx="201">
                  <c:v>103.73200000000001</c:v>
                </c:pt>
                <c:pt idx="202">
                  <c:v>103.84400000000001</c:v>
                </c:pt>
                <c:pt idx="203">
                  <c:v>103.98799999999999</c:v>
                </c:pt>
                <c:pt idx="204">
                  <c:v>104.2</c:v>
                </c:pt>
                <c:pt idx="205">
                  <c:v>104.39400000000001</c:v>
                </c:pt>
                <c:pt idx="206">
                  <c:v>104.42150000000001</c:v>
                </c:pt>
                <c:pt idx="207">
                  <c:v>104.4555</c:v>
                </c:pt>
                <c:pt idx="208">
                  <c:v>104.34350000000002</c:v>
                </c:pt>
                <c:pt idx="209">
                  <c:v>104.25700000000002</c:v>
                </c:pt>
                <c:pt idx="210">
                  <c:v>104.14000000000001</c:v>
                </c:pt>
                <c:pt idx="211">
                  <c:v>103.9825</c:v>
                </c:pt>
                <c:pt idx="212">
                  <c:v>103.88300000000001</c:v>
                </c:pt>
                <c:pt idx="213">
                  <c:v>103.76850000000002</c:v>
                </c:pt>
                <c:pt idx="214">
                  <c:v>103.598</c:v>
                </c:pt>
                <c:pt idx="215">
                  <c:v>103.398</c:v>
                </c:pt>
                <c:pt idx="216">
                  <c:v>103.1885</c:v>
                </c:pt>
                <c:pt idx="217">
                  <c:v>102.9605</c:v>
                </c:pt>
                <c:pt idx="218">
                  <c:v>102.54</c:v>
                </c:pt>
                <c:pt idx="219">
                  <c:v>102.0035</c:v>
                </c:pt>
                <c:pt idx="220">
                  <c:v>101.4825</c:v>
                </c:pt>
                <c:pt idx="221">
                  <c:v>100.9665</c:v>
                </c:pt>
                <c:pt idx="222">
                  <c:v>100.47600000000001</c:v>
                </c:pt>
                <c:pt idx="223">
                  <c:v>100.03950000000002</c:v>
                </c:pt>
                <c:pt idx="224">
                  <c:v>99.563500000000019</c:v>
                </c:pt>
                <c:pt idx="225">
                  <c:v>99.148500000000027</c:v>
                </c:pt>
                <c:pt idx="226">
                  <c:v>98.836500000000001</c:v>
                </c:pt>
                <c:pt idx="227">
                  <c:v>98.569500000000005</c:v>
                </c:pt>
                <c:pt idx="228">
                  <c:v>98.509000000000015</c:v>
                </c:pt>
                <c:pt idx="229">
                  <c:v>98.451999999999998</c:v>
                </c:pt>
                <c:pt idx="230">
                  <c:v>98.397500000000008</c:v>
                </c:pt>
                <c:pt idx="231">
                  <c:v>98.322500000000005</c:v>
                </c:pt>
                <c:pt idx="232">
                  <c:v>98.241500000000002</c:v>
                </c:pt>
                <c:pt idx="233">
                  <c:v>98.081499999999977</c:v>
                </c:pt>
                <c:pt idx="234">
                  <c:v>97.958499999999987</c:v>
                </c:pt>
                <c:pt idx="235">
                  <c:v>97.82050000000001</c:v>
                </c:pt>
                <c:pt idx="236">
                  <c:v>97.652999999999992</c:v>
                </c:pt>
                <c:pt idx="237">
                  <c:v>97.463499999999996</c:v>
                </c:pt>
                <c:pt idx="238">
                  <c:v>97.248999999999995</c:v>
                </c:pt>
                <c:pt idx="239">
                  <c:v>97.109000000000009</c:v>
                </c:pt>
                <c:pt idx="240">
                  <c:v>96.981499999999997</c:v>
                </c:pt>
                <c:pt idx="241">
                  <c:v>96.722500000000011</c:v>
                </c:pt>
                <c:pt idx="242">
                  <c:v>96.441999999999993</c:v>
                </c:pt>
                <c:pt idx="243">
                  <c:v>96.036999999999992</c:v>
                </c:pt>
                <c:pt idx="244">
                  <c:v>95.596499999999978</c:v>
                </c:pt>
                <c:pt idx="245">
                  <c:v>95.162999999999982</c:v>
                </c:pt>
                <c:pt idx="246">
                  <c:v>94.728499999999983</c:v>
                </c:pt>
                <c:pt idx="247">
                  <c:v>94.233999999999995</c:v>
                </c:pt>
                <c:pt idx="248">
                  <c:v>93.628500000000003</c:v>
                </c:pt>
                <c:pt idx="249">
                  <c:v>93.027499999999975</c:v>
                </c:pt>
                <c:pt idx="250">
                  <c:v>92.455999999999989</c:v>
                </c:pt>
                <c:pt idx="251">
                  <c:v>91.992499999999993</c:v>
                </c:pt>
                <c:pt idx="252">
                  <c:v>91.567499999999995</c:v>
                </c:pt>
                <c:pt idx="253">
                  <c:v>91.198499999999996</c:v>
                </c:pt>
                <c:pt idx="254">
                  <c:v>90.791999999999987</c:v>
                </c:pt>
                <c:pt idx="255">
                  <c:v>90.450999999999993</c:v>
                </c:pt>
                <c:pt idx="256">
                  <c:v>90.162499999999994</c:v>
                </c:pt>
                <c:pt idx="257">
                  <c:v>89.83550000000001</c:v>
                </c:pt>
                <c:pt idx="258">
                  <c:v>89.621500000000012</c:v>
                </c:pt>
                <c:pt idx="259">
                  <c:v>89.459500000000006</c:v>
                </c:pt>
                <c:pt idx="260">
                  <c:v>89.336500000000001</c:v>
                </c:pt>
                <c:pt idx="261">
                  <c:v>89.384499999999989</c:v>
                </c:pt>
                <c:pt idx="262">
                  <c:v>89.525000000000006</c:v>
                </c:pt>
                <c:pt idx="263">
                  <c:v>89.742000000000019</c:v>
                </c:pt>
                <c:pt idx="264">
                  <c:v>89.827000000000012</c:v>
                </c:pt>
                <c:pt idx="265">
                  <c:v>89.863500000000016</c:v>
                </c:pt>
                <c:pt idx="266">
                  <c:v>89.91</c:v>
                </c:pt>
                <c:pt idx="267">
                  <c:v>90.175500000000014</c:v>
                </c:pt>
                <c:pt idx="268">
                  <c:v>90.365500000000011</c:v>
                </c:pt>
                <c:pt idx="269">
                  <c:v>90.516000000000005</c:v>
                </c:pt>
                <c:pt idx="270">
                  <c:v>90.751000000000005</c:v>
                </c:pt>
                <c:pt idx="271">
                  <c:v>90.976500000000001</c:v>
                </c:pt>
                <c:pt idx="272">
                  <c:v>91.305999999999997</c:v>
                </c:pt>
                <c:pt idx="273">
                  <c:v>91.589500000000015</c:v>
                </c:pt>
                <c:pt idx="274">
                  <c:v>91.980500000000021</c:v>
                </c:pt>
                <c:pt idx="275">
                  <c:v>92.351500000000016</c:v>
                </c:pt>
                <c:pt idx="276">
                  <c:v>92.705000000000013</c:v>
                </c:pt>
                <c:pt idx="277">
                  <c:v>93.132500000000007</c:v>
                </c:pt>
                <c:pt idx="278">
                  <c:v>93.524500000000018</c:v>
                </c:pt>
                <c:pt idx="279">
                  <c:v>93.784499999999994</c:v>
                </c:pt>
                <c:pt idx="280">
                  <c:v>94.056000000000012</c:v>
                </c:pt>
                <c:pt idx="281">
                  <c:v>94.191000000000003</c:v>
                </c:pt>
                <c:pt idx="282">
                  <c:v>94.296500000000009</c:v>
                </c:pt>
                <c:pt idx="283">
                  <c:v>94.399000000000001</c:v>
                </c:pt>
                <c:pt idx="284">
                  <c:v>94.648499999999999</c:v>
                </c:pt>
                <c:pt idx="285">
                  <c:v>95.023499999999999</c:v>
                </c:pt>
                <c:pt idx="286">
                  <c:v>95.477500000000006</c:v>
                </c:pt>
                <c:pt idx="287">
                  <c:v>95.781500000000008</c:v>
                </c:pt>
                <c:pt idx="288">
                  <c:v>96.110000000000014</c:v>
                </c:pt>
                <c:pt idx="289">
                  <c:v>96.47750000000002</c:v>
                </c:pt>
                <c:pt idx="290">
                  <c:v>96.860500000000002</c:v>
                </c:pt>
                <c:pt idx="291">
                  <c:v>97.374499999999998</c:v>
                </c:pt>
                <c:pt idx="292">
                  <c:v>97.700999999999993</c:v>
                </c:pt>
                <c:pt idx="293">
                  <c:v>97.965500000000006</c:v>
                </c:pt>
                <c:pt idx="294">
                  <c:v>98.201500000000024</c:v>
                </c:pt>
                <c:pt idx="295">
                  <c:v>98.612500000000026</c:v>
                </c:pt>
                <c:pt idx="296">
                  <c:v>99.141500000000036</c:v>
                </c:pt>
                <c:pt idx="297">
                  <c:v>99.495000000000033</c:v>
                </c:pt>
                <c:pt idx="298">
                  <c:v>99.811500000000024</c:v>
                </c:pt>
                <c:pt idx="299">
                  <c:v>100.31150000000002</c:v>
                </c:pt>
                <c:pt idx="300">
                  <c:v>100.84900000000002</c:v>
                </c:pt>
                <c:pt idx="301">
                  <c:v>101.48400000000001</c:v>
                </c:pt>
                <c:pt idx="302">
                  <c:v>102.08650000000003</c:v>
                </c:pt>
                <c:pt idx="303">
                  <c:v>102.69800000000001</c:v>
                </c:pt>
                <c:pt idx="304">
                  <c:v>103.33399999999999</c:v>
                </c:pt>
                <c:pt idx="305">
                  <c:v>103.81100000000001</c:v>
                </c:pt>
                <c:pt idx="306">
                  <c:v>104.16849999999999</c:v>
                </c:pt>
                <c:pt idx="307">
                  <c:v>104.39749999999999</c:v>
                </c:pt>
                <c:pt idx="308">
                  <c:v>104.77249999999999</c:v>
                </c:pt>
                <c:pt idx="309">
                  <c:v>105.17100000000001</c:v>
                </c:pt>
                <c:pt idx="310">
                  <c:v>105.5335</c:v>
                </c:pt>
                <c:pt idx="311">
                  <c:v>105.86199999999999</c:v>
                </c:pt>
                <c:pt idx="312">
                  <c:v>106.25749999999998</c:v>
                </c:pt>
                <c:pt idx="313">
                  <c:v>106.72649999999999</c:v>
                </c:pt>
                <c:pt idx="314">
                  <c:v>107.31699999999998</c:v>
                </c:pt>
                <c:pt idx="315">
                  <c:v>107.601</c:v>
                </c:pt>
                <c:pt idx="316">
                  <c:v>107.53799999999998</c:v>
                </c:pt>
                <c:pt idx="317">
                  <c:v>107.652</c:v>
                </c:pt>
                <c:pt idx="318">
                  <c:v>107.80850000000001</c:v>
                </c:pt>
                <c:pt idx="319">
                  <c:v>107.995</c:v>
                </c:pt>
                <c:pt idx="320">
                  <c:v>108.1665</c:v>
                </c:pt>
                <c:pt idx="321">
                  <c:v>108.398</c:v>
                </c:pt>
                <c:pt idx="322">
                  <c:v>108.59799999999998</c:v>
                </c:pt>
                <c:pt idx="323">
                  <c:v>108.79549999999999</c:v>
                </c:pt>
                <c:pt idx="324">
                  <c:v>108.97649999999999</c:v>
                </c:pt>
                <c:pt idx="325">
                  <c:v>109.1345</c:v>
                </c:pt>
                <c:pt idx="326">
                  <c:v>109.458</c:v>
                </c:pt>
                <c:pt idx="327">
                  <c:v>109.8065</c:v>
                </c:pt>
                <c:pt idx="328">
                  <c:v>109.998</c:v>
                </c:pt>
                <c:pt idx="329">
                  <c:v>110.12599999999998</c:v>
                </c:pt>
                <c:pt idx="330">
                  <c:v>110.24399999999999</c:v>
                </c:pt>
                <c:pt idx="331">
                  <c:v>110.321</c:v>
                </c:pt>
                <c:pt idx="332">
                  <c:v>110.4555</c:v>
                </c:pt>
                <c:pt idx="333">
                  <c:v>110.6045</c:v>
                </c:pt>
                <c:pt idx="334">
                  <c:v>110.47</c:v>
                </c:pt>
                <c:pt idx="335">
                  <c:v>110.48000000000002</c:v>
                </c:pt>
                <c:pt idx="336">
                  <c:v>110.73350000000001</c:v>
                </c:pt>
                <c:pt idx="337">
                  <c:v>110.98300000000002</c:v>
                </c:pt>
                <c:pt idx="338">
                  <c:v>111.08199999999999</c:v>
                </c:pt>
                <c:pt idx="339">
                  <c:v>111.05099999999997</c:v>
                </c:pt>
                <c:pt idx="340">
                  <c:v>110.73599999999999</c:v>
                </c:pt>
                <c:pt idx="341">
                  <c:v>110.1525</c:v>
                </c:pt>
                <c:pt idx="342">
                  <c:v>109.52550000000001</c:v>
                </c:pt>
                <c:pt idx="343">
                  <c:v>109.05400000000002</c:v>
                </c:pt>
                <c:pt idx="344">
                  <c:v>108.6635</c:v>
                </c:pt>
                <c:pt idx="345">
                  <c:v>108.3845</c:v>
                </c:pt>
                <c:pt idx="346">
                  <c:v>108.005</c:v>
                </c:pt>
                <c:pt idx="347">
                  <c:v>107.63999999999999</c:v>
                </c:pt>
                <c:pt idx="348">
                  <c:v>107.2465</c:v>
                </c:pt>
                <c:pt idx="349">
                  <c:v>106.929</c:v>
                </c:pt>
                <c:pt idx="350">
                  <c:v>106.571</c:v>
                </c:pt>
                <c:pt idx="351">
                  <c:v>106.07000000000001</c:v>
                </c:pt>
                <c:pt idx="352">
                  <c:v>105.60149999999999</c:v>
                </c:pt>
                <c:pt idx="353">
                  <c:v>105.19799999999998</c:v>
                </c:pt>
                <c:pt idx="354">
                  <c:v>104.8895</c:v>
                </c:pt>
                <c:pt idx="355">
                  <c:v>104.57549999999999</c:v>
                </c:pt>
                <c:pt idx="356">
                  <c:v>104.16249999999998</c:v>
                </c:pt>
                <c:pt idx="357">
                  <c:v>103.724</c:v>
                </c:pt>
                <c:pt idx="358">
                  <c:v>103.41699999999999</c:v>
                </c:pt>
                <c:pt idx="359">
                  <c:v>103.0885</c:v>
                </c:pt>
                <c:pt idx="360">
                  <c:v>103.03149999999998</c:v>
                </c:pt>
                <c:pt idx="361">
                  <c:v>103.13</c:v>
                </c:pt>
                <c:pt idx="362">
                  <c:v>103.3545</c:v>
                </c:pt>
                <c:pt idx="363">
                  <c:v>103.45199999999997</c:v>
                </c:pt>
                <c:pt idx="364">
                  <c:v>103.31899999999999</c:v>
                </c:pt>
                <c:pt idx="365">
                  <c:v>103.11749999999999</c:v>
                </c:pt>
                <c:pt idx="366">
                  <c:v>102.8685</c:v>
                </c:pt>
                <c:pt idx="367">
                  <c:v>102.65599999999999</c:v>
                </c:pt>
                <c:pt idx="368">
                  <c:v>102.54249999999999</c:v>
                </c:pt>
                <c:pt idx="369">
                  <c:v>102.34700000000001</c:v>
                </c:pt>
                <c:pt idx="370">
                  <c:v>102.051</c:v>
                </c:pt>
                <c:pt idx="371">
                  <c:v>101.86600000000001</c:v>
                </c:pt>
                <c:pt idx="372">
                  <c:v>101.60450000000002</c:v>
                </c:pt>
                <c:pt idx="373">
                  <c:v>101.39750000000001</c:v>
                </c:pt>
                <c:pt idx="374">
                  <c:v>101.24350000000001</c:v>
                </c:pt>
                <c:pt idx="375">
                  <c:v>101.07750000000001</c:v>
                </c:pt>
                <c:pt idx="376">
                  <c:v>100.98250000000002</c:v>
                </c:pt>
                <c:pt idx="377">
                  <c:v>100.8545</c:v>
                </c:pt>
                <c:pt idx="378">
                  <c:v>100.73949999999999</c:v>
                </c:pt>
                <c:pt idx="379">
                  <c:v>100.6825</c:v>
                </c:pt>
                <c:pt idx="380">
                  <c:v>100.616</c:v>
                </c:pt>
                <c:pt idx="381">
                  <c:v>100.51799999999999</c:v>
                </c:pt>
                <c:pt idx="382">
                  <c:v>100.38049999999998</c:v>
                </c:pt>
                <c:pt idx="383">
                  <c:v>100.17999999999999</c:v>
                </c:pt>
                <c:pt idx="384">
                  <c:v>100.1215</c:v>
                </c:pt>
                <c:pt idx="385">
                  <c:v>100.08399999999999</c:v>
                </c:pt>
                <c:pt idx="386">
                  <c:v>100.10149999999999</c:v>
                </c:pt>
                <c:pt idx="387">
                  <c:v>100.15649999999998</c:v>
                </c:pt>
                <c:pt idx="388">
                  <c:v>100.27849999999998</c:v>
                </c:pt>
                <c:pt idx="389">
                  <c:v>100.39649999999997</c:v>
                </c:pt>
                <c:pt idx="390">
                  <c:v>100.59649999999998</c:v>
                </c:pt>
                <c:pt idx="391">
                  <c:v>100.78899999999999</c:v>
                </c:pt>
                <c:pt idx="392">
                  <c:v>100.93049999999998</c:v>
                </c:pt>
                <c:pt idx="393">
                  <c:v>101.02499999999998</c:v>
                </c:pt>
                <c:pt idx="394">
                  <c:v>101.11549999999998</c:v>
                </c:pt>
                <c:pt idx="395">
                  <c:v>101.29449999999999</c:v>
                </c:pt>
                <c:pt idx="396">
                  <c:v>101.501</c:v>
                </c:pt>
                <c:pt idx="397">
                  <c:v>101.78349999999999</c:v>
                </c:pt>
                <c:pt idx="398">
                  <c:v>102.027</c:v>
                </c:pt>
                <c:pt idx="399">
                  <c:v>102.236</c:v>
                </c:pt>
                <c:pt idx="400">
                  <c:v>102.4325</c:v>
                </c:pt>
                <c:pt idx="401">
                  <c:v>102.627</c:v>
                </c:pt>
                <c:pt idx="402">
                  <c:v>102.7825</c:v>
                </c:pt>
                <c:pt idx="403">
                  <c:v>102.9695</c:v>
                </c:pt>
                <c:pt idx="404">
                  <c:v>103.12950000000001</c:v>
                </c:pt>
                <c:pt idx="405">
                  <c:v>103.24250000000002</c:v>
                </c:pt>
                <c:pt idx="406">
                  <c:v>103.227</c:v>
                </c:pt>
                <c:pt idx="407">
                  <c:v>103.1105</c:v>
                </c:pt>
                <c:pt idx="408">
                  <c:v>102.98600000000002</c:v>
                </c:pt>
                <c:pt idx="409">
                  <c:v>102.94649999999999</c:v>
                </c:pt>
                <c:pt idx="410">
                  <c:v>102.91899999999998</c:v>
                </c:pt>
                <c:pt idx="411">
                  <c:v>102.88849999999999</c:v>
                </c:pt>
                <c:pt idx="412">
                  <c:v>102.83699999999999</c:v>
                </c:pt>
                <c:pt idx="413">
                  <c:v>102.71099999999998</c:v>
                </c:pt>
                <c:pt idx="414">
                  <c:v>102.58500000000001</c:v>
                </c:pt>
                <c:pt idx="415">
                  <c:v>102.3185</c:v>
                </c:pt>
                <c:pt idx="416">
                  <c:v>102.00800000000001</c:v>
                </c:pt>
                <c:pt idx="417">
                  <c:v>101.60000000000001</c:v>
                </c:pt>
                <c:pt idx="418">
                  <c:v>101.2835</c:v>
                </c:pt>
                <c:pt idx="419">
                  <c:v>100.96600000000001</c:v>
                </c:pt>
                <c:pt idx="420">
                  <c:v>100.61850000000001</c:v>
                </c:pt>
                <c:pt idx="421">
                  <c:v>100.227</c:v>
                </c:pt>
                <c:pt idx="422">
                  <c:v>99.86999999999999</c:v>
                </c:pt>
                <c:pt idx="423">
                  <c:v>99.539500000000004</c:v>
                </c:pt>
                <c:pt idx="424">
                  <c:v>99.241500000000002</c:v>
                </c:pt>
                <c:pt idx="425">
                  <c:v>98.975999999999985</c:v>
                </c:pt>
                <c:pt idx="426">
                  <c:v>98.787499999999994</c:v>
                </c:pt>
                <c:pt idx="427">
                  <c:v>98.578999999999994</c:v>
                </c:pt>
                <c:pt idx="428">
                  <c:v>98.343999999999994</c:v>
                </c:pt>
                <c:pt idx="429">
                  <c:v>98.073499999999996</c:v>
                </c:pt>
                <c:pt idx="430">
                  <c:v>97.814999999999998</c:v>
                </c:pt>
                <c:pt idx="431">
                  <c:v>97.563499999999976</c:v>
                </c:pt>
                <c:pt idx="432">
                  <c:v>97.493499999999983</c:v>
                </c:pt>
                <c:pt idx="433">
                  <c:v>97.447999999999993</c:v>
                </c:pt>
                <c:pt idx="434">
                  <c:v>97.361999999999995</c:v>
                </c:pt>
                <c:pt idx="435">
                  <c:v>97.4345</c:v>
                </c:pt>
                <c:pt idx="436">
                  <c:v>97.501499999999993</c:v>
                </c:pt>
                <c:pt idx="437">
                  <c:v>97.66749999999999</c:v>
                </c:pt>
                <c:pt idx="438">
                  <c:v>97.683499999999995</c:v>
                </c:pt>
                <c:pt idx="439">
                  <c:v>97.675499999999985</c:v>
                </c:pt>
                <c:pt idx="440">
                  <c:v>97.713499999999996</c:v>
                </c:pt>
                <c:pt idx="441">
                  <c:v>97.847499999999997</c:v>
                </c:pt>
                <c:pt idx="442">
                  <c:v>98.000499999999988</c:v>
                </c:pt>
                <c:pt idx="443">
                  <c:v>98.187999999999988</c:v>
                </c:pt>
                <c:pt idx="444">
                  <c:v>98.342999999999989</c:v>
                </c:pt>
                <c:pt idx="445">
                  <c:v>98.584999999999994</c:v>
                </c:pt>
                <c:pt idx="446">
                  <c:v>98.777999999999992</c:v>
                </c:pt>
                <c:pt idx="447">
                  <c:v>99.093999999999994</c:v>
                </c:pt>
                <c:pt idx="448">
                  <c:v>99.388499999999993</c:v>
                </c:pt>
                <c:pt idx="449">
                  <c:v>99.624499999999983</c:v>
                </c:pt>
                <c:pt idx="450">
                  <c:v>99.867499999999978</c:v>
                </c:pt>
                <c:pt idx="451">
                  <c:v>100.1225</c:v>
                </c:pt>
                <c:pt idx="452">
                  <c:v>100.273</c:v>
                </c:pt>
                <c:pt idx="453">
                  <c:v>100.4295</c:v>
                </c:pt>
                <c:pt idx="454">
                  <c:v>100.5505</c:v>
                </c:pt>
                <c:pt idx="455">
                  <c:v>100.57149999999999</c:v>
                </c:pt>
                <c:pt idx="456">
                  <c:v>100.604</c:v>
                </c:pt>
                <c:pt idx="457">
                  <c:v>100.5055</c:v>
                </c:pt>
                <c:pt idx="458">
                  <c:v>100.44699999999999</c:v>
                </c:pt>
                <c:pt idx="459">
                  <c:v>100.47450000000001</c:v>
                </c:pt>
                <c:pt idx="460">
                  <c:v>100.40450000000001</c:v>
                </c:pt>
                <c:pt idx="461">
                  <c:v>100.27000000000001</c:v>
                </c:pt>
                <c:pt idx="462">
                  <c:v>100.16600000000001</c:v>
                </c:pt>
                <c:pt idx="463">
                  <c:v>99.93</c:v>
                </c:pt>
                <c:pt idx="464">
                  <c:v>99.739500000000007</c:v>
                </c:pt>
                <c:pt idx="465">
                  <c:v>99.546000000000006</c:v>
                </c:pt>
                <c:pt idx="466">
                  <c:v>99.415000000000006</c:v>
                </c:pt>
                <c:pt idx="467">
                  <c:v>99.3</c:v>
                </c:pt>
                <c:pt idx="468">
                  <c:v>99.195000000000007</c:v>
                </c:pt>
                <c:pt idx="469">
                  <c:v>99.189000000000007</c:v>
                </c:pt>
                <c:pt idx="470">
                  <c:v>99.212500000000006</c:v>
                </c:pt>
                <c:pt idx="471">
                  <c:v>99.318999999999988</c:v>
                </c:pt>
                <c:pt idx="472">
                  <c:v>99.386499999999998</c:v>
                </c:pt>
                <c:pt idx="473">
                  <c:v>99.308500000000009</c:v>
                </c:pt>
                <c:pt idx="474">
                  <c:v>99.31750000000001</c:v>
                </c:pt>
                <c:pt idx="475">
                  <c:v>99.32350000000001</c:v>
                </c:pt>
                <c:pt idx="476">
                  <c:v>99.258500000000026</c:v>
                </c:pt>
                <c:pt idx="477">
                  <c:v>99.273500000000013</c:v>
                </c:pt>
                <c:pt idx="478">
                  <c:v>99.430500000000023</c:v>
                </c:pt>
                <c:pt idx="479">
                  <c:v>99.539000000000016</c:v>
                </c:pt>
                <c:pt idx="480">
                  <c:v>99.562500000000028</c:v>
                </c:pt>
                <c:pt idx="481">
                  <c:v>99.573999999999998</c:v>
                </c:pt>
                <c:pt idx="482">
                  <c:v>99.498500000000007</c:v>
                </c:pt>
                <c:pt idx="483">
                  <c:v>99.503999999999991</c:v>
                </c:pt>
                <c:pt idx="484">
                  <c:v>99.484499999999997</c:v>
                </c:pt>
                <c:pt idx="485">
                  <c:v>99.330999999999989</c:v>
                </c:pt>
                <c:pt idx="486">
                  <c:v>99.21</c:v>
                </c:pt>
                <c:pt idx="487">
                  <c:v>99.000999999999991</c:v>
                </c:pt>
                <c:pt idx="488">
                  <c:v>98.773499999999984</c:v>
                </c:pt>
                <c:pt idx="489">
                  <c:v>98.602499999999992</c:v>
                </c:pt>
                <c:pt idx="490">
                  <c:v>98.489000000000004</c:v>
                </c:pt>
                <c:pt idx="491">
                  <c:v>98.241500000000002</c:v>
                </c:pt>
                <c:pt idx="492">
                  <c:v>98.106500000000011</c:v>
                </c:pt>
                <c:pt idx="493">
                  <c:v>98.087000000000018</c:v>
                </c:pt>
                <c:pt idx="494">
                  <c:v>97.942500000000024</c:v>
                </c:pt>
                <c:pt idx="495">
                  <c:v>97.863000000000028</c:v>
                </c:pt>
                <c:pt idx="496">
                  <c:v>97.864500000000021</c:v>
                </c:pt>
                <c:pt idx="497">
                  <c:v>97.898499999999999</c:v>
                </c:pt>
                <c:pt idx="498">
                  <c:v>97.856500000000011</c:v>
                </c:pt>
                <c:pt idx="499">
                  <c:v>97.8155</c:v>
                </c:pt>
                <c:pt idx="500">
                  <c:v>97.915999999999997</c:v>
                </c:pt>
                <c:pt idx="501">
                  <c:v>98.038499999999985</c:v>
                </c:pt>
                <c:pt idx="502">
                  <c:v>98.215499999999992</c:v>
                </c:pt>
                <c:pt idx="503">
                  <c:v>98.329499999999996</c:v>
                </c:pt>
                <c:pt idx="504">
                  <c:v>98.465499999999992</c:v>
                </c:pt>
                <c:pt idx="505">
                  <c:v>98.661500000000004</c:v>
                </c:pt>
                <c:pt idx="506">
                  <c:v>98.879499999999993</c:v>
                </c:pt>
                <c:pt idx="507">
                  <c:v>99.069500000000005</c:v>
                </c:pt>
                <c:pt idx="508">
                  <c:v>99.229000000000013</c:v>
                </c:pt>
                <c:pt idx="509">
                  <c:v>99.363</c:v>
                </c:pt>
                <c:pt idx="510">
                  <c:v>99.467000000000013</c:v>
                </c:pt>
                <c:pt idx="511">
                  <c:v>99.650999999999996</c:v>
                </c:pt>
                <c:pt idx="512">
                  <c:v>99.830999999999989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Data!$K$2:$K$514</c:f>
              <c:numCache>
                <c:formatCode>General</c:formatCode>
                <c:ptCount val="513"/>
                <c:pt idx="19">
                  <c:v>94.953893896203724</c:v>
                </c:pt>
                <c:pt idx="20">
                  <c:v>94.843476323694361</c:v>
                </c:pt>
                <c:pt idx="21">
                  <c:v>94.810975509078048</c:v>
                </c:pt>
                <c:pt idx="22">
                  <c:v>94.572689189770145</c:v>
                </c:pt>
                <c:pt idx="23">
                  <c:v>94.239033390013873</c:v>
                </c:pt>
                <c:pt idx="24">
                  <c:v>93.775412498646531</c:v>
                </c:pt>
                <c:pt idx="25">
                  <c:v>93.26308135643616</c:v>
                </c:pt>
                <c:pt idx="26">
                  <c:v>92.436027852476258</c:v>
                </c:pt>
                <c:pt idx="27">
                  <c:v>92.326579631620547</c:v>
                </c:pt>
                <c:pt idx="28">
                  <c:v>92.115409373724503</c:v>
                </c:pt>
                <c:pt idx="29">
                  <c:v>92.209787126786182</c:v>
                </c:pt>
                <c:pt idx="30">
                  <c:v>92.311925166445917</c:v>
                </c:pt>
                <c:pt idx="31">
                  <c:v>92.317437215875557</c:v>
                </c:pt>
                <c:pt idx="32">
                  <c:v>92.347460034535573</c:v>
                </c:pt>
                <c:pt idx="33">
                  <c:v>92.373068430551513</c:v>
                </c:pt>
                <c:pt idx="34">
                  <c:v>92.362088593803946</c:v>
                </c:pt>
                <c:pt idx="35">
                  <c:v>92.373361998030447</c:v>
                </c:pt>
                <c:pt idx="36">
                  <c:v>92.333548517680285</c:v>
                </c:pt>
                <c:pt idx="37">
                  <c:v>92.375251954596735</c:v>
                </c:pt>
                <c:pt idx="38">
                  <c:v>92.222579694987459</c:v>
                </c:pt>
                <c:pt idx="39">
                  <c:v>92.026075373667069</c:v>
                </c:pt>
                <c:pt idx="40">
                  <c:v>91.712114922999788</c:v>
                </c:pt>
                <c:pt idx="41">
                  <c:v>90.754905100682791</c:v>
                </c:pt>
                <c:pt idx="42">
                  <c:v>90.311888518622126</c:v>
                </c:pt>
                <c:pt idx="43">
                  <c:v>90.19325905392634</c:v>
                </c:pt>
                <c:pt idx="44">
                  <c:v>90.211127370449759</c:v>
                </c:pt>
                <c:pt idx="45">
                  <c:v>90.309324581385113</c:v>
                </c:pt>
                <c:pt idx="46">
                  <c:v>90.554597960727435</c:v>
                </c:pt>
                <c:pt idx="47">
                  <c:v>90.895984769573857</c:v>
                </c:pt>
                <c:pt idx="48">
                  <c:v>90.975390457368604</c:v>
                </c:pt>
                <c:pt idx="49">
                  <c:v>91.088978939643525</c:v>
                </c:pt>
                <c:pt idx="50">
                  <c:v>91.091503406732301</c:v>
                </c:pt>
                <c:pt idx="51">
                  <c:v>91.135199207286803</c:v>
                </c:pt>
                <c:pt idx="52">
                  <c:v>91.172355489627165</c:v>
                </c:pt>
                <c:pt idx="53">
                  <c:v>91.28665521262711</c:v>
                </c:pt>
                <c:pt idx="54">
                  <c:v>91.313708117835844</c:v>
                </c:pt>
                <c:pt idx="55">
                  <c:v>91.326250013206959</c:v>
                </c:pt>
                <c:pt idx="56">
                  <c:v>91.334671504177393</c:v>
                </c:pt>
                <c:pt idx="57">
                  <c:v>91.164215140091116</c:v>
                </c:pt>
                <c:pt idx="58">
                  <c:v>91.102006004079755</c:v>
                </c:pt>
                <c:pt idx="59">
                  <c:v>91.060717149329648</c:v>
                </c:pt>
                <c:pt idx="60">
                  <c:v>91.188001959685451</c:v>
                </c:pt>
                <c:pt idx="61">
                  <c:v>91.10500738124199</c:v>
                </c:pt>
                <c:pt idx="62">
                  <c:v>91.254083358528192</c:v>
                </c:pt>
                <c:pt idx="63">
                  <c:v>91.29272806911078</c:v>
                </c:pt>
                <c:pt idx="64">
                  <c:v>91.329406010995982</c:v>
                </c:pt>
                <c:pt idx="65">
                  <c:v>91.305906599764413</c:v>
                </c:pt>
                <c:pt idx="66">
                  <c:v>91.376023777655078</c:v>
                </c:pt>
                <c:pt idx="67">
                  <c:v>91.445296729102537</c:v>
                </c:pt>
                <c:pt idx="68">
                  <c:v>91.408258349282846</c:v>
                </c:pt>
                <c:pt idx="69">
                  <c:v>91.405091405602519</c:v>
                </c:pt>
                <c:pt idx="70">
                  <c:v>91.406602979011069</c:v>
                </c:pt>
                <c:pt idx="71">
                  <c:v>91.41160010294287</c:v>
                </c:pt>
                <c:pt idx="72">
                  <c:v>91.533848985688181</c:v>
                </c:pt>
                <c:pt idx="73">
                  <c:v>91.601489328132857</c:v>
                </c:pt>
                <c:pt idx="74">
                  <c:v>91.781526222360085</c:v>
                </c:pt>
                <c:pt idx="75">
                  <c:v>92.107891712582855</c:v>
                </c:pt>
                <c:pt idx="76">
                  <c:v>92.611826213676181</c:v>
                </c:pt>
                <c:pt idx="77">
                  <c:v>93.046318455697289</c:v>
                </c:pt>
                <c:pt idx="78">
                  <c:v>93.424063597999535</c:v>
                </c:pt>
                <c:pt idx="79">
                  <c:v>94.044037383832759</c:v>
                </c:pt>
                <c:pt idx="80">
                  <c:v>94.303807051434816</c:v>
                </c:pt>
                <c:pt idx="81">
                  <c:v>94.762531068969068</c:v>
                </c:pt>
                <c:pt idx="82">
                  <c:v>95.253308411664818</c:v>
                </c:pt>
                <c:pt idx="83">
                  <c:v>95.77205722943917</c:v>
                </c:pt>
                <c:pt idx="84">
                  <c:v>96.318458192383034</c:v>
                </c:pt>
                <c:pt idx="85">
                  <c:v>96.838448197067436</c:v>
                </c:pt>
                <c:pt idx="86">
                  <c:v>97.421995060322928</c:v>
                </c:pt>
                <c:pt idx="87">
                  <c:v>98.227482371892464</c:v>
                </c:pt>
                <c:pt idx="88">
                  <c:v>98.830480840110653</c:v>
                </c:pt>
                <c:pt idx="89">
                  <c:v>99.37283566964912</c:v>
                </c:pt>
                <c:pt idx="90">
                  <c:v>99.681958515215243</c:v>
                </c:pt>
                <c:pt idx="91">
                  <c:v>99.925438579528986</c:v>
                </c:pt>
                <c:pt idx="92">
                  <c:v>99.472192196550353</c:v>
                </c:pt>
                <c:pt idx="93">
                  <c:v>99.418684463867265</c:v>
                </c:pt>
                <c:pt idx="94">
                  <c:v>99.32847680265985</c:v>
                </c:pt>
                <c:pt idx="95">
                  <c:v>99.289187712598363</c:v>
                </c:pt>
                <c:pt idx="96">
                  <c:v>99.235014989391942</c:v>
                </c:pt>
                <c:pt idx="97">
                  <c:v>99.119068564317374</c:v>
                </c:pt>
                <c:pt idx="98">
                  <c:v>99.016594603519238</c:v>
                </c:pt>
                <c:pt idx="99">
                  <c:v>99.041143150118543</c:v>
                </c:pt>
                <c:pt idx="100">
                  <c:v>98.839470433446778</c:v>
                </c:pt>
                <c:pt idx="101">
                  <c:v>98.951232251800718</c:v>
                </c:pt>
                <c:pt idx="102">
                  <c:v>99.325954944473878</c:v>
                </c:pt>
                <c:pt idx="103">
                  <c:v>99.539388723767104</c:v>
                </c:pt>
                <c:pt idx="104">
                  <c:v>99.543653236558924</c:v>
                </c:pt>
                <c:pt idx="105">
                  <c:v>99.575542163386643</c:v>
                </c:pt>
                <c:pt idx="106">
                  <c:v>99.557487686101112</c:v>
                </c:pt>
                <c:pt idx="107">
                  <c:v>99.435002838295972</c:v>
                </c:pt>
                <c:pt idx="108">
                  <c:v>99.304394967963702</c:v>
                </c:pt>
                <c:pt idx="109">
                  <c:v>99.007507370598503</c:v>
                </c:pt>
                <c:pt idx="110">
                  <c:v>98.642205240166874</c:v>
                </c:pt>
                <c:pt idx="111">
                  <c:v>98.249885717474655</c:v>
                </c:pt>
                <c:pt idx="112">
                  <c:v>98.031754249044056</c:v>
                </c:pt>
                <c:pt idx="113">
                  <c:v>97.727791264445287</c:v>
                </c:pt>
                <c:pt idx="114">
                  <c:v>97.298078792216103</c:v>
                </c:pt>
                <c:pt idx="115">
                  <c:v>96.727393865924213</c:v>
                </c:pt>
                <c:pt idx="116">
                  <c:v>96.210459715096874</c:v>
                </c:pt>
                <c:pt idx="117">
                  <c:v>95.600236459393372</c:v>
                </c:pt>
                <c:pt idx="118">
                  <c:v>94.917380718531518</c:v>
                </c:pt>
                <c:pt idx="119">
                  <c:v>94.685718435665322</c:v>
                </c:pt>
                <c:pt idx="120">
                  <c:v>94.417892490851415</c:v>
                </c:pt>
                <c:pt idx="121">
                  <c:v>94.3002964481893</c:v>
                </c:pt>
                <c:pt idx="122">
                  <c:v>94.309169659634037</c:v>
                </c:pt>
                <c:pt idx="123">
                  <c:v>94.255412864161315</c:v>
                </c:pt>
                <c:pt idx="124">
                  <c:v>93.747437404712414</c:v>
                </c:pt>
                <c:pt idx="125">
                  <c:v>93.352678513321948</c:v>
                </c:pt>
                <c:pt idx="126">
                  <c:v>92.86172746719042</c:v>
                </c:pt>
                <c:pt idx="127">
                  <c:v>92.543746369009739</c:v>
                </c:pt>
                <c:pt idx="128">
                  <c:v>92.411013276394627</c:v>
                </c:pt>
                <c:pt idx="129">
                  <c:v>92.244563729154919</c:v>
                </c:pt>
                <c:pt idx="130">
                  <c:v>91.844882956793967</c:v>
                </c:pt>
                <c:pt idx="131">
                  <c:v>91.775976230747972</c:v>
                </c:pt>
                <c:pt idx="132">
                  <c:v>92.023043360713658</c:v>
                </c:pt>
                <c:pt idx="133">
                  <c:v>91.988427686802012</c:v>
                </c:pt>
                <c:pt idx="134">
                  <c:v>92.107902680170184</c:v>
                </c:pt>
                <c:pt idx="135">
                  <c:v>92.844559132022397</c:v>
                </c:pt>
                <c:pt idx="136">
                  <c:v>93.562301535778616</c:v>
                </c:pt>
                <c:pt idx="137">
                  <c:v>94.140019125553735</c:v>
                </c:pt>
                <c:pt idx="138">
                  <c:v>94.796200644089083</c:v>
                </c:pt>
                <c:pt idx="139">
                  <c:v>95.045064348429563</c:v>
                </c:pt>
                <c:pt idx="140">
                  <c:v>95.874660182289887</c:v>
                </c:pt>
                <c:pt idx="141">
                  <c:v>96.586715592967124</c:v>
                </c:pt>
                <c:pt idx="142">
                  <c:v>97.308974075214294</c:v>
                </c:pt>
                <c:pt idx="143">
                  <c:v>98.003969609813737</c:v>
                </c:pt>
                <c:pt idx="144">
                  <c:v>98.82723960666128</c:v>
                </c:pt>
                <c:pt idx="145">
                  <c:v>99.369940823073449</c:v>
                </c:pt>
                <c:pt idx="146">
                  <c:v>100.35870561219623</c:v>
                </c:pt>
                <c:pt idx="147">
                  <c:v>101.5897388923368</c:v>
                </c:pt>
                <c:pt idx="148">
                  <c:v>102.20073964041272</c:v>
                </c:pt>
                <c:pt idx="149">
                  <c:v>102.69590301626775</c:v>
                </c:pt>
                <c:pt idx="150">
                  <c:v>103.18539794913016</c:v>
                </c:pt>
                <c:pt idx="151">
                  <c:v>103.55983138341746</c:v>
                </c:pt>
                <c:pt idx="152">
                  <c:v>103.97199552986802</c:v>
                </c:pt>
                <c:pt idx="153">
                  <c:v>104.14963929833027</c:v>
                </c:pt>
                <c:pt idx="154">
                  <c:v>104.25828957564981</c:v>
                </c:pt>
                <c:pt idx="155">
                  <c:v>104.39588979957257</c:v>
                </c:pt>
                <c:pt idx="156">
                  <c:v>104.31339713162502</c:v>
                </c:pt>
                <c:pt idx="157">
                  <c:v>104.2168335903213</c:v>
                </c:pt>
                <c:pt idx="158">
                  <c:v>104.13408312888035</c:v>
                </c:pt>
                <c:pt idx="159">
                  <c:v>103.60367250131937</c:v>
                </c:pt>
                <c:pt idx="160">
                  <c:v>103.44854157178824</c:v>
                </c:pt>
                <c:pt idx="161">
                  <c:v>103.21040196512283</c:v>
                </c:pt>
                <c:pt idx="162">
                  <c:v>102.93433642625345</c:v>
                </c:pt>
                <c:pt idx="163">
                  <c:v>102.62714793532889</c:v>
                </c:pt>
                <c:pt idx="164">
                  <c:v>102.46428547462492</c:v>
                </c:pt>
                <c:pt idx="165">
                  <c:v>102.00826076872572</c:v>
                </c:pt>
                <c:pt idx="166">
                  <c:v>102.02260607419841</c:v>
                </c:pt>
                <c:pt idx="167">
                  <c:v>101.96523771438622</c:v>
                </c:pt>
                <c:pt idx="168">
                  <c:v>102.54258482693554</c:v>
                </c:pt>
                <c:pt idx="169">
                  <c:v>103.34873081207857</c:v>
                </c:pt>
                <c:pt idx="170">
                  <c:v>103.7917611833893</c:v>
                </c:pt>
                <c:pt idx="171">
                  <c:v>104.08127169980848</c:v>
                </c:pt>
                <c:pt idx="172">
                  <c:v>104.66708609047497</c:v>
                </c:pt>
                <c:pt idx="173">
                  <c:v>105.181699615375</c:v>
                </c:pt>
                <c:pt idx="174">
                  <c:v>105.42873338166983</c:v>
                </c:pt>
                <c:pt idx="175">
                  <c:v>105.60655444126766</c:v>
                </c:pt>
                <c:pt idx="176">
                  <c:v>105.85378435268075</c:v>
                </c:pt>
                <c:pt idx="177">
                  <c:v>106.160643463027</c:v>
                </c:pt>
                <c:pt idx="178">
                  <c:v>106.37649612922264</c:v>
                </c:pt>
                <c:pt idx="179">
                  <c:v>106.38846665664921</c:v>
                </c:pt>
                <c:pt idx="180">
                  <c:v>106.32785101266968</c:v>
                </c:pt>
                <c:pt idx="181">
                  <c:v>106.32532708948476</c:v>
                </c:pt>
                <c:pt idx="182">
                  <c:v>106.34648950800101</c:v>
                </c:pt>
                <c:pt idx="183">
                  <c:v>106.27997725525184</c:v>
                </c:pt>
                <c:pt idx="184">
                  <c:v>105.95656991401069</c:v>
                </c:pt>
                <c:pt idx="185">
                  <c:v>105.69012136169374</c:v>
                </c:pt>
                <c:pt idx="186">
                  <c:v>105.45822528185022</c:v>
                </c:pt>
                <c:pt idx="187">
                  <c:v>105.29808747673226</c:v>
                </c:pt>
                <c:pt idx="188">
                  <c:v>105.48719943271341</c:v>
                </c:pt>
                <c:pt idx="189">
                  <c:v>105.49323942471931</c:v>
                </c:pt>
                <c:pt idx="190">
                  <c:v>105.50512361559075</c:v>
                </c:pt>
                <c:pt idx="191">
                  <c:v>105.51015798864692</c:v>
                </c:pt>
                <c:pt idx="192">
                  <c:v>105.6912913129665</c:v>
                </c:pt>
                <c:pt idx="193">
                  <c:v>105.57831655009329</c:v>
                </c:pt>
                <c:pt idx="194">
                  <c:v>105.57107702820205</c:v>
                </c:pt>
                <c:pt idx="195">
                  <c:v>105.6508054468861</c:v>
                </c:pt>
                <c:pt idx="196">
                  <c:v>105.51961508502079</c:v>
                </c:pt>
                <c:pt idx="197">
                  <c:v>105.30640989400814</c:v>
                </c:pt>
                <c:pt idx="198">
                  <c:v>105.50732081084467</c:v>
                </c:pt>
                <c:pt idx="199">
                  <c:v>105.98859778294859</c:v>
                </c:pt>
                <c:pt idx="200">
                  <c:v>106.2823224375806</c:v>
                </c:pt>
                <c:pt idx="201">
                  <c:v>106.80198782785176</c:v>
                </c:pt>
                <c:pt idx="202">
                  <c:v>107.1150815851706</c:v>
                </c:pt>
                <c:pt idx="203">
                  <c:v>107.32223454483933</c:v>
                </c:pt>
                <c:pt idx="204">
                  <c:v>107.83791727575864</c:v>
                </c:pt>
                <c:pt idx="205">
                  <c:v>108.19938344426613</c:v>
                </c:pt>
                <c:pt idx="206">
                  <c:v>108.22436470966298</c:v>
                </c:pt>
                <c:pt idx="207">
                  <c:v>108.25955033449459</c:v>
                </c:pt>
                <c:pt idx="208">
                  <c:v>108.19308384627142</c:v>
                </c:pt>
                <c:pt idx="209">
                  <c:v>108.17366936916669</c:v>
                </c:pt>
                <c:pt idx="210">
                  <c:v>108.22275964462636</c:v>
                </c:pt>
                <c:pt idx="211">
                  <c:v>108.45088661570017</c:v>
                </c:pt>
                <c:pt idx="212">
                  <c:v>108.69342770830643</c:v>
                </c:pt>
                <c:pt idx="213">
                  <c:v>108.85756474708273</c:v>
                </c:pt>
                <c:pt idx="214">
                  <c:v>109.09637717685386</c:v>
                </c:pt>
                <c:pt idx="215">
                  <c:v>109.46684572394558</c:v>
                </c:pt>
                <c:pt idx="216">
                  <c:v>109.68803285770764</c:v>
                </c:pt>
                <c:pt idx="217">
                  <c:v>109.79334474932813</c:v>
                </c:pt>
                <c:pt idx="218">
                  <c:v>109.75234613992599</c:v>
                </c:pt>
                <c:pt idx="219">
                  <c:v>109.67031783985206</c:v>
                </c:pt>
                <c:pt idx="220">
                  <c:v>109.51076028214673</c:v>
                </c:pt>
                <c:pt idx="221">
                  <c:v>108.89248995975299</c:v>
                </c:pt>
                <c:pt idx="222">
                  <c:v>108.23509761437978</c:v>
                </c:pt>
                <c:pt idx="223">
                  <c:v>107.53909009406165</c:v>
                </c:pt>
                <c:pt idx="224">
                  <c:v>106.26170486556308</c:v>
                </c:pt>
                <c:pt idx="225">
                  <c:v>104.86298491946012</c:v>
                </c:pt>
                <c:pt idx="226">
                  <c:v>103.9472493528218</c:v>
                </c:pt>
                <c:pt idx="227">
                  <c:v>102.85808202550373</c:v>
                </c:pt>
                <c:pt idx="228">
                  <c:v>102.56774183253359</c:v>
                </c:pt>
                <c:pt idx="229">
                  <c:v>102.28762579811404</c:v>
                </c:pt>
                <c:pt idx="230">
                  <c:v>102.06739961141921</c:v>
                </c:pt>
                <c:pt idx="231">
                  <c:v>101.91500022891258</c:v>
                </c:pt>
                <c:pt idx="232">
                  <c:v>101.82848979500551</c:v>
                </c:pt>
                <c:pt idx="233">
                  <c:v>101.65748584125301</c:v>
                </c:pt>
                <c:pt idx="234">
                  <c:v>101.57624151705321</c:v>
                </c:pt>
                <c:pt idx="235">
                  <c:v>101.7001173169935</c:v>
                </c:pt>
                <c:pt idx="236">
                  <c:v>101.7590166380056</c:v>
                </c:pt>
                <c:pt idx="237">
                  <c:v>101.75447596554002</c:v>
                </c:pt>
                <c:pt idx="238">
                  <c:v>102.03003226026391</c:v>
                </c:pt>
                <c:pt idx="239">
                  <c:v>102.26597136740264</c:v>
                </c:pt>
                <c:pt idx="240">
                  <c:v>102.4497327559902</c:v>
                </c:pt>
                <c:pt idx="241">
                  <c:v>102.75980813141787</c:v>
                </c:pt>
                <c:pt idx="242">
                  <c:v>103.02889480391896</c:v>
                </c:pt>
                <c:pt idx="243">
                  <c:v>103.43351439957753</c:v>
                </c:pt>
                <c:pt idx="244">
                  <c:v>103.55860306785573</c:v>
                </c:pt>
                <c:pt idx="245">
                  <c:v>103.35442581252525</c:v>
                </c:pt>
                <c:pt idx="246">
                  <c:v>103.1252268685639</c:v>
                </c:pt>
                <c:pt idx="247">
                  <c:v>102.61987132591102</c:v>
                </c:pt>
                <c:pt idx="248">
                  <c:v>101.47608031765877</c:v>
                </c:pt>
                <c:pt idx="249">
                  <c:v>100.11535135581333</c:v>
                </c:pt>
                <c:pt idx="250">
                  <c:v>98.778269412664699</c:v>
                </c:pt>
                <c:pt idx="251">
                  <c:v>97.78620211613665</c:v>
                </c:pt>
                <c:pt idx="252">
                  <c:v>96.877731930706474</c:v>
                </c:pt>
                <c:pt idx="253">
                  <c:v>96.034972289854068</c:v>
                </c:pt>
                <c:pt idx="254">
                  <c:v>95.088856133451387</c:v>
                </c:pt>
                <c:pt idx="255">
                  <c:v>94.475764916312372</c:v>
                </c:pt>
                <c:pt idx="256">
                  <c:v>93.675350844062635</c:v>
                </c:pt>
                <c:pt idx="257">
                  <c:v>92.738452943034687</c:v>
                </c:pt>
                <c:pt idx="258">
                  <c:v>92.23656787674814</c:v>
                </c:pt>
                <c:pt idx="259">
                  <c:v>91.664303130010765</c:v>
                </c:pt>
                <c:pt idx="260">
                  <c:v>90.987366120364825</c:v>
                </c:pt>
                <c:pt idx="261">
                  <c:v>91.304702566068698</c:v>
                </c:pt>
                <c:pt idx="262">
                  <c:v>92.168574135621384</c:v>
                </c:pt>
                <c:pt idx="263">
                  <c:v>92.83371115965528</c:v>
                </c:pt>
                <c:pt idx="264">
                  <c:v>92.934356974732893</c:v>
                </c:pt>
                <c:pt idx="265">
                  <c:v>92.99792868125833</c:v>
                </c:pt>
                <c:pt idx="266">
                  <c:v>93.059897241431685</c:v>
                </c:pt>
                <c:pt idx="267">
                  <c:v>94.02559897343734</c:v>
                </c:pt>
                <c:pt idx="268">
                  <c:v>94.461163817412654</c:v>
                </c:pt>
                <c:pt idx="269">
                  <c:v>94.707135507485447</c:v>
                </c:pt>
                <c:pt idx="270">
                  <c:v>95.144195216528203</c:v>
                </c:pt>
                <c:pt idx="271">
                  <c:v>95.501970722826286</c:v>
                </c:pt>
                <c:pt idx="272">
                  <c:v>96.180882562688041</c:v>
                </c:pt>
                <c:pt idx="273">
                  <c:v>96.615627420002937</c:v>
                </c:pt>
                <c:pt idx="274">
                  <c:v>97.166231334506676</c:v>
                </c:pt>
                <c:pt idx="275">
                  <c:v>97.398000715712257</c:v>
                </c:pt>
                <c:pt idx="276">
                  <c:v>97.756438565294786</c:v>
                </c:pt>
                <c:pt idx="277">
                  <c:v>98.004823016687979</c:v>
                </c:pt>
                <c:pt idx="278">
                  <c:v>98.067791063118307</c:v>
                </c:pt>
                <c:pt idx="279">
                  <c:v>97.901941591954625</c:v>
                </c:pt>
                <c:pt idx="280">
                  <c:v>97.893133798745339</c:v>
                </c:pt>
                <c:pt idx="281">
                  <c:v>97.945244755501506</c:v>
                </c:pt>
                <c:pt idx="282">
                  <c:v>98.104929846371988</c:v>
                </c:pt>
                <c:pt idx="283">
                  <c:v>98.194631283739938</c:v>
                </c:pt>
                <c:pt idx="284">
                  <c:v>98.078094267855207</c:v>
                </c:pt>
                <c:pt idx="285">
                  <c:v>98.299571299269104</c:v>
                </c:pt>
                <c:pt idx="286">
                  <c:v>98.688447556489578</c:v>
                </c:pt>
                <c:pt idx="287">
                  <c:v>99.806355799966809</c:v>
                </c:pt>
                <c:pt idx="288">
                  <c:v>100.37811433773747</c:v>
                </c:pt>
                <c:pt idx="289">
                  <c:v>100.7279036959973</c:v>
                </c:pt>
                <c:pt idx="290">
                  <c:v>101.48207173082469</c:v>
                </c:pt>
                <c:pt idx="291">
                  <c:v>102.758528916009</c:v>
                </c:pt>
                <c:pt idx="292">
                  <c:v>103.41869147379199</c:v>
                </c:pt>
                <c:pt idx="293">
                  <c:v>103.62873498773588</c:v>
                </c:pt>
                <c:pt idx="294">
                  <c:v>103.94600501738289</c:v>
                </c:pt>
                <c:pt idx="295">
                  <c:v>104.68589279151286</c:v>
                </c:pt>
                <c:pt idx="296">
                  <c:v>106.06910845800114</c:v>
                </c:pt>
                <c:pt idx="297">
                  <c:v>106.61685221324964</c:v>
                </c:pt>
                <c:pt idx="298">
                  <c:v>106.89991983727502</c:v>
                </c:pt>
                <c:pt idx="299">
                  <c:v>107.25240931400658</c:v>
                </c:pt>
                <c:pt idx="300">
                  <c:v>107.93663459911178</c:v>
                </c:pt>
                <c:pt idx="301">
                  <c:v>108.61057118410427</c:v>
                </c:pt>
                <c:pt idx="302">
                  <c:v>109.21298219116929</c:v>
                </c:pt>
                <c:pt idx="303">
                  <c:v>109.44695890606762</c:v>
                </c:pt>
                <c:pt idx="304">
                  <c:v>109.71754595404218</c:v>
                </c:pt>
                <c:pt idx="305">
                  <c:v>110.02151705619292</c:v>
                </c:pt>
                <c:pt idx="306">
                  <c:v>110.19830413402764</c:v>
                </c:pt>
                <c:pt idx="307">
                  <c:v>110.26143751313012</c:v>
                </c:pt>
                <c:pt idx="308">
                  <c:v>110.3958980174942</c:v>
                </c:pt>
                <c:pt idx="309">
                  <c:v>110.46654688791492</c:v>
                </c:pt>
                <c:pt idx="310">
                  <c:v>110.76897122495851</c:v>
                </c:pt>
                <c:pt idx="311">
                  <c:v>111.5061403242655</c:v>
                </c:pt>
                <c:pt idx="312">
                  <c:v>111.91497525984774</c:v>
                </c:pt>
                <c:pt idx="313">
                  <c:v>111.7940407717831</c:v>
                </c:pt>
                <c:pt idx="314">
                  <c:v>112.28206574928637</c:v>
                </c:pt>
                <c:pt idx="315">
                  <c:v>112.32440153970242</c:v>
                </c:pt>
                <c:pt idx="316">
                  <c:v>112.34708175938202</c:v>
                </c:pt>
                <c:pt idx="317">
                  <c:v>112.18517409421048</c:v>
                </c:pt>
                <c:pt idx="318">
                  <c:v>111.79645172329963</c:v>
                </c:pt>
                <c:pt idx="319">
                  <c:v>111.68284347196085</c:v>
                </c:pt>
                <c:pt idx="320">
                  <c:v>111.86299777349772</c:v>
                </c:pt>
                <c:pt idx="321">
                  <c:v>112.50726859928292</c:v>
                </c:pt>
                <c:pt idx="322">
                  <c:v>112.96787100857438</c:v>
                </c:pt>
                <c:pt idx="323">
                  <c:v>113.30920066400182</c:v>
                </c:pt>
                <c:pt idx="324">
                  <c:v>113.72133774887591</c:v>
                </c:pt>
                <c:pt idx="325">
                  <c:v>113.92461910630954</c:v>
                </c:pt>
                <c:pt idx="326">
                  <c:v>114.46194623219883</c:v>
                </c:pt>
                <c:pt idx="327">
                  <c:v>114.63213014701599</c:v>
                </c:pt>
                <c:pt idx="328">
                  <c:v>114.73471260641698</c:v>
                </c:pt>
                <c:pt idx="329">
                  <c:v>114.76010878276784</c:v>
                </c:pt>
                <c:pt idx="330">
                  <c:v>114.85284458634185</c:v>
                </c:pt>
                <c:pt idx="331">
                  <c:v>115.00502840568491</c:v>
                </c:pt>
                <c:pt idx="332">
                  <c:v>115.26088502756625</c:v>
                </c:pt>
                <c:pt idx="333">
                  <c:v>115.47987518124449</c:v>
                </c:pt>
                <c:pt idx="334">
                  <c:v>115.24707243535532</c:v>
                </c:pt>
                <c:pt idx="335">
                  <c:v>115.24776456501037</c:v>
                </c:pt>
                <c:pt idx="336">
                  <c:v>114.86001133398101</c:v>
                </c:pt>
                <c:pt idx="337">
                  <c:v>114.47124250726262</c:v>
                </c:pt>
                <c:pt idx="338">
                  <c:v>114.01558483770283</c:v>
                </c:pt>
                <c:pt idx="339">
                  <c:v>114.11841722317855</c:v>
                </c:pt>
                <c:pt idx="340">
                  <c:v>115.27024583179582</c:v>
                </c:pt>
                <c:pt idx="341">
                  <c:v>116.50528264766088</c:v>
                </c:pt>
                <c:pt idx="342">
                  <c:v>117.46631654292688</c:v>
                </c:pt>
                <c:pt idx="343">
                  <c:v>117.61203568214356</c:v>
                </c:pt>
                <c:pt idx="344">
                  <c:v>117.3481222836993</c:v>
                </c:pt>
                <c:pt idx="345">
                  <c:v>117.11687527221184</c:v>
                </c:pt>
                <c:pt idx="346">
                  <c:v>116.49423404889052</c:v>
                </c:pt>
                <c:pt idx="347">
                  <c:v>115.93743397239867</c:v>
                </c:pt>
                <c:pt idx="348">
                  <c:v>115.56153717116734</c:v>
                </c:pt>
                <c:pt idx="349">
                  <c:v>115.21387753617842</c:v>
                </c:pt>
                <c:pt idx="350">
                  <c:v>114.70902226070865</c:v>
                </c:pt>
                <c:pt idx="351">
                  <c:v>113.99807403438798</c:v>
                </c:pt>
                <c:pt idx="352">
                  <c:v>112.9540084155001</c:v>
                </c:pt>
                <c:pt idx="353">
                  <c:v>111.78891112621646</c:v>
                </c:pt>
                <c:pt idx="354">
                  <c:v>111.09440629302837</c:v>
                </c:pt>
                <c:pt idx="355">
                  <c:v>110.41883169203648</c:v>
                </c:pt>
                <c:pt idx="356">
                  <c:v>109.3864443657874</c:v>
                </c:pt>
                <c:pt idx="357">
                  <c:v>107.88045294122665</c:v>
                </c:pt>
                <c:pt idx="358">
                  <c:v>107.21275441499411</c:v>
                </c:pt>
                <c:pt idx="359">
                  <c:v>106.44229298234417</c:v>
                </c:pt>
                <c:pt idx="360">
                  <c:v>106.39172727928052</c:v>
                </c:pt>
                <c:pt idx="361">
                  <c:v>106.29762570888337</c:v>
                </c:pt>
                <c:pt idx="362">
                  <c:v>105.95612277293068</c:v>
                </c:pt>
                <c:pt idx="363">
                  <c:v>105.98676543085816</c:v>
                </c:pt>
                <c:pt idx="364">
                  <c:v>105.94608884308727</c:v>
                </c:pt>
                <c:pt idx="365">
                  <c:v>105.69676039990658</c:v>
                </c:pt>
                <c:pt idx="366">
                  <c:v>105.35377685633443</c:v>
                </c:pt>
                <c:pt idx="367">
                  <c:v>105.01844654631813</c:v>
                </c:pt>
                <c:pt idx="368">
                  <c:v>104.96768257587253</c:v>
                </c:pt>
                <c:pt idx="369">
                  <c:v>104.87187498387753</c:v>
                </c:pt>
                <c:pt idx="370">
                  <c:v>105.10693400314518</c:v>
                </c:pt>
                <c:pt idx="371">
                  <c:v>105.32790942141838</c:v>
                </c:pt>
                <c:pt idx="372">
                  <c:v>105.36234638771788</c:v>
                </c:pt>
                <c:pt idx="373">
                  <c:v>104.93578311026988</c:v>
                </c:pt>
                <c:pt idx="374">
                  <c:v>104.59361248829208</c:v>
                </c:pt>
                <c:pt idx="375">
                  <c:v>104.33891638588288</c:v>
                </c:pt>
                <c:pt idx="376">
                  <c:v>104.21558472547586</c:v>
                </c:pt>
                <c:pt idx="377">
                  <c:v>104.07564379815945</c:v>
                </c:pt>
                <c:pt idx="378">
                  <c:v>104.01091028658252</c:v>
                </c:pt>
                <c:pt idx="379">
                  <c:v>103.96643137308895</c:v>
                </c:pt>
                <c:pt idx="380">
                  <c:v>103.80601336410334</c:v>
                </c:pt>
                <c:pt idx="381">
                  <c:v>103.57552290519456</c:v>
                </c:pt>
                <c:pt idx="382">
                  <c:v>103.04640539572343</c:v>
                </c:pt>
                <c:pt idx="383">
                  <c:v>102.24866343832258</c:v>
                </c:pt>
                <c:pt idx="384">
                  <c:v>102.08079391148416</c:v>
                </c:pt>
                <c:pt idx="385">
                  <c:v>101.97169310619016</c:v>
                </c:pt>
                <c:pt idx="386">
                  <c:v>102.02063659314751</c:v>
                </c:pt>
                <c:pt idx="387">
                  <c:v>102.2367254432481</c:v>
                </c:pt>
                <c:pt idx="388">
                  <c:v>102.83559765575203</c:v>
                </c:pt>
                <c:pt idx="389">
                  <c:v>103.14690494626171</c:v>
                </c:pt>
                <c:pt idx="390">
                  <c:v>103.20662018275422</c:v>
                </c:pt>
                <c:pt idx="391">
                  <c:v>103.28555678675123</c:v>
                </c:pt>
                <c:pt idx="392">
                  <c:v>103.09614053974069</c:v>
                </c:pt>
                <c:pt idx="393">
                  <c:v>103.24816512159907</c:v>
                </c:pt>
                <c:pt idx="394">
                  <c:v>103.44164861271179</c:v>
                </c:pt>
                <c:pt idx="395">
                  <c:v>103.77888894319157</c:v>
                </c:pt>
                <c:pt idx="396">
                  <c:v>104.30663268031333</c:v>
                </c:pt>
                <c:pt idx="397">
                  <c:v>104.94504708963822</c:v>
                </c:pt>
                <c:pt idx="398">
                  <c:v>105.13614508472904</c:v>
                </c:pt>
                <c:pt idx="399">
                  <c:v>105.32484171784421</c:v>
                </c:pt>
                <c:pt idx="400">
                  <c:v>105.70366187309648</c:v>
                </c:pt>
                <c:pt idx="401">
                  <c:v>105.89947596589622</c:v>
                </c:pt>
                <c:pt idx="402">
                  <c:v>106.02689516705348</c:v>
                </c:pt>
                <c:pt idx="403">
                  <c:v>105.94660898267713</c:v>
                </c:pt>
                <c:pt idx="404">
                  <c:v>105.87357668298561</c:v>
                </c:pt>
                <c:pt idx="405">
                  <c:v>105.72130170540868</c:v>
                </c:pt>
                <c:pt idx="406">
                  <c:v>105.76588578959976</c:v>
                </c:pt>
                <c:pt idx="407">
                  <c:v>106.05444275545032</c:v>
                </c:pt>
                <c:pt idx="408">
                  <c:v>106.05261067836003</c:v>
                </c:pt>
                <c:pt idx="409">
                  <c:v>106.05679715960591</c:v>
                </c:pt>
                <c:pt idx="410">
                  <c:v>106.07210306640432</c:v>
                </c:pt>
                <c:pt idx="411">
                  <c:v>106.08001028429125</c:v>
                </c:pt>
                <c:pt idx="412">
                  <c:v>106.18746328296942</c:v>
                </c:pt>
                <c:pt idx="413">
                  <c:v>106.33441449900212</c:v>
                </c:pt>
                <c:pt idx="414">
                  <c:v>106.39650888756672</c:v>
                </c:pt>
                <c:pt idx="415">
                  <c:v>106.57947727856194</c:v>
                </c:pt>
                <c:pt idx="416">
                  <c:v>106.51594666759655</c:v>
                </c:pt>
                <c:pt idx="417">
                  <c:v>106.30339630927539</c:v>
                </c:pt>
                <c:pt idx="418">
                  <c:v>106.10629357786925</c:v>
                </c:pt>
                <c:pt idx="419">
                  <c:v>105.83012603714822</c:v>
                </c:pt>
                <c:pt idx="420">
                  <c:v>105.2569764967095</c:v>
                </c:pt>
                <c:pt idx="421">
                  <c:v>104.81464519345738</c:v>
                </c:pt>
                <c:pt idx="422">
                  <c:v>104.2902738662476</c:v>
                </c:pt>
                <c:pt idx="423">
                  <c:v>103.74016398260285</c:v>
                </c:pt>
                <c:pt idx="424">
                  <c:v>103.03749941766952</c:v>
                </c:pt>
                <c:pt idx="425">
                  <c:v>102.43412483412918</c:v>
                </c:pt>
                <c:pt idx="426">
                  <c:v>102.24487883678555</c:v>
                </c:pt>
                <c:pt idx="427">
                  <c:v>102.28829359142254</c:v>
                </c:pt>
                <c:pt idx="428">
                  <c:v>101.9755193282673</c:v>
                </c:pt>
                <c:pt idx="429">
                  <c:v>101.42913171556806</c:v>
                </c:pt>
                <c:pt idx="430">
                  <c:v>100.83941642913837</c:v>
                </c:pt>
                <c:pt idx="431">
                  <c:v>100.03030936050042</c:v>
                </c:pt>
                <c:pt idx="432">
                  <c:v>99.74524809285677</c:v>
                </c:pt>
                <c:pt idx="433">
                  <c:v>99.541534910397388</c:v>
                </c:pt>
                <c:pt idx="434">
                  <c:v>99.115764072232238</c:v>
                </c:pt>
                <c:pt idx="435">
                  <c:v>99.431871694054593</c:v>
                </c:pt>
                <c:pt idx="436">
                  <c:v>99.691806635586602</c:v>
                </c:pt>
                <c:pt idx="437">
                  <c:v>100.2327403191001</c:v>
                </c:pt>
                <c:pt idx="438">
                  <c:v>100.25750997830642</c:v>
                </c:pt>
                <c:pt idx="439">
                  <c:v>100.24897992946678</c:v>
                </c:pt>
                <c:pt idx="440">
                  <c:v>100.33230868857738</c:v>
                </c:pt>
                <c:pt idx="441">
                  <c:v>100.51106211827221</c:v>
                </c:pt>
                <c:pt idx="442">
                  <c:v>100.80220981629732</c:v>
                </c:pt>
                <c:pt idx="443">
                  <c:v>101.22257688024298</c:v>
                </c:pt>
                <c:pt idx="444">
                  <c:v>101.58239630503162</c:v>
                </c:pt>
                <c:pt idx="445">
                  <c:v>102.26776497956858</c:v>
                </c:pt>
                <c:pt idx="446">
                  <c:v>102.5151962471181</c:v>
                </c:pt>
                <c:pt idx="447">
                  <c:v>102.75712147592301</c:v>
                </c:pt>
                <c:pt idx="448">
                  <c:v>103.08657503268503</c:v>
                </c:pt>
                <c:pt idx="449">
                  <c:v>103.10197322060141</c:v>
                </c:pt>
                <c:pt idx="450">
                  <c:v>103.04163809270781</c:v>
                </c:pt>
                <c:pt idx="451">
                  <c:v>103.00409221337971</c:v>
                </c:pt>
                <c:pt idx="452">
                  <c:v>103.12302751602599</c:v>
                </c:pt>
                <c:pt idx="453">
                  <c:v>103.28501341129845</c:v>
                </c:pt>
                <c:pt idx="454">
                  <c:v>103.23496191805242</c:v>
                </c:pt>
                <c:pt idx="455">
                  <c:v>103.23177521330524</c:v>
                </c:pt>
                <c:pt idx="456">
                  <c:v>103.22839887854042</c:v>
                </c:pt>
                <c:pt idx="457">
                  <c:v>103.28638569760749</c:v>
                </c:pt>
                <c:pt idx="458">
                  <c:v>103.47316032552629</c:v>
                </c:pt>
                <c:pt idx="459">
                  <c:v>103.40163242107806</c:v>
                </c:pt>
                <c:pt idx="460">
                  <c:v>103.55748004400516</c:v>
                </c:pt>
                <c:pt idx="461">
                  <c:v>103.82042473367254</c:v>
                </c:pt>
                <c:pt idx="462">
                  <c:v>103.8635975130375</c:v>
                </c:pt>
                <c:pt idx="463">
                  <c:v>104.02979203580404</c:v>
                </c:pt>
                <c:pt idx="464">
                  <c:v>104.01920227690519</c:v>
                </c:pt>
                <c:pt idx="465">
                  <c:v>103.66817316217399</c:v>
                </c:pt>
                <c:pt idx="466">
                  <c:v>103.52786300589544</c:v>
                </c:pt>
                <c:pt idx="467">
                  <c:v>103.24674549470826</c:v>
                </c:pt>
                <c:pt idx="468">
                  <c:v>102.911854924034</c:v>
                </c:pt>
                <c:pt idx="469">
                  <c:v>102.89347751838375</c:v>
                </c:pt>
                <c:pt idx="470">
                  <c:v>102.97591879846392</c:v>
                </c:pt>
                <c:pt idx="471">
                  <c:v>103.48067425822575</c:v>
                </c:pt>
                <c:pt idx="472">
                  <c:v>103.74056295435956</c:v>
                </c:pt>
                <c:pt idx="473">
                  <c:v>103.52363201391569</c:v>
                </c:pt>
                <c:pt idx="474">
                  <c:v>103.54651693192713</c:v>
                </c:pt>
                <c:pt idx="475">
                  <c:v>103.55717092175151</c:v>
                </c:pt>
                <c:pt idx="476">
                  <c:v>103.47409648023987</c:v>
                </c:pt>
                <c:pt idx="477">
                  <c:v>103.48060814543298</c:v>
                </c:pt>
                <c:pt idx="478">
                  <c:v>103.5128856544402</c:v>
                </c:pt>
                <c:pt idx="479">
                  <c:v>103.59784557090082</c:v>
                </c:pt>
                <c:pt idx="480">
                  <c:v>103.57461782898814</c:v>
                </c:pt>
                <c:pt idx="481">
                  <c:v>103.55202066624253</c:v>
                </c:pt>
                <c:pt idx="482">
                  <c:v>103.65864815019597</c:v>
                </c:pt>
                <c:pt idx="483">
                  <c:v>103.64553493030631</c:v>
                </c:pt>
                <c:pt idx="484">
                  <c:v>103.67920581115115</c:v>
                </c:pt>
                <c:pt idx="485">
                  <c:v>103.88372226255895</c:v>
                </c:pt>
                <c:pt idx="486">
                  <c:v>104.00689812055117</c:v>
                </c:pt>
                <c:pt idx="487">
                  <c:v>104.08390385301033</c:v>
                </c:pt>
                <c:pt idx="488">
                  <c:v>104.03644004285975</c:v>
                </c:pt>
                <c:pt idx="489">
                  <c:v>103.78937361468705</c:v>
                </c:pt>
                <c:pt idx="490">
                  <c:v>103.49019101604281</c:v>
                </c:pt>
                <c:pt idx="491">
                  <c:v>102.57035192024034</c:v>
                </c:pt>
                <c:pt idx="492">
                  <c:v>101.96520594616219</c:v>
                </c:pt>
                <c:pt idx="493">
                  <c:v>101.90101349596047</c:v>
                </c:pt>
                <c:pt idx="494">
                  <c:v>101.51087498029568</c:v>
                </c:pt>
                <c:pt idx="495">
                  <c:v>101.29146351960514</c:v>
                </c:pt>
                <c:pt idx="496">
                  <c:v>101.2949363693575</c:v>
                </c:pt>
                <c:pt idx="497">
                  <c:v>101.38311445424553</c:v>
                </c:pt>
                <c:pt idx="498">
                  <c:v>101.2463192779029</c:v>
                </c:pt>
                <c:pt idx="499">
                  <c:v>101.09589455264951</c:v>
                </c:pt>
                <c:pt idx="500">
                  <c:v>101.32533949460503</c:v>
                </c:pt>
                <c:pt idx="501">
                  <c:v>101.46560726568723</c:v>
                </c:pt>
                <c:pt idx="502">
                  <c:v>101.66277184276127</c:v>
                </c:pt>
                <c:pt idx="503">
                  <c:v>101.64728286780415</c:v>
                </c:pt>
                <c:pt idx="504">
                  <c:v>101.70689330015901</c:v>
                </c:pt>
                <c:pt idx="505">
                  <c:v>101.59454422418972</c:v>
                </c:pt>
                <c:pt idx="506">
                  <c:v>101.56059541635111</c:v>
                </c:pt>
                <c:pt idx="507">
                  <c:v>101.19672181062036</c:v>
                </c:pt>
                <c:pt idx="508">
                  <c:v>100.62683140313094</c:v>
                </c:pt>
                <c:pt idx="509">
                  <c:v>100.57676491264078</c:v>
                </c:pt>
                <c:pt idx="510">
                  <c:v>101.00392926933786</c:v>
                </c:pt>
                <c:pt idx="511">
                  <c:v>101.69845695925457</c:v>
                </c:pt>
                <c:pt idx="512">
                  <c:v>102.59350001190759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87.631106103796284</c:v>
                </c:pt>
                <c:pt idx="20">
                  <c:v>87.590523676305637</c:v>
                </c:pt>
                <c:pt idx="21">
                  <c:v>87.60102449092193</c:v>
                </c:pt>
                <c:pt idx="22">
                  <c:v>87.624310810229829</c:v>
                </c:pt>
                <c:pt idx="23">
                  <c:v>87.572966609986139</c:v>
                </c:pt>
                <c:pt idx="24">
                  <c:v>87.632587501353484</c:v>
                </c:pt>
                <c:pt idx="25">
                  <c:v>87.721918643563853</c:v>
                </c:pt>
                <c:pt idx="26">
                  <c:v>87.983972147523758</c:v>
                </c:pt>
                <c:pt idx="27">
                  <c:v>87.874420368379475</c:v>
                </c:pt>
                <c:pt idx="28">
                  <c:v>87.868590626275505</c:v>
                </c:pt>
                <c:pt idx="29">
                  <c:v>87.285212873213851</c:v>
                </c:pt>
                <c:pt idx="30">
                  <c:v>86.812074833554078</c:v>
                </c:pt>
                <c:pt idx="31">
                  <c:v>86.688562784124471</c:v>
                </c:pt>
                <c:pt idx="32">
                  <c:v>86.404539965464437</c:v>
                </c:pt>
                <c:pt idx="33">
                  <c:v>86.216931569448462</c:v>
                </c:pt>
                <c:pt idx="34">
                  <c:v>86.176911406196041</c:v>
                </c:pt>
                <c:pt idx="35">
                  <c:v>86.124638001969544</c:v>
                </c:pt>
                <c:pt idx="36">
                  <c:v>85.990451482319727</c:v>
                </c:pt>
                <c:pt idx="37">
                  <c:v>85.567748045403278</c:v>
                </c:pt>
                <c:pt idx="38">
                  <c:v>85.349420305012572</c:v>
                </c:pt>
                <c:pt idx="39">
                  <c:v>85.142924626332942</c:v>
                </c:pt>
                <c:pt idx="40">
                  <c:v>85.087885077000223</c:v>
                </c:pt>
                <c:pt idx="41">
                  <c:v>85.468094899317222</c:v>
                </c:pt>
                <c:pt idx="42">
                  <c:v>85.714111481377884</c:v>
                </c:pt>
                <c:pt idx="43">
                  <c:v>85.764740946073687</c:v>
                </c:pt>
                <c:pt idx="44">
                  <c:v>85.754872629550249</c:v>
                </c:pt>
                <c:pt idx="45">
                  <c:v>85.703675418614864</c:v>
                </c:pt>
                <c:pt idx="46">
                  <c:v>85.603402039272552</c:v>
                </c:pt>
                <c:pt idx="47">
                  <c:v>85.436015230426136</c:v>
                </c:pt>
                <c:pt idx="48">
                  <c:v>85.40460954263142</c:v>
                </c:pt>
                <c:pt idx="49">
                  <c:v>85.581021060356491</c:v>
                </c:pt>
                <c:pt idx="50">
                  <c:v>85.761496593267708</c:v>
                </c:pt>
                <c:pt idx="51">
                  <c:v>85.78980079271318</c:v>
                </c:pt>
                <c:pt idx="52">
                  <c:v>85.919644510372848</c:v>
                </c:pt>
                <c:pt idx="53">
                  <c:v>86.018344787372897</c:v>
                </c:pt>
                <c:pt idx="54">
                  <c:v>86.034291882164169</c:v>
                </c:pt>
                <c:pt idx="55">
                  <c:v>86.095749986793066</c:v>
                </c:pt>
                <c:pt idx="56">
                  <c:v>86.154328495822583</c:v>
                </c:pt>
                <c:pt idx="57">
                  <c:v>86.553784859908902</c:v>
                </c:pt>
                <c:pt idx="58">
                  <c:v>86.672993995920251</c:v>
                </c:pt>
                <c:pt idx="59">
                  <c:v>87.054282850670333</c:v>
                </c:pt>
                <c:pt idx="60">
                  <c:v>87.286998040314515</c:v>
                </c:pt>
                <c:pt idx="61">
                  <c:v>87.70199261875797</c:v>
                </c:pt>
                <c:pt idx="62">
                  <c:v>87.699916641471788</c:v>
                </c:pt>
                <c:pt idx="63">
                  <c:v>87.751271930889203</c:v>
                </c:pt>
                <c:pt idx="64">
                  <c:v>87.748593989004021</c:v>
                </c:pt>
                <c:pt idx="65">
                  <c:v>87.743093400235594</c:v>
                </c:pt>
                <c:pt idx="66">
                  <c:v>87.720976222344902</c:v>
                </c:pt>
                <c:pt idx="67">
                  <c:v>87.684703270897487</c:v>
                </c:pt>
                <c:pt idx="68">
                  <c:v>87.617741650717164</c:v>
                </c:pt>
                <c:pt idx="69">
                  <c:v>87.518908594397516</c:v>
                </c:pt>
                <c:pt idx="70">
                  <c:v>87.513397020988947</c:v>
                </c:pt>
                <c:pt idx="71">
                  <c:v>87.546399897057157</c:v>
                </c:pt>
                <c:pt idx="72">
                  <c:v>87.267151014311807</c:v>
                </c:pt>
                <c:pt idx="73">
                  <c:v>87.261510671867143</c:v>
                </c:pt>
                <c:pt idx="74">
                  <c:v>87.267473777639921</c:v>
                </c:pt>
                <c:pt idx="75">
                  <c:v>87.253108287417191</c:v>
                </c:pt>
                <c:pt idx="76">
                  <c:v>87.16217378632382</c:v>
                </c:pt>
                <c:pt idx="77">
                  <c:v>87.161681544302709</c:v>
                </c:pt>
                <c:pt idx="78">
                  <c:v>87.381936402000449</c:v>
                </c:pt>
                <c:pt idx="79">
                  <c:v>87.16796261616723</c:v>
                </c:pt>
                <c:pt idx="80">
                  <c:v>87.12019294856519</c:v>
                </c:pt>
                <c:pt idx="81">
                  <c:v>87.025468931030943</c:v>
                </c:pt>
                <c:pt idx="82">
                  <c:v>86.914691588335188</c:v>
                </c:pt>
                <c:pt idx="83">
                  <c:v>86.88694277056085</c:v>
                </c:pt>
                <c:pt idx="84">
                  <c:v>86.846541807616958</c:v>
                </c:pt>
                <c:pt idx="85">
                  <c:v>86.917551802932564</c:v>
                </c:pt>
                <c:pt idx="86">
                  <c:v>86.887004939677098</c:v>
                </c:pt>
                <c:pt idx="87">
                  <c:v>86.718517628107534</c:v>
                </c:pt>
                <c:pt idx="88">
                  <c:v>86.983519159889369</c:v>
                </c:pt>
                <c:pt idx="89">
                  <c:v>87.398164330350895</c:v>
                </c:pt>
                <c:pt idx="90">
                  <c:v>87.996041484784755</c:v>
                </c:pt>
                <c:pt idx="91">
                  <c:v>88.584561420471061</c:v>
                </c:pt>
                <c:pt idx="92">
                  <c:v>89.959807803449692</c:v>
                </c:pt>
                <c:pt idx="93">
                  <c:v>90.671315536132795</c:v>
                </c:pt>
                <c:pt idx="94">
                  <c:v>91.362523197340209</c:v>
                </c:pt>
                <c:pt idx="95">
                  <c:v>91.934812287401684</c:v>
                </c:pt>
                <c:pt idx="96">
                  <c:v>92.36698501060809</c:v>
                </c:pt>
                <c:pt idx="97">
                  <c:v>92.832931435682653</c:v>
                </c:pt>
                <c:pt idx="98">
                  <c:v>93.205405396480799</c:v>
                </c:pt>
                <c:pt idx="99">
                  <c:v>93.156856849881464</c:v>
                </c:pt>
                <c:pt idx="100">
                  <c:v>93.508529566553236</c:v>
                </c:pt>
                <c:pt idx="101">
                  <c:v>93.320767748199273</c:v>
                </c:pt>
                <c:pt idx="102">
                  <c:v>92.697045055526118</c:v>
                </c:pt>
                <c:pt idx="103">
                  <c:v>92.248611276232879</c:v>
                </c:pt>
                <c:pt idx="104">
                  <c:v>92.174346763441065</c:v>
                </c:pt>
                <c:pt idx="105">
                  <c:v>91.954457836613358</c:v>
                </c:pt>
                <c:pt idx="106">
                  <c:v>91.731512313898875</c:v>
                </c:pt>
                <c:pt idx="107">
                  <c:v>91.363997161704063</c:v>
                </c:pt>
                <c:pt idx="108">
                  <c:v>90.926605032036321</c:v>
                </c:pt>
                <c:pt idx="109">
                  <c:v>90.572492629401509</c:v>
                </c:pt>
                <c:pt idx="110">
                  <c:v>90.399794759833128</c:v>
                </c:pt>
                <c:pt idx="111">
                  <c:v>90.203114282525377</c:v>
                </c:pt>
                <c:pt idx="112">
                  <c:v>89.871245750955936</c:v>
                </c:pt>
                <c:pt idx="113">
                  <c:v>89.545208735554709</c:v>
                </c:pt>
                <c:pt idx="114">
                  <c:v>89.370921207783908</c:v>
                </c:pt>
                <c:pt idx="115">
                  <c:v>89.296606134075759</c:v>
                </c:pt>
                <c:pt idx="116">
                  <c:v>89.201540284903132</c:v>
                </c:pt>
                <c:pt idx="117">
                  <c:v>89.230763540606617</c:v>
                </c:pt>
                <c:pt idx="118">
                  <c:v>89.334619281468491</c:v>
                </c:pt>
                <c:pt idx="119">
                  <c:v>89.306281564334697</c:v>
                </c:pt>
                <c:pt idx="120">
                  <c:v>89.070107509148585</c:v>
                </c:pt>
                <c:pt idx="121">
                  <c:v>88.833703551810714</c:v>
                </c:pt>
                <c:pt idx="122">
                  <c:v>88.601830340365993</c:v>
                </c:pt>
                <c:pt idx="123">
                  <c:v>88.352587135838718</c:v>
                </c:pt>
                <c:pt idx="124">
                  <c:v>88.286562595287606</c:v>
                </c:pt>
                <c:pt idx="125">
                  <c:v>88.210321486678069</c:v>
                </c:pt>
                <c:pt idx="126">
                  <c:v>88.20027253280962</c:v>
                </c:pt>
                <c:pt idx="127">
                  <c:v>88.185253630990275</c:v>
                </c:pt>
                <c:pt idx="128">
                  <c:v>87.970986723605378</c:v>
                </c:pt>
                <c:pt idx="129">
                  <c:v>87.861436270845104</c:v>
                </c:pt>
                <c:pt idx="130">
                  <c:v>88.016117043206052</c:v>
                </c:pt>
                <c:pt idx="131">
                  <c:v>88.05602376925205</c:v>
                </c:pt>
                <c:pt idx="132">
                  <c:v>87.913956639286326</c:v>
                </c:pt>
                <c:pt idx="133">
                  <c:v>87.913572313198003</c:v>
                </c:pt>
                <c:pt idx="134">
                  <c:v>87.862097319829843</c:v>
                </c:pt>
                <c:pt idx="135">
                  <c:v>87.436440867977609</c:v>
                </c:pt>
                <c:pt idx="136">
                  <c:v>87.090698464221347</c:v>
                </c:pt>
                <c:pt idx="137">
                  <c:v>86.863980874446256</c:v>
                </c:pt>
                <c:pt idx="138">
                  <c:v>86.637799355910914</c:v>
                </c:pt>
                <c:pt idx="139">
                  <c:v>86.586935651570442</c:v>
                </c:pt>
                <c:pt idx="140">
                  <c:v>86.406339817710119</c:v>
                </c:pt>
                <c:pt idx="141">
                  <c:v>86.319284407032882</c:v>
                </c:pt>
                <c:pt idx="142">
                  <c:v>86.273025924785728</c:v>
                </c:pt>
                <c:pt idx="143">
                  <c:v>86.323030390186261</c:v>
                </c:pt>
                <c:pt idx="144">
                  <c:v>86.434760393338721</c:v>
                </c:pt>
                <c:pt idx="145">
                  <c:v>86.74705917692657</c:v>
                </c:pt>
                <c:pt idx="146">
                  <c:v>86.908294387803764</c:v>
                </c:pt>
                <c:pt idx="147">
                  <c:v>86.933261107663171</c:v>
                </c:pt>
                <c:pt idx="148">
                  <c:v>87.550260359587313</c:v>
                </c:pt>
                <c:pt idx="149">
                  <c:v>88.259096983732292</c:v>
                </c:pt>
                <c:pt idx="150">
                  <c:v>88.901602050869855</c:v>
                </c:pt>
                <c:pt idx="151">
                  <c:v>89.431168616582553</c:v>
                </c:pt>
                <c:pt idx="152">
                  <c:v>89.90200447013197</c:v>
                </c:pt>
                <c:pt idx="153">
                  <c:v>90.89236070166973</c:v>
                </c:pt>
                <c:pt idx="154">
                  <c:v>91.788710424350185</c:v>
                </c:pt>
                <c:pt idx="155">
                  <c:v>92.361110200427433</c:v>
                </c:pt>
                <c:pt idx="156">
                  <c:v>92.955602868374982</c:v>
                </c:pt>
                <c:pt idx="157">
                  <c:v>93.658166409678699</c:v>
                </c:pt>
                <c:pt idx="158">
                  <c:v>94.31791687111965</c:v>
                </c:pt>
                <c:pt idx="159">
                  <c:v>95.540327498680639</c:v>
                </c:pt>
                <c:pt idx="160">
                  <c:v>96.149458428211773</c:v>
                </c:pt>
                <c:pt idx="161">
                  <c:v>96.86259803487718</c:v>
                </c:pt>
                <c:pt idx="162">
                  <c:v>97.554663573746524</c:v>
                </c:pt>
                <c:pt idx="163">
                  <c:v>98.264852064671103</c:v>
                </c:pt>
                <c:pt idx="164">
                  <c:v>98.570714525375109</c:v>
                </c:pt>
                <c:pt idx="165">
                  <c:v>99.313739231274312</c:v>
                </c:pt>
                <c:pt idx="166">
                  <c:v>99.359393925801598</c:v>
                </c:pt>
                <c:pt idx="167">
                  <c:v>99.389762285613799</c:v>
                </c:pt>
                <c:pt idx="168">
                  <c:v>99.070415173064461</c:v>
                </c:pt>
                <c:pt idx="169">
                  <c:v>98.615269187921427</c:v>
                </c:pt>
                <c:pt idx="170">
                  <c:v>98.432238816610692</c:v>
                </c:pt>
                <c:pt idx="171">
                  <c:v>98.420728300191499</c:v>
                </c:pt>
                <c:pt idx="172">
                  <c:v>98.207913909525004</c:v>
                </c:pt>
                <c:pt idx="173">
                  <c:v>97.996300384624973</c:v>
                </c:pt>
                <c:pt idx="174">
                  <c:v>97.971266618330176</c:v>
                </c:pt>
                <c:pt idx="175">
                  <c:v>98.04644555873233</c:v>
                </c:pt>
                <c:pt idx="176">
                  <c:v>98.332215647319231</c:v>
                </c:pt>
                <c:pt idx="177">
                  <c:v>98.500356536973001</c:v>
                </c:pt>
                <c:pt idx="178">
                  <c:v>98.697503870777339</c:v>
                </c:pt>
                <c:pt idx="179">
                  <c:v>99.009533343350782</c:v>
                </c:pt>
                <c:pt idx="180">
                  <c:v>99.240148987330301</c:v>
                </c:pt>
                <c:pt idx="181">
                  <c:v>99.510672910515197</c:v>
                </c:pt>
                <c:pt idx="182">
                  <c:v>99.831510491998955</c:v>
                </c:pt>
                <c:pt idx="183">
                  <c:v>100.09002274474814</c:v>
                </c:pt>
                <c:pt idx="184">
                  <c:v>100.77043008598932</c:v>
                </c:pt>
                <c:pt idx="185">
                  <c:v>101.3098786383062</c:v>
                </c:pt>
                <c:pt idx="186">
                  <c:v>101.86577471814979</c:v>
                </c:pt>
                <c:pt idx="187">
                  <c:v>102.2829125232677</c:v>
                </c:pt>
                <c:pt idx="188">
                  <c:v>102.28080056728656</c:v>
                </c:pt>
                <c:pt idx="189">
                  <c:v>102.27976057528066</c:v>
                </c:pt>
                <c:pt idx="190">
                  <c:v>102.29087638440924</c:v>
                </c:pt>
                <c:pt idx="191">
                  <c:v>102.27284201135306</c:v>
                </c:pt>
                <c:pt idx="192">
                  <c:v>101.73070868703353</c:v>
                </c:pt>
                <c:pt idx="193">
                  <c:v>101.55768344990673</c:v>
                </c:pt>
                <c:pt idx="194">
                  <c:v>101.41992297179799</c:v>
                </c:pt>
                <c:pt idx="195">
                  <c:v>101.15919455311393</c:v>
                </c:pt>
                <c:pt idx="196">
                  <c:v>101.06638491497922</c:v>
                </c:pt>
                <c:pt idx="197">
                  <c:v>101.09859010599189</c:v>
                </c:pt>
                <c:pt idx="198">
                  <c:v>100.98867918915533</c:v>
                </c:pt>
                <c:pt idx="199">
                  <c:v>100.78040221705136</c:v>
                </c:pt>
                <c:pt idx="200">
                  <c:v>100.84067756241939</c:v>
                </c:pt>
                <c:pt idx="201">
                  <c:v>100.66201217214827</c:v>
                </c:pt>
                <c:pt idx="202">
                  <c:v>100.57291841482942</c:v>
                </c:pt>
                <c:pt idx="203">
                  <c:v>100.65376545516064</c:v>
                </c:pt>
                <c:pt idx="204">
                  <c:v>100.56208272424136</c:v>
                </c:pt>
                <c:pt idx="205">
                  <c:v>100.58861655573388</c:v>
                </c:pt>
                <c:pt idx="206">
                  <c:v>100.61863529033704</c:v>
                </c:pt>
                <c:pt idx="207">
                  <c:v>100.65144966550541</c:v>
                </c:pt>
                <c:pt idx="208">
                  <c:v>100.49391615372862</c:v>
                </c:pt>
                <c:pt idx="209">
                  <c:v>100.34033063083335</c:v>
                </c:pt>
                <c:pt idx="210">
                  <c:v>100.05724035537366</c:v>
                </c:pt>
                <c:pt idx="211">
                  <c:v>99.514113384299833</c:v>
                </c:pt>
                <c:pt idx="212">
                  <c:v>99.072572291693589</c:v>
                </c:pt>
                <c:pt idx="213">
                  <c:v>98.679435252917301</c:v>
                </c:pt>
                <c:pt idx="214">
                  <c:v>98.099622823146134</c:v>
                </c:pt>
                <c:pt idx="215">
                  <c:v>97.32915427605441</c:v>
                </c:pt>
                <c:pt idx="216">
                  <c:v>96.68896714229237</c:v>
                </c:pt>
                <c:pt idx="217">
                  <c:v>96.127655250671864</c:v>
                </c:pt>
                <c:pt idx="218">
                  <c:v>95.327653860074022</c:v>
                </c:pt>
                <c:pt idx="219">
                  <c:v>94.336682160147944</c:v>
                </c:pt>
                <c:pt idx="220">
                  <c:v>93.45423971785327</c:v>
                </c:pt>
                <c:pt idx="221">
                  <c:v>93.040510040247</c:v>
                </c:pt>
                <c:pt idx="222">
                  <c:v>92.716902385620244</c:v>
                </c:pt>
                <c:pt idx="223">
                  <c:v>92.539909905938387</c:v>
                </c:pt>
                <c:pt idx="224">
                  <c:v>92.865295134436963</c:v>
                </c:pt>
                <c:pt idx="225">
                  <c:v>93.434015080539936</c:v>
                </c:pt>
                <c:pt idx="226">
                  <c:v>93.725750647178202</c:v>
                </c:pt>
                <c:pt idx="227">
                  <c:v>94.280917974496276</c:v>
                </c:pt>
                <c:pt idx="228">
                  <c:v>94.450258167466444</c:v>
                </c:pt>
                <c:pt idx="229">
                  <c:v>94.616374201885961</c:v>
                </c:pt>
                <c:pt idx="230">
                  <c:v>94.727600388580811</c:v>
                </c:pt>
                <c:pt idx="231">
                  <c:v>94.729999771087435</c:v>
                </c:pt>
                <c:pt idx="232">
                  <c:v>94.654510204994494</c:v>
                </c:pt>
                <c:pt idx="233">
                  <c:v>94.505514158746948</c:v>
                </c:pt>
                <c:pt idx="234">
                  <c:v>94.340758482946768</c:v>
                </c:pt>
                <c:pt idx="235">
                  <c:v>93.940882683006521</c:v>
                </c:pt>
                <c:pt idx="236">
                  <c:v>93.546983361994378</c:v>
                </c:pt>
                <c:pt idx="237">
                  <c:v>93.172524034459968</c:v>
                </c:pt>
                <c:pt idx="238">
                  <c:v>92.467967739736082</c:v>
                </c:pt>
                <c:pt idx="239">
                  <c:v>91.952028632597376</c:v>
                </c:pt>
                <c:pt idx="240">
                  <c:v>91.513267244009796</c:v>
                </c:pt>
                <c:pt idx="241">
                  <c:v>90.685191868582152</c:v>
                </c:pt>
                <c:pt idx="242">
                  <c:v>89.855105196081027</c:v>
                </c:pt>
                <c:pt idx="243">
                  <c:v>88.640485600422451</c:v>
                </c:pt>
                <c:pt idx="244">
                  <c:v>87.634396932144227</c:v>
                </c:pt>
                <c:pt idx="245">
                  <c:v>86.971574187474715</c:v>
                </c:pt>
                <c:pt idx="246">
                  <c:v>86.331773131436066</c:v>
                </c:pt>
                <c:pt idx="247">
                  <c:v>85.848128674088969</c:v>
                </c:pt>
                <c:pt idx="248">
                  <c:v>85.780919682341235</c:v>
                </c:pt>
                <c:pt idx="249">
                  <c:v>85.939648644186619</c:v>
                </c:pt>
                <c:pt idx="250">
                  <c:v>86.133730587335279</c:v>
                </c:pt>
                <c:pt idx="251">
                  <c:v>86.198797883863335</c:v>
                </c:pt>
                <c:pt idx="252">
                  <c:v>86.257268069293517</c:v>
                </c:pt>
                <c:pt idx="253">
                  <c:v>86.362027710145924</c:v>
                </c:pt>
                <c:pt idx="254">
                  <c:v>86.495143866548588</c:v>
                </c:pt>
                <c:pt idx="255">
                  <c:v>86.426235083687615</c:v>
                </c:pt>
                <c:pt idx="256">
                  <c:v>86.649649155937354</c:v>
                </c:pt>
                <c:pt idx="257">
                  <c:v>86.932547056965333</c:v>
                </c:pt>
                <c:pt idx="258">
                  <c:v>87.006432123251884</c:v>
                </c:pt>
                <c:pt idx="259">
                  <c:v>87.254696869989246</c:v>
                </c:pt>
                <c:pt idx="260">
                  <c:v>87.685633879635176</c:v>
                </c:pt>
                <c:pt idx="261">
                  <c:v>87.464297433931279</c:v>
                </c:pt>
                <c:pt idx="262">
                  <c:v>86.881425864378627</c:v>
                </c:pt>
                <c:pt idx="263">
                  <c:v>86.650288840344757</c:v>
                </c:pt>
                <c:pt idx="264">
                  <c:v>86.719643025267132</c:v>
                </c:pt>
                <c:pt idx="265">
                  <c:v>86.729071318741703</c:v>
                </c:pt>
                <c:pt idx="266">
                  <c:v>86.760102758568308</c:v>
                </c:pt>
                <c:pt idx="267">
                  <c:v>86.325401026562687</c:v>
                </c:pt>
                <c:pt idx="268">
                  <c:v>86.269836182587369</c:v>
                </c:pt>
                <c:pt idx="269">
                  <c:v>86.324864492514564</c:v>
                </c:pt>
                <c:pt idx="270">
                  <c:v>86.357804783471806</c:v>
                </c:pt>
                <c:pt idx="271">
                  <c:v>86.451029277173717</c:v>
                </c:pt>
                <c:pt idx="272">
                  <c:v>86.431117437311954</c:v>
                </c:pt>
                <c:pt idx="273">
                  <c:v>86.563372579997093</c:v>
                </c:pt>
                <c:pt idx="274">
                  <c:v>86.794768665493365</c:v>
                </c:pt>
                <c:pt idx="275">
                  <c:v>87.304999284287774</c:v>
                </c:pt>
                <c:pt idx="276">
                  <c:v>87.653561434705239</c:v>
                </c:pt>
                <c:pt idx="277">
                  <c:v>88.260176983312036</c:v>
                </c:pt>
                <c:pt idx="278">
                  <c:v>88.981208936881728</c:v>
                </c:pt>
                <c:pt idx="279">
                  <c:v>89.667058408045364</c:v>
                </c:pt>
                <c:pt idx="280">
                  <c:v>90.218866201254684</c:v>
                </c:pt>
                <c:pt idx="281">
                  <c:v>90.436755244498499</c:v>
                </c:pt>
                <c:pt idx="282">
                  <c:v>90.48807015362803</c:v>
                </c:pt>
                <c:pt idx="283">
                  <c:v>90.603368716260064</c:v>
                </c:pt>
                <c:pt idx="284">
                  <c:v>91.21890573214479</c:v>
                </c:pt>
                <c:pt idx="285">
                  <c:v>91.747428700730893</c:v>
                </c:pt>
                <c:pt idx="286">
                  <c:v>92.266552443510435</c:v>
                </c:pt>
                <c:pt idx="287">
                  <c:v>91.756644200033207</c:v>
                </c:pt>
                <c:pt idx="288">
                  <c:v>91.841885662262555</c:v>
                </c:pt>
                <c:pt idx="289">
                  <c:v>92.227096304002742</c:v>
                </c:pt>
                <c:pt idx="290">
                  <c:v>92.238928269175318</c:v>
                </c:pt>
                <c:pt idx="291">
                  <c:v>91.990471083990997</c:v>
                </c:pt>
                <c:pt idx="292">
                  <c:v>91.983308526207992</c:v>
                </c:pt>
                <c:pt idx="293">
                  <c:v>92.302265012264129</c:v>
                </c:pt>
                <c:pt idx="294">
                  <c:v>92.456994982617161</c:v>
                </c:pt>
                <c:pt idx="295">
                  <c:v>92.539107208487195</c:v>
                </c:pt>
                <c:pt idx="296">
                  <c:v>92.213891541998933</c:v>
                </c:pt>
                <c:pt idx="297">
                  <c:v>92.373147786750422</c:v>
                </c:pt>
                <c:pt idx="298">
                  <c:v>92.723080162725026</c:v>
                </c:pt>
                <c:pt idx="299">
                  <c:v>93.370590685993463</c:v>
                </c:pt>
                <c:pt idx="300">
                  <c:v>93.761365400888252</c:v>
                </c:pt>
                <c:pt idx="301">
                  <c:v>94.357428815895744</c:v>
                </c:pt>
                <c:pt idx="302">
                  <c:v>94.96001780883077</c:v>
                </c:pt>
                <c:pt idx="303">
                  <c:v>95.949041093932394</c:v>
                </c:pt>
                <c:pt idx="304">
                  <c:v>96.950454045957798</c:v>
                </c:pt>
                <c:pt idx="305">
                  <c:v>97.600482943807094</c:v>
                </c:pt>
                <c:pt idx="306">
                  <c:v>98.138695865972352</c:v>
                </c:pt>
                <c:pt idx="307">
                  <c:v>98.533562486869869</c:v>
                </c:pt>
                <c:pt idx="308">
                  <c:v>99.149101982505783</c:v>
                </c:pt>
                <c:pt idx="309">
                  <c:v>99.875453112085097</c:v>
                </c:pt>
                <c:pt idx="310">
                  <c:v>100.2980287750415</c:v>
                </c:pt>
                <c:pt idx="311">
                  <c:v>100.21785967573449</c:v>
                </c:pt>
                <c:pt idx="312">
                  <c:v>100.60002474015222</c:v>
                </c:pt>
                <c:pt idx="313">
                  <c:v>101.65895922821687</c:v>
                </c:pt>
                <c:pt idx="314">
                  <c:v>102.35193425071358</c:v>
                </c:pt>
                <c:pt idx="315">
                  <c:v>102.87759846029758</c:v>
                </c:pt>
                <c:pt idx="316">
                  <c:v>102.72891824061794</c:v>
                </c:pt>
                <c:pt idx="317">
                  <c:v>103.11882590578952</c:v>
                </c:pt>
                <c:pt idx="318">
                  <c:v>103.82054827670039</c:v>
                </c:pt>
                <c:pt idx="319">
                  <c:v>104.30715652803916</c:v>
                </c:pt>
                <c:pt idx="320">
                  <c:v>104.47000222650227</c:v>
                </c:pt>
                <c:pt idx="321">
                  <c:v>104.28873140071707</c:v>
                </c:pt>
                <c:pt idx="322">
                  <c:v>104.22812899142559</c:v>
                </c:pt>
                <c:pt idx="323">
                  <c:v>104.28179933599816</c:v>
                </c:pt>
                <c:pt idx="324">
                  <c:v>104.23166225112406</c:v>
                </c:pt>
                <c:pt idx="325">
                  <c:v>104.34438089369047</c:v>
                </c:pt>
                <c:pt idx="326">
                  <c:v>104.45405376780117</c:v>
                </c:pt>
                <c:pt idx="327">
                  <c:v>104.98086985298401</c:v>
                </c:pt>
                <c:pt idx="328">
                  <c:v>105.26128739358303</c:v>
                </c:pt>
                <c:pt idx="329">
                  <c:v>105.49189121723211</c:v>
                </c:pt>
                <c:pt idx="330">
                  <c:v>105.63515541365813</c:v>
                </c:pt>
                <c:pt idx="331">
                  <c:v>105.63697159431509</c:v>
                </c:pt>
                <c:pt idx="332">
                  <c:v>105.65011497243376</c:v>
                </c:pt>
                <c:pt idx="333">
                  <c:v>105.72912481875551</c:v>
                </c:pt>
                <c:pt idx="334">
                  <c:v>105.69292756464468</c:v>
                </c:pt>
                <c:pt idx="335">
                  <c:v>105.71223543498967</c:v>
                </c:pt>
                <c:pt idx="336">
                  <c:v>106.60698866601901</c:v>
                </c:pt>
                <c:pt idx="337">
                  <c:v>107.49475749273742</c:v>
                </c:pt>
                <c:pt idx="338">
                  <c:v>108.14841516229716</c:v>
                </c:pt>
                <c:pt idx="339">
                  <c:v>107.98358277682139</c:v>
                </c:pt>
                <c:pt idx="340">
                  <c:v>106.20175416820416</c:v>
                </c:pt>
                <c:pt idx="341">
                  <c:v>103.79971735233913</c:v>
                </c:pt>
                <c:pt idx="342">
                  <c:v>101.58468345707314</c:v>
                </c:pt>
                <c:pt idx="343">
                  <c:v>100.49596431785648</c:v>
                </c:pt>
                <c:pt idx="344">
                  <c:v>99.978877716300701</c:v>
                </c:pt>
                <c:pt idx="345">
                  <c:v>99.652124727788163</c:v>
                </c:pt>
                <c:pt idx="346">
                  <c:v>99.515765951109472</c:v>
                </c:pt>
                <c:pt idx="347">
                  <c:v>99.342566027601308</c:v>
                </c:pt>
                <c:pt idx="348">
                  <c:v>98.93146282883265</c:v>
                </c:pt>
                <c:pt idx="349">
                  <c:v>98.644122463821589</c:v>
                </c:pt>
                <c:pt idx="350">
                  <c:v>98.432977739291346</c:v>
                </c:pt>
                <c:pt idx="351">
                  <c:v>98.141925965612032</c:v>
                </c:pt>
                <c:pt idx="352">
                  <c:v>98.248991584499876</c:v>
                </c:pt>
                <c:pt idx="353">
                  <c:v>98.607088873783496</c:v>
                </c:pt>
                <c:pt idx="354">
                  <c:v>98.684593706971626</c:v>
                </c:pt>
                <c:pt idx="355">
                  <c:v>98.732168307963505</c:v>
                </c:pt>
                <c:pt idx="356">
                  <c:v>98.938555634212562</c:v>
                </c:pt>
                <c:pt idx="357">
                  <c:v>99.567547058773357</c:v>
                </c:pt>
                <c:pt idx="358">
                  <c:v>99.621245585005866</c:v>
                </c:pt>
                <c:pt idx="359">
                  <c:v>99.734707017655822</c:v>
                </c:pt>
                <c:pt idx="360">
                  <c:v>99.671272720719443</c:v>
                </c:pt>
                <c:pt idx="361">
                  <c:v>99.962374291116618</c:v>
                </c:pt>
                <c:pt idx="362">
                  <c:v>100.75287722706932</c:v>
                </c:pt>
                <c:pt idx="363">
                  <c:v>100.91723456914178</c:v>
                </c:pt>
                <c:pt idx="364">
                  <c:v>100.69191115691271</c:v>
                </c:pt>
                <c:pt idx="365">
                  <c:v>100.53823960009341</c:v>
                </c:pt>
                <c:pt idx="366">
                  <c:v>100.38322314366556</c:v>
                </c:pt>
                <c:pt idx="367">
                  <c:v>100.29355345368185</c:v>
                </c:pt>
                <c:pt idx="368">
                  <c:v>100.11731742412745</c:v>
                </c:pt>
                <c:pt idx="369">
                  <c:v>99.822125016122484</c:v>
                </c:pt>
                <c:pt idx="370">
                  <c:v>98.995065996854819</c:v>
                </c:pt>
                <c:pt idx="371">
                  <c:v>98.404090578581645</c:v>
                </c:pt>
                <c:pt idx="372">
                  <c:v>97.846653612282154</c:v>
                </c:pt>
                <c:pt idx="373">
                  <c:v>97.859216889730135</c:v>
                </c:pt>
                <c:pt idx="374">
                  <c:v>97.893387511707942</c:v>
                </c:pt>
                <c:pt idx="375">
                  <c:v>97.816083614117147</c:v>
                </c:pt>
                <c:pt idx="376">
                  <c:v>97.749415274524168</c:v>
                </c:pt>
                <c:pt idx="377">
                  <c:v>97.633356201840556</c:v>
                </c:pt>
                <c:pt idx="378">
                  <c:v>97.46808971341747</c:v>
                </c:pt>
                <c:pt idx="379">
                  <c:v>97.398568626911057</c:v>
                </c:pt>
                <c:pt idx="380">
                  <c:v>97.425986635896663</c:v>
                </c:pt>
                <c:pt idx="381">
                  <c:v>97.460477094805412</c:v>
                </c:pt>
                <c:pt idx="382">
                  <c:v>97.714594604276542</c:v>
                </c:pt>
                <c:pt idx="383">
                  <c:v>98.111336561677405</c:v>
                </c:pt>
                <c:pt idx="384">
                  <c:v>98.162206088515831</c:v>
                </c:pt>
                <c:pt idx="385">
                  <c:v>98.196306893809819</c:v>
                </c:pt>
                <c:pt idx="386">
                  <c:v>98.18236340685246</c:v>
                </c:pt>
                <c:pt idx="387">
                  <c:v>98.076274556751855</c:v>
                </c:pt>
                <c:pt idx="388">
                  <c:v>97.721402344247934</c:v>
                </c:pt>
                <c:pt idx="389">
                  <c:v>97.646095053738236</c:v>
                </c:pt>
                <c:pt idx="390">
                  <c:v>97.986379817245734</c:v>
                </c:pt>
                <c:pt idx="391">
                  <c:v>98.292443213248745</c:v>
                </c:pt>
                <c:pt idx="392">
                  <c:v>98.764859460259274</c:v>
                </c:pt>
                <c:pt idx="393">
                  <c:v>98.801834878400882</c:v>
                </c:pt>
                <c:pt idx="394">
                  <c:v>98.789351387288178</c:v>
                </c:pt>
                <c:pt idx="395">
                  <c:v>98.810111056808395</c:v>
                </c:pt>
                <c:pt idx="396">
                  <c:v>98.695367319686682</c:v>
                </c:pt>
                <c:pt idx="397">
                  <c:v>98.621952910361756</c:v>
                </c:pt>
                <c:pt idx="398">
                  <c:v>98.917854915270965</c:v>
                </c:pt>
                <c:pt idx="399">
                  <c:v>99.1471582821558</c:v>
                </c:pt>
                <c:pt idx="400">
                  <c:v>99.16133812690353</c:v>
                </c:pt>
                <c:pt idx="401">
                  <c:v>99.354524034103775</c:v>
                </c:pt>
                <c:pt idx="402">
                  <c:v>99.538104832946516</c:v>
                </c:pt>
                <c:pt idx="403">
                  <c:v>99.992391017322859</c:v>
                </c:pt>
                <c:pt idx="404">
                  <c:v>100.3854233170144</c:v>
                </c:pt>
                <c:pt idx="405">
                  <c:v>100.76369829459136</c:v>
                </c:pt>
                <c:pt idx="406">
                  <c:v>100.68811421040024</c:v>
                </c:pt>
                <c:pt idx="407">
                  <c:v>100.16655724454968</c:v>
                </c:pt>
                <c:pt idx="408">
                  <c:v>99.919389321640011</c:v>
                </c:pt>
                <c:pt idx="409">
                  <c:v>99.836202840394066</c:v>
                </c:pt>
                <c:pt idx="410">
                  <c:v>99.765896933595641</c:v>
                </c:pt>
                <c:pt idx="411">
                  <c:v>99.696989715708739</c:v>
                </c:pt>
                <c:pt idx="412">
                  <c:v>99.48653671703056</c:v>
                </c:pt>
                <c:pt idx="413">
                  <c:v>99.087585500997847</c:v>
                </c:pt>
                <c:pt idx="414">
                  <c:v>98.773491112433291</c:v>
                </c:pt>
                <c:pt idx="415">
                  <c:v>98.057522721438062</c:v>
                </c:pt>
                <c:pt idx="416">
                  <c:v>97.500053332403468</c:v>
                </c:pt>
                <c:pt idx="417">
                  <c:v>96.896603690724632</c:v>
                </c:pt>
                <c:pt idx="418">
                  <c:v>96.460706422130755</c:v>
                </c:pt>
                <c:pt idx="419">
                  <c:v>96.101873962851798</c:v>
                </c:pt>
                <c:pt idx="420">
                  <c:v>95.980023503290525</c:v>
                </c:pt>
                <c:pt idx="421">
                  <c:v>95.639354806542627</c:v>
                </c:pt>
                <c:pt idx="422">
                  <c:v>95.449726133752378</c:v>
                </c:pt>
                <c:pt idx="423">
                  <c:v>95.338836017397156</c:v>
                </c:pt>
                <c:pt idx="424">
                  <c:v>95.445500582330482</c:v>
                </c:pt>
                <c:pt idx="425">
                  <c:v>95.517875165870791</c:v>
                </c:pt>
                <c:pt idx="426">
                  <c:v>95.330121163214443</c:v>
                </c:pt>
                <c:pt idx="427">
                  <c:v>94.869706408577443</c:v>
                </c:pt>
                <c:pt idx="428">
                  <c:v>94.712480671732692</c:v>
                </c:pt>
                <c:pt idx="429">
                  <c:v>94.71786828443193</c:v>
                </c:pt>
                <c:pt idx="430">
                  <c:v>94.790583570861628</c:v>
                </c:pt>
                <c:pt idx="431">
                  <c:v>95.096690639499528</c:v>
                </c:pt>
                <c:pt idx="432">
                  <c:v>95.241751907143197</c:v>
                </c:pt>
                <c:pt idx="433">
                  <c:v>95.354465089602598</c:v>
                </c:pt>
                <c:pt idx="434">
                  <c:v>95.608235927767751</c:v>
                </c:pt>
                <c:pt idx="435">
                  <c:v>95.437128305945407</c:v>
                </c:pt>
                <c:pt idx="436">
                  <c:v>95.311193364413384</c:v>
                </c:pt>
                <c:pt idx="437">
                  <c:v>95.102259680899877</c:v>
                </c:pt>
                <c:pt idx="438">
                  <c:v>95.109490021693574</c:v>
                </c:pt>
                <c:pt idx="439">
                  <c:v>95.102020070533186</c:v>
                </c:pt>
                <c:pt idx="440">
                  <c:v>95.094691311422608</c:v>
                </c:pt>
                <c:pt idx="441">
                  <c:v>95.183937881727786</c:v>
                </c:pt>
                <c:pt idx="442">
                  <c:v>95.198790183702656</c:v>
                </c:pt>
                <c:pt idx="443">
                  <c:v>95.153423119756994</c:v>
                </c:pt>
                <c:pt idx="444">
                  <c:v>95.103603694968356</c:v>
                </c:pt>
                <c:pt idx="445">
                  <c:v>94.902235020431405</c:v>
                </c:pt>
                <c:pt idx="446">
                  <c:v>95.040803752881885</c:v>
                </c:pt>
                <c:pt idx="447">
                  <c:v>95.430878524076974</c:v>
                </c:pt>
                <c:pt idx="448">
                  <c:v>95.690424967314954</c:v>
                </c:pt>
                <c:pt idx="449">
                  <c:v>96.147026779398558</c:v>
                </c:pt>
                <c:pt idx="450">
                  <c:v>96.693361907292143</c:v>
                </c:pt>
                <c:pt idx="451">
                  <c:v>97.240907786620298</c:v>
                </c:pt>
                <c:pt idx="452">
                  <c:v>97.422972483974007</c:v>
                </c:pt>
                <c:pt idx="453">
                  <c:v>97.573986588701558</c:v>
                </c:pt>
                <c:pt idx="454">
                  <c:v>97.866038081947579</c:v>
                </c:pt>
                <c:pt idx="455">
                  <c:v>97.911224786694731</c:v>
                </c:pt>
                <c:pt idx="456">
                  <c:v>97.979601121459581</c:v>
                </c:pt>
                <c:pt idx="457">
                  <c:v>97.72461430239251</c:v>
                </c:pt>
                <c:pt idx="458">
                  <c:v>97.420839674473683</c:v>
                </c:pt>
                <c:pt idx="459">
                  <c:v>97.54736757892195</c:v>
                </c:pt>
                <c:pt idx="460">
                  <c:v>97.251519955994866</c:v>
                </c:pt>
                <c:pt idx="461">
                  <c:v>96.719575266327482</c:v>
                </c:pt>
                <c:pt idx="462">
                  <c:v>96.468402486962518</c:v>
                </c:pt>
                <c:pt idx="463">
                  <c:v>95.830207964195978</c:v>
                </c:pt>
                <c:pt idx="464">
                  <c:v>95.459797723094823</c:v>
                </c:pt>
                <c:pt idx="465">
                  <c:v>95.423826837826027</c:v>
                </c:pt>
                <c:pt idx="466">
                  <c:v>95.302136994104572</c:v>
                </c:pt>
                <c:pt idx="467">
                  <c:v>95.35325450529173</c:v>
                </c:pt>
                <c:pt idx="468">
                  <c:v>95.478145075966012</c:v>
                </c:pt>
                <c:pt idx="469">
                  <c:v>95.484522481616267</c:v>
                </c:pt>
                <c:pt idx="470">
                  <c:v>95.449081201536089</c:v>
                </c:pt>
                <c:pt idx="471">
                  <c:v>95.15732574177423</c:v>
                </c:pt>
                <c:pt idx="472">
                  <c:v>95.032437045640435</c:v>
                </c:pt>
                <c:pt idx="473">
                  <c:v>95.093367986084331</c:v>
                </c:pt>
                <c:pt idx="474">
                  <c:v>95.08848306807289</c:v>
                </c:pt>
                <c:pt idx="475">
                  <c:v>95.089829078248513</c:v>
                </c:pt>
                <c:pt idx="476">
                  <c:v>95.042903519760188</c:v>
                </c:pt>
                <c:pt idx="477">
                  <c:v>95.066391854567044</c:v>
                </c:pt>
                <c:pt idx="478">
                  <c:v>95.34811434555985</c:v>
                </c:pt>
                <c:pt idx="479">
                  <c:v>95.480154429099215</c:v>
                </c:pt>
                <c:pt idx="480">
                  <c:v>95.550382171011918</c:v>
                </c:pt>
                <c:pt idx="481">
                  <c:v>95.595979333757469</c:v>
                </c:pt>
                <c:pt idx="482">
                  <c:v>95.338351849804042</c:v>
                </c:pt>
                <c:pt idx="483">
                  <c:v>95.36246506969367</c:v>
                </c:pt>
                <c:pt idx="484">
                  <c:v>95.289794188848845</c:v>
                </c:pt>
                <c:pt idx="485">
                  <c:v>94.77827773744103</c:v>
                </c:pt>
                <c:pt idx="486">
                  <c:v>94.413101879448817</c:v>
                </c:pt>
                <c:pt idx="487">
                  <c:v>93.918096146989654</c:v>
                </c:pt>
                <c:pt idx="488">
                  <c:v>93.510559957140217</c:v>
                </c:pt>
                <c:pt idx="489">
                  <c:v>93.415626385312933</c:v>
                </c:pt>
                <c:pt idx="490">
                  <c:v>93.487808983957194</c:v>
                </c:pt>
                <c:pt idx="491">
                  <c:v>93.912648079759663</c:v>
                </c:pt>
                <c:pt idx="492">
                  <c:v>94.247794053837836</c:v>
                </c:pt>
                <c:pt idx="493">
                  <c:v>94.272986504039565</c:v>
                </c:pt>
                <c:pt idx="494">
                  <c:v>94.374125019704366</c:v>
                </c:pt>
                <c:pt idx="495">
                  <c:v>94.434536480394911</c:v>
                </c:pt>
                <c:pt idx="496">
                  <c:v>94.434063630642541</c:v>
                </c:pt>
                <c:pt idx="497">
                  <c:v>94.413885545754468</c:v>
                </c:pt>
                <c:pt idx="498">
                  <c:v>94.466680722097124</c:v>
                </c:pt>
                <c:pt idx="499">
                  <c:v>94.535105447350489</c:v>
                </c:pt>
                <c:pt idx="500">
                  <c:v>94.506660505394962</c:v>
                </c:pt>
                <c:pt idx="501">
                  <c:v>94.611392734312744</c:v>
                </c:pt>
                <c:pt idx="502">
                  <c:v>94.76822815723871</c:v>
                </c:pt>
                <c:pt idx="503">
                  <c:v>95.011717132195841</c:v>
                </c:pt>
                <c:pt idx="504">
                  <c:v>95.224106699840974</c:v>
                </c:pt>
                <c:pt idx="505">
                  <c:v>95.728455775810289</c:v>
                </c:pt>
                <c:pt idx="506">
                  <c:v>96.19840458364888</c:v>
                </c:pt>
                <c:pt idx="507">
                  <c:v>96.94227818937965</c:v>
                </c:pt>
                <c:pt idx="508">
                  <c:v>97.831168596869091</c:v>
                </c:pt>
                <c:pt idx="509">
                  <c:v>98.149235087359216</c:v>
                </c:pt>
                <c:pt idx="510">
                  <c:v>97.930070730662166</c:v>
                </c:pt>
                <c:pt idx="511">
                  <c:v>97.603543040745421</c:v>
                </c:pt>
                <c:pt idx="512">
                  <c:v>97.068499988092384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Data!$Z$1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5">
                  <c:v>3.1934263454472145E-2</c:v>
                </c:pt>
                <c:pt idx="36">
                  <c:v>-5.1512005930295812E-2</c:v>
                </c:pt>
                <c:pt idx="37">
                  <c:v>-4.8904759483642479E-2</c:v>
                </c:pt>
                <c:pt idx="38">
                  <c:v>-4.9821946211132229E-2</c:v>
                </c:pt>
                <c:pt idx="39">
                  <c:v>-2.3705902194079975E-3</c:v>
                </c:pt>
                <c:pt idx="40">
                  <c:v>2.4413731356803581E-2</c:v>
                </c:pt>
                <c:pt idx="41">
                  <c:v>0.18484161397715448</c:v>
                </c:pt>
                <c:pt idx="42">
                  <c:v>0.27597558519671472</c:v>
                </c:pt>
                <c:pt idx="43">
                  <c:v>0.3820887414682117</c:v>
                </c:pt>
                <c:pt idx="44">
                  <c:v>0.44201747506977185</c:v>
                </c:pt>
                <c:pt idx="45">
                  <c:v>0.47459328654680066</c:v>
                </c:pt>
                <c:pt idx="46">
                  <c:v>0.51914427629216786</c:v>
                </c:pt>
                <c:pt idx="47">
                  <c:v>0.46876502554375843</c:v>
                </c:pt>
                <c:pt idx="48">
                  <c:v>0.39300490096262441</c:v>
                </c:pt>
                <c:pt idx="49">
                  <c:v>0.26995073116302243</c:v>
                </c:pt>
                <c:pt idx="50">
                  <c:v>0.19775566732158809</c:v>
                </c:pt>
                <c:pt idx="51">
                  <c:v>0.1467320791258096</c:v>
                </c:pt>
                <c:pt idx="52">
                  <c:v>0.15407650517944205</c:v>
                </c:pt>
                <c:pt idx="53">
                  <c:v>0.10856214061013453</c:v>
                </c:pt>
                <c:pt idx="54">
                  <c:v>4.9924359113573978E-2</c:v>
                </c:pt>
                <c:pt idx="55">
                  <c:v>7.7191815151640628E-3</c:v>
                </c:pt>
                <c:pt idx="56">
                  <c:v>-2.5182369928864627E-2</c:v>
                </c:pt>
                <c:pt idx="57">
                  <c:v>-0.1110972199584077</c:v>
                </c:pt>
                <c:pt idx="58">
                  <c:v>7.4517058744179576E-3</c:v>
                </c:pt>
                <c:pt idx="59">
                  <c:v>0.13049854934171337</c:v>
                </c:pt>
                <c:pt idx="60">
                  <c:v>0.17048294585833096</c:v>
                </c:pt>
                <c:pt idx="61">
                  <c:v>0.20378404442127968</c:v>
                </c:pt>
                <c:pt idx="62">
                  <c:v>0.16814470708991103</c:v>
                </c:pt>
                <c:pt idx="63">
                  <c:v>0.15523571774849865</c:v>
                </c:pt>
                <c:pt idx="64">
                  <c:v>0.10328972951100646</c:v>
                </c:pt>
                <c:pt idx="65">
                  <c:v>0.12445210207926177</c:v>
                </c:pt>
                <c:pt idx="66">
                  <c:v>0.16324094199894829</c:v>
                </c:pt>
                <c:pt idx="67">
                  <c:v>3.3897347186972154E-2</c:v>
                </c:pt>
                <c:pt idx="68">
                  <c:v>-7.2871693135465404E-2</c:v>
                </c:pt>
                <c:pt idx="69">
                  <c:v>-0.13292492239197373</c:v>
                </c:pt>
                <c:pt idx="70">
                  <c:v>-0.1213177590822811</c:v>
                </c:pt>
                <c:pt idx="71">
                  <c:v>-0.23041495825995653</c:v>
                </c:pt>
                <c:pt idx="72">
                  <c:v>-0.10196013269617209</c:v>
                </c:pt>
                <c:pt idx="73">
                  <c:v>1.9552940043995382E-2</c:v>
                </c:pt>
                <c:pt idx="74">
                  <c:v>0.14944587457431582</c:v>
                </c:pt>
                <c:pt idx="75">
                  <c:v>0.28318491422948333</c:v>
                </c:pt>
                <c:pt idx="76">
                  <c:v>0.35743334666648519</c:v>
                </c:pt>
                <c:pt idx="77">
                  <c:v>0.42031980923976775</c:v>
                </c:pt>
                <c:pt idx="78">
                  <c:v>0.4775737928137318</c:v>
                </c:pt>
                <c:pt idx="79">
                  <c:v>0.40850675726557251</c:v>
                </c:pt>
                <c:pt idx="80">
                  <c:v>0.40462890645075222</c:v>
                </c:pt>
                <c:pt idx="81">
                  <c:v>0.4019626509954255</c:v>
                </c:pt>
                <c:pt idx="82">
                  <c:v>0.3973648854508125</c:v>
                </c:pt>
                <c:pt idx="83">
                  <c:v>0.39408271750738755</c:v>
                </c:pt>
                <c:pt idx="84">
                  <c:v>0.38196453015773368</c:v>
                </c:pt>
                <c:pt idx="85">
                  <c:v>0.38066537059650241</c:v>
                </c:pt>
                <c:pt idx="86">
                  <c:v>0.43640198981848854</c:v>
                </c:pt>
                <c:pt idx="87">
                  <c:v>0.44100811316230581</c:v>
                </c:pt>
                <c:pt idx="88">
                  <c:v>0.44295250359087479</c:v>
                </c:pt>
                <c:pt idx="89">
                  <c:v>0.38021393097639078</c:v>
                </c:pt>
                <c:pt idx="90">
                  <c:v>0.30232996440707471</c:v>
                </c:pt>
                <c:pt idx="91">
                  <c:v>0.15835828941406693</c:v>
                </c:pt>
                <c:pt idx="92">
                  <c:v>6.1198854692087856E-2</c:v>
                </c:pt>
                <c:pt idx="93">
                  <c:v>-1.889657041520465E-2</c:v>
                </c:pt>
                <c:pt idx="94">
                  <c:v>-7.1929445113559698E-2</c:v>
                </c:pt>
                <c:pt idx="95">
                  <c:v>-0.15483380260248403</c:v>
                </c:pt>
                <c:pt idx="96">
                  <c:v>-0.22495872702602515</c:v>
                </c:pt>
                <c:pt idx="97">
                  <c:v>-0.2854376660780682</c:v>
                </c:pt>
                <c:pt idx="98">
                  <c:v>-0.46687592309832637</c:v>
                </c:pt>
                <c:pt idx="99">
                  <c:v>-0.53358792737032967</c:v>
                </c:pt>
                <c:pt idx="100">
                  <c:v>-0.63727387231150123</c:v>
                </c:pt>
                <c:pt idx="101">
                  <c:v>-0.76235191543629921</c:v>
                </c:pt>
                <c:pt idx="102">
                  <c:v>-0.77511925791880099</c:v>
                </c:pt>
                <c:pt idx="103">
                  <c:v>-0.61550093473372125</c:v>
                </c:pt>
                <c:pt idx="104">
                  <c:v>-0.54433768263682281</c:v>
                </c:pt>
                <c:pt idx="105">
                  <c:v>-0.47303212094411767</c:v>
                </c:pt>
                <c:pt idx="106">
                  <c:v>-0.47832567186484809</c:v>
                </c:pt>
                <c:pt idx="107">
                  <c:v>-0.50409712278705854</c:v>
                </c:pt>
                <c:pt idx="108">
                  <c:v>-0.51276220791190785</c:v>
                </c:pt>
                <c:pt idx="109">
                  <c:v>-0.44590294030728272</c:v>
                </c:pt>
                <c:pt idx="110">
                  <c:v>-0.41588165153797674</c:v>
                </c:pt>
                <c:pt idx="111">
                  <c:v>-0.41212828794216749</c:v>
                </c:pt>
                <c:pt idx="112">
                  <c:v>-0.41899117163403649</c:v>
                </c:pt>
                <c:pt idx="113">
                  <c:v>-0.38077742970212081</c:v>
                </c:pt>
                <c:pt idx="114">
                  <c:v>-0.34607836945269776</c:v>
                </c:pt>
                <c:pt idx="115">
                  <c:v>-0.31716514961117326</c:v>
                </c:pt>
                <c:pt idx="116">
                  <c:v>-0.26714411214894851</c:v>
                </c:pt>
                <c:pt idx="117">
                  <c:v>-0.22696624255862086</c:v>
                </c:pt>
                <c:pt idx="118">
                  <c:v>-0.12307098475810363</c:v>
                </c:pt>
                <c:pt idx="119">
                  <c:v>-0.16373239518974481</c:v>
                </c:pt>
                <c:pt idx="120">
                  <c:v>-0.15464825332218579</c:v>
                </c:pt>
                <c:pt idx="121">
                  <c:v>-0.1317390633118346</c:v>
                </c:pt>
                <c:pt idx="122">
                  <c:v>-0.11829604781466474</c:v>
                </c:pt>
                <c:pt idx="123">
                  <c:v>-0.13355751391235171</c:v>
                </c:pt>
                <c:pt idx="124">
                  <c:v>-0.11656635597453358</c:v>
                </c:pt>
                <c:pt idx="125">
                  <c:v>-0.106788323203312</c:v>
                </c:pt>
                <c:pt idx="126">
                  <c:v>-4.9470041660226283E-2</c:v>
                </c:pt>
                <c:pt idx="127">
                  <c:v>-5.5229325978255472E-2</c:v>
                </c:pt>
                <c:pt idx="128">
                  <c:v>-1.8410006869540529E-2</c:v>
                </c:pt>
                <c:pt idx="129">
                  <c:v>8.0861008215745933E-2</c:v>
                </c:pt>
                <c:pt idx="130">
                  <c:v>0.25026335558224932</c:v>
                </c:pt>
                <c:pt idx="131">
                  <c:v>0.39928872068624133</c:v>
                </c:pt>
                <c:pt idx="132">
                  <c:v>0.35706498666711306</c:v>
                </c:pt>
                <c:pt idx="133">
                  <c:v>0.40186251449851051</c:v>
                </c:pt>
                <c:pt idx="134">
                  <c:v>0.55665124769574825</c:v>
                </c:pt>
                <c:pt idx="135">
                  <c:v>0.65229648086878556</c:v>
                </c:pt>
                <c:pt idx="136">
                  <c:v>0.67756769842812981</c:v>
                </c:pt>
                <c:pt idx="137">
                  <c:v>0.69861860830416911</c:v>
                </c:pt>
                <c:pt idx="138">
                  <c:v>0.58733134348306892</c:v>
                </c:pt>
                <c:pt idx="139">
                  <c:v>0.6541392985040122</c:v>
                </c:pt>
                <c:pt idx="140">
                  <c:v>0.66229303857924626</c:v>
                </c:pt>
                <c:pt idx="141">
                  <c:v>0.66237899934876321</c:v>
                </c:pt>
                <c:pt idx="142">
                  <c:v>0.65015044067414673</c:v>
                </c:pt>
                <c:pt idx="143">
                  <c:v>0.68424578755328347</c:v>
                </c:pt>
                <c:pt idx="144">
                  <c:v>0.62086110084038904</c:v>
                </c:pt>
                <c:pt idx="145">
                  <c:v>0.71079830006654188</c:v>
                </c:pt>
                <c:pt idx="146">
                  <c:v>0.82221507707268904</c:v>
                </c:pt>
                <c:pt idx="147">
                  <c:v>0.763881615768359</c:v>
                </c:pt>
                <c:pt idx="148">
                  <c:v>0.68470820565229662</c:v>
                </c:pt>
                <c:pt idx="149">
                  <c:v>0.60208247486111555</c:v>
                </c:pt>
                <c:pt idx="150">
                  <c:v>0.45707251876549027</c:v>
                </c:pt>
                <c:pt idx="151">
                  <c:v>0.35674061284129621</c:v>
                </c:pt>
                <c:pt idx="152">
                  <c:v>0.31438558901523095</c:v>
                </c:pt>
                <c:pt idx="153">
                  <c:v>0.22946286726544241</c:v>
                </c:pt>
                <c:pt idx="154">
                  <c:v>9.6261268715570392E-2</c:v>
                </c:pt>
                <c:pt idx="155">
                  <c:v>-0.11723506629490066</c:v>
                </c:pt>
                <c:pt idx="156">
                  <c:v>-0.21005539390967387</c:v>
                </c:pt>
                <c:pt idx="157">
                  <c:v>-0.25763167602504256</c:v>
                </c:pt>
                <c:pt idx="158">
                  <c:v>-0.30886836001614082</c:v>
                </c:pt>
                <c:pt idx="159">
                  <c:v>-0.32773877260898931</c:v>
                </c:pt>
                <c:pt idx="160">
                  <c:v>-0.32458643216078342</c:v>
                </c:pt>
                <c:pt idx="161">
                  <c:v>-0.32747776193904055</c:v>
                </c:pt>
                <c:pt idx="162">
                  <c:v>-0.30964665517125578</c:v>
                </c:pt>
                <c:pt idx="163">
                  <c:v>-0.38180255410225561</c:v>
                </c:pt>
                <c:pt idx="164">
                  <c:v>-0.3710525575065089</c:v>
                </c:pt>
                <c:pt idx="165">
                  <c:v>-0.33230729274973214</c:v>
                </c:pt>
                <c:pt idx="166">
                  <c:v>-0.2562290024712981</c:v>
                </c:pt>
                <c:pt idx="167">
                  <c:v>-9.8252113117016648E-2</c:v>
                </c:pt>
                <c:pt idx="168">
                  <c:v>6.4709160063634474E-2</c:v>
                </c:pt>
                <c:pt idx="169">
                  <c:v>0.11169980557258907</c:v>
                </c:pt>
                <c:pt idx="170">
                  <c:v>8.9666161025687918E-2</c:v>
                </c:pt>
                <c:pt idx="171">
                  <c:v>0.1516790757909332</c:v>
                </c:pt>
                <c:pt idx="172">
                  <c:v>0.18300213914976293</c:v>
                </c:pt>
                <c:pt idx="173">
                  <c:v>0.10560009314526653</c:v>
                </c:pt>
                <c:pt idx="174">
                  <c:v>9.8168320753386773E-3</c:v>
                </c:pt>
                <c:pt idx="175">
                  <c:v>9.6195858875669504E-3</c:v>
                </c:pt>
                <c:pt idx="176">
                  <c:v>1.3162672848560097E-2</c:v>
                </c:pt>
                <c:pt idx="177">
                  <c:v>-1.9456204992836623E-2</c:v>
                </c:pt>
                <c:pt idx="178">
                  <c:v>-0.12531690602580881</c:v>
                </c:pt>
                <c:pt idx="179">
                  <c:v>-0.28145997366369224</c:v>
                </c:pt>
                <c:pt idx="180">
                  <c:v>-0.29947175990444541</c:v>
                </c:pt>
                <c:pt idx="181">
                  <c:v>-0.26501666243546818</c:v>
                </c:pt>
                <c:pt idx="182">
                  <c:v>-0.31821753661132335</c:v>
                </c:pt>
                <c:pt idx="183">
                  <c:v>-0.32456611348728348</c:v>
                </c:pt>
                <c:pt idx="184">
                  <c:v>-0.32472673563023946</c:v>
                </c:pt>
                <c:pt idx="185">
                  <c:v>-0.25835719572991422</c:v>
                </c:pt>
                <c:pt idx="186">
                  <c:v>-0.20742320605198761</c:v>
                </c:pt>
                <c:pt idx="187">
                  <c:v>-0.10837260068789434</c:v>
                </c:pt>
                <c:pt idx="188">
                  <c:v>-9.3875207879904998E-2</c:v>
                </c:pt>
                <c:pt idx="189">
                  <c:v>-0.11568937810241164</c:v>
                </c:pt>
                <c:pt idx="190">
                  <c:v>-0.1869354902968059</c:v>
                </c:pt>
                <c:pt idx="191">
                  <c:v>-0.35775582009007534</c:v>
                </c:pt>
                <c:pt idx="192">
                  <c:v>-0.39104062038900222</c:v>
                </c:pt>
                <c:pt idx="193">
                  <c:v>-0.38079525171193296</c:v>
                </c:pt>
                <c:pt idx="194">
                  <c:v>-0.40994373319889726</c:v>
                </c:pt>
                <c:pt idx="195">
                  <c:v>-0.3636801348857801</c:v>
                </c:pt>
                <c:pt idx="196">
                  <c:v>-0.27302237288327885</c:v>
                </c:pt>
                <c:pt idx="197">
                  <c:v>-5.0817513760787747E-2</c:v>
                </c:pt>
                <c:pt idx="198">
                  <c:v>0.13253961308123741</c:v>
                </c:pt>
                <c:pt idx="199">
                  <c:v>0.20696709910828492</c:v>
                </c:pt>
                <c:pt idx="200">
                  <c:v>0.30957817373510044</c:v>
                </c:pt>
                <c:pt idx="201">
                  <c:v>0.32166128021327389</c:v>
                </c:pt>
                <c:pt idx="202">
                  <c:v>0.27180760271404281</c:v>
                </c:pt>
                <c:pt idx="203">
                  <c:v>0.32935497680678738</c:v>
                </c:pt>
                <c:pt idx="204">
                  <c:v>0.31643476025988404</c:v>
                </c:pt>
                <c:pt idx="205">
                  <c:v>0.13166757572303389</c:v>
                </c:pt>
                <c:pt idx="206">
                  <c:v>1.513984753125186E-2</c:v>
                </c:pt>
                <c:pt idx="207">
                  <c:v>-0.18719791280692</c:v>
                </c:pt>
                <c:pt idx="208">
                  <c:v>-0.32315799209592122</c:v>
                </c:pt>
                <c:pt idx="209">
                  <c:v>-0.46389504664585324</c:v>
                </c:pt>
                <c:pt idx="210">
                  <c:v>-0.64003454198315879</c:v>
                </c:pt>
                <c:pt idx="211">
                  <c:v>-0.77470264878893713</c:v>
                </c:pt>
                <c:pt idx="212">
                  <c:v>-0.77754921496452201</c:v>
                </c:pt>
                <c:pt idx="213">
                  <c:v>-0.7934922052761626</c:v>
                </c:pt>
                <c:pt idx="214">
                  <c:v>-0.84818467856210567</c:v>
                </c:pt>
                <c:pt idx="215">
                  <c:v>-0.79919623162877518</c:v>
                </c:pt>
                <c:pt idx="216">
                  <c:v>-0.69873265076388846</c:v>
                </c:pt>
                <c:pt idx="217">
                  <c:v>-0.68391298529035227</c:v>
                </c:pt>
                <c:pt idx="218">
                  <c:v>-0.73411671822872537</c:v>
                </c:pt>
                <c:pt idx="219">
                  <c:v>-0.72759710526958554</c:v>
                </c:pt>
                <c:pt idx="220">
                  <c:v>-0.59677762648929411</c:v>
                </c:pt>
                <c:pt idx="221">
                  <c:v>-0.46949001616400965</c:v>
                </c:pt>
                <c:pt idx="222">
                  <c:v>-0.31747166816682615</c:v>
                </c:pt>
                <c:pt idx="223">
                  <c:v>-0.13230915487276462</c:v>
                </c:pt>
                <c:pt idx="224">
                  <c:v>5.8478923790522774E-2</c:v>
                </c:pt>
                <c:pt idx="225">
                  <c:v>0.16862979617118778</c:v>
                </c:pt>
                <c:pt idx="226">
                  <c:v>0.31461581023014507</c:v>
                </c:pt>
                <c:pt idx="227">
                  <c:v>0.54616847916760847</c:v>
                </c:pt>
                <c:pt idx="228">
                  <c:v>0.66799795773893322</c:v>
                </c:pt>
                <c:pt idx="229">
                  <c:v>0.65762469371067023</c:v>
                </c:pt>
                <c:pt idx="230">
                  <c:v>0.49323480555490051</c:v>
                </c:pt>
                <c:pt idx="231">
                  <c:v>0.3112794723551775</c:v>
                </c:pt>
                <c:pt idx="232">
                  <c:v>0.13097244868057167</c:v>
                </c:pt>
                <c:pt idx="233">
                  <c:v>1.1267987319904194E-2</c:v>
                </c:pt>
                <c:pt idx="234">
                  <c:v>-0.16375809396027419</c:v>
                </c:pt>
                <c:pt idx="235">
                  <c:v>-0.25924933196857169</c:v>
                </c:pt>
                <c:pt idx="236">
                  <c:v>-0.30248386409441208</c:v>
                </c:pt>
                <c:pt idx="237">
                  <c:v>-0.42807173588826064</c:v>
                </c:pt>
                <c:pt idx="238">
                  <c:v>-0.48284610482525703</c:v>
                </c:pt>
                <c:pt idx="239">
                  <c:v>-0.47522418914454678</c:v>
                </c:pt>
                <c:pt idx="240">
                  <c:v>-0.5241745848066377</c:v>
                </c:pt>
                <c:pt idx="241">
                  <c:v>-0.54036680823905403</c:v>
                </c:pt>
                <c:pt idx="242">
                  <c:v>-0.6328637944968909</c:v>
                </c:pt>
                <c:pt idx="243">
                  <c:v>-0.62841152787397525</c:v>
                </c:pt>
                <c:pt idx="244">
                  <c:v>-0.51349304144989372</c:v>
                </c:pt>
                <c:pt idx="245">
                  <c:v>-0.41842964722178744</c:v>
                </c:pt>
                <c:pt idx="246">
                  <c:v>-0.32260996529892205</c:v>
                </c:pt>
                <c:pt idx="247">
                  <c:v>-0.2242222232116422</c:v>
                </c:pt>
                <c:pt idx="248">
                  <c:v>-0.13142417753366686</c:v>
                </c:pt>
                <c:pt idx="249">
                  <c:v>-7.0307265498121385E-2</c:v>
                </c:pt>
                <c:pt idx="250">
                  <c:v>-2.0967773098439224E-3</c:v>
                </c:pt>
                <c:pt idx="251">
                  <c:v>4.9758130231090103E-2</c:v>
                </c:pt>
                <c:pt idx="252">
                  <c:v>0.11469519006446349</c:v>
                </c:pt>
                <c:pt idx="253">
                  <c:v>0.11524329106978026</c:v>
                </c:pt>
                <c:pt idx="254">
                  <c:v>0.10705107687985516</c:v>
                </c:pt>
                <c:pt idx="255">
                  <c:v>0.1816344368683982</c:v>
                </c:pt>
                <c:pt idx="256">
                  <c:v>0.1844371271873726</c:v>
                </c:pt>
                <c:pt idx="257">
                  <c:v>0.21698663650656158</c:v>
                </c:pt>
                <c:pt idx="258">
                  <c:v>0.30299426519713979</c:v>
                </c:pt>
                <c:pt idx="259">
                  <c:v>0.41475645366451563</c:v>
                </c:pt>
                <c:pt idx="260">
                  <c:v>0.60797098891296697</c:v>
                </c:pt>
                <c:pt idx="261">
                  <c:v>0.80498607131850086</c:v>
                </c:pt>
                <c:pt idx="262">
                  <c:v>0.87288164945405677</c:v>
                </c:pt>
                <c:pt idx="263">
                  <c:v>0.72666362389545514</c:v>
                </c:pt>
                <c:pt idx="264">
                  <c:v>0.60732903981391395</c:v>
                </c:pt>
                <c:pt idx="265">
                  <c:v>0.50014331681556567</c:v>
                </c:pt>
                <c:pt idx="266">
                  <c:v>0.6890397934981809</c:v>
                </c:pt>
                <c:pt idx="267">
                  <c:v>0.68253785685902724</c:v>
                </c:pt>
                <c:pt idx="268">
                  <c:v>0.59574519206569154</c:v>
                </c:pt>
                <c:pt idx="269">
                  <c:v>0.59647511611742576</c:v>
                </c:pt>
                <c:pt idx="270">
                  <c:v>0.56068184601096571</c:v>
                </c:pt>
                <c:pt idx="271">
                  <c:v>0.63023030803653968</c:v>
                </c:pt>
                <c:pt idx="272">
                  <c:v>0.5954349100089944</c:v>
                </c:pt>
                <c:pt idx="273">
                  <c:v>0.62270286863103264</c:v>
                </c:pt>
                <c:pt idx="274">
                  <c:v>0.55519602876123197</c:v>
                </c:pt>
                <c:pt idx="275">
                  <c:v>0.52181885659055194</c:v>
                </c:pt>
                <c:pt idx="276">
                  <c:v>0.50784114817049253</c:v>
                </c:pt>
                <c:pt idx="277">
                  <c:v>0.44114206921349863</c:v>
                </c:pt>
                <c:pt idx="278">
                  <c:v>0.25773543435710766</c:v>
                </c:pt>
                <c:pt idx="279">
                  <c:v>0.190809800742891</c:v>
                </c:pt>
                <c:pt idx="280">
                  <c:v>8.3179335479627969E-2</c:v>
                </c:pt>
                <c:pt idx="281">
                  <c:v>5.6320363463283174E-2</c:v>
                </c:pt>
                <c:pt idx="282">
                  <c:v>-4.148644710735172E-3</c:v>
                </c:pt>
                <c:pt idx="283">
                  <c:v>-1.8686767666858284E-2</c:v>
                </c:pt>
                <c:pt idx="284">
                  <c:v>0.12400372938971493</c:v>
                </c:pt>
                <c:pt idx="285">
                  <c:v>0.28855630129941257</c:v>
                </c:pt>
                <c:pt idx="286">
                  <c:v>0.44923150598264439</c:v>
                </c:pt>
                <c:pt idx="287">
                  <c:v>0.45124907601978559</c:v>
                </c:pt>
                <c:pt idx="288">
                  <c:v>0.41459199599525554</c:v>
                </c:pt>
                <c:pt idx="289">
                  <c:v>0.45933204891115587</c:v>
                </c:pt>
                <c:pt idx="290">
                  <c:v>0.60913388710942362</c:v>
                </c:pt>
                <c:pt idx="291">
                  <c:v>0.53666202681651032</c:v>
                </c:pt>
                <c:pt idx="292">
                  <c:v>0.32234383871693417</c:v>
                </c:pt>
                <c:pt idx="293">
                  <c:v>0.1993743328754829</c:v>
                </c:pt>
                <c:pt idx="294">
                  <c:v>0.26856394252681959</c:v>
                </c:pt>
                <c:pt idx="295">
                  <c:v>0.47246314031720704</c:v>
                </c:pt>
                <c:pt idx="296">
                  <c:v>0.37186773309048604</c:v>
                </c:pt>
                <c:pt idx="297">
                  <c:v>0.19716591048693566</c:v>
                </c:pt>
                <c:pt idx="298">
                  <c:v>0.18000645091646383</c:v>
                </c:pt>
                <c:pt idx="299">
                  <c:v>0.25633715876094643</c:v>
                </c:pt>
                <c:pt idx="300">
                  <c:v>0.34647493805823926</c:v>
                </c:pt>
                <c:pt idx="301">
                  <c:v>0.37465784735584506</c:v>
                </c:pt>
                <c:pt idx="302">
                  <c:v>0.32913032016085442</c:v>
                </c:pt>
                <c:pt idx="303">
                  <c:v>0.32264013261228452</c:v>
                </c:pt>
                <c:pt idx="304">
                  <c:v>0.23364715892984611</c:v>
                </c:pt>
                <c:pt idx="305">
                  <c:v>7.8568544333363022E-2</c:v>
                </c:pt>
                <c:pt idx="306">
                  <c:v>-0.12976434185283248</c:v>
                </c:pt>
                <c:pt idx="307">
                  <c:v>-0.15668071285506269</c:v>
                </c:pt>
                <c:pt idx="308">
                  <c:v>-0.16257076152909278</c:v>
                </c:pt>
                <c:pt idx="309">
                  <c:v>-0.12588467226285927</c:v>
                </c:pt>
                <c:pt idx="310">
                  <c:v>-4.160309372221338E-3</c:v>
                </c:pt>
                <c:pt idx="311">
                  <c:v>1.4521375933454816E-2</c:v>
                </c:pt>
                <c:pt idx="312">
                  <c:v>-2.9203631578696321E-2</c:v>
                </c:pt>
                <c:pt idx="313">
                  <c:v>0.12133469601900471</c:v>
                </c:pt>
                <c:pt idx="314">
                  <c:v>-3.1902017011339545E-2</c:v>
                </c:pt>
                <c:pt idx="315">
                  <c:v>-0.40061859273342204</c:v>
                </c:pt>
                <c:pt idx="316">
                  <c:v>-0.59250522522105431</c:v>
                </c:pt>
                <c:pt idx="317">
                  <c:v>-0.72149924879266303</c:v>
                </c:pt>
                <c:pt idx="318">
                  <c:v>-0.62333924559995557</c:v>
                </c:pt>
                <c:pt idx="319">
                  <c:v>-0.44970797965543574</c:v>
                </c:pt>
                <c:pt idx="320">
                  <c:v>-0.18132848323869544</c:v>
                </c:pt>
                <c:pt idx="321">
                  <c:v>-4.9098585806548245E-2</c:v>
                </c:pt>
                <c:pt idx="322">
                  <c:v>-4.5571870089256006E-3</c:v>
                </c:pt>
                <c:pt idx="323">
                  <c:v>4.8430406410160831E-2</c:v>
                </c:pt>
                <c:pt idx="324">
                  <c:v>-1.1047963781335213E-2</c:v>
                </c:pt>
                <c:pt idx="325">
                  <c:v>8.4210783942332057E-2</c:v>
                </c:pt>
                <c:pt idx="326">
                  <c:v>7.2159093933970464E-2</c:v>
                </c:pt>
                <c:pt idx="327">
                  <c:v>-3.5403343880743954E-2</c:v>
                </c:pt>
                <c:pt idx="328">
                  <c:v>-0.17222188707012198</c:v>
                </c:pt>
                <c:pt idx="329">
                  <c:v>-0.22280995868709352</c:v>
                </c:pt>
                <c:pt idx="330">
                  <c:v>-0.19576904958998953</c:v>
                </c:pt>
                <c:pt idx="331">
                  <c:v>-0.14529384342916263</c:v>
                </c:pt>
                <c:pt idx="332">
                  <c:v>-0.13413762121303208</c:v>
                </c:pt>
                <c:pt idx="333">
                  <c:v>-0.29723821056282151</c:v>
                </c:pt>
                <c:pt idx="334">
                  <c:v>-0.43142044416337999</c:v>
                </c:pt>
                <c:pt idx="335">
                  <c:v>-0.44628607457758651</c:v>
                </c:pt>
                <c:pt idx="336">
                  <c:v>-0.40882062476306458</c:v>
                </c:pt>
                <c:pt idx="337">
                  <c:v>-0.58592346590710198</c:v>
                </c:pt>
                <c:pt idx="338">
                  <c:v>-0.68140121577223556</c:v>
                </c:pt>
                <c:pt idx="339">
                  <c:v>-0.97889767888098822</c:v>
                </c:pt>
                <c:pt idx="340">
                  <c:v>-1.309884352386568</c:v>
                </c:pt>
                <c:pt idx="341">
                  <c:v>-1.5362265359004081</c:v>
                </c:pt>
                <c:pt idx="342">
                  <c:v>-1.4231514396320084</c:v>
                </c:pt>
                <c:pt idx="343">
                  <c:v>-1.1293762267469223</c:v>
                </c:pt>
                <c:pt idx="344">
                  <c:v>-0.81111080668238866</c:v>
                </c:pt>
                <c:pt idx="345">
                  <c:v>-0.54083213734254154</c:v>
                </c:pt>
                <c:pt idx="346">
                  <c:v>-0.3658969066505795</c:v>
                </c:pt>
                <c:pt idx="347">
                  <c:v>-0.3426586765909545</c:v>
                </c:pt>
                <c:pt idx="348">
                  <c:v>-0.25667057938299864</c:v>
                </c:pt>
                <c:pt idx="349">
                  <c:v>-0.18696702278042521</c:v>
                </c:pt>
                <c:pt idx="350">
                  <c:v>-0.24110269910221649</c:v>
                </c:pt>
                <c:pt idx="351">
                  <c:v>-0.16972171627800381</c:v>
                </c:pt>
                <c:pt idx="352">
                  <c:v>-3.3235228322222587E-2</c:v>
                </c:pt>
                <c:pt idx="353">
                  <c:v>2.5936296480339127E-2</c:v>
                </c:pt>
                <c:pt idx="354">
                  <c:v>3.4125493683859975E-2</c:v>
                </c:pt>
                <c:pt idx="355">
                  <c:v>-1.631235667754205E-2</c:v>
                </c:pt>
                <c:pt idx="356">
                  <c:v>-3.1254036475647284E-2</c:v>
                </c:pt>
                <c:pt idx="357">
                  <c:v>-6.9041620372379375E-2</c:v>
                </c:pt>
                <c:pt idx="358">
                  <c:v>-0.10879950074117195</c:v>
                </c:pt>
                <c:pt idx="359">
                  <c:v>-3.3226556678267682E-2</c:v>
                </c:pt>
                <c:pt idx="360">
                  <c:v>3.7995448494488437E-2</c:v>
                </c:pt>
                <c:pt idx="361">
                  <c:v>0.1703169185965665</c:v>
                </c:pt>
                <c:pt idx="362">
                  <c:v>0.26915381234449365</c:v>
                </c:pt>
                <c:pt idx="363">
                  <c:v>0.17974988360595789</c:v>
                </c:pt>
                <c:pt idx="364">
                  <c:v>0.10746348032293485</c:v>
                </c:pt>
                <c:pt idx="365">
                  <c:v>2.7752446374268436E-2</c:v>
                </c:pt>
                <c:pt idx="366">
                  <c:v>2.3863193233664148E-3</c:v>
                </c:pt>
                <c:pt idx="367">
                  <c:v>8.5777626422349762E-3</c:v>
                </c:pt>
                <c:pt idx="368">
                  <c:v>-3.8547373200831681E-2</c:v>
                </c:pt>
                <c:pt idx="369">
                  <c:v>-0.19183691650129342</c:v>
                </c:pt>
                <c:pt idx="370">
                  <c:v>-0.24365116780945062</c:v>
                </c:pt>
                <c:pt idx="371">
                  <c:v>-0.26815810459729961</c:v>
                </c:pt>
                <c:pt idx="372">
                  <c:v>-0.11666201199758053</c:v>
                </c:pt>
                <c:pt idx="373">
                  <c:v>2.4516325533848971E-2</c:v>
                </c:pt>
                <c:pt idx="374">
                  <c:v>6.9446228347246119E-2</c:v>
                </c:pt>
                <c:pt idx="375">
                  <c:v>0.13130797494294488</c:v>
                </c:pt>
                <c:pt idx="376">
                  <c:v>0.13706061360360544</c:v>
                </c:pt>
                <c:pt idx="377">
                  <c:v>0.11979473150084652</c:v>
                </c:pt>
                <c:pt idx="378">
                  <c:v>0.15638007981842761</c:v>
                </c:pt>
                <c:pt idx="379">
                  <c:v>0.25252382192399647</c:v>
                </c:pt>
                <c:pt idx="380">
                  <c:v>0.27955013588445676</c:v>
                </c:pt>
                <c:pt idx="381">
                  <c:v>0.31863696700305066</c:v>
                </c:pt>
                <c:pt idx="382">
                  <c:v>0.26805771979857629</c:v>
                </c:pt>
                <c:pt idx="383">
                  <c:v>0.26351173396629923</c:v>
                </c:pt>
                <c:pt idx="384">
                  <c:v>0.26384368048167262</c:v>
                </c:pt>
                <c:pt idx="385">
                  <c:v>0.28831227188657238</c:v>
                </c:pt>
                <c:pt idx="386">
                  <c:v>0.35851644726962284</c:v>
                </c:pt>
                <c:pt idx="387">
                  <c:v>0.48671281208380668</c:v>
                </c:pt>
                <c:pt idx="388">
                  <c:v>0.48005475613617643</c:v>
                </c:pt>
                <c:pt idx="389">
                  <c:v>0.42258898468122058</c:v>
                </c:pt>
                <c:pt idx="390">
                  <c:v>0.3806377476861324</c:v>
                </c:pt>
                <c:pt idx="391">
                  <c:v>0.25465400397802873</c:v>
                </c:pt>
                <c:pt idx="392">
                  <c:v>0.24412104717642633</c:v>
                </c:pt>
                <c:pt idx="393">
                  <c:v>0.2478720866336333</c:v>
                </c:pt>
                <c:pt idx="394">
                  <c:v>0.29555236364529847</c:v>
                </c:pt>
                <c:pt idx="395">
                  <c:v>0.36950806309017625</c:v>
                </c:pt>
                <c:pt idx="396">
                  <c:v>0.45393727140981061</c:v>
                </c:pt>
                <c:pt idx="397">
                  <c:v>0.40545344469308919</c:v>
                </c:pt>
                <c:pt idx="398">
                  <c:v>0.34867010785624908</c:v>
                </c:pt>
                <c:pt idx="399">
                  <c:v>0.34502632966636959</c:v>
                </c:pt>
                <c:pt idx="400">
                  <c:v>0.28666382599871121</c:v>
                </c:pt>
                <c:pt idx="401">
                  <c:v>0.20662160552639874</c:v>
                </c:pt>
                <c:pt idx="402">
                  <c:v>0.11224873512601741</c:v>
                </c:pt>
                <c:pt idx="403">
                  <c:v>3.9112100745843259E-2</c:v>
                </c:pt>
                <c:pt idx="404">
                  <c:v>-6.6108874613129753E-2</c:v>
                </c:pt>
                <c:pt idx="405">
                  <c:v>-0.26809794674999909</c:v>
                </c:pt>
                <c:pt idx="406">
                  <c:v>-0.45189301320713954</c:v>
                </c:pt>
                <c:pt idx="407">
                  <c:v>-0.46109541618019356</c:v>
                </c:pt>
                <c:pt idx="408">
                  <c:v>-0.4040055498821466</c:v>
                </c:pt>
                <c:pt idx="409">
                  <c:v>-0.36614915896971351</c:v>
                </c:pt>
                <c:pt idx="410">
                  <c:v>-0.31533266221806111</c:v>
                </c:pt>
                <c:pt idx="411">
                  <c:v>-0.37640087807562256</c:v>
                </c:pt>
                <c:pt idx="412">
                  <c:v>-0.40972510789270677</c:v>
                </c:pt>
                <c:pt idx="413">
                  <c:v>-0.38596494214322852</c:v>
                </c:pt>
                <c:pt idx="414">
                  <c:v>-0.47038098172548337</c:v>
                </c:pt>
                <c:pt idx="415">
                  <c:v>-0.49201982831424385</c:v>
                </c:pt>
                <c:pt idx="416">
                  <c:v>-0.54161664328350057</c:v>
                </c:pt>
                <c:pt idx="417">
                  <c:v>-0.49768889510074521</c:v>
                </c:pt>
                <c:pt idx="418">
                  <c:v>-0.44098255876140902</c:v>
                </c:pt>
                <c:pt idx="419">
                  <c:v>-0.35908910318326281</c:v>
                </c:pt>
                <c:pt idx="420">
                  <c:v>-0.37018254808251416</c:v>
                </c:pt>
                <c:pt idx="421">
                  <c:v>-0.32772856472081724</c:v>
                </c:pt>
                <c:pt idx="422">
                  <c:v>-0.26786870165733689</c:v>
                </c:pt>
                <c:pt idx="423">
                  <c:v>-0.16644141119969769</c:v>
                </c:pt>
                <c:pt idx="424">
                  <c:v>-9.3037696208567722E-2</c:v>
                </c:pt>
                <c:pt idx="425">
                  <c:v>-6.6361573244511307E-2</c:v>
                </c:pt>
                <c:pt idx="426">
                  <c:v>-0.12638009885564916</c:v>
                </c:pt>
                <c:pt idx="427">
                  <c:v>-9.3074914313570511E-2</c:v>
                </c:pt>
                <c:pt idx="428">
                  <c:v>-5.8969556638756249E-2</c:v>
                </c:pt>
                <c:pt idx="429">
                  <c:v>-2.4101591689610569E-2</c:v>
                </c:pt>
                <c:pt idx="430">
                  <c:v>2.9254932571908476E-2</c:v>
                </c:pt>
                <c:pt idx="431">
                  <c:v>0.1959969812102309</c:v>
                </c:pt>
                <c:pt idx="432">
                  <c:v>0.31804377082569513</c:v>
                </c:pt>
                <c:pt idx="433">
                  <c:v>0.35900493955622248</c:v>
                </c:pt>
                <c:pt idx="434">
                  <c:v>0.45658227338369162</c:v>
                </c:pt>
                <c:pt idx="435">
                  <c:v>0.49925039798095261</c:v>
                </c:pt>
                <c:pt idx="436">
                  <c:v>0.56794553157645389</c:v>
                </c:pt>
                <c:pt idx="437">
                  <c:v>0.43746002442036203</c:v>
                </c:pt>
                <c:pt idx="438">
                  <c:v>0.304123304577048</c:v>
                </c:pt>
                <c:pt idx="439">
                  <c:v>0.28378610100229579</c:v>
                </c:pt>
                <c:pt idx="440">
                  <c:v>0.29321262746759963</c:v>
                </c:pt>
                <c:pt idx="441">
                  <c:v>0.33225739444538038</c:v>
                </c:pt>
                <c:pt idx="442">
                  <c:v>0.39216764086702566</c:v>
                </c:pt>
                <c:pt idx="443">
                  <c:v>0.40879105774676805</c:v>
                </c:pt>
                <c:pt idx="444">
                  <c:v>0.49986459936725386</c:v>
                </c:pt>
                <c:pt idx="445">
                  <c:v>0.43257740764771357</c:v>
                </c:pt>
                <c:pt idx="446">
                  <c:v>0.43194736996441668</c:v>
                </c:pt>
                <c:pt idx="447">
                  <c:v>0.43194014904855549</c:v>
                </c:pt>
                <c:pt idx="448">
                  <c:v>0.32795458179209458</c:v>
                </c:pt>
                <c:pt idx="449">
                  <c:v>0.24901669139362281</c:v>
                </c:pt>
                <c:pt idx="450">
                  <c:v>0.21551393700361976</c:v>
                </c:pt>
                <c:pt idx="451">
                  <c:v>0.16771992749405529</c:v>
                </c:pt>
                <c:pt idx="452">
                  <c:v>0.14755314791805785</c:v>
                </c:pt>
                <c:pt idx="453">
                  <c:v>4.6506074357021476E-2</c:v>
                </c:pt>
                <c:pt idx="454">
                  <c:v>-7.1964370664629129E-2</c:v>
                </c:pt>
                <c:pt idx="455">
                  <c:v>-0.13690693544813115</c:v>
                </c:pt>
                <c:pt idx="456">
                  <c:v>-0.28264550481061979</c:v>
                </c:pt>
                <c:pt idx="457">
                  <c:v>-0.46308326200006839</c:v>
                </c:pt>
                <c:pt idx="458">
                  <c:v>-0.47989509320672102</c:v>
                </c:pt>
                <c:pt idx="459">
                  <c:v>-0.51789507972683824</c:v>
                </c:pt>
                <c:pt idx="460">
                  <c:v>-0.56536480514497245</c:v>
                </c:pt>
                <c:pt idx="461">
                  <c:v>-0.48161403986727491</c:v>
                </c:pt>
                <c:pt idx="462">
                  <c:v>-0.52121146517681083</c:v>
                </c:pt>
                <c:pt idx="463">
                  <c:v>-0.46063521564693055</c:v>
                </c:pt>
                <c:pt idx="464">
                  <c:v>-0.29791619219727117</c:v>
                </c:pt>
                <c:pt idx="465">
                  <c:v>-0.19453701722444017</c:v>
                </c:pt>
                <c:pt idx="466">
                  <c:v>-2.9304035615205559E-2</c:v>
                </c:pt>
                <c:pt idx="467">
                  <c:v>0.11823946971737143</c:v>
                </c:pt>
                <c:pt idx="468">
                  <c:v>0.25690241421018933</c:v>
                </c:pt>
                <c:pt idx="469">
                  <c:v>0.37895383877484035</c:v>
                </c:pt>
                <c:pt idx="470">
                  <c:v>0.5777817771081285</c:v>
                </c:pt>
                <c:pt idx="471">
                  <c:v>0.61324268849579056</c:v>
                </c:pt>
                <c:pt idx="472">
                  <c:v>0.44158160316444739</c:v>
                </c:pt>
                <c:pt idx="473">
                  <c:v>0.3459275246974669</c:v>
                </c:pt>
                <c:pt idx="474">
                  <c:v>0.21534704889197193</c:v>
                </c:pt>
                <c:pt idx="475">
                  <c:v>4.051185998461132E-2</c:v>
                </c:pt>
                <c:pt idx="476">
                  <c:v>-7.832184429170802E-2</c:v>
                </c:pt>
                <c:pt idx="477">
                  <c:v>-6.8854909670756526E-2</c:v>
                </c:pt>
                <c:pt idx="478">
                  <c:v>-4.7595858559448395E-2</c:v>
                </c:pt>
                <c:pt idx="479">
                  <c:v>-0.19225938358980676</c:v>
                </c:pt>
                <c:pt idx="480">
                  <c:v>-0.339086300026821</c:v>
                </c:pt>
                <c:pt idx="481">
                  <c:v>-0.44114701078576657</c:v>
                </c:pt>
                <c:pt idx="482">
                  <c:v>-0.4966681205881035</c:v>
                </c:pt>
                <c:pt idx="483">
                  <c:v>-0.4800478197714077</c:v>
                </c:pt>
                <c:pt idx="484">
                  <c:v>-0.51562884357869665</c:v>
                </c:pt>
                <c:pt idx="485">
                  <c:v>-0.48388535885142153</c:v>
                </c:pt>
                <c:pt idx="486">
                  <c:v>-0.46028312755515599</c:v>
                </c:pt>
                <c:pt idx="487">
                  <c:v>-0.40112856095583826</c:v>
                </c:pt>
                <c:pt idx="488">
                  <c:v>-0.2159398844135112</c:v>
                </c:pt>
                <c:pt idx="489">
                  <c:v>3.7114274882723008E-2</c:v>
                </c:pt>
                <c:pt idx="490">
                  <c:v>0.16938358590233338</c:v>
                </c:pt>
                <c:pt idx="491">
                  <c:v>0.33349925358192734</c:v>
                </c:pt>
                <c:pt idx="492">
                  <c:v>0.41057124826161884</c:v>
                </c:pt>
                <c:pt idx="493">
                  <c:v>0.31898173365156068</c:v>
                </c:pt>
                <c:pt idx="494">
                  <c:v>0.28146780205620908</c:v>
                </c:pt>
                <c:pt idx="495">
                  <c:v>0.27087612220713875</c:v>
                </c:pt>
                <c:pt idx="496">
                  <c:v>0.28986017282997861</c:v>
                </c:pt>
                <c:pt idx="497">
                  <c:v>0.27403358537331129</c:v>
                </c:pt>
                <c:pt idx="498">
                  <c:v>0.26658774425115539</c:v>
                </c:pt>
                <c:pt idx="499">
                  <c:v>0.27119745149037811</c:v>
                </c:pt>
                <c:pt idx="500">
                  <c:v>0.22379132985525824</c:v>
                </c:pt>
                <c:pt idx="501">
                  <c:v>0.22489163905161019</c:v>
                </c:pt>
                <c:pt idx="502">
                  <c:v>0.11797843195870777</c:v>
                </c:pt>
                <c:pt idx="503">
                  <c:v>9.6118919114533657E-2</c:v>
                </c:pt>
                <c:pt idx="504">
                  <c:v>7.9356650246884292E-2</c:v>
                </c:pt>
                <c:pt idx="505">
                  <c:v>0.11498849562938582</c:v>
                </c:pt>
                <c:pt idx="506">
                  <c:v>6.7734552930661329E-2</c:v>
                </c:pt>
                <c:pt idx="507">
                  <c:v>8.5045746918938903E-3</c:v>
                </c:pt>
                <c:pt idx="508">
                  <c:v>5.7172887396253785E-2</c:v>
                </c:pt>
                <c:pt idx="509">
                  <c:v>0.16313005692057198</c:v>
                </c:pt>
                <c:pt idx="510">
                  <c:v>0.28949586614746176</c:v>
                </c:pt>
                <c:pt idx="511">
                  <c:v>0.4290274108497783</c:v>
                </c:pt>
                <c:pt idx="512">
                  <c:v>-0.34835095774197278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Data!$X$2:$X$514</c:f>
              <c:numCache>
                <c:formatCode>General</c:formatCode>
                <c:ptCount val="513"/>
                <c:pt idx="25">
                  <c:v>-0.79503448287714207</c:v>
                </c:pt>
                <c:pt idx="26">
                  <c:v>-0.82376798675737462</c:v>
                </c:pt>
                <c:pt idx="27">
                  <c:v>-0.80578121074606202</c:v>
                </c:pt>
                <c:pt idx="28">
                  <c:v>-1.0042726972244367</c:v>
                </c:pt>
                <c:pt idx="29">
                  <c:v>-1.1347800134428212</c:v>
                </c:pt>
                <c:pt idx="30">
                  <c:v>-1.1140118992157113</c:v>
                </c:pt>
                <c:pt idx="31">
                  <c:v>-1.1568401641464305</c:v>
                </c:pt>
                <c:pt idx="32">
                  <c:v>-1.1564709681332204</c:v>
                </c:pt>
                <c:pt idx="33">
                  <c:v>-1.0608373135002722</c:v>
                </c:pt>
                <c:pt idx="34">
                  <c:v>-1.0296618027365412</c:v>
                </c:pt>
                <c:pt idx="35">
                  <c:v>-0.99190706578222887</c:v>
                </c:pt>
                <c:pt idx="36">
                  <c:v>-1.0882313366495708</c:v>
                </c:pt>
                <c:pt idx="37">
                  <c:v>-1.0978502800738283</c:v>
                </c:pt>
                <c:pt idx="38">
                  <c:v>-1.1112229533541012</c:v>
                </c:pt>
                <c:pt idx="39">
                  <c:v>-1.064364244917229</c:v>
                </c:pt>
                <c:pt idx="40">
                  <c:v>-1.0314764905018166</c:v>
                </c:pt>
                <c:pt idx="41">
                  <c:v>-0.82483820438717714</c:v>
                </c:pt>
                <c:pt idx="42">
                  <c:v>-0.66471033686843839</c:v>
                </c:pt>
                <c:pt idx="43">
                  <c:v>-0.46307499522988849</c:v>
                </c:pt>
                <c:pt idx="44">
                  <c:v>-0.29264189286088538</c:v>
                </c:pt>
                <c:pt idx="45">
                  <c:v>-0.14141775974715642</c:v>
                </c:pt>
                <c:pt idx="46">
                  <c:v>3.2919299071252794E-2</c:v>
                </c:pt>
                <c:pt idx="47">
                  <c:v>9.9731304708782886E-2</c:v>
                </c:pt>
                <c:pt idx="48">
                  <c:v>0.12222240536830498</c:v>
                </c:pt>
                <c:pt idx="49">
                  <c:v>6.665591835945861E-2</c:v>
                </c:pt>
                <c:pt idx="50">
                  <c:v>4.3899771348421268E-2</c:v>
                </c:pt>
                <c:pt idx="51">
                  <c:v>2.9559202934095197E-2</c:v>
                </c:pt>
                <c:pt idx="52">
                  <c:v>7.5422755282588128E-2</c:v>
                </c:pt>
                <c:pt idx="53">
                  <c:v>5.7048925865814226E-2</c:v>
                </c:pt>
                <c:pt idx="54">
                  <c:v>1.0892234147647173E-2</c:v>
                </c:pt>
                <c:pt idx="55">
                  <c:v>-2.9383148071971732E-2</c:v>
                </c:pt>
                <c:pt idx="56">
                  <c:v>-6.858029199821658E-2</c:v>
                </c:pt>
                <c:pt idx="57">
                  <c:v>-0.18226944701736159</c:v>
                </c:pt>
                <c:pt idx="58">
                  <c:v>-6.1857594715931441E-2</c:v>
                </c:pt>
                <c:pt idx="59">
                  <c:v>9.3813886086792309E-2</c:v>
                </c:pt>
                <c:pt idx="60">
                  <c:v>0.17641901906799262</c:v>
                </c:pt>
                <c:pt idx="61">
                  <c:v>0.26066612873626127</c:v>
                </c:pt>
                <c:pt idx="62">
                  <c:v>0.26706296817737041</c:v>
                </c:pt>
                <c:pt idx="63">
                  <c:v>0.29296290827308269</c:v>
                </c:pt>
                <c:pt idx="64">
                  <c:v>0.26683935241334211</c:v>
                </c:pt>
                <c:pt idx="65">
                  <c:v>0.31911475050141291</c:v>
                </c:pt>
                <c:pt idx="66">
                  <c:v>0.39871382592083648</c:v>
                </c:pt>
                <c:pt idx="67">
                  <c:v>0.27784456790560341</c:v>
                </c:pt>
                <c:pt idx="68">
                  <c:v>0.15285760429929951</c:v>
                </c:pt>
                <c:pt idx="69">
                  <c:v>5.9573144444797776E-2</c:v>
                </c:pt>
                <c:pt idx="70">
                  <c:v>4.0850867983920125E-2</c:v>
                </c:pt>
                <c:pt idx="71">
                  <c:v>-0.12585007075874444</c:v>
                </c:pt>
                <c:pt idx="72">
                  <c:v>-2.2885278369003004E-2</c:v>
                </c:pt>
                <c:pt idx="73">
                  <c:v>0.10351602938216331</c:v>
                </c:pt>
                <c:pt idx="74">
                  <c:v>0.2707704325560627</c:v>
                </c:pt>
                <c:pt idx="75">
                  <c:v>0.47530570076860101</c:v>
                </c:pt>
                <c:pt idx="76">
                  <c:v>0.63891246987222416</c:v>
                </c:pt>
                <c:pt idx="77">
                  <c:v>0.80687888475544867</c:v>
                </c:pt>
                <c:pt idx="78">
                  <c:v>0.98352631653284561</c:v>
                </c:pt>
                <c:pt idx="79">
                  <c:v>1.0165859703010796</c:v>
                </c:pt>
                <c:pt idx="80">
                  <c:v>1.1138653460989474</c:v>
                </c:pt>
                <c:pt idx="81">
                  <c:v>1.2116897533924771</c:v>
                </c:pt>
                <c:pt idx="82">
                  <c:v>1.3064332092105673</c:v>
                </c:pt>
                <c:pt idx="83">
                  <c:v>1.4016717206439893</c:v>
                </c:pt>
                <c:pt idx="84">
                  <c:v>1.4850446658337688</c:v>
                </c:pt>
                <c:pt idx="85">
                  <c:v>1.5789118489216634</c:v>
                </c:pt>
                <c:pt idx="86">
                  <c:v>1.7437489655982716</c:v>
                </c:pt>
                <c:pt idx="87">
                  <c:v>1.8586071172326655</c:v>
                </c:pt>
                <c:pt idx="88">
                  <c:v>1.9712896335589534</c:v>
                </c:pt>
                <c:pt idx="89">
                  <c:v>2.0036045436885672</c:v>
                </c:pt>
                <c:pt idx="90">
                  <c:v>2.00130306822102</c:v>
                </c:pt>
                <c:pt idx="91">
                  <c:v>1.8969209655815291</c:v>
                </c:pt>
                <c:pt idx="92">
                  <c:v>1.815061244532572</c:v>
                </c:pt>
                <c:pt idx="93">
                  <c:v>1.7302416768214783</c:v>
                </c:pt>
                <c:pt idx="94">
                  <c:v>1.6592264408447335</c:v>
                </c:pt>
                <c:pt idx="95">
                  <c:v>1.5376136327051881</c:v>
                </c:pt>
                <c:pt idx="96">
                  <c:v>1.4112490265251409</c:v>
                </c:pt>
                <c:pt idx="97">
                  <c:v>1.2794106709535811</c:v>
                </c:pt>
                <c:pt idx="98">
                  <c:v>0.98125343315874147</c:v>
                </c:pt>
                <c:pt idx="99">
                  <c:v>0.78114444704415575</c:v>
                </c:pt>
                <c:pt idx="100">
                  <c:v>0.51814003402510878</c:v>
                </c:pt>
                <c:pt idx="101">
                  <c:v>0.20247401204123605</c:v>
                </c:pt>
                <c:pt idx="102">
                  <c:v>-4.0731449209658876E-3</c:v>
                </c:pt>
                <c:pt idx="103">
                  <c:v>1.6699445806835911E-3</c:v>
                </c:pt>
                <c:pt idx="104">
                  <c:v>-6.3251223981623639E-2</c:v>
                </c:pt>
                <c:pt idx="105">
                  <c:v>-0.11020369252494788</c:v>
                </c:pt>
                <c:pt idx="106">
                  <c:v>-0.23507866141189027</c:v>
                </c:pt>
                <c:pt idx="107">
                  <c:v>-0.38687439303086535</c:v>
                </c:pt>
                <c:pt idx="108">
                  <c:v>-0.52373003013369157</c:v>
                </c:pt>
                <c:pt idx="109">
                  <c:v>-0.56834649760588718</c:v>
                </c:pt>
                <c:pt idx="110">
                  <c:v>-0.64229562172107535</c:v>
                </c:pt>
                <c:pt idx="111">
                  <c:v>-0.74157433011080798</c:v>
                </c:pt>
                <c:pt idx="112">
                  <c:v>-0.85318500671118613</c:v>
                </c:pt>
                <c:pt idx="113">
                  <c:v>-0.91016562220480068</c:v>
                </c:pt>
                <c:pt idx="114">
                  <c:v>-0.96198615431855217</c:v>
                </c:pt>
                <c:pt idx="115">
                  <c:v>-1.012364221879821</c:v>
                </c:pt>
                <c:pt idx="116">
                  <c:v>-1.0291292124548335</c:v>
                </c:pt>
                <c:pt idx="117">
                  <c:v>-1.0456929035041611</c:v>
                </c:pt>
                <c:pt idx="118">
                  <c:v>-0.97256539189316982</c:v>
                </c:pt>
                <c:pt idx="119">
                  <c:v>-1.0541599011222473</c:v>
                </c:pt>
                <c:pt idx="120">
                  <c:v>-1.0837378225852348</c:v>
                </c:pt>
                <c:pt idx="121">
                  <c:v>-1.0937633984028423</c:v>
                </c:pt>
                <c:pt idx="122">
                  <c:v>-1.1098943948593387</c:v>
                </c:pt>
                <c:pt idx="123">
                  <c:v>-1.1585452394351137</c:v>
                </c:pt>
                <c:pt idx="124">
                  <c:v>-1.1706956704909288</c:v>
                </c:pt>
                <c:pt idx="125">
                  <c:v>-1.1876147185205355</c:v>
                </c:pt>
                <c:pt idx="126">
                  <c:v>-1.1426639473925064</c:v>
                </c:pt>
                <c:pt idx="127">
                  <c:v>-1.1622305632050995</c:v>
                </c:pt>
                <c:pt idx="128">
                  <c:v>-1.1300137458137698</c:v>
                </c:pt>
                <c:pt idx="129">
                  <c:v>-1.0105274786745468</c:v>
                </c:pt>
                <c:pt idx="130">
                  <c:v>-0.77855929241248134</c:v>
                </c:pt>
                <c:pt idx="131">
                  <c:v>-0.52971174713692903</c:v>
                </c:pt>
                <c:pt idx="132">
                  <c:v>-0.48266923448927912</c:v>
                </c:pt>
                <c:pt idx="133">
                  <c:v>-0.33740607803325418</c:v>
                </c:pt>
                <c:pt idx="134">
                  <c:v>-4.3454532912079458E-2</c:v>
                </c:pt>
                <c:pt idx="135">
                  <c:v>0.21526482047815421</c:v>
                </c:pt>
                <c:pt idx="136">
                  <c:v>0.40992796264453091</c:v>
                </c:pt>
                <c:pt idx="137">
                  <c:v>0.60563352459661246</c:v>
                </c:pt>
                <c:pt idx="138">
                  <c:v>0.64117909564627951</c:v>
                </c:pt>
                <c:pt idx="139">
                  <c:v>0.87152187529322589</c:v>
                </c:pt>
                <c:pt idx="140">
                  <c:v>1.0452488750132716</c:v>
                </c:pt>
                <c:pt idx="141">
                  <c:v>1.2109295856199793</c:v>
                </c:pt>
                <c:pt idx="142">
                  <c:v>1.3612386371138996</c:v>
                </c:pt>
                <c:pt idx="143">
                  <c:v>1.5663954308813572</c:v>
                </c:pt>
                <c:pt idx="144">
                  <c:v>1.6582260193785601</c:v>
                </c:pt>
                <c:pt idx="145">
                  <c:v>1.9258627936213486</c:v>
                </c:pt>
                <c:pt idx="146">
                  <c:v>2.2428333398956681</c:v>
                </c:pt>
                <c:pt idx="147">
                  <c:v>2.3754702825334277</c:v>
                </c:pt>
                <c:pt idx="148">
                  <c:v>2.4674739238304397</c:v>
                </c:pt>
                <c:pt idx="149">
                  <c:v>2.5353688117545374</c:v>
                </c:pt>
                <c:pt idx="150">
                  <c:v>2.5046269853502849</c:v>
                </c:pt>
                <c:pt idx="151">
                  <c:v>2.4934802326364149</c:v>
                </c:pt>
                <c:pt idx="152">
                  <c:v>2.5297216060641574</c:v>
                </c:pt>
                <c:pt idx="153">
                  <c:v>2.5021646011307297</c:v>
                </c:pt>
                <c:pt idx="154">
                  <c:v>2.3930283197597504</c:v>
                </c:pt>
                <c:pt idx="155">
                  <c:v>2.1502232181755545</c:v>
                </c:pt>
                <c:pt idx="156">
                  <c:v>2.0048890420833629</c:v>
                </c:pt>
                <c:pt idx="157">
                  <c:v>1.8929048409617337</c:v>
                </c:pt>
                <c:pt idx="158">
                  <c:v>1.7644510669666005</c:v>
                </c:pt>
                <c:pt idx="159">
                  <c:v>1.6636459612215049</c:v>
                </c:pt>
                <c:pt idx="160">
                  <c:v>1.5856516936295151</c:v>
                </c:pt>
                <c:pt idx="161">
                  <c:v>1.500890923366498</c:v>
                </c:pt>
                <c:pt idx="162">
                  <c:v>1.4413103663414688</c:v>
                </c:pt>
                <c:pt idx="163">
                  <c:v>1.273703828884905</c:v>
                </c:pt>
                <c:pt idx="164">
                  <c:v>1.1916906861040246</c:v>
                </c:pt>
                <c:pt idx="165">
                  <c:v>1.1473591276733686</c:v>
                </c:pt>
                <c:pt idx="166">
                  <c:v>1.1593801673339783</c:v>
                </c:pt>
                <c:pt idx="167">
                  <c:v>1.2927940284090056</c:v>
                </c:pt>
                <c:pt idx="168">
                  <c:v>1.4719325916055652</c:v>
                </c:pt>
                <c:pt idx="169">
                  <c:v>1.546848188507667</c:v>
                </c:pt>
                <c:pt idx="170">
                  <c:v>1.5472310842171879</c:v>
                </c:pt>
                <c:pt idx="171">
                  <c:v>1.6471637679301665</c:v>
                </c:pt>
                <c:pt idx="172">
                  <c:v>1.7242373660764372</c:v>
                </c:pt>
                <c:pt idx="173">
                  <c:v>1.6732353433582574</c:v>
                </c:pt>
                <c:pt idx="174">
                  <c:v>1.5799062903071643</c:v>
                </c:pt>
                <c:pt idx="175">
                  <c:v>1.5821139405912845</c:v>
                </c:pt>
                <c:pt idx="176">
                  <c:v>1.5889476957644177</c:v>
                </c:pt>
                <c:pt idx="177">
                  <c:v>1.5514647666748118</c:v>
                </c:pt>
                <c:pt idx="178">
                  <c:v>1.4142748391353877</c:v>
                </c:pt>
                <c:pt idx="179">
                  <c:v>1.1877667780815813</c:v>
                </c:pt>
                <c:pt idx="180">
                  <c:v>1.0948870518647169</c:v>
                </c:pt>
                <c:pt idx="181">
                  <c:v>1.0630879837248273</c:v>
                </c:pt>
                <c:pt idx="182">
                  <c:v>0.93033272539614131</c:v>
                </c:pt>
                <c:pt idx="183">
                  <c:v>0.84284262014836031</c:v>
                </c:pt>
                <c:pt idx="184">
                  <c:v>0.76150031409784447</c:v>
                </c:pt>
                <c:pt idx="185">
                  <c:v>0.76328055506569115</c:v>
                </c:pt>
                <c:pt idx="186">
                  <c:v>0.76235874323062092</c:v>
                </c:pt>
                <c:pt idx="187">
                  <c:v>0.83431619842274074</c:v>
                </c:pt>
                <c:pt idx="188">
                  <c:v>0.82534478926075394</c:v>
                </c:pt>
                <c:pt idx="189">
                  <c:v>0.77460827451264436</c:v>
                </c:pt>
                <c:pt idx="190">
                  <c:v>0.65662828974404874</c:v>
                </c:pt>
                <c:pt idx="191">
                  <c:v>0.39636900492826044</c:v>
                </c:pt>
                <c:pt idx="192">
                  <c:v>0.265324049532083</c:v>
                </c:pt>
                <c:pt idx="193">
                  <c:v>0.18037060528116911</c:v>
                </c:pt>
                <c:pt idx="194">
                  <c:v>4.8736190494480525E-2</c:v>
                </c:pt>
                <c:pt idx="195">
                  <c:v>4.0797550861526588E-3</c:v>
                </c:pt>
                <c:pt idx="196">
                  <c:v>2.6481923867834212E-2</c:v>
                </c:pt>
                <c:pt idx="197">
                  <c:v>0.23598240455012842</c:v>
                </c:pt>
                <c:pt idx="198">
                  <c:v>0.45247443466246295</c:v>
                </c:pt>
                <c:pt idx="199">
                  <c:v>0.57864369546658168</c:v>
                </c:pt>
                <c:pt idx="200">
                  <c:v>0.75864931352717235</c:v>
                </c:pt>
                <c:pt idx="201">
                  <c:v>0.85114774005866423</c:v>
                </c:pt>
                <c:pt idx="202">
                  <c:v>0.8692459632379439</c:v>
                </c:pt>
                <c:pt idx="203">
                  <c:v>1.0091320815323854</c:v>
                </c:pt>
                <c:pt idx="204">
                  <c:v>1.0753205550504532</c:v>
                </c:pt>
                <c:pt idx="205">
                  <c:v>0.92347026444436153</c:v>
                </c:pt>
                <c:pt idx="206">
                  <c:v>0.81072749813539247</c:v>
                </c:pt>
                <c:pt idx="207">
                  <c:v>0.56159025959549069</c:v>
                </c:pt>
                <c:pt idx="208">
                  <c:v>0.34484068228250919</c:v>
                </c:pt>
                <c:pt idx="209">
                  <c:v>8.8129866071113838E-2</c:v>
                </c:pt>
                <c:pt idx="210">
                  <c:v>-0.2480182647619813</c:v>
                </c:pt>
                <c:pt idx="211">
                  <c:v>-0.57636203376499395</c:v>
                </c:pt>
                <c:pt idx="212">
                  <c:v>-0.77359590368170927</c:v>
                </c:pt>
                <c:pt idx="213">
                  <c:v>-0.98791194531239057</c:v>
                </c:pt>
                <c:pt idx="214">
                  <c:v>-1.2546505882388601</c:v>
                </c:pt>
                <c:pt idx="215">
                  <c:v>-1.4054611992127235</c:v>
                </c:pt>
                <c:pt idx="216">
                  <c:v>-1.4796807810388088</c:v>
                </c:pt>
                <c:pt idx="217">
                  <c:v>-1.6358393618878608</c:v>
                </c:pt>
                <c:pt idx="218">
                  <c:v>-1.8695722743834153</c:v>
                </c:pt>
                <c:pt idx="219">
                  <c:v>-2.0449519377416721</c:v>
                </c:pt>
                <c:pt idx="220">
                  <c:v>-2.0633268655837043</c:v>
                </c:pt>
                <c:pt idx="221">
                  <c:v>-2.0534117592994221</c:v>
                </c:pt>
                <c:pt idx="222">
                  <c:v>-1.9807613283439451</c:v>
                </c:pt>
                <c:pt idx="223">
                  <c:v>-1.8286761037680748</c:v>
                </c:pt>
                <c:pt idx="224">
                  <c:v>-1.6232682941571568</c:v>
                </c:pt>
                <c:pt idx="225">
                  <c:v>-1.4709599727336951</c:v>
                </c:pt>
                <c:pt idx="226">
                  <c:v>-1.2463200061172017</c:v>
                </c:pt>
                <c:pt idx="227">
                  <c:v>-0.87822521738783621</c:v>
                </c:pt>
                <c:pt idx="228">
                  <c:v>-0.58939624938177815</c:v>
                </c:pt>
                <c:pt idx="229">
                  <c:v>-0.43536333998237353</c:v>
                </c:pt>
                <c:pt idx="230">
                  <c:v>-0.47644452674941817</c:v>
                </c:pt>
                <c:pt idx="231">
                  <c:v>-0.58057999186034692</c:v>
                </c:pt>
                <c:pt idx="232">
                  <c:v>-0.72814390336480983</c:v>
                </c:pt>
                <c:pt idx="233">
                  <c:v>-0.84503136789550126</c:v>
                </c:pt>
                <c:pt idx="234">
                  <c:v>-1.0609969726657482</c:v>
                </c:pt>
                <c:pt idx="235">
                  <c:v>-1.2213005436661888</c:v>
                </c:pt>
                <c:pt idx="236">
                  <c:v>-1.3401560418156322</c:v>
                </c:pt>
                <c:pt idx="237">
                  <c:v>-1.5727618475815461</c:v>
                </c:pt>
                <c:pt idx="238">
                  <c:v>-1.7482477427248568</c:v>
                </c:pt>
                <c:pt idx="239">
                  <c:v>-1.8594318743302836</c:v>
                </c:pt>
                <c:pt idx="240">
                  <c:v>-2.039425916194034</c:v>
                </c:pt>
                <c:pt idx="241">
                  <c:v>-2.1907098416862141</c:v>
                </c:pt>
                <c:pt idx="242">
                  <c:v>-2.4414227765682739</c:v>
                </c:pt>
                <c:pt idx="243">
                  <c:v>-2.5940733919138523</c:v>
                </c:pt>
                <c:pt idx="244">
                  <c:v>-2.6075281658522442</c:v>
                </c:pt>
                <c:pt idx="245">
                  <c:v>-2.6170721834295847</c:v>
                </c:pt>
                <c:pt idx="246">
                  <c:v>-2.6019049928314502</c:v>
                </c:pt>
                <c:pt idx="247">
                  <c:v>-2.5595728065470809</c:v>
                </c:pt>
                <c:pt idx="248">
                  <c:v>-2.4996308052525222</c:v>
                </c:pt>
                <c:pt idx="249">
                  <c:v>-2.456090709591507</c:v>
                </c:pt>
                <c:pt idx="250">
                  <c:v>-2.3884044157306903</c:v>
                </c:pt>
                <c:pt idx="251">
                  <c:v>-2.3241099756319841</c:v>
                </c:pt>
                <c:pt idx="252">
                  <c:v>-2.2304991182824949</c:v>
                </c:pt>
                <c:pt idx="253">
                  <c:v>-2.2011401945097333</c:v>
                </c:pt>
                <c:pt idx="254">
                  <c:v>-2.182569639479695</c:v>
                </c:pt>
                <c:pt idx="255">
                  <c:v>-2.0625776702740524</c:v>
                </c:pt>
                <c:pt idx="256">
                  <c:v>-2.0136656981582348</c:v>
                </c:pt>
                <c:pt idx="257">
                  <c:v>-1.9268695297124054</c:v>
                </c:pt>
                <c:pt idx="258">
                  <c:v>-1.7651133347225425</c:v>
                </c:pt>
                <c:pt idx="259">
                  <c:v>-1.5496620328390378</c:v>
                </c:pt>
                <c:pt idx="260">
                  <c:v>-1.2044547503623448</c:v>
                </c:pt>
                <c:pt idx="261">
                  <c:v>-0.80619315012718573</c:v>
                </c:pt>
                <c:pt idx="262">
                  <c:v>-0.52007715962811574</c:v>
                </c:pt>
                <c:pt idx="263">
                  <c:v>-0.4846292792128537</c:v>
                </c:pt>
                <c:pt idx="264">
                  <c:v>-0.4521316033409164</c:v>
                </c:pt>
                <c:pt idx="265">
                  <c:v>-0.43428149713537323</c:v>
                </c:pt>
                <c:pt idx="266">
                  <c:v>-7.3125072078212838E-2</c:v>
                </c:pt>
                <c:pt idx="267">
                  <c:v>9.100745549739031E-2</c:v>
                </c:pt>
                <c:pt idx="268">
                  <c:v>0.15315108872047745</c:v>
                </c:pt>
                <c:pt idx="269">
                  <c:v>0.30299979180156811</c:v>
                </c:pt>
                <c:pt idx="270">
                  <c:v>0.40737698319784954</c:v>
                </c:pt>
                <c:pt idx="271">
                  <c:v>0.63448302223255837</c:v>
                </c:pt>
                <c:pt idx="272">
                  <c:v>0.74854635170726169</c:v>
                </c:pt>
                <c:pt idx="273">
                  <c:v>0.93149002748705811</c:v>
                </c:pt>
                <c:pt idx="274">
                  <c:v>1.0027821948075655</c:v>
                </c:pt>
                <c:pt idx="275">
                  <c:v>1.0998597367845235</c:v>
                </c:pt>
                <c:pt idx="276">
                  <c:v>1.2128423154070873</c:v>
                </c:pt>
                <c:pt idx="277">
                  <c:v>1.2564287537534682</c:v>
                </c:pt>
                <c:pt idx="278">
                  <c:v>1.1374559774863542</c:v>
                </c:pt>
                <c:pt idx="279">
                  <c:v>1.1182327940578602</c:v>
                </c:pt>
                <c:pt idx="280">
                  <c:v>1.0313971626645042</c:v>
                </c:pt>
                <c:pt idx="281">
                  <c:v>1.0186182815139802</c:v>
                </c:pt>
                <c:pt idx="282">
                  <c:v>0.95711211216227809</c:v>
                </c:pt>
                <c:pt idx="283">
                  <c:v>0.93790229728944041</c:v>
                </c:pt>
                <c:pt idx="284">
                  <c:v>1.1115937266934424</c:v>
                </c:pt>
                <c:pt idx="285">
                  <c:v>1.3482853739279932</c:v>
                </c:pt>
                <c:pt idx="286">
                  <c:v>1.6212684551068861</c:v>
                </c:pt>
                <c:pt idx="287">
                  <c:v>1.7360982941489738</c:v>
                </c:pt>
                <c:pt idx="288">
                  <c:v>1.8030892131232577</c:v>
                </c:pt>
                <c:pt idx="289">
                  <c:v>1.9626622782669472</c:v>
                </c:pt>
                <c:pt idx="290">
                  <c:v>2.2647475882425709</c:v>
                </c:pt>
                <c:pt idx="291">
                  <c:v>2.3264412346537853</c:v>
                </c:pt>
                <c:pt idx="292">
                  <c:v>2.1927090062334429</c:v>
                </c:pt>
                <c:pt idx="293">
                  <c:v>2.1195830836108627</c:v>
                </c:pt>
                <c:pt idx="294">
                  <c:v>2.2559136788939043</c:v>
                </c:pt>
                <c:pt idx="295">
                  <c:v>2.5779286617635933</c:v>
                </c:pt>
                <c:pt idx="296">
                  <c:v>2.5703001878094938</c:v>
                </c:pt>
                <c:pt idx="297">
                  <c:v>2.4448898428276777</c:v>
                </c:pt>
                <c:pt idx="298">
                  <c:v>2.4727319959863223</c:v>
                </c:pt>
                <c:pt idx="299">
                  <c:v>2.6131469935210418</c:v>
                </c:pt>
                <c:pt idx="300">
                  <c:v>2.7899035073328946</c:v>
                </c:pt>
                <c:pt idx="301">
                  <c:v>2.9117508784694621</c:v>
                </c:pt>
                <c:pt idx="302">
                  <c:v>2.9485059313146849</c:v>
                </c:pt>
                <c:pt idx="303">
                  <c:v>3.0226757769191863</c:v>
                </c:pt>
                <c:pt idx="304">
                  <c:v>2.9920945929692095</c:v>
                </c:pt>
                <c:pt idx="305">
                  <c:v>2.8566581144560672</c:v>
                </c:pt>
                <c:pt idx="306">
                  <c:v>2.6158841428066637</c:v>
                </c:pt>
                <c:pt idx="307">
                  <c:v>2.549797593590668</c:v>
                </c:pt>
                <c:pt idx="308">
                  <c:v>2.5032648545343648</c:v>
                </c:pt>
                <c:pt idx="309">
                  <c:v>2.5084797757348838</c:v>
                </c:pt>
                <c:pt idx="310">
                  <c:v>2.6291640612824665</c:v>
                </c:pt>
                <c:pt idx="311">
                  <c:v>2.6514760905715065</c:v>
                </c:pt>
                <c:pt idx="312">
                  <c:v>2.6004501751646814</c:v>
                </c:pt>
                <c:pt idx="313">
                  <c:v>2.7813221767671337</c:v>
                </c:pt>
                <c:pt idx="314">
                  <c:v>2.6201099594839548</c:v>
                </c:pt>
                <c:pt idx="315">
                  <c:v>2.1512387355785165</c:v>
                </c:pt>
                <c:pt idx="316">
                  <c:v>1.8112257967856209</c:v>
                </c:pt>
                <c:pt idx="317">
                  <c:v>1.5018569610158465</c:v>
                </c:pt>
                <c:pt idx="318">
                  <c:v>1.4441821528085654</c:v>
                </c:pt>
                <c:pt idx="319">
                  <c:v>1.5053864238392265</c:v>
                </c:pt>
                <c:pt idx="320">
                  <c:v>1.7284337994462931</c:v>
                </c:pt>
                <c:pt idx="321">
                  <c:v>1.8483890504268032</c:v>
                </c:pt>
                <c:pt idx="322">
                  <c:v>1.8917911524721944</c:v>
                </c:pt>
                <c:pt idx="323">
                  <c:v>1.9568863474938212</c:v>
                </c:pt>
                <c:pt idx="324">
                  <c:v>1.8946459863569913</c:v>
                </c:pt>
                <c:pt idx="325">
                  <c:v>2.0109574300662416</c:v>
                </c:pt>
                <c:pt idx="326">
                  <c:v>2.0169455135413727</c:v>
                </c:pt>
                <c:pt idx="327">
                  <c:v>1.9005322397564726</c:v>
                </c:pt>
                <c:pt idx="328">
                  <c:v>1.7206582247995641</c:v>
                </c:pt>
                <c:pt idx="329">
                  <c:v>1.6143676635108193</c:v>
                </c:pt>
                <c:pt idx="330">
                  <c:v>1.5924663102104262</c:v>
                </c:pt>
                <c:pt idx="331">
                  <c:v>1.6066180555139624</c:v>
                </c:pt>
                <c:pt idx="332">
                  <c:v>1.5842398724268349</c:v>
                </c:pt>
                <c:pt idx="333">
                  <c:v>1.3468297304363404</c:v>
                </c:pt>
                <c:pt idx="334">
                  <c:v>1.1047923857949371</c:v>
                </c:pt>
                <c:pt idx="335">
                  <c:v>0.97835523673633418</c:v>
                </c:pt>
                <c:pt idx="336">
                  <c:v>0.91361553036009013</c:v>
                </c:pt>
                <c:pt idx="337">
                  <c:v>0.59003182273927735</c:v>
                </c:pt>
                <c:pt idx="338">
                  <c:v>0.32420376893108482</c:v>
                </c:pt>
                <c:pt idx="339">
                  <c:v>-0.21801711389791478</c:v>
                </c:pt>
                <c:pt idx="340">
                  <c:v>-0.87647487550013636</c:v>
                </c:pt>
                <c:pt idx="341">
                  <c:v>-1.4868736929890787</c:v>
                </c:pt>
                <c:pt idx="342">
                  <c:v>-1.7295864566286809</c:v>
                </c:pt>
                <c:pt idx="343">
                  <c:v>-1.7181553004303254</c:v>
                </c:pt>
                <c:pt idx="344">
                  <c:v>-1.6026675820363891</c:v>
                </c:pt>
                <c:pt idx="345">
                  <c:v>-1.4675969470321775</c:v>
                </c:pt>
                <c:pt idx="346">
                  <c:v>-1.3841359430028604</c:v>
                </c:pt>
                <c:pt idx="347">
                  <c:v>-1.4465623820909741</c:v>
                </c:pt>
                <c:pt idx="348">
                  <c:v>-1.4247419297287678</c:v>
                </c:pt>
                <c:pt idx="349">
                  <c:v>-1.4017801288213008</c:v>
                </c:pt>
                <c:pt idx="350">
                  <c:v>-1.5161914799186462</c:v>
                </c:pt>
                <c:pt idx="351">
                  <c:v>-1.4872409261639348</c:v>
                </c:pt>
                <c:pt idx="352">
                  <c:v>-1.3590632452887093</c:v>
                </c:pt>
                <c:pt idx="353">
                  <c:v>-1.2934076463660631</c:v>
                </c:pt>
                <c:pt idx="354">
                  <c:v>-1.2766870757415774</c:v>
                </c:pt>
                <c:pt idx="355">
                  <c:v>-1.3312030152723651</c:v>
                </c:pt>
                <c:pt idx="356">
                  <c:v>-1.3539582041893823</c:v>
                </c:pt>
                <c:pt idx="357">
                  <c:v>-1.4090061931792093</c:v>
                </c:pt>
                <c:pt idx="358">
                  <c:v>-1.4759639487332947</c:v>
                </c:pt>
                <c:pt idx="359">
                  <c:v>-1.4086976438399574</c:v>
                </c:pt>
                <c:pt idx="360">
                  <c:v>-1.3279767765435793</c:v>
                </c:pt>
                <c:pt idx="361">
                  <c:v>-1.1530760767923596</c:v>
                </c:pt>
                <c:pt idx="362">
                  <c:v>-0.98695072995830913</c:v>
                </c:pt>
                <c:pt idx="363">
                  <c:v>-1.0314171877953555</c:v>
                </c:pt>
                <c:pt idx="364">
                  <c:v>-1.076837720997645</c:v>
                </c:pt>
                <c:pt idx="365">
                  <c:v>-1.1496106433527444</c:v>
                </c:pt>
                <c:pt idx="366">
                  <c:v>-1.1743801905728048</c:v>
                </c:pt>
                <c:pt idx="367">
                  <c:v>-1.1660443065933777</c:v>
                </c:pt>
                <c:pt idx="368">
                  <c:v>-1.2228062857366524</c:v>
                </c:pt>
                <c:pt idx="369">
                  <c:v>-1.4240550581624376</c:v>
                </c:pt>
                <c:pt idx="370">
                  <c:v>-1.5367821014229577</c:v>
                </c:pt>
                <c:pt idx="371">
                  <c:v>-1.6283285643601317</c:v>
                </c:pt>
                <c:pt idx="372">
                  <c:v>-1.5059979747598078</c:v>
                </c:pt>
                <c:pt idx="373">
                  <c:v>-1.358690555844916</c:v>
                </c:pt>
                <c:pt idx="374">
                  <c:v>-1.2963990959447074</c:v>
                </c:pt>
                <c:pt idx="375">
                  <c:v>-1.2017103556132724</c:v>
                </c:pt>
                <c:pt idx="376">
                  <c:v>-1.1616925635517106</c:v>
                </c:pt>
                <c:pt idx="377">
                  <c:v>-1.1490097627792579</c:v>
                </c:pt>
                <c:pt idx="378">
                  <c:v>-1.0733293945070699</c:v>
                </c:pt>
                <c:pt idx="379">
                  <c:v>-0.9140546969205019</c:v>
                </c:pt>
                <c:pt idx="380">
                  <c:v>-0.81714084898892736</c:v>
                </c:pt>
                <c:pt idx="381">
                  <c:v>-0.69839477611957079</c:v>
                </c:pt>
                <c:pt idx="382">
                  <c:v>-0.68195959337440115</c:v>
                </c:pt>
                <c:pt idx="383">
                  <c:v>-0.62062764571510343</c:v>
                </c:pt>
                <c:pt idx="384">
                  <c:v>-0.55433477907931206</c:v>
                </c:pt>
                <c:pt idx="385">
                  <c:v>-0.45778811970276934</c:v>
                </c:pt>
                <c:pt idx="386">
                  <c:v>-0.29795483250231314</c:v>
                </c:pt>
                <c:pt idx="387">
                  <c:v>-4.808026466717763E-2</c:v>
                </c:pt>
                <c:pt idx="388">
                  <c:v>6.5275368419236202E-2</c:v>
                </c:pt>
                <c:pt idx="389">
                  <c:v>0.11345684313458548</c:v>
                </c:pt>
                <c:pt idx="390">
                  <c:v>0.16666504306103036</c:v>
                </c:pt>
                <c:pt idx="391">
                  <c:v>0.10434480034743387</c:v>
                </c:pt>
                <c:pt idx="392">
                  <c:v>0.15484210533993803</c:v>
                </c:pt>
                <c:pt idx="393">
                  <c:v>0.22056116645555335</c:v>
                </c:pt>
                <c:pt idx="394">
                  <c:v>0.3421295343785431</c:v>
                </c:pt>
                <c:pt idx="395">
                  <c:v>0.50846224959596498</c:v>
                </c:pt>
                <c:pt idx="396">
                  <c:v>0.70637577576805199</c:v>
                </c:pt>
                <c:pt idx="397">
                  <c:v>0.75925531022460291</c:v>
                </c:pt>
                <c:pt idx="398">
                  <c:v>0.78963950035182506</c:v>
                </c:pt>
                <c:pt idx="399">
                  <c:v>0.87225230457853797</c:v>
                </c:pt>
                <c:pt idx="400">
                  <c:v>0.88555575741055748</c:v>
                </c:pt>
                <c:pt idx="401">
                  <c:v>0.85716893831984464</c:v>
                </c:pt>
                <c:pt idx="402">
                  <c:v>0.79085825170096768</c:v>
                </c:pt>
                <c:pt idx="403">
                  <c:v>0.72749964250725441</c:v>
                </c:pt>
                <c:pt idx="404">
                  <c:v>0.60575144849499907</c:v>
                </c:pt>
                <c:pt idx="405">
                  <c:v>0.3367378896706299</c:v>
                </c:pt>
                <c:pt idx="406">
                  <c:v>3.9969569911704639E-2</c:v>
                </c:pt>
                <c:pt idx="407">
                  <c:v>-8.4506687106397749E-2</c:v>
                </c:pt>
                <c:pt idx="408">
                  <c:v>-0.12841820827888739</c:v>
                </c:pt>
                <c:pt idx="409">
                  <c:v>-0.18209910710888266</c:v>
                </c:pt>
                <c:pt idx="410">
                  <c:v>-0.21011577591174557</c:v>
                </c:pt>
                <c:pt idx="411">
                  <c:v>-0.36528421128821265</c:v>
                </c:pt>
                <c:pt idx="412">
                  <c:v>-0.50103971807847358</c:v>
                </c:pt>
                <c:pt idx="413">
                  <c:v>-0.5737707878648024</c:v>
                </c:pt>
                <c:pt idx="414">
                  <c:v>-0.77578207287842815</c:v>
                </c:pt>
                <c:pt idx="415">
                  <c:v>-0.92042587654574959</c:v>
                </c:pt>
                <c:pt idx="416">
                  <c:v>-1.1054268523358814</c:v>
                </c:pt>
                <c:pt idx="417">
                  <c:v>-1.1859213279283125</c:v>
                </c:pt>
                <c:pt idx="418">
                  <c:v>-1.2394606312793286</c:v>
                </c:pt>
                <c:pt idx="419">
                  <c:v>-1.2473394514969982</c:v>
                </c:pt>
                <c:pt idx="420">
                  <c:v>-1.3509785334168782</c:v>
                </c:pt>
                <c:pt idx="421">
                  <c:v>-1.3904566912353857</c:v>
                </c:pt>
                <c:pt idx="422">
                  <c:v>-1.3975640035862398</c:v>
                </c:pt>
                <c:pt idx="423">
                  <c:v>-1.3377470659285251</c:v>
                </c:pt>
                <c:pt idx="424">
                  <c:v>-1.2876027749895371</c:v>
                </c:pt>
                <c:pt idx="425">
                  <c:v>-1.2775170453366087</c:v>
                </c:pt>
                <c:pt idx="426">
                  <c:v>-1.3691305956616588</c:v>
                </c:pt>
                <c:pt idx="427">
                  <c:v>-1.359094139697973</c:v>
                </c:pt>
                <c:pt idx="428">
                  <c:v>-1.3397311711828479</c:v>
                </c:pt>
                <c:pt idx="429">
                  <c:v>-1.310888604156105</c:v>
                </c:pt>
                <c:pt idx="430">
                  <c:v>-1.250218346751609</c:v>
                </c:pt>
                <c:pt idx="431">
                  <c:v>-1.034477052810729</c:v>
                </c:pt>
                <c:pt idx="432">
                  <c:v>-0.83291932048884121</c:v>
                </c:pt>
                <c:pt idx="433">
                  <c:v>-0.70220691686925818</c:v>
                </c:pt>
                <c:pt idx="434">
                  <c:v>-0.49048401469586622</c:v>
                </c:pt>
                <c:pt idx="435">
                  <c:v>-0.32300329060336708</c:v>
                </c:pt>
                <c:pt idx="436">
                  <c:v>-0.11232177411375233</c:v>
                </c:pt>
                <c:pt idx="437">
                  <c:v>-0.13344227516475371</c:v>
                </c:pt>
                <c:pt idx="438">
                  <c:v>-0.19074816886380574</c:v>
                </c:pt>
                <c:pt idx="439">
                  <c:v>-0.14013884718798408</c:v>
                </c:pt>
                <c:pt idx="440">
                  <c:v>-5.7409163855780321E-2</c:v>
                </c:pt>
                <c:pt idx="441">
                  <c:v>6.4699951733345529E-2</c:v>
                </c:pt>
                <c:pt idx="442">
                  <c:v>0.2226521083717472</c:v>
                </c:pt>
                <c:pt idx="443">
                  <c:v>0.34147328968818158</c:v>
                </c:pt>
                <c:pt idx="444">
                  <c:v>0.55751298115048087</c:v>
                </c:pt>
                <c:pt idx="445">
                  <c:v>0.59837014134286903</c:v>
                </c:pt>
                <c:pt idx="446">
                  <c:v>0.70572694615067633</c:v>
                </c:pt>
                <c:pt idx="447">
                  <c:v>0.813704762496954</c:v>
                </c:pt>
                <c:pt idx="448">
                  <c:v>0.79170784068851674</c:v>
                </c:pt>
                <c:pt idx="449">
                  <c:v>0.7750241231384507</c:v>
                </c:pt>
                <c:pt idx="450">
                  <c:v>0.79539985299935267</c:v>
                </c:pt>
                <c:pt idx="451">
                  <c:v>0.78953582536330202</c:v>
                </c:pt>
                <c:pt idx="452">
                  <c:v>0.80625733276681899</c:v>
                </c:pt>
                <c:pt idx="453">
                  <c:v>0.71683677779503796</c:v>
                </c:pt>
                <c:pt idx="454">
                  <c:v>0.58037524010723018</c:v>
                </c:pt>
                <c:pt idx="455">
                  <c:v>0.48120594146169537</c:v>
                </c:pt>
                <c:pt idx="456">
                  <c:v>0.26480599589655185</c:v>
                </c:pt>
                <c:pt idx="457">
                  <c:v>-3.1402576792913806E-2</c:v>
                </c:pt>
                <c:pt idx="458">
                  <c:v>-0.16818818130124669</c:v>
                </c:pt>
                <c:pt idx="459">
                  <c:v>-0.3356619377530734</c:v>
                </c:pt>
                <c:pt idx="460">
                  <c:v>-0.52447286445745078</c:v>
                </c:pt>
                <c:pt idx="461">
                  <c:v>-0.56112560914657195</c:v>
                </c:pt>
                <c:pt idx="462">
                  <c:v>-0.7310259007503106</c:v>
                </c:pt>
                <c:pt idx="463">
                  <c:v>-0.78560845513216293</c:v>
                </c:pt>
                <c:pt idx="464">
                  <c:v>-0.69736847973182137</c:v>
                </c:pt>
                <c:pt idx="465">
                  <c:v>-0.64262355906510038</c:v>
                </c:pt>
                <c:pt idx="466">
                  <c:v>-0.48471658635966719</c:v>
                </c:pt>
                <c:pt idx="467">
                  <c:v>-0.3076132135977474</c:v>
                </c:pt>
                <c:pt idx="468">
                  <c:v>-0.10472466555238213</c:v>
                </c:pt>
                <c:pt idx="469">
                  <c:v>0.11206521870597896</c:v>
                </c:pt>
                <c:pt idx="470">
                  <c:v>0.45533860131629922</c:v>
                </c:pt>
                <c:pt idx="471">
                  <c:v>0.64411018482790894</c:v>
                </c:pt>
                <c:pt idx="472">
                  <c:v>0.58284450028767765</c:v>
                </c:pt>
                <c:pt idx="473">
                  <c:v>0.57367230299506389</c:v>
                </c:pt>
                <c:pt idx="474">
                  <c:v>0.49692858941256191</c:v>
                </c:pt>
                <c:pt idx="475">
                  <c:v>0.33222136550135417</c:v>
                </c:pt>
                <c:pt idx="476">
                  <c:v>0.19380720015210784</c:v>
                </c:pt>
                <c:pt idx="477">
                  <c:v>0.18606040735537022</c:v>
                </c:pt>
                <c:pt idx="478">
                  <c:v>0.19542049382681626</c:v>
                </c:pt>
                <c:pt idx="479">
                  <c:v>2.6921228990062218E-3</c:v>
                </c:pt>
                <c:pt idx="480">
                  <c:v>-0.22890636854471325</c:v>
                </c:pt>
                <c:pt idx="481">
                  <c:v>-0.44125383200010049</c:v>
                </c:pt>
                <c:pt idx="482">
                  <c:v>-0.62094197194946332</c:v>
                </c:pt>
                <c:pt idx="483">
                  <c:v>-0.72433362607561946</c:v>
                </c:pt>
                <c:pt idx="484">
                  <c:v>-0.88882186077758263</c:v>
                </c:pt>
                <c:pt idx="485">
                  <c:v>-0.97804971576316291</c:v>
                </c:pt>
                <c:pt idx="486">
                  <c:v>-1.0695182663556864</c:v>
                </c:pt>
                <c:pt idx="487">
                  <c:v>-1.1106458399953283</c:v>
                </c:pt>
                <c:pt idx="488">
                  <c:v>-0.97944213455637907</c:v>
                </c:pt>
                <c:pt idx="489">
                  <c:v>-0.71710940653946409</c:v>
                </c:pt>
                <c:pt idx="490">
                  <c:v>-0.54249419904427043</c:v>
                </c:pt>
                <c:pt idx="491">
                  <c:v>-0.29500371796919467</c:v>
                </c:pt>
                <c:pt idx="492">
                  <c:v>-0.11528891122409846</c:v>
                </c:pt>
                <c:pt idx="493">
                  <c:v>-0.12713299242126652</c:v>
                </c:pt>
                <c:pt idx="494">
                  <c:v>-9.4279973502565895E-2</c:v>
                </c:pt>
                <c:pt idx="495">
                  <c:v>-3.7152622799851542E-2</c:v>
                </c:pt>
                <c:pt idx="496">
                  <c:v>5.4296471030482962E-2</c:v>
                </c:pt>
                <c:pt idx="497">
                  <c:v>0.10697827991714348</c:v>
                </c:pt>
                <c:pt idx="498">
                  <c:v>0.16617937485777645</c:v>
                </c:pt>
                <c:pt idx="499">
                  <c:v>0.23858844496959364</c:v>
                </c:pt>
                <c:pt idx="500">
                  <c:v>0.24713015579828834</c:v>
                </c:pt>
                <c:pt idx="501">
                  <c:v>0.30445337475754286</c:v>
                </c:pt>
                <c:pt idx="502">
                  <c:v>0.2270347756543174</c:v>
                </c:pt>
                <c:pt idx="503">
                  <c:v>0.22920499258877669</c:v>
                </c:pt>
                <c:pt idx="504">
                  <c:v>0.2322818862828484</c:v>
                </c:pt>
                <c:pt idx="505">
                  <c:v>0.29666085557269639</c:v>
                </c:pt>
                <c:pt idx="506">
                  <c:v>0.26634055110663724</c:v>
                </c:pt>
                <c:pt idx="507">
                  <c:v>0.2092367165408433</c:v>
                </c:pt>
                <c:pt idx="508">
                  <c:v>0.27219825109426665</c:v>
                </c:pt>
                <c:pt idx="509">
                  <c:v>0.41893793484872788</c:v>
                </c:pt>
                <c:pt idx="510">
                  <c:v>0.61767771061248311</c:v>
                </c:pt>
                <c:pt idx="511">
                  <c:v>0.86446610802724422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Data!$Y$1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34">
                  <c:v>-1.0318248951003188</c:v>
                </c:pt>
                <c:pt idx="35">
                  <c:v>-1.023841329236701</c:v>
                </c:pt>
                <c:pt idx="36">
                  <c:v>-1.036719330719275</c:v>
                </c:pt>
                <c:pt idx="37">
                  <c:v>-1.0489455205901859</c:v>
                </c:pt>
                <c:pt idx="38">
                  <c:v>-1.0614010071429689</c:v>
                </c:pt>
                <c:pt idx="39">
                  <c:v>-1.061993654697821</c:v>
                </c:pt>
                <c:pt idx="40">
                  <c:v>-1.0558902218586201</c:v>
                </c:pt>
                <c:pt idx="41">
                  <c:v>-1.0096798183643316</c:v>
                </c:pt>
                <c:pt idx="42">
                  <c:v>-0.94068592206515311</c:v>
                </c:pt>
                <c:pt idx="43">
                  <c:v>-0.84516373669810019</c:v>
                </c:pt>
                <c:pt idx="44">
                  <c:v>-0.73465936793065723</c:v>
                </c:pt>
                <c:pt idx="45">
                  <c:v>-0.61601104629395709</c:v>
                </c:pt>
                <c:pt idx="46">
                  <c:v>-0.48622497722091512</c:v>
                </c:pt>
                <c:pt idx="47">
                  <c:v>-0.36903372083497554</c:v>
                </c:pt>
                <c:pt idx="48">
                  <c:v>-0.27078249559431944</c:v>
                </c:pt>
                <c:pt idx="49">
                  <c:v>-0.20329481280356382</c:v>
                </c:pt>
                <c:pt idx="50">
                  <c:v>-0.15385589597316682</c:v>
                </c:pt>
                <c:pt idx="51">
                  <c:v>-0.11717287619171442</c:v>
                </c:pt>
                <c:pt idx="52">
                  <c:v>-7.8653749896853919E-2</c:v>
                </c:pt>
                <c:pt idx="53">
                  <c:v>-5.1513214744320295E-2</c:v>
                </c:pt>
                <c:pt idx="54">
                  <c:v>-3.9032124965926805E-2</c:v>
                </c:pt>
                <c:pt idx="55">
                  <c:v>-3.7102329587135795E-2</c:v>
                </c:pt>
                <c:pt idx="56">
                  <c:v>-4.3397922069351953E-2</c:v>
                </c:pt>
                <c:pt idx="57">
                  <c:v>-7.1172227058953888E-2</c:v>
                </c:pt>
                <c:pt idx="58">
                  <c:v>-6.9309300590349399E-2</c:v>
                </c:pt>
                <c:pt idx="59">
                  <c:v>-3.6684663254921063E-2</c:v>
                </c:pt>
                <c:pt idx="60">
                  <c:v>5.9360732096616735E-3</c:v>
                </c:pt>
                <c:pt idx="61">
                  <c:v>5.6882084314981596E-2</c:v>
                </c:pt>
                <c:pt idx="62">
                  <c:v>9.8918261087459367E-2</c:v>
                </c:pt>
                <c:pt idx="63">
                  <c:v>0.13772719052458404</c:v>
                </c:pt>
                <c:pt idx="64">
                  <c:v>0.16354962290233566</c:v>
                </c:pt>
                <c:pt idx="65">
                  <c:v>0.19466264842215114</c:v>
                </c:pt>
                <c:pt idx="66">
                  <c:v>0.2354728839218882</c:v>
                </c:pt>
                <c:pt idx="67">
                  <c:v>0.24394722071863126</c:v>
                </c:pt>
                <c:pt idx="68">
                  <c:v>0.22572929743476491</c:v>
                </c:pt>
                <c:pt idx="69">
                  <c:v>0.19249806683677151</c:v>
                </c:pt>
                <c:pt idx="70">
                  <c:v>0.16216862706620122</c:v>
                </c:pt>
                <c:pt idx="71">
                  <c:v>0.10456488750121209</c:v>
                </c:pt>
                <c:pt idx="72">
                  <c:v>7.9074854327169083E-2</c:v>
                </c:pt>
                <c:pt idx="73">
                  <c:v>8.3963089338167929E-2</c:v>
                </c:pt>
                <c:pt idx="74">
                  <c:v>0.12132455798174688</c:v>
                </c:pt>
                <c:pt idx="75">
                  <c:v>0.19212078653911771</c:v>
                </c:pt>
                <c:pt idx="76">
                  <c:v>0.28147912320573898</c:v>
                </c:pt>
                <c:pt idx="77">
                  <c:v>0.38655907551568092</c:v>
                </c:pt>
                <c:pt idx="78">
                  <c:v>0.50595252371911381</c:v>
                </c:pt>
                <c:pt idx="79">
                  <c:v>0.60807921303550705</c:v>
                </c:pt>
                <c:pt idx="80">
                  <c:v>0.70923643964819516</c:v>
                </c:pt>
                <c:pt idx="81">
                  <c:v>0.80972710239705159</c:v>
                </c:pt>
                <c:pt idx="82">
                  <c:v>0.90906832375975477</c:v>
                </c:pt>
                <c:pt idx="83">
                  <c:v>1.0075890031366017</c:v>
                </c:pt>
                <c:pt idx="84">
                  <c:v>1.1030801356760351</c:v>
                </c:pt>
                <c:pt idx="85">
                  <c:v>1.198246478325161</c:v>
                </c:pt>
                <c:pt idx="86">
                  <c:v>1.3073469757797831</c:v>
                </c:pt>
                <c:pt idx="87">
                  <c:v>1.4175990040703597</c:v>
                </c:pt>
                <c:pt idx="88">
                  <c:v>1.5283371299680786</c:v>
                </c:pt>
                <c:pt idx="89">
                  <c:v>1.6233906127121764</c:v>
                </c:pt>
                <c:pt idx="90">
                  <c:v>1.6989731038139453</c:v>
                </c:pt>
                <c:pt idx="91">
                  <c:v>1.7385626761674622</c:v>
                </c:pt>
                <c:pt idx="92">
                  <c:v>1.7538623898404841</c:v>
                </c:pt>
                <c:pt idx="93">
                  <c:v>1.749138247236683</c:v>
                </c:pt>
                <c:pt idx="94">
                  <c:v>1.7311558859582932</c:v>
                </c:pt>
                <c:pt idx="95">
                  <c:v>1.6924474353076722</c:v>
                </c:pt>
                <c:pt idx="96">
                  <c:v>1.6362077535511661</c:v>
                </c:pt>
                <c:pt idx="97">
                  <c:v>1.5648483370316493</c:v>
                </c:pt>
                <c:pt idx="98">
                  <c:v>1.4481293562570678</c:v>
                </c:pt>
                <c:pt idx="99">
                  <c:v>1.3147323744144854</c:v>
                </c:pt>
                <c:pt idx="100">
                  <c:v>1.15541390633661</c:v>
                </c:pt>
                <c:pt idx="101">
                  <c:v>0.96482592747753526</c:v>
                </c:pt>
                <c:pt idx="102">
                  <c:v>0.7710461129978351</c:v>
                </c:pt>
                <c:pt idx="103">
                  <c:v>0.61717087931440484</c:v>
                </c:pt>
                <c:pt idx="104">
                  <c:v>0.48108645865519917</c:v>
                </c:pt>
                <c:pt idx="105">
                  <c:v>0.36282842841916979</c:v>
                </c:pt>
                <c:pt idx="106">
                  <c:v>0.24324701045295782</c:v>
                </c:pt>
                <c:pt idx="107">
                  <c:v>0.1172227297561932</c:v>
                </c:pt>
                <c:pt idx="108">
                  <c:v>-1.096782222178376E-2</c:v>
                </c:pt>
                <c:pt idx="109">
                  <c:v>-0.12244355729860444</c:v>
                </c:pt>
                <c:pt idx="110">
                  <c:v>-0.22641397018309864</c:v>
                </c:pt>
                <c:pt idx="111">
                  <c:v>-0.32944604216864048</c:v>
                </c:pt>
                <c:pt idx="112">
                  <c:v>-0.43419383507714965</c:v>
                </c:pt>
                <c:pt idx="113">
                  <c:v>-0.52938819250267988</c:v>
                </c:pt>
                <c:pt idx="114">
                  <c:v>-0.6159077848658544</c:v>
                </c:pt>
                <c:pt idx="115">
                  <c:v>-0.69519907226864774</c:v>
                </c:pt>
                <c:pt idx="116">
                  <c:v>-0.76198510030588495</c:v>
                </c:pt>
                <c:pt idx="117">
                  <c:v>-0.81872666094554025</c:v>
                </c:pt>
                <c:pt idx="118">
                  <c:v>-0.84949440713506619</c:v>
                </c:pt>
                <c:pt idx="119">
                  <c:v>-0.89042750593250253</c:v>
                </c:pt>
                <c:pt idx="120">
                  <c:v>-0.92908956926304898</c:v>
                </c:pt>
                <c:pt idx="121">
                  <c:v>-0.96202433509100771</c:v>
                </c:pt>
                <c:pt idx="122">
                  <c:v>-0.99159834704467398</c:v>
                </c:pt>
                <c:pt idx="123">
                  <c:v>-1.024987725522762</c:v>
                </c:pt>
                <c:pt idx="124">
                  <c:v>-1.0541293145163952</c:v>
                </c:pt>
                <c:pt idx="125">
                  <c:v>-1.0808263953172235</c:v>
                </c:pt>
                <c:pt idx="126">
                  <c:v>-1.0931939057322801</c:v>
                </c:pt>
                <c:pt idx="127">
                  <c:v>-1.1070012372268441</c:v>
                </c:pt>
                <c:pt idx="128">
                  <c:v>-1.1116037389442293</c:v>
                </c:pt>
                <c:pt idx="129">
                  <c:v>-1.0913884868902928</c:v>
                </c:pt>
                <c:pt idx="130">
                  <c:v>-1.0288226479947307</c:v>
                </c:pt>
                <c:pt idx="131">
                  <c:v>-0.92900046782317036</c:v>
                </c:pt>
                <c:pt idx="132">
                  <c:v>-0.83973422115639218</c:v>
                </c:pt>
                <c:pt idx="133">
                  <c:v>-0.73926859253176469</c:v>
                </c:pt>
                <c:pt idx="134">
                  <c:v>-0.60010578060782771</c:v>
                </c:pt>
                <c:pt idx="135">
                  <c:v>-0.43703166039063135</c:v>
                </c:pt>
                <c:pt idx="136">
                  <c:v>-0.2676397357835989</c:v>
                </c:pt>
                <c:pt idx="137">
                  <c:v>-9.2985083707556634E-2</c:v>
                </c:pt>
                <c:pt idx="138">
                  <c:v>5.3847752163210597E-2</c:v>
                </c:pt>
                <c:pt idx="139">
                  <c:v>0.21738257678921366</c:v>
                </c:pt>
                <c:pt idx="140">
                  <c:v>0.38295583643402525</c:v>
                </c:pt>
                <c:pt idx="141">
                  <c:v>0.54855058627121611</c:v>
                </c:pt>
                <c:pt idx="142">
                  <c:v>0.71108819643975285</c:v>
                </c:pt>
                <c:pt idx="143">
                  <c:v>0.88214964332807377</c:v>
                </c:pt>
                <c:pt idx="144">
                  <c:v>1.037364918538171</c:v>
                </c:pt>
                <c:pt idx="145">
                  <c:v>1.2150644935548067</c:v>
                </c:pt>
                <c:pt idx="146">
                  <c:v>1.4206182628229791</c:v>
                </c:pt>
                <c:pt idx="147">
                  <c:v>1.6115886667650687</c:v>
                </c:pt>
                <c:pt idx="148">
                  <c:v>1.7827657181781431</c:v>
                </c:pt>
                <c:pt idx="149">
                  <c:v>1.9332863368934219</c:v>
                </c:pt>
                <c:pt idx="150">
                  <c:v>2.0475544665847947</c:v>
                </c:pt>
                <c:pt idx="151">
                  <c:v>2.1367396197951187</c:v>
                </c:pt>
                <c:pt idx="152">
                  <c:v>2.2153360170489265</c:v>
                </c:pt>
                <c:pt idx="153">
                  <c:v>2.2727017338652873</c:v>
                </c:pt>
                <c:pt idx="154">
                  <c:v>2.29676705104418</c:v>
                </c:pt>
                <c:pt idx="155">
                  <c:v>2.2674582844704552</c:v>
                </c:pt>
                <c:pt idx="156">
                  <c:v>2.2149444359930368</c:v>
                </c:pt>
                <c:pt idx="157">
                  <c:v>2.1505365169867763</c:v>
                </c:pt>
                <c:pt idx="158">
                  <c:v>2.0733194269827413</c:v>
                </c:pt>
                <c:pt idx="159">
                  <c:v>1.9913847338304942</c:v>
                </c:pt>
                <c:pt idx="160">
                  <c:v>1.9102381257902985</c:v>
                </c:pt>
                <c:pt idx="161">
                  <c:v>1.8283686853055385</c:v>
                </c:pt>
                <c:pt idx="162">
                  <c:v>1.7509570215127246</c:v>
                </c:pt>
                <c:pt idx="163">
                  <c:v>1.6555063829871606</c:v>
                </c:pt>
                <c:pt idx="164">
                  <c:v>1.5627432436105335</c:v>
                </c:pt>
                <c:pt idx="165">
                  <c:v>1.4796664204231007</c:v>
                </c:pt>
                <c:pt idx="166">
                  <c:v>1.4156091698052764</c:v>
                </c:pt>
                <c:pt idx="167">
                  <c:v>1.3910461415260222</c:v>
                </c:pt>
                <c:pt idx="168">
                  <c:v>1.4072234315419307</c:v>
                </c:pt>
                <c:pt idx="169">
                  <c:v>1.435148382935078</c:v>
                </c:pt>
                <c:pt idx="170">
                  <c:v>1.4575649231915</c:v>
                </c:pt>
                <c:pt idx="171">
                  <c:v>1.4954846921392333</c:v>
                </c:pt>
                <c:pt idx="172">
                  <c:v>1.5412352269266743</c:v>
                </c:pt>
                <c:pt idx="173">
                  <c:v>1.5676352502129909</c:v>
                </c:pt>
                <c:pt idx="174">
                  <c:v>1.5700894582318257</c:v>
                </c:pt>
                <c:pt idx="175">
                  <c:v>1.5724943547037176</c:v>
                </c:pt>
                <c:pt idx="176">
                  <c:v>1.5757850229158576</c:v>
                </c:pt>
                <c:pt idx="177">
                  <c:v>1.5709209716676484</c:v>
                </c:pt>
                <c:pt idx="178">
                  <c:v>1.5395917451611965</c:v>
                </c:pt>
                <c:pt idx="179">
                  <c:v>1.4692267517452735</c:v>
                </c:pt>
                <c:pt idx="180">
                  <c:v>1.3943588117691623</c:v>
                </c:pt>
                <c:pt idx="181">
                  <c:v>1.3281046461602954</c:v>
                </c:pt>
                <c:pt idx="182">
                  <c:v>1.2485502620074647</c:v>
                </c:pt>
                <c:pt idx="183">
                  <c:v>1.1674087336356438</c:v>
                </c:pt>
                <c:pt idx="184">
                  <c:v>1.0862270497280839</c:v>
                </c:pt>
                <c:pt idx="185">
                  <c:v>1.0216377507956054</c:v>
                </c:pt>
                <c:pt idx="186">
                  <c:v>0.96978194928260852</c:v>
                </c:pt>
                <c:pt idx="187">
                  <c:v>0.94268879911063508</c:v>
                </c:pt>
                <c:pt idx="188">
                  <c:v>0.91921999714065894</c:v>
                </c:pt>
                <c:pt idx="189">
                  <c:v>0.890297652615056</c:v>
                </c:pt>
                <c:pt idx="190">
                  <c:v>0.84356378004085464</c:v>
                </c:pt>
                <c:pt idx="191">
                  <c:v>0.75412482501833578</c:v>
                </c:pt>
                <c:pt idx="192">
                  <c:v>0.65636466992108522</c:v>
                </c:pt>
                <c:pt idx="193">
                  <c:v>0.56116585699310206</c:v>
                </c:pt>
                <c:pt idx="194">
                  <c:v>0.45867992369337779</c:v>
                </c:pt>
                <c:pt idx="195">
                  <c:v>0.36775988997193276</c:v>
                </c:pt>
                <c:pt idx="196">
                  <c:v>0.29950429675111306</c:v>
                </c:pt>
                <c:pt idx="197">
                  <c:v>0.28679991831091617</c:v>
                </c:pt>
                <c:pt idx="198">
                  <c:v>0.31993482158122555</c:v>
                </c:pt>
                <c:pt idx="199">
                  <c:v>0.37167659635829675</c:v>
                </c:pt>
                <c:pt idx="200">
                  <c:v>0.44907113979207192</c:v>
                </c:pt>
                <c:pt idx="201">
                  <c:v>0.52948645984539033</c:v>
                </c:pt>
                <c:pt idx="202">
                  <c:v>0.59743836052390109</c:v>
                </c:pt>
                <c:pt idx="203">
                  <c:v>0.67977710472559805</c:v>
                </c:pt>
                <c:pt idx="204">
                  <c:v>0.75888579479056917</c:v>
                </c:pt>
                <c:pt idx="205">
                  <c:v>0.79180268872132764</c:v>
                </c:pt>
                <c:pt idx="206">
                  <c:v>0.79558765060414061</c:v>
                </c:pt>
                <c:pt idx="207">
                  <c:v>0.74878817240241069</c:v>
                </c:pt>
                <c:pt idx="208">
                  <c:v>0.66799867437843041</c:v>
                </c:pt>
                <c:pt idx="209">
                  <c:v>0.55202491271696708</c:v>
                </c:pt>
                <c:pt idx="210">
                  <c:v>0.39201627722117743</c:v>
                </c:pt>
                <c:pt idx="211">
                  <c:v>0.19834061502394315</c:v>
                </c:pt>
                <c:pt idx="212">
                  <c:v>3.9533112828126771E-3</c:v>
                </c:pt>
                <c:pt idx="213">
                  <c:v>-0.194419740036228</c:v>
                </c:pt>
                <c:pt idx="214">
                  <c:v>-0.40646590967675444</c:v>
                </c:pt>
                <c:pt idx="215">
                  <c:v>-0.60626496758394832</c:v>
                </c:pt>
                <c:pt idx="216">
                  <c:v>-0.78094813027492038</c:v>
                </c:pt>
                <c:pt idx="217">
                  <c:v>-0.95192637659750856</c:v>
                </c:pt>
                <c:pt idx="218">
                  <c:v>-1.13545555615469</c:v>
                </c:pt>
                <c:pt idx="219">
                  <c:v>-1.3173548324720865</c:v>
                </c:pt>
                <c:pt idx="220">
                  <c:v>-1.4665492390944102</c:v>
                </c:pt>
                <c:pt idx="221">
                  <c:v>-1.5839217431354125</c:v>
                </c:pt>
                <c:pt idx="222">
                  <c:v>-1.663289660177119</c:v>
                </c:pt>
                <c:pt idx="223">
                  <c:v>-1.6963669488953101</c:v>
                </c:pt>
                <c:pt idx="224">
                  <c:v>-1.6817472179476796</c:v>
                </c:pt>
                <c:pt idx="225">
                  <c:v>-1.6395897689048828</c:v>
                </c:pt>
                <c:pt idx="226">
                  <c:v>-1.5609358163473468</c:v>
                </c:pt>
                <c:pt idx="227">
                  <c:v>-1.4243936965554447</c:v>
                </c:pt>
                <c:pt idx="228">
                  <c:v>-1.2573942071207114</c:v>
                </c:pt>
                <c:pt idx="229">
                  <c:v>-1.0929880336930438</c:v>
                </c:pt>
                <c:pt idx="230">
                  <c:v>-0.96967933230431869</c:v>
                </c:pt>
                <c:pt idx="231">
                  <c:v>-0.89185946421552442</c:v>
                </c:pt>
                <c:pt idx="232">
                  <c:v>-0.8591163520453815</c:v>
                </c:pt>
                <c:pt idx="233">
                  <c:v>-0.85629935521540546</c:v>
                </c:pt>
                <c:pt idx="234">
                  <c:v>-0.89723887870547403</c:v>
                </c:pt>
                <c:pt idx="235">
                  <c:v>-0.96205121169761709</c:v>
                </c:pt>
                <c:pt idx="236">
                  <c:v>-1.0376721777212201</c:v>
                </c:pt>
                <c:pt idx="237">
                  <c:v>-1.1446901116932855</c:v>
                </c:pt>
                <c:pt idx="238">
                  <c:v>-1.2654016378995998</c:v>
                </c:pt>
                <c:pt idx="239">
                  <c:v>-1.3842076851857368</c:v>
                </c:pt>
                <c:pt idx="240">
                  <c:v>-1.5152513313873963</c:v>
                </c:pt>
                <c:pt idx="241">
                  <c:v>-1.65034303344716</c:v>
                </c:pt>
                <c:pt idx="242">
                  <c:v>-1.808558982071383</c:v>
                </c:pt>
                <c:pt idx="243">
                  <c:v>-1.9656618640398771</c:v>
                </c:pt>
                <c:pt idx="244">
                  <c:v>-2.0940351244023505</c:v>
                </c:pt>
                <c:pt idx="245">
                  <c:v>-2.1986425362077973</c:v>
                </c:pt>
                <c:pt idx="246">
                  <c:v>-2.2792950275325281</c:v>
                </c:pt>
                <c:pt idx="247">
                  <c:v>-2.3353505833354387</c:v>
                </c:pt>
                <c:pt idx="248">
                  <c:v>-2.3682066277188554</c:v>
                </c:pt>
                <c:pt idx="249">
                  <c:v>-2.3857834440933856</c:v>
                </c:pt>
                <c:pt idx="250">
                  <c:v>-2.3863076384208464</c:v>
                </c:pt>
                <c:pt idx="251">
                  <c:v>-2.3738681058630742</c:v>
                </c:pt>
                <c:pt idx="252">
                  <c:v>-2.3451943083469584</c:v>
                </c:pt>
                <c:pt idx="253">
                  <c:v>-2.3163834855795136</c:v>
                </c:pt>
                <c:pt idx="254">
                  <c:v>-2.2896207163595501</c:v>
                </c:pt>
                <c:pt idx="255">
                  <c:v>-2.2442121071424506</c:v>
                </c:pt>
                <c:pt idx="256">
                  <c:v>-2.1981028253456074</c:v>
                </c:pt>
                <c:pt idx="257">
                  <c:v>-2.143856166218967</c:v>
                </c:pt>
                <c:pt idx="258">
                  <c:v>-2.0681075999196823</c:v>
                </c:pt>
                <c:pt idx="259">
                  <c:v>-1.9644184865035534</c:v>
                </c:pt>
                <c:pt idx="260">
                  <c:v>-1.8124257392753118</c:v>
                </c:pt>
                <c:pt idx="261">
                  <c:v>-1.6111792214456866</c:v>
                </c:pt>
                <c:pt idx="262">
                  <c:v>-1.3929588090821725</c:v>
                </c:pt>
                <c:pt idx="263">
                  <c:v>-1.2112929031083088</c:v>
                </c:pt>
                <c:pt idx="264">
                  <c:v>-1.0594606431548304</c:v>
                </c:pt>
                <c:pt idx="265">
                  <c:v>-0.9344248139509389</c:v>
                </c:pt>
                <c:pt idx="266">
                  <c:v>-0.76216486557639374</c:v>
                </c:pt>
                <c:pt idx="267">
                  <c:v>-0.59153040136163693</c:v>
                </c:pt>
                <c:pt idx="268">
                  <c:v>-0.4425941033452141</c:v>
                </c:pt>
                <c:pt idx="269">
                  <c:v>-0.29347532431585766</c:v>
                </c:pt>
                <c:pt idx="270">
                  <c:v>-0.15330486281311623</c:v>
                </c:pt>
                <c:pt idx="271">
                  <c:v>4.252714196018692E-3</c:v>
                </c:pt>
                <c:pt idx="272">
                  <c:v>0.15311144169826729</c:v>
                </c:pt>
                <c:pt idx="273">
                  <c:v>0.30878715885602548</c:v>
                </c:pt>
                <c:pt idx="274">
                  <c:v>0.4475861660463335</c:v>
                </c:pt>
                <c:pt idx="275">
                  <c:v>0.5780408801939716</c:v>
                </c:pt>
                <c:pt idx="276">
                  <c:v>0.70500116723659478</c:v>
                </c:pt>
                <c:pt idx="277">
                  <c:v>0.81528668453996955</c:v>
                </c:pt>
                <c:pt idx="278">
                  <c:v>0.87972054312924652</c:v>
                </c:pt>
                <c:pt idx="279">
                  <c:v>0.92742299331496925</c:v>
                </c:pt>
                <c:pt idx="280">
                  <c:v>0.94821782718487624</c:v>
                </c:pt>
                <c:pt idx="281">
                  <c:v>0.96229791805069698</c:v>
                </c:pt>
                <c:pt idx="282">
                  <c:v>0.96126075687301327</c:v>
                </c:pt>
                <c:pt idx="283">
                  <c:v>0.9565890649562987</c:v>
                </c:pt>
                <c:pt idx="284">
                  <c:v>0.98758999730372743</c:v>
                </c:pt>
                <c:pt idx="285">
                  <c:v>1.0597290726285806</c:v>
                </c:pt>
                <c:pt idx="286">
                  <c:v>1.1720369491242417</c:v>
                </c:pt>
                <c:pt idx="287">
                  <c:v>1.2848492181291882</c:v>
                </c:pt>
                <c:pt idx="288">
                  <c:v>1.3884972171280021</c:v>
                </c:pt>
                <c:pt idx="289">
                  <c:v>1.5033302293557913</c:v>
                </c:pt>
                <c:pt idx="290">
                  <c:v>1.6556137011331473</c:v>
                </c:pt>
                <c:pt idx="291">
                  <c:v>1.789779207837275</c:v>
                </c:pt>
                <c:pt idx="292">
                  <c:v>1.8703651675165087</c:v>
                </c:pt>
                <c:pt idx="293">
                  <c:v>1.9202087507353798</c:v>
                </c:pt>
                <c:pt idx="294">
                  <c:v>1.9873497363670847</c:v>
                </c:pt>
                <c:pt idx="295">
                  <c:v>2.1054655214463862</c:v>
                </c:pt>
                <c:pt idx="296">
                  <c:v>2.1984324547190077</c:v>
                </c:pt>
                <c:pt idx="297">
                  <c:v>2.2477239323407421</c:v>
                </c:pt>
                <c:pt idx="298">
                  <c:v>2.2927255450698585</c:v>
                </c:pt>
                <c:pt idx="299">
                  <c:v>2.3568098347600954</c:v>
                </c:pt>
                <c:pt idx="300">
                  <c:v>2.4434285692746553</c:v>
                </c:pt>
                <c:pt idx="301">
                  <c:v>2.5370930311136171</c:v>
                </c:pt>
                <c:pt idx="302">
                  <c:v>2.6193756111538304</c:v>
                </c:pt>
                <c:pt idx="303">
                  <c:v>2.7000356443069018</c:v>
                </c:pt>
                <c:pt idx="304">
                  <c:v>2.7584474340393634</c:v>
                </c:pt>
                <c:pt idx="305">
                  <c:v>2.7780895701227042</c:v>
                </c:pt>
                <c:pt idx="306">
                  <c:v>2.7456484846594962</c:v>
                </c:pt>
                <c:pt idx="307">
                  <c:v>2.7064783064457307</c:v>
                </c:pt>
                <c:pt idx="308">
                  <c:v>2.6658356160634575</c:v>
                </c:pt>
                <c:pt idx="309">
                  <c:v>2.6343644479977431</c:v>
                </c:pt>
                <c:pt idx="310">
                  <c:v>2.6333243706546878</c:v>
                </c:pt>
                <c:pt idx="311">
                  <c:v>2.6369547146380516</c:v>
                </c:pt>
                <c:pt idx="312">
                  <c:v>2.6296538067433777</c:v>
                </c:pt>
                <c:pt idx="313">
                  <c:v>2.659987480748129</c:v>
                </c:pt>
                <c:pt idx="314">
                  <c:v>2.6520119764952943</c:v>
                </c:pt>
                <c:pt idx="315">
                  <c:v>2.5518573283119386</c:v>
                </c:pt>
                <c:pt idx="316">
                  <c:v>2.4037310220066752</c:v>
                </c:pt>
                <c:pt idx="317">
                  <c:v>2.2233562098085096</c:v>
                </c:pt>
                <c:pt idx="318">
                  <c:v>2.067521398408521</c:v>
                </c:pt>
                <c:pt idx="319">
                  <c:v>1.9550944034946622</c:v>
                </c:pt>
                <c:pt idx="320">
                  <c:v>1.9097622826849885</c:v>
                </c:pt>
                <c:pt idx="321">
                  <c:v>1.8974876362333515</c:v>
                </c:pt>
                <c:pt idx="322">
                  <c:v>1.89634833948112</c:v>
                </c:pt>
                <c:pt idx="323">
                  <c:v>1.9084559410836603</c:v>
                </c:pt>
                <c:pt idx="324">
                  <c:v>1.9056939501383265</c:v>
                </c:pt>
                <c:pt idx="325">
                  <c:v>1.9267466461239096</c:v>
                </c:pt>
                <c:pt idx="326">
                  <c:v>1.9447864196074023</c:v>
                </c:pt>
                <c:pt idx="327">
                  <c:v>1.9359355836372165</c:v>
                </c:pt>
                <c:pt idx="328">
                  <c:v>1.8928801118696861</c:v>
                </c:pt>
                <c:pt idx="329">
                  <c:v>1.8371776221979128</c:v>
                </c:pt>
                <c:pt idx="330">
                  <c:v>1.7882353598004157</c:v>
                </c:pt>
                <c:pt idx="331">
                  <c:v>1.751911898943125</c:v>
                </c:pt>
                <c:pt idx="332">
                  <c:v>1.718377493639867</c:v>
                </c:pt>
                <c:pt idx="333">
                  <c:v>1.6440679409991619</c:v>
                </c:pt>
                <c:pt idx="334">
                  <c:v>1.5362128299583171</c:v>
                </c:pt>
                <c:pt idx="335">
                  <c:v>1.4246413113139207</c:v>
                </c:pt>
                <c:pt idx="336">
                  <c:v>1.3224361551231547</c:v>
                </c:pt>
                <c:pt idx="337">
                  <c:v>1.1759552886463793</c:v>
                </c:pt>
                <c:pt idx="338">
                  <c:v>1.0056049847033204</c:v>
                </c:pt>
                <c:pt idx="339">
                  <c:v>0.76088056498307344</c:v>
                </c:pt>
                <c:pt idx="340">
                  <c:v>0.43340947688643155</c:v>
                </c:pt>
                <c:pt idx="341">
                  <c:v>4.935284291132952E-2</c:v>
                </c:pt>
                <c:pt idx="342">
                  <c:v>-0.30643501699667264</c:v>
                </c:pt>
                <c:pt idx="343">
                  <c:v>-0.58877907368340321</c:v>
                </c:pt>
                <c:pt idx="344">
                  <c:v>-0.79155677535400049</c:v>
                </c:pt>
                <c:pt idx="345">
                  <c:v>-0.92676480968963593</c:v>
                </c:pt>
                <c:pt idx="346">
                  <c:v>-1.0182390363522809</c:v>
                </c:pt>
                <c:pt idx="347">
                  <c:v>-1.1039037055000196</c:v>
                </c:pt>
                <c:pt idx="348">
                  <c:v>-1.1680713503457691</c:v>
                </c:pt>
                <c:pt idx="349">
                  <c:v>-1.2148131060408756</c:v>
                </c:pt>
                <c:pt idx="350">
                  <c:v>-1.2750887808164297</c:v>
                </c:pt>
                <c:pt idx="351">
                  <c:v>-1.317519209885931</c:v>
                </c:pt>
                <c:pt idx="352">
                  <c:v>-1.3258280169664867</c:v>
                </c:pt>
                <c:pt idx="353">
                  <c:v>-1.3193439428464022</c:v>
                </c:pt>
                <c:pt idx="354">
                  <c:v>-1.3108125694254373</c:v>
                </c:pt>
                <c:pt idx="355">
                  <c:v>-1.314890658594823</c:v>
                </c:pt>
                <c:pt idx="356">
                  <c:v>-1.322704167713735</c:v>
                </c:pt>
                <c:pt idx="357">
                  <c:v>-1.3399645728068299</c:v>
                </c:pt>
                <c:pt idx="358">
                  <c:v>-1.3671644479921228</c:v>
                </c:pt>
                <c:pt idx="359">
                  <c:v>-1.3754710871616898</c:v>
                </c:pt>
                <c:pt idx="360">
                  <c:v>-1.3659722250380677</c:v>
                </c:pt>
                <c:pt idx="361">
                  <c:v>-1.3233929953889261</c:v>
                </c:pt>
                <c:pt idx="362">
                  <c:v>-1.2561045423028028</c:v>
                </c:pt>
                <c:pt idx="363">
                  <c:v>-1.2111670714013134</c:v>
                </c:pt>
                <c:pt idx="364">
                  <c:v>-1.1843012013205798</c:v>
                </c:pt>
                <c:pt idx="365">
                  <c:v>-1.1773630897270129</c:v>
                </c:pt>
                <c:pt idx="366">
                  <c:v>-1.1767665098961713</c:v>
                </c:pt>
                <c:pt idx="367">
                  <c:v>-1.1746220692356126</c:v>
                </c:pt>
                <c:pt idx="368">
                  <c:v>-1.1842589125358207</c:v>
                </c:pt>
                <c:pt idx="369">
                  <c:v>-1.2322181416611442</c:v>
                </c:pt>
                <c:pt idx="370">
                  <c:v>-1.2931309336135071</c:v>
                </c:pt>
                <c:pt idx="371">
                  <c:v>-1.3601704597628321</c:v>
                </c:pt>
                <c:pt idx="372">
                  <c:v>-1.3893359627622273</c:v>
                </c:pt>
                <c:pt idx="373">
                  <c:v>-1.383206881378765</c:v>
                </c:pt>
                <c:pt idx="374">
                  <c:v>-1.3658453242919535</c:v>
                </c:pt>
                <c:pt idx="375">
                  <c:v>-1.3330183305562173</c:v>
                </c:pt>
                <c:pt idx="376">
                  <c:v>-1.298753177155316</c:v>
                </c:pt>
                <c:pt idx="377">
                  <c:v>-1.2688044942801044</c:v>
                </c:pt>
                <c:pt idx="378">
                  <c:v>-1.2297094743254975</c:v>
                </c:pt>
                <c:pt idx="379">
                  <c:v>-1.1665785188444984</c:v>
                </c:pt>
                <c:pt idx="380">
                  <c:v>-1.0966909848733841</c:v>
                </c:pt>
                <c:pt idx="381">
                  <c:v>-1.0170317431226215</c:v>
                </c:pt>
                <c:pt idx="382">
                  <c:v>-0.95001731317297744</c:v>
                </c:pt>
                <c:pt idx="383">
                  <c:v>-0.88413937968140266</c:v>
                </c:pt>
                <c:pt idx="384">
                  <c:v>-0.81817845956098467</c:v>
                </c:pt>
                <c:pt idx="385">
                  <c:v>-0.74610039158934172</c:v>
                </c:pt>
                <c:pt idx="386">
                  <c:v>-0.65647127977193598</c:v>
                </c:pt>
                <c:pt idx="387">
                  <c:v>-0.53479307675098431</c:v>
                </c:pt>
                <c:pt idx="388">
                  <c:v>-0.41477938771694023</c:v>
                </c:pt>
                <c:pt idx="389">
                  <c:v>-0.3091321415466351</c:v>
                </c:pt>
                <c:pt idx="390">
                  <c:v>-0.21397270462510204</c:v>
                </c:pt>
                <c:pt idx="391">
                  <c:v>-0.15030920363059488</c:v>
                </c:pt>
                <c:pt idx="392">
                  <c:v>-8.9278941836488296E-2</c:v>
                </c:pt>
                <c:pt idx="393">
                  <c:v>-2.7310920178079963E-2</c:v>
                </c:pt>
                <c:pt idx="394">
                  <c:v>4.6577170733244654E-2</c:v>
                </c:pt>
                <c:pt idx="395">
                  <c:v>0.13895418650578872</c:v>
                </c:pt>
                <c:pt idx="396">
                  <c:v>0.25243850435824139</c:v>
                </c:pt>
                <c:pt idx="397">
                  <c:v>0.35380186553151372</c:v>
                </c:pt>
                <c:pt idx="398">
                  <c:v>0.44096939249557598</c:v>
                </c:pt>
                <c:pt idx="399">
                  <c:v>0.52722597491216838</c:v>
                </c:pt>
                <c:pt idx="400">
                  <c:v>0.59889193141184627</c:v>
                </c:pt>
                <c:pt idx="401">
                  <c:v>0.6505473327934459</c:v>
                </c:pt>
                <c:pt idx="402">
                  <c:v>0.67860951657495028</c:v>
                </c:pt>
                <c:pt idx="403">
                  <c:v>0.68838754176141115</c:v>
                </c:pt>
                <c:pt idx="404">
                  <c:v>0.67186032310812882</c:v>
                </c:pt>
                <c:pt idx="405">
                  <c:v>0.60483583642062899</c:v>
                </c:pt>
                <c:pt idx="406">
                  <c:v>0.49186258311884418</c:v>
                </c:pt>
                <c:pt idx="407">
                  <c:v>0.37658872907379581</c:v>
                </c:pt>
                <c:pt idx="408">
                  <c:v>0.27558734160325921</c:v>
                </c:pt>
                <c:pt idx="409">
                  <c:v>0.18405005186083084</c:v>
                </c:pt>
                <c:pt idx="410">
                  <c:v>0.10521688630631557</c:v>
                </c:pt>
                <c:pt idx="411">
                  <c:v>1.1116666787409926E-2</c:v>
                </c:pt>
                <c:pt idx="412">
                  <c:v>-9.1314610185766781E-2</c:v>
                </c:pt>
                <c:pt idx="413">
                  <c:v>-0.18780584572157391</c:v>
                </c:pt>
                <c:pt idx="414">
                  <c:v>-0.30540109115294478</c:v>
                </c:pt>
                <c:pt idx="415">
                  <c:v>-0.42840604823150574</c:v>
                </c:pt>
                <c:pt idx="416">
                  <c:v>-0.56381020905238088</c:v>
                </c:pt>
                <c:pt idx="417">
                  <c:v>-0.6882324328275673</c:v>
                </c:pt>
                <c:pt idx="418">
                  <c:v>-0.79847807251791958</c:v>
                </c:pt>
                <c:pt idx="419">
                  <c:v>-0.88825034831373539</c:v>
                </c:pt>
                <c:pt idx="420">
                  <c:v>-0.98079598533436407</c:v>
                </c:pt>
                <c:pt idx="421">
                  <c:v>-1.0627281265145685</c:v>
                </c:pt>
                <c:pt idx="422">
                  <c:v>-1.1296953019289029</c:v>
                </c:pt>
                <c:pt idx="423">
                  <c:v>-1.1713056547288274</c:v>
                </c:pt>
                <c:pt idx="424">
                  <c:v>-1.1945650787809694</c:v>
                </c:pt>
                <c:pt idx="425">
                  <c:v>-1.2111554720920974</c:v>
                </c:pt>
                <c:pt idx="426">
                  <c:v>-1.2427504968060097</c:v>
                </c:pt>
                <c:pt idx="427">
                  <c:v>-1.2660192253844025</c:v>
                </c:pt>
                <c:pt idx="428">
                  <c:v>-1.2807616145440917</c:v>
                </c:pt>
                <c:pt idx="429">
                  <c:v>-1.2867870124664944</c:v>
                </c:pt>
                <c:pt idx="430">
                  <c:v>-1.2794732793235175</c:v>
                </c:pt>
                <c:pt idx="431">
                  <c:v>-1.2304740340209599</c:v>
                </c:pt>
                <c:pt idx="432">
                  <c:v>-1.1509630913145363</c:v>
                </c:pt>
                <c:pt idx="433">
                  <c:v>-1.0612118564254807</c:v>
                </c:pt>
                <c:pt idx="434">
                  <c:v>-0.94706628807955784</c:v>
                </c:pt>
                <c:pt idx="435">
                  <c:v>-0.82225368858431969</c:v>
                </c:pt>
                <c:pt idx="436">
                  <c:v>-0.68026730569020621</c:v>
                </c:pt>
                <c:pt idx="437">
                  <c:v>-0.57090229958511574</c:v>
                </c:pt>
                <c:pt idx="438">
                  <c:v>-0.49487147344085375</c:v>
                </c:pt>
                <c:pt idx="439">
                  <c:v>-0.42392494819027987</c:v>
                </c:pt>
                <c:pt idx="440">
                  <c:v>-0.35062179132337995</c:v>
                </c:pt>
                <c:pt idx="441">
                  <c:v>-0.26755744271203485</c:v>
                </c:pt>
                <c:pt idx="442">
                  <c:v>-0.16951553249527845</c:v>
                </c:pt>
                <c:pt idx="443">
                  <c:v>-6.7317768058586455E-2</c:v>
                </c:pt>
                <c:pt idx="444">
                  <c:v>5.764838178322701E-2</c:v>
                </c:pt>
                <c:pt idx="445">
                  <c:v>0.16579273369515543</c:v>
                </c:pt>
                <c:pt idx="446">
                  <c:v>0.27377957618625964</c:v>
                </c:pt>
                <c:pt idx="447">
                  <c:v>0.38176461344839852</c:v>
                </c:pt>
                <c:pt idx="448">
                  <c:v>0.46375325889642216</c:v>
                </c:pt>
                <c:pt idx="449">
                  <c:v>0.52600743174482789</c:v>
                </c:pt>
                <c:pt idx="450">
                  <c:v>0.57988591599573291</c:v>
                </c:pt>
                <c:pt idx="451">
                  <c:v>0.62181589786924674</c:v>
                </c:pt>
                <c:pt idx="452">
                  <c:v>0.65870418484876114</c:v>
                </c:pt>
                <c:pt idx="453">
                  <c:v>0.67033070343801648</c:v>
                </c:pt>
                <c:pt idx="454">
                  <c:v>0.65233961077185931</c:v>
                </c:pt>
                <c:pt idx="455">
                  <c:v>0.61811287690982653</c:v>
                </c:pt>
                <c:pt idx="456">
                  <c:v>0.54745150070717163</c:v>
                </c:pt>
                <c:pt idx="457">
                  <c:v>0.43168068520715458</c:v>
                </c:pt>
                <c:pt idx="458">
                  <c:v>0.31170691190547434</c:v>
                </c:pt>
                <c:pt idx="459">
                  <c:v>0.18223314197376481</c:v>
                </c:pt>
                <c:pt idx="460">
                  <c:v>4.089194068752168E-2</c:v>
                </c:pt>
                <c:pt idx="461">
                  <c:v>-7.9511569279297048E-2</c:v>
                </c:pt>
                <c:pt idx="462">
                  <c:v>-0.20981443557349977</c:v>
                </c:pt>
                <c:pt idx="463">
                  <c:v>-0.32497323948523238</c:v>
                </c:pt>
                <c:pt idx="464">
                  <c:v>-0.3994522875345502</c:v>
                </c:pt>
                <c:pt idx="465">
                  <c:v>-0.44808654184066021</c:v>
                </c:pt>
                <c:pt idx="466">
                  <c:v>-0.45541255074446163</c:v>
                </c:pt>
                <c:pt idx="467">
                  <c:v>-0.42585268331511883</c:v>
                </c:pt>
                <c:pt idx="468">
                  <c:v>-0.36162707976257147</c:v>
                </c:pt>
                <c:pt idx="469">
                  <c:v>-0.26688862006886138</c:v>
                </c:pt>
                <c:pt idx="470">
                  <c:v>-0.12244317579182926</c:v>
                </c:pt>
                <c:pt idx="471">
                  <c:v>3.0867496332118369E-2</c:v>
                </c:pt>
                <c:pt idx="472">
                  <c:v>0.14126289712323023</c:v>
                </c:pt>
                <c:pt idx="473">
                  <c:v>0.22774477829759698</c:v>
                </c:pt>
                <c:pt idx="474">
                  <c:v>0.28158154052058998</c:v>
                </c:pt>
                <c:pt idx="475">
                  <c:v>0.29170950551674285</c:v>
                </c:pt>
                <c:pt idx="476">
                  <c:v>0.27212904444381586</c:v>
                </c:pt>
                <c:pt idx="477">
                  <c:v>0.25491531702612674</c:v>
                </c:pt>
                <c:pt idx="478">
                  <c:v>0.24301635238626465</c:v>
                </c:pt>
                <c:pt idx="479">
                  <c:v>0.19495150648881299</c:v>
                </c:pt>
                <c:pt idx="480">
                  <c:v>0.11017993148210774</c:v>
                </c:pt>
                <c:pt idx="481">
                  <c:v>-1.0682121433391867E-4</c:v>
                </c:pt>
                <c:pt idx="482">
                  <c:v>-0.12427385136135981</c:v>
                </c:pt>
                <c:pt idx="483">
                  <c:v>-0.24428580630421176</c:v>
                </c:pt>
                <c:pt idx="484">
                  <c:v>-0.37319301719888598</c:v>
                </c:pt>
                <c:pt idx="485">
                  <c:v>-0.49416435691174138</c:v>
                </c:pt>
                <c:pt idx="486">
                  <c:v>-0.60923513880053037</c:v>
                </c:pt>
                <c:pt idx="487">
                  <c:v>-0.70951727903949002</c:v>
                </c:pt>
                <c:pt idx="488">
                  <c:v>-0.76350225014286788</c:v>
                </c:pt>
                <c:pt idx="489">
                  <c:v>-0.7542236814221871</c:v>
                </c:pt>
                <c:pt idx="490">
                  <c:v>-0.71187778494660381</c:v>
                </c:pt>
                <c:pt idx="491">
                  <c:v>-0.628502971551122</c:v>
                </c:pt>
                <c:pt idx="492">
                  <c:v>-0.52586015948571729</c:v>
                </c:pt>
                <c:pt idx="493">
                  <c:v>-0.44611472607282721</c:v>
                </c:pt>
                <c:pt idx="494">
                  <c:v>-0.37574777555877498</c:v>
                </c:pt>
                <c:pt idx="495">
                  <c:v>-0.30802874500699029</c:v>
                </c:pt>
                <c:pt idx="496">
                  <c:v>-0.23556370179949565</c:v>
                </c:pt>
                <c:pt idx="497">
                  <c:v>-0.16705530545616781</c:v>
                </c:pt>
                <c:pt idx="498">
                  <c:v>-0.10040836939337895</c:v>
                </c:pt>
                <c:pt idx="499">
                  <c:v>-3.2609006520784439E-2</c:v>
                </c:pt>
                <c:pt idx="500">
                  <c:v>2.333882594303012E-2</c:v>
                </c:pt>
                <c:pt idx="501">
                  <c:v>7.9561735705932668E-2</c:v>
                </c:pt>
                <c:pt idx="502">
                  <c:v>0.10905634369560963</c:v>
                </c:pt>
                <c:pt idx="503">
                  <c:v>0.13308607347424303</c:v>
                </c:pt>
                <c:pt idx="504">
                  <c:v>0.15292523603596411</c:v>
                </c:pt>
                <c:pt idx="505">
                  <c:v>0.18167235994331057</c:v>
                </c:pt>
                <c:pt idx="506">
                  <c:v>0.19860599817597591</c:v>
                </c:pt>
                <c:pt idx="507">
                  <c:v>0.20073214184894941</c:v>
                </c:pt>
                <c:pt idx="508">
                  <c:v>0.21502536369801287</c:v>
                </c:pt>
                <c:pt idx="509">
                  <c:v>0.2558078779281559</c:v>
                </c:pt>
                <c:pt idx="510">
                  <c:v>0.32818184446502136</c:v>
                </c:pt>
                <c:pt idx="511">
                  <c:v>0.43543869717746592</c:v>
                </c:pt>
                <c:pt idx="512">
                  <c:v>0.34835095774197278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92.41</c:v>
                </c:pt>
                <c:pt idx="1">
                  <c:v>93</c:v>
                </c:pt>
                <c:pt idx="2">
                  <c:v>93.25</c:v>
                </c:pt>
                <c:pt idx="3">
                  <c:v>93.52</c:v>
                </c:pt>
                <c:pt idx="4">
                  <c:v>93.81</c:v>
                </c:pt>
                <c:pt idx="5">
                  <c:v>93.7</c:v>
                </c:pt>
                <c:pt idx="6">
                  <c:v>94.32</c:v>
                </c:pt>
                <c:pt idx="7">
                  <c:v>91.25</c:v>
                </c:pt>
                <c:pt idx="8">
                  <c:v>91.62</c:v>
                </c:pt>
                <c:pt idx="9">
                  <c:v>91.56</c:v>
                </c:pt>
                <c:pt idx="10">
                  <c:v>90.55</c:v>
                </c:pt>
                <c:pt idx="11">
                  <c:v>89.4</c:v>
                </c:pt>
                <c:pt idx="12">
                  <c:v>89.86</c:v>
                </c:pt>
                <c:pt idx="13">
                  <c:v>89.2</c:v>
                </c:pt>
                <c:pt idx="14">
                  <c:v>89.12</c:v>
                </c:pt>
                <c:pt idx="15">
                  <c:v>88.32</c:v>
                </c:pt>
                <c:pt idx="16">
                  <c:v>89.67</c:v>
                </c:pt>
                <c:pt idx="17">
                  <c:v>90.02</c:v>
                </c:pt>
                <c:pt idx="18">
                  <c:v>90.59</c:v>
                </c:pt>
                <c:pt idx="19">
                  <c:v>90.68</c:v>
                </c:pt>
                <c:pt idx="20">
                  <c:v>90.9</c:v>
                </c:pt>
                <c:pt idx="21">
                  <c:v>92.78</c:v>
                </c:pt>
                <c:pt idx="22">
                  <c:v>91.1</c:v>
                </c:pt>
                <c:pt idx="23">
                  <c:v>89.67</c:v>
                </c:pt>
                <c:pt idx="24">
                  <c:v>89.77</c:v>
                </c:pt>
                <c:pt idx="25">
                  <c:v>89.47</c:v>
                </c:pt>
                <c:pt idx="26">
                  <c:v>88.67</c:v>
                </c:pt>
                <c:pt idx="27">
                  <c:v>89.06</c:v>
                </c:pt>
                <c:pt idx="28">
                  <c:v>89.45</c:v>
                </c:pt>
                <c:pt idx="29">
                  <c:v>86.67</c:v>
                </c:pt>
                <c:pt idx="30">
                  <c:v>86.84</c:v>
                </c:pt>
                <c:pt idx="31">
                  <c:v>88.22</c:v>
                </c:pt>
                <c:pt idx="32">
                  <c:v>87.32</c:v>
                </c:pt>
                <c:pt idx="33">
                  <c:v>87.58</c:v>
                </c:pt>
                <c:pt idx="34">
                  <c:v>88.61</c:v>
                </c:pt>
                <c:pt idx="35">
                  <c:v>87.91</c:v>
                </c:pt>
                <c:pt idx="36">
                  <c:v>87.93</c:v>
                </c:pt>
                <c:pt idx="37">
                  <c:v>86.21</c:v>
                </c:pt>
                <c:pt idx="38">
                  <c:v>86.88</c:v>
                </c:pt>
                <c:pt idx="39">
                  <c:v>86.65</c:v>
                </c:pt>
                <c:pt idx="40">
                  <c:v>87.21</c:v>
                </c:pt>
                <c:pt idx="41">
                  <c:v>87.01</c:v>
                </c:pt>
                <c:pt idx="42">
                  <c:v>89.13</c:v>
                </c:pt>
                <c:pt idx="43">
                  <c:v>88.99</c:v>
                </c:pt>
                <c:pt idx="44">
                  <c:v>89.85</c:v>
                </c:pt>
                <c:pt idx="45">
                  <c:v>89.94</c:v>
                </c:pt>
                <c:pt idx="46">
                  <c:v>90.12</c:v>
                </c:pt>
                <c:pt idx="47">
                  <c:v>90.8</c:v>
                </c:pt>
                <c:pt idx="48">
                  <c:v>89.93</c:v>
                </c:pt>
                <c:pt idx="49">
                  <c:v>89.57</c:v>
                </c:pt>
                <c:pt idx="50">
                  <c:v>88.67</c:v>
                </c:pt>
                <c:pt idx="51">
                  <c:v>88.94</c:v>
                </c:pt>
                <c:pt idx="52">
                  <c:v>88.99</c:v>
                </c:pt>
                <c:pt idx="53">
                  <c:v>89.71</c:v>
                </c:pt>
                <c:pt idx="54">
                  <c:v>89.04</c:v>
                </c:pt>
                <c:pt idx="55">
                  <c:v>88.65</c:v>
                </c:pt>
                <c:pt idx="56">
                  <c:v>88.6</c:v>
                </c:pt>
                <c:pt idx="57">
                  <c:v>88.5</c:v>
                </c:pt>
                <c:pt idx="58">
                  <c:v>87.45</c:v>
                </c:pt>
                <c:pt idx="59">
                  <c:v>90.05</c:v>
                </c:pt>
                <c:pt idx="60">
                  <c:v>90.81</c:v>
                </c:pt>
                <c:pt idx="61">
                  <c:v>90.33</c:v>
                </c:pt>
                <c:pt idx="62">
                  <c:v>90.6</c:v>
                </c:pt>
                <c:pt idx="63">
                  <c:v>89.89</c:v>
                </c:pt>
                <c:pt idx="64">
                  <c:v>90.19</c:v>
                </c:pt>
                <c:pt idx="65">
                  <c:v>89.65</c:v>
                </c:pt>
                <c:pt idx="66">
                  <c:v>90.6</c:v>
                </c:pt>
                <c:pt idx="67">
                  <c:v>91.13</c:v>
                </c:pt>
                <c:pt idx="68">
                  <c:v>88.89</c:v>
                </c:pt>
                <c:pt idx="69">
                  <c:v>88.55</c:v>
                </c:pt>
                <c:pt idx="70">
                  <c:v>88.63</c:v>
                </c:pt>
                <c:pt idx="71">
                  <c:v>89.32</c:v>
                </c:pt>
                <c:pt idx="72">
                  <c:v>87.42</c:v>
                </c:pt>
                <c:pt idx="73">
                  <c:v>90.33</c:v>
                </c:pt>
                <c:pt idx="74">
                  <c:v>90.9</c:v>
                </c:pt>
                <c:pt idx="75">
                  <c:v>91.77</c:v>
                </c:pt>
                <c:pt idx="76">
                  <c:v>92.73</c:v>
                </c:pt>
                <c:pt idx="77">
                  <c:v>92.84</c:v>
                </c:pt>
                <c:pt idx="78">
                  <c:v>93.43</c:v>
                </c:pt>
                <c:pt idx="79">
                  <c:v>94.11</c:v>
                </c:pt>
                <c:pt idx="80">
                  <c:v>92.93</c:v>
                </c:pt>
                <c:pt idx="81">
                  <c:v>93.97</c:v>
                </c:pt>
                <c:pt idx="82">
                  <c:v>94.4</c:v>
                </c:pt>
                <c:pt idx="83">
                  <c:v>94.8</c:v>
                </c:pt>
                <c:pt idx="84">
                  <c:v>95.25</c:v>
                </c:pt>
                <c:pt idx="85">
                  <c:v>95.56</c:v>
                </c:pt>
                <c:pt idx="86">
                  <c:v>96.13</c:v>
                </c:pt>
                <c:pt idx="87">
                  <c:v>97.5</c:v>
                </c:pt>
                <c:pt idx="88">
                  <c:v>97.57</c:v>
                </c:pt>
                <c:pt idx="89">
                  <c:v>98.12</c:v>
                </c:pt>
                <c:pt idx="90">
                  <c:v>97.7</c:v>
                </c:pt>
                <c:pt idx="91">
                  <c:v>97.64</c:v>
                </c:pt>
                <c:pt idx="92">
                  <c:v>96.64</c:v>
                </c:pt>
                <c:pt idx="93">
                  <c:v>96.91</c:v>
                </c:pt>
                <c:pt idx="94">
                  <c:v>96.91</c:v>
                </c:pt>
                <c:pt idx="95">
                  <c:v>97.1</c:v>
                </c:pt>
                <c:pt idx="96">
                  <c:v>96.51</c:v>
                </c:pt>
                <c:pt idx="97">
                  <c:v>96.34</c:v>
                </c:pt>
                <c:pt idx="98">
                  <c:v>96.13</c:v>
                </c:pt>
                <c:pt idx="99">
                  <c:v>93.87</c:v>
                </c:pt>
                <c:pt idx="100">
                  <c:v>94.43</c:v>
                </c:pt>
                <c:pt idx="101">
                  <c:v>93.21</c:v>
                </c:pt>
                <c:pt idx="102">
                  <c:v>91.91</c:v>
                </c:pt>
                <c:pt idx="103">
                  <c:v>92.45</c:v>
                </c:pt>
                <c:pt idx="104">
                  <c:v>94.55</c:v>
                </c:pt>
                <c:pt idx="105">
                  <c:v>93.68</c:v>
                </c:pt>
                <c:pt idx="106">
                  <c:v>93.72</c:v>
                </c:pt>
                <c:pt idx="107">
                  <c:v>92.6</c:v>
                </c:pt>
                <c:pt idx="108">
                  <c:v>91.89</c:v>
                </c:pt>
                <c:pt idx="109">
                  <c:v>91.61</c:v>
                </c:pt>
                <c:pt idx="110">
                  <c:v>92.32</c:v>
                </c:pt>
                <c:pt idx="111">
                  <c:v>91.75</c:v>
                </c:pt>
                <c:pt idx="112">
                  <c:v>91.14</c:v>
                </c:pt>
                <c:pt idx="113">
                  <c:v>90.61</c:v>
                </c:pt>
                <c:pt idx="114">
                  <c:v>90.87</c:v>
                </c:pt>
                <c:pt idx="115">
                  <c:v>90.65</c:v>
                </c:pt>
                <c:pt idx="116">
                  <c:v>90.39</c:v>
                </c:pt>
                <c:pt idx="117">
                  <c:v>90.53</c:v>
                </c:pt>
                <c:pt idx="118">
                  <c:v>90.34</c:v>
                </c:pt>
                <c:pt idx="119">
                  <c:v>91.27</c:v>
                </c:pt>
                <c:pt idx="120">
                  <c:v>89.39</c:v>
                </c:pt>
                <c:pt idx="121">
                  <c:v>89.67</c:v>
                </c:pt>
                <c:pt idx="122">
                  <c:v>89.68</c:v>
                </c:pt>
                <c:pt idx="123">
                  <c:v>89.42</c:v>
                </c:pt>
                <c:pt idx="124">
                  <c:v>88.81</c:v>
                </c:pt>
                <c:pt idx="125">
                  <c:v>88.97</c:v>
                </c:pt>
                <c:pt idx="126">
                  <c:v>88.71</c:v>
                </c:pt>
                <c:pt idx="127">
                  <c:v>89.27</c:v>
                </c:pt>
                <c:pt idx="128">
                  <c:v>88.42</c:v>
                </c:pt>
                <c:pt idx="129">
                  <c:v>88.85</c:v>
                </c:pt>
                <c:pt idx="130">
                  <c:v>89.87</c:v>
                </c:pt>
                <c:pt idx="131">
                  <c:v>91.46</c:v>
                </c:pt>
                <c:pt idx="132">
                  <c:v>92.19</c:v>
                </c:pt>
                <c:pt idx="133">
                  <c:v>90.26</c:v>
                </c:pt>
                <c:pt idx="134">
                  <c:v>91.55</c:v>
                </c:pt>
                <c:pt idx="135">
                  <c:v>93.76</c:v>
                </c:pt>
                <c:pt idx="136">
                  <c:v>94.11</c:v>
                </c:pt>
                <c:pt idx="137">
                  <c:v>94.04</c:v>
                </c:pt>
                <c:pt idx="138">
                  <c:v>94.64</c:v>
                </c:pt>
                <c:pt idx="139">
                  <c:v>93.25</c:v>
                </c:pt>
                <c:pt idx="140">
                  <c:v>95.88</c:v>
                </c:pt>
                <c:pt idx="141">
                  <c:v>95.92</c:v>
                </c:pt>
                <c:pt idx="142">
                  <c:v>96.44</c:v>
                </c:pt>
                <c:pt idx="143">
                  <c:v>96.87</c:v>
                </c:pt>
                <c:pt idx="144">
                  <c:v>98.16</c:v>
                </c:pt>
                <c:pt idx="145">
                  <c:v>97.52</c:v>
                </c:pt>
                <c:pt idx="146">
                  <c:v>100.21</c:v>
                </c:pt>
                <c:pt idx="147">
                  <c:v>101.83</c:v>
                </c:pt>
                <c:pt idx="148">
                  <c:v>100.7</c:v>
                </c:pt>
                <c:pt idx="149">
                  <c:v>100.89</c:v>
                </c:pt>
                <c:pt idx="150">
                  <c:v>101.19</c:v>
                </c:pt>
                <c:pt idx="151">
                  <c:v>100.5</c:v>
                </c:pt>
                <c:pt idx="152">
                  <c:v>101.02</c:v>
                </c:pt>
                <c:pt idx="153">
                  <c:v>101.94</c:v>
                </c:pt>
                <c:pt idx="154">
                  <c:v>101.6</c:v>
                </c:pt>
                <c:pt idx="155">
                  <c:v>100.86</c:v>
                </c:pt>
                <c:pt idx="156">
                  <c:v>99.23</c:v>
                </c:pt>
                <c:pt idx="157">
                  <c:v>100.1</c:v>
                </c:pt>
                <c:pt idx="158">
                  <c:v>100.41</c:v>
                </c:pt>
                <c:pt idx="159">
                  <c:v>100.17</c:v>
                </c:pt>
                <c:pt idx="160">
                  <c:v>100.42</c:v>
                </c:pt>
                <c:pt idx="161">
                  <c:v>100.67</c:v>
                </c:pt>
                <c:pt idx="162">
                  <c:v>100.6</c:v>
                </c:pt>
                <c:pt idx="163">
                  <c:v>100.9</c:v>
                </c:pt>
                <c:pt idx="164">
                  <c:v>99.59</c:v>
                </c:pt>
                <c:pt idx="165">
                  <c:v>100.39</c:v>
                </c:pt>
                <c:pt idx="166">
                  <c:v>100.81</c:v>
                </c:pt>
                <c:pt idx="167">
                  <c:v>101.56</c:v>
                </c:pt>
                <c:pt idx="168">
                  <c:v>103.28</c:v>
                </c:pt>
                <c:pt idx="169">
                  <c:v>104.4</c:v>
                </c:pt>
                <c:pt idx="170">
                  <c:v>103.79</c:v>
                </c:pt>
                <c:pt idx="171">
                  <c:v>103.28</c:v>
                </c:pt>
                <c:pt idx="172">
                  <c:v>104.75</c:v>
                </c:pt>
                <c:pt idx="173">
                  <c:v>104.97</c:v>
                </c:pt>
                <c:pt idx="174">
                  <c:v>103.82</c:v>
                </c:pt>
                <c:pt idx="175">
                  <c:v>103.39</c:v>
                </c:pt>
                <c:pt idx="176">
                  <c:v>104.56</c:v>
                </c:pt>
                <c:pt idx="177">
                  <c:v>104.85</c:v>
                </c:pt>
                <c:pt idx="178">
                  <c:v>104.54</c:v>
                </c:pt>
                <c:pt idx="179">
                  <c:v>103.41</c:v>
                </c:pt>
                <c:pt idx="180">
                  <c:v>102.12</c:v>
                </c:pt>
                <c:pt idx="181">
                  <c:v>103.35</c:v>
                </c:pt>
                <c:pt idx="182">
                  <c:v>104.02</c:v>
                </c:pt>
                <c:pt idx="183">
                  <c:v>102.82</c:v>
                </c:pt>
                <c:pt idx="184">
                  <c:v>103.16</c:v>
                </c:pt>
                <c:pt idx="185">
                  <c:v>103.12</c:v>
                </c:pt>
                <c:pt idx="186">
                  <c:v>104.05</c:v>
                </c:pt>
                <c:pt idx="187">
                  <c:v>104.13</c:v>
                </c:pt>
                <c:pt idx="188">
                  <c:v>105.15</c:v>
                </c:pt>
                <c:pt idx="189">
                  <c:v>104.45</c:v>
                </c:pt>
                <c:pt idx="190">
                  <c:v>104.02</c:v>
                </c:pt>
                <c:pt idx="191">
                  <c:v>103.15</c:v>
                </c:pt>
                <c:pt idx="192">
                  <c:v>101.14</c:v>
                </c:pt>
                <c:pt idx="193">
                  <c:v>102.11</c:v>
                </c:pt>
                <c:pt idx="194">
                  <c:v>102.37</c:v>
                </c:pt>
                <c:pt idx="195">
                  <c:v>101.58</c:v>
                </c:pt>
                <c:pt idx="196">
                  <c:v>102.32</c:v>
                </c:pt>
                <c:pt idx="197">
                  <c:v>103.04</c:v>
                </c:pt>
                <c:pt idx="198">
                  <c:v>105.45</c:v>
                </c:pt>
                <c:pt idx="199">
                  <c:v>106.14</c:v>
                </c:pt>
                <c:pt idx="200">
                  <c:v>105.66</c:v>
                </c:pt>
                <c:pt idx="201">
                  <c:v>106.76</c:v>
                </c:pt>
                <c:pt idx="202">
                  <c:v>106.26</c:v>
                </c:pt>
                <c:pt idx="203">
                  <c:v>105.7</c:v>
                </c:pt>
                <c:pt idx="204">
                  <c:v>107.4</c:v>
                </c:pt>
                <c:pt idx="205">
                  <c:v>107</c:v>
                </c:pt>
                <c:pt idx="206">
                  <c:v>104.6</c:v>
                </c:pt>
                <c:pt idx="207">
                  <c:v>104.81</c:v>
                </c:pt>
                <c:pt idx="208">
                  <c:v>102.91</c:v>
                </c:pt>
                <c:pt idx="209">
                  <c:v>102.72</c:v>
                </c:pt>
                <c:pt idx="210">
                  <c:v>101.68</c:v>
                </c:pt>
                <c:pt idx="211">
                  <c:v>100</c:v>
                </c:pt>
                <c:pt idx="212">
                  <c:v>99.15</c:v>
                </c:pt>
                <c:pt idx="213">
                  <c:v>99.82</c:v>
                </c:pt>
                <c:pt idx="214">
                  <c:v>98.96</c:v>
                </c:pt>
                <c:pt idx="215">
                  <c:v>97.58</c:v>
                </c:pt>
                <c:pt idx="216">
                  <c:v>98.13</c:v>
                </c:pt>
                <c:pt idx="217">
                  <c:v>98.48</c:v>
                </c:pt>
                <c:pt idx="218">
                  <c:v>97.04</c:v>
                </c:pt>
                <c:pt idx="219">
                  <c:v>95.41</c:v>
                </c:pt>
                <c:pt idx="220">
                  <c:v>95.24</c:v>
                </c:pt>
                <c:pt idx="221">
                  <c:v>96.44</c:v>
                </c:pt>
                <c:pt idx="222">
                  <c:v>96.45</c:v>
                </c:pt>
                <c:pt idx="223">
                  <c:v>96.97</c:v>
                </c:pt>
                <c:pt idx="224">
                  <c:v>97.88</c:v>
                </c:pt>
                <c:pt idx="225">
                  <c:v>98.7</c:v>
                </c:pt>
                <c:pt idx="226">
                  <c:v>98.36</c:v>
                </c:pt>
                <c:pt idx="227">
                  <c:v>99.47</c:v>
                </c:pt>
                <c:pt idx="228">
                  <c:v>101.7</c:v>
                </c:pt>
                <c:pt idx="229">
                  <c:v>101.58</c:v>
                </c:pt>
                <c:pt idx="230">
                  <c:v>100.59</c:v>
                </c:pt>
                <c:pt idx="231">
                  <c:v>98.5</c:v>
                </c:pt>
                <c:pt idx="232">
                  <c:v>97.53</c:v>
                </c:pt>
                <c:pt idx="233">
                  <c:v>96.62</c:v>
                </c:pt>
                <c:pt idx="234">
                  <c:v>96.5</c:v>
                </c:pt>
                <c:pt idx="235">
                  <c:v>94.82</c:v>
                </c:pt>
                <c:pt idx="236">
                  <c:v>94.78</c:v>
                </c:pt>
                <c:pt idx="237">
                  <c:v>94.69</c:v>
                </c:pt>
                <c:pt idx="238">
                  <c:v>92.75</c:v>
                </c:pt>
                <c:pt idx="239">
                  <c:v>92.61</c:v>
                </c:pt>
                <c:pt idx="240">
                  <c:v>92.69</c:v>
                </c:pt>
                <c:pt idx="241">
                  <c:v>91.26</c:v>
                </c:pt>
                <c:pt idx="242">
                  <c:v>90.84</c:v>
                </c:pt>
                <c:pt idx="243">
                  <c:v>88.87</c:v>
                </c:pt>
                <c:pt idx="244">
                  <c:v>89.07</c:v>
                </c:pt>
                <c:pt idx="245">
                  <c:v>90.03</c:v>
                </c:pt>
                <c:pt idx="246">
                  <c:v>89.67</c:v>
                </c:pt>
                <c:pt idx="247">
                  <c:v>89.58</c:v>
                </c:pt>
                <c:pt idx="248">
                  <c:v>89.59</c:v>
                </c:pt>
                <c:pt idx="249">
                  <c:v>89.56</c:v>
                </c:pt>
                <c:pt idx="250">
                  <c:v>89.16</c:v>
                </c:pt>
                <c:pt idx="251">
                  <c:v>89.23</c:v>
                </c:pt>
                <c:pt idx="252">
                  <c:v>89.03</c:v>
                </c:pt>
                <c:pt idx="253">
                  <c:v>89.24</c:v>
                </c:pt>
                <c:pt idx="254">
                  <c:v>88.37</c:v>
                </c:pt>
                <c:pt idx="255">
                  <c:v>88</c:v>
                </c:pt>
                <c:pt idx="256">
                  <c:v>89.01</c:v>
                </c:pt>
                <c:pt idx="257">
                  <c:v>88.15</c:v>
                </c:pt>
                <c:pt idx="258">
                  <c:v>88.47</c:v>
                </c:pt>
                <c:pt idx="259">
                  <c:v>89.37</c:v>
                </c:pt>
                <c:pt idx="260">
                  <c:v>90.23</c:v>
                </c:pt>
                <c:pt idx="261">
                  <c:v>92.22</c:v>
                </c:pt>
                <c:pt idx="262">
                  <c:v>93.65</c:v>
                </c:pt>
                <c:pt idx="263">
                  <c:v>93.21</c:v>
                </c:pt>
                <c:pt idx="264">
                  <c:v>90.77</c:v>
                </c:pt>
                <c:pt idx="265">
                  <c:v>90.76</c:v>
                </c:pt>
                <c:pt idx="266">
                  <c:v>90.6</c:v>
                </c:pt>
                <c:pt idx="267">
                  <c:v>94.89</c:v>
                </c:pt>
                <c:pt idx="268">
                  <c:v>93.39</c:v>
                </c:pt>
                <c:pt idx="269">
                  <c:v>92.57</c:v>
                </c:pt>
                <c:pt idx="270">
                  <c:v>93.86</c:v>
                </c:pt>
                <c:pt idx="271">
                  <c:v>93.74</c:v>
                </c:pt>
                <c:pt idx="272">
                  <c:v>95.62</c:v>
                </c:pt>
                <c:pt idx="273">
                  <c:v>94.91</c:v>
                </c:pt>
                <c:pt idx="274">
                  <c:v>96.19</c:v>
                </c:pt>
                <c:pt idx="275">
                  <c:v>95.42</c:v>
                </c:pt>
                <c:pt idx="276">
                  <c:v>96.08</c:v>
                </c:pt>
                <c:pt idx="277">
                  <c:v>96.7</c:v>
                </c:pt>
                <c:pt idx="278">
                  <c:v>96.31</c:v>
                </c:pt>
                <c:pt idx="279">
                  <c:v>94.57</c:v>
                </c:pt>
                <c:pt idx="280">
                  <c:v>95.66</c:v>
                </c:pt>
                <c:pt idx="281">
                  <c:v>94.92</c:v>
                </c:pt>
                <c:pt idx="282">
                  <c:v>95.76</c:v>
                </c:pt>
                <c:pt idx="283">
                  <c:v>95.26</c:v>
                </c:pt>
                <c:pt idx="284">
                  <c:v>95.76</c:v>
                </c:pt>
                <c:pt idx="285">
                  <c:v>98.26</c:v>
                </c:pt>
                <c:pt idx="286">
                  <c:v>99.68</c:v>
                </c:pt>
                <c:pt idx="287">
                  <c:v>100.97</c:v>
                </c:pt>
                <c:pt idx="288">
                  <c:v>99.96</c:v>
                </c:pt>
                <c:pt idx="289">
                  <c:v>99.92</c:v>
                </c:pt>
                <c:pt idx="290">
                  <c:v>101.52</c:v>
                </c:pt>
                <c:pt idx="291">
                  <c:v>104.02</c:v>
                </c:pt>
                <c:pt idx="292">
                  <c:v>102.15</c:v>
                </c:pt>
                <c:pt idx="293">
                  <c:v>100.2</c:v>
                </c:pt>
                <c:pt idx="294">
                  <c:v>100.91</c:v>
                </c:pt>
                <c:pt idx="295">
                  <c:v>103.64</c:v>
                </c:pt>
                <c:pt idx="296">
                  <c:v>106.66</c:v>
                </c:pt>
                <c:pt idx="297">
                  <c:v>103.77</c:v>
                </c:pt>
                <c:pt idx="298">
                  <c:v>102.64</c:v>
                </c:pt>
                <c:pt idx="299">
                  <c:v>104.57</c:v>
                </c:pt>
                <c:pt idx="300">
                  <c:v>106.41</c:v>
                </c:pt>
                <c:pt idx="301">
                  <c:v>107.62</c:v>
                </c:pt>
                <c:pt idx="302">
                  <c:v>107.81</c:v>
                </c:pt>
                <c:pt idx="303">
                  <c:v>107.49</c:v>
                </c:pt>
                <c:pt idx="304">
                  <c:v>108.48</c:v>
                </c:pt>
                <c:pt idx="305">
                  <c:v>107.8</c:v>
                </c:pt>
                <c:pt idx="306">
                  <c:v>106.83</c:v>
                </c:pt>
                <c:pt idx="307">
                  <c:v>105.55</c:v>
                </c:pt>
                <c:pt idx="308">
                  <c:v>107.46</c:v>
                </c:pt>
                <c:pt idx="309">
                  <c:v>107.89</c:v>
                </c:pt>
                <c:pt idx="310">
                  <c:v>108.77</c:v>
                </c:pt>
                <c:pt idx="311">
                  <c:v>110.59</c:v>
                </c:pt>
                <c:pt idx="312">
                  <c:v>110.06</c:v>
                </c:pt>
                <c:pt idx="313">
                  <c:v>109.58</c:v>
                </c:pt>
                <c:pt idx="314">
                  <c:v>112.72</c:v>
                </c:pt>
                <c:pt idx="315">
                  <c:v>109.32</c:v>
                </c:pt>
                <c:pt idx="316">
                  <c:v>105.4</c:v>
                </c:pt>
                <c:pt idx="317">
                  <c:v>106.05</c:v>
                </c:pt>
                <c:pt idx="318">
                  <c:v>105.77</c:v>
                </c:pt>
                <c:pt idx="319">
                  <c:v>108.3</c:v>
                </c:pt>
                <c:pt idx="320">
                  <c:v>109.84</c:v>
                </c:pt>
                <c:pt idx="321">
                  <c:v>112.25</c:v>
                </c:pt>
                <c:pt idx="322">
                  <c:v>111.81</c:v>
                </c:pt>
                <c:pt idx="323">
                  <c:v>111.44</c:v>
                </c:pt>
                <c:pt idx="324">
                  <c:v>112.1</c:v>
                </c:pt>
                <c:pt idx="325">
                  <c:v>110.96</c:v>
                </c:pt>
                <c:pt idx="326">
                  <c:v>113.3</c:v>
                </c:pt>
                <c:pt idx="327">
                  <c:v>112.52</c:v>
                </c:pt>
                <c:pt idx="328">
                  <c:v>111.29</c:v>
                </c:pt>
                <c:pt idx="329">
                  <c:v>110.45</c:v>
                </c:pt>
                <c:pt idx="330">
                  <c:v>111.13</c:v>
                </c:pt>
                <c:pt idx="331">
                  <c:v>112.13</c:v>
                </c:pt>
                <c:pt idx="332">
                  <c:v>112.75</c:v>
                </c:pt>
                <c:pt idx="333">
                  <c:v>112.56</c:v>
                </c:pt>
                <c:pt idx="334">
                  <c:v>110.03</c:v>
                </c:pt>
                <c:pt idx="335">
                  <c:v>109.52</c:v>
                </c:pt>
                <c:pt idx="336">
                  <c:v>110.47</c:v>
                </c:pt>
                <c:pt idx="337">
                  <c:v>111.04</c:v>
                </c:pt>
                <c:pt idx="338">
                  <c:v>107.75</c:v>
                </c:pt>
                <c:pt idx="339">
                  <c:v>107.68</c:v>
                </c:pt>
                <c:pt idx="340">
                  <c:v>103.54</c:v>
                </c:pt>
                <c:pt idx="341">
                  <c:v>100.58</c:v>
                </c:pt>
                <c:pt idx="342">
                  <c:v>99.27</c:v>
                </c:pt>
                <c:pt idx="343">
                  <c:v>102.01</c:v>
                </c:pt>
                <c:pt idx="344">
                  <c:v>104.29</c:v>
                </c:pt>
                <c:pt idx="345">
                  <c:v>105.38</c:v>
                </c:pt>
                <c:pt idx="346">
                  <c:v>105.71</c:v>
                </c:pt>
                <c:pt idx="347">
                  <c:v>105.22</c:v>
                </c:pt>
                <c:pt idx="348">
                  <c:v>103.42</c:v>
                </c:pt>
                <c:pt idx="349">
                  <c:v>104.1</c:v>
                </c:pt>
                <c:pt idx="350">
                  <c:v>103.97</c:v>
                </c:pt>
                <c:pt idx="351">
                  <c:v>102.11</c:v>
                </c:pt>
                <c:pt idx="352">
                  <c:v>103.38</c:v>
                </c:pt>
                <c:pt idx="353">
                  <c:v>104.49</c:v>
                </c:pt>
                <c:pt idx="354">
                  <c:v>103.86</c:v>
                </c:pt>
                <c:pt idx="355">
                  <c:v>103.24</c:v>
                </c:pt>
                <c:pt idx="356">
                  <c:v>102.21</c:v>
                </c:pt>
                <c:pt idx="357">
                  <c:v>102.27</c:v>
                </c:pt>
                <c:pt idx="358">
                  <c:v>101.61</c:v>
                </c:pt>
                <c:pt idx="359">
                  <c:v>101.11</c:v>
                </c:pt>
                <c:pt idx="360">
                  <c:v>102.4</c:v>
                </c:pt>
                <c:pt idx="361">
                  <c:v>102.55</c:v>
                </c:pt>
                <c:pt idx="362">
                  <c:v>103.76</c:v>
                </c:pt>
                <c:pt idx="363">
                  <c:v>103.96</c:v>
                </c:pt>
                <c:pt idx="364">
                  <c:v>101.63</c:v>
                </c:pt>
                <c:pt idx="365">
                  <c:v>101.35</c:v>
                </c:pt>
                <c:pt idx="366">
                  <c:v>100.73</c:v>
                </c:pt>
                <c:pt idx="367">
                  <c:v>100.97</c:v>
                </c:pt>
                <c:pt idx="368">
                  <c:v>101.15</c:v>
                </c:pt>
                <c:pt idx="369">
                  <c:v>100.19</c:v>
                </c:pt>
                <c:pt idx="370">
                  <c:v>98.05</c:v>
                </c:pt>
                <c:pt idx="371">
                  <c:v>98.41</c:v>
                </c:pt>
                <c:pt idx="372">
                  <c:v>98.15</c:v>
                </c:pt>
                <c:pt idx="373">
                  <c:v>100.35</c:v>
                </c:pt>
                <c:pt idx="374">
                  <c:v>100.78</c:v>
                </c:pt>
                <c:pt idx="375">
                  <c:v>99.92</c:v>
                </c:pt>
                <c:pt idx="376">
                  <c:v>100.31</c:v>
                </c:pt>
                <c:pt idx="377">
                  <c:v>99.71</c:v>
                </c:pt>
                <c:pt idx="378">
                  <c:v>99.31</c:v>
                </c:pt>
                <c:pt idx="379">
                  <c:v>99.97</c:v>
                </c:pt>
                <c:pt idx="380">
                  <c:v>101.07</c:v>
                </c:pt>
                <c:pt idx="381">
                  <c:v>100.59</c:v>
                </c:pt>
                <c:pt idx="382">
                  <c:v>101.01</c:v>
                </c:pt>
                <c:pt idx="383">
                  <c:v>99.95</c:v>
                </c:pt>
                <c:pt idx="384">
                  <c:v>100.46</c:v>
                </c:pt>
                <c:pt idx="385">
                  <c:v>100.6</c:v>
                </c:pt>
                <c:pt idx="386">
                  <c:v>101.08</c:v>
                </c:pt>
                <c:pt idx="387">
                  <c:v>102.07</c:v>
                </c:pt>
                <c:pt idx="388">
                  <c:v>103.59</c:v>
                </c:pt>
                <c:pt idx="389">
                  <c:v>102.55</c:v>
                </c:pt>
                <c:pt idx="390">
                  <c:v>102.05</c:v>
                </c:pt>
                <c:pt idx="391">
                  <c:v>102.26</c:v>
                </c:pt>
                <c:pt idx="392">
                  <c:v>100.98</c:v>
                </c:pt>
                <c:pt idx="393">
                  <c:v>102.24</c:v>
                </c:pt>
                <c:pt idx="394">
                  <c:v>102.59</c:v>
                </c:pt>
                <c:pt idx="395">
                  <c:v>103.5</c:v>
                </c:pt>
                <c:pt idx="396">
                  <c:v>104.44</c:v>
                </c:pt>
                <c:pt idx="397">
                  <c:v>105.36</c:v>
                </c:pt>
                <c:pt idx="398">
                  <c:v>104.18</c:v>
                </c:pt>
                <c:pt idx="399">
                  <c:v>104.15</c:v>
                </c:pt>
                <c:pt idx="400">
                  <c:v>105</c:v>
                </c:pt>
                <c:pt idx="401">
                  <c:v>104.48</c:v>
                </c:pt>
                <c:pt idx="402">
                  <c:v>104.12</c:v>
                </c:pt>
                <c:pt idx="403">
                  <c:v>103.69</c:v>
                </c:pt>
                <c:pt idx="404">
                  <c:v>103.66</c:v>
                </c:pt>
                <c:pt idx="405">
                  <c:v>102.86</c:v>
                </c:pt>
                <c:pt idx="406">
                  <c:v>100.77</c:v>
                </c:pt>
                <c:pt idx="407">
                  <c:v>99.74</c:v>
                </c:pt>
                <c:pt idx="408">
                  <c:v>101.1</c:v>
                </c:pt>
                <c:pt idx="409">
                  <c:v>101.76</c:v>
                </c:pt>
                <c:pt idx="410">
                  <c:v>101.5</c:v>
                </c:pt>
                <c:pt idx="411">
                  <c:v>101.65</c:v>
                </c:pt>
                <c:pt idx="412">
                  <c:v>99.95</c:v>
                </c:pt>
                <c:pt idx="413">
                  <c:v>99.72</c:v>
                </c:pt>
                <c:pt idx="414">
                  <c:v>100.07</c:v>
                </c:pt>
                <c:pt idx="415">
                  <c:v>98.17</c:v>
                </c:pt>
                <c:pt idx="416">
                  <c:v>98.23</c:v>
                </c:pt>
                <c:pt idx="417">
                  <c:v>97.2</c:v>
                </c:pt>
                <c:pt idx="418">
                  <c:v>97.85</c:v>
                </c:pt>
                <c:pt idx="419">
                  <c:v>97.8</c:v>
                </c:pt>
                <c:pt idx="420">
                  <c:v>98.05</c:v>
                </c:pt>
                <c:pt idx="421">
                  <c:v>96.65</c:v>
                </c:pt>
                <c:pt idx="422">
                  <c:v>96.98</c:v>
                </c:pt>
                <c:pt idx="423">
                  <c:v>97.08</c:v>
                </c:pt>
                <c:pt idx="424">
                  <c:v>97.7</c:v>
                </c:pt>
                <c:pt idx="425">
                  <c:v>97.55</c:v>
                </c:pt>
                <c:pt idx="426">
                  <c:v>97</c:v>
                </c:pt>
                <c:pt idx="427">
                  <c:v>95.57</c:v>
                </c:pt>
                <c:pt idx="428">
                  <c:v>96.4</c:v>
                </c:pt>
                <c:pt idx="429">
                  <c:v>96.35</c:v>
                </c:pt>
                <c:pt idx="430">
                  <c:v>96.33</c:v>
                </c:pt>
                <c:pt idx="431">
                  <c:v>96.62</c:v>
                </c:pt>
                <c:pt idx="432">
                  <c:v>98.55</c:v>
                </c:pt>
                <c:pt idx="433">
                  <c:v>98.81</c:v>
                </c:pt>
                <c:pt idx="434">
                  <c:v>98.35</c:v>
                </c:pt>
                <c:pt idx="435">
                  <c:v>99.62</c:v>
                </c:pt>
                <c:pt idx="436">
                  <c:v>99.57</c:v>
                </c:pt>
                <c:pt idx="437">
                  <c:v>100.52</c:v>
                </c:pt>
                <c:pt idx="438">
                  <c:v>98.17</c:v>
                </c:pt>
                <c:pt idx="439">
                  <c:v>97.64</c:v>
                </c:pt>
                <c:pt idx="440">
                  <c:v>98.81</c:v>
                </c:pt>
                <c:pt idx="441">
                  <c:v>99.33</c:v>
                </c:pt>
                <c:pt idx="442">
                  <c:v>100.04</c:v>
                </c:pt>
                <c:pt idx="443">
                  <c:v>100.83</c:v>
                </c:pt>
                <c:pt idx="444">
                  <c:v>100.8</c:v>
                </c:pt>
                <c:pt idx="445">
                  <c:v>102.39</c:v>
                </c:pt>
                <c:pt idx="446">
                  <c:v>100.86</c:v>
                </c:pt>
                <c:pt idx="447">
                  <c:v>101.89</c:v>
                </c:pt>
                <c:pt idx="448">
                  <c:v>102.29</c:v>
                </c:pt>
                <c:pt idx="449">
                  <c:v>101.07</c:v>
                </c:pt>
                <c:pt idx="450">
                  <c:v>101.19</c:v>
                </c:pt>
                <c:pt idx="451">
                  <c:v>101.72</c:v>
                </c:pt>
                <c:pt idx="452">
                  <c:v>101.56</c:v>
                </c:pt>
                <c:pt idx="453">
                  <c:v>101.94</c:v>
                </c:pt>
                <c:pt idx="454">
                  <c:v>100.77</c:v>
                </c:pt>
                <c:pt idx="455">
                  <c:v>100.04</c:v>
                </c:pt>
                <c:pt idx="456">
                  <c:v>100.22</c:v>
                </c:pt>
                <c:pt idx="457">
                  <c:v>98.55</c:v>
                </c:pt>
                <c:pt idx="458">
                  <c:v>97</c:v>
                </c:pt>
                <c:pt idx="459">
                  <c:v>98.19</c:v>
                </c:pt>
                <c:pt idx="460">
                  <c:v>97.41</c:v>
                </c:pt>
                <c:pt idx="461">
                  <c:v>96.64</c:v>
                </c:pt>
                <c:pt idx="462">
                  <c:v>97.96</c:v>
                </c:pt>
                <c:pt idx="463">
                  <c:v>96.11</c:v>
                </c:pt>
                <c:pt idx="464">
                  <c:v>96.99</c:v>
                </c:pt>
                <c:pt idx="465">
                  <c:v>98.52</c:v>
                </c:pt>
                <c:pt idx="466">
                  <c:v>98.24</c:v>
                </c:pt>
                <c:pt idx="467">
                  <c:v>99.59</c:v>
                </c:pt>
                <c:pt idx="468">
                  <c:v>100.19</c:v>
                </c:pt>
                <c:pt idx="469">
                  <c:v>100.95</c:v>
                </c:pt>
                <c:pt idx="470">
                  <c:v>101.66</c:v>
                </c:pt>
                <c:pt idx="471">
                  <c:v>103.85</c:v>
                </c:pt>
                <c:pt idx="472">
                  <c:v>102.91</c:v>
                </c:pt>
                <c:pt idx="473">
                  <c:v>100.38</c:v>
                </c:pt>
                <c:pt idx="474">
                  <c:v>100.95</c:v>
                </c:pt>
                <c:pt idx="475">
                  <c:v>100.16</c:v>
                </c:pt>
                <c:pt idx="476">
                  <c:v>98.92</c:v>
                </c:pt>
                <c:pt idx="477">
                  <c:v>98.85</c:v>
                </c:pt>
                <c:pt idx="478">
                  <c:v>100.14</c:v>
                </c:pt>
                <c:pt idx="479">
                  <c:v>100.36</c:v>
                </c:pt>
                <c:pt idx="480">
                  <c:v>97.88</c:v>
                </c:pt>
                <c:pt idx="481">
                  <c:v>96.87</c:v>
                </c:pt>
                <c:pt idx="482">
                  <c:v>96.45</c:v>
                </c:pt>
                <c:pt idx="483">
                  <c:v>96.22</c:v>
                </c:pt>
                <c:pt idx="484">
                  <c:v>96.6</c:v>
                </c:pt>
                <c:pt idx="485">
                  <c:v>95.45</c:v>
                </c:pt>
                <c:pt idx="486">
                  <c:v>95.82</c:v>
                </c:pt>
                <c:pt idx="487">
                  <c:v>95.41</c:v>
                </c:pt>
                <c:pt idx="488">
                  <c:v>95.64</c:v>
                </c:pt>
                <c:pt idx="489">
                  <c:v>97.53</c:v>
                </c:pt>
                <c:pt idx="490">
                  <c:v>99.39</c:v>
                </c:pt>
                <c:pt idx="491">
                  <c:v>98.9</c:v>
                </c:pt>
                <c:pt idx="492">
                  <c:v>100.21</c:v>
                </c:pt>
                <c:pt idx="493">
                  <c:v>99.99</c:v>
                </c:pt>
                <c:pt idx="494">
                  <c:v>98.06</c:v>
                </c:pt>
                <c:pt idx="495">
                  <c:v>98.57</c:v>
                </c:pt>
                <c:pt idx="496">
                  <c:v>98.95</c:v>
                </c:pt>
                <c:pt idx="497">
                  <c:v>99.53</c:v>
                </c:pt>
                <c:pt idx="498">
                  <c:v>99.3</c:v>
                </c:pt>
                <c:pt idx="499">
                  <c:v>99.54</c:v>
                </c:pt>
                <c:pt idx="500">
                  <c:v>99.89</c:v>
                </c:pt>
                <c:pt idx="501">
                  <c:v>99.32</c:v>
                </c:pt>
                <c:pt idx="502">
                  <c:v>99.99</c:v>
                </c:pt>
                <c:pt idx="503">
                  <c:v>98.5</c:v>
                </c:pt>
                <c:pt idx="504">
                  <c:v>99.32</c:v>
                </c:pt>
                <c:pt idx="505">
                  <c:v>99.37</c:v>
                </c:pt>
                <c:pt idx="506">
                  <c:v>100.18</c:v>
                </c:pt>
                <c:pt idx="507">
                  <c:v>99.21</c:v>
                </c:pt>
                <c:pt idx="508">
                  <c:v>98.83</c:v>
                </c:pt>
                <c:pt idx="509">
                  <c:v>100.21</c:v>
                </c:pt>
                <c:pt idx="510">
                  <c:v>101.47</c:v>
                </c:pt>
                <c:pt idx="511">
                  <c:v>102.58</c:v>
                </c:pt>
                <c:pt idx="512">
                  <c:v>103.81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99">
                  <c:v>91.127900000000011</c:v>
                </c:pt>
                <c:pt idx="100">
                  <c:v>91.148100000000014</c:v>
                </c:pt>
                <c:pt idx="101">
                  <c:v>91.150199999999998</c:v>
                </c:pt>
                <c:pt idx="102">
                  <c:v>91.136800000000008</c:v>
                </c:pt>
                <c:pt idx="103">
                  <c:v>91.126100000000022</c:v>
                </c:pt>
                <c:pt idx="104">
                  <c:v>91.133499999999998</c:v>
                </c:pt>
                <c:pt idx="105">
                  <c:v>91.13330000000002</c:v>
                </c:pt>
                <c:pt idx="106">
                  <c:v>91.12730000000002</c:v>
                </c:pt>
                <c:pt idx="107">
                  <c:v>91.140800000000013</c:v>
                </c:pt>
                <c:pt idx="108">
                  <c:v>91.143500000000017</c:v>
                </c:pt>
                <c:pt idx="109">
                  <c:v>91.14400000000002</c:v>
                </c:pt>
                <c:pt idx="110">
                  <c:v>91.161700000000025</c:v>
                </c:pt>
                <c:pt idx="111">
                  <c:v>91.185200000000023</c:v>
                </c:pt>
                <c:pt idx="112">
                  <c:v>91.198000000000008</c:v>
                </c:pt>
                <c:pt idx="113">
                  <c:v>91.212100000000007</c:v>
                </c:pt>
                <c:pt idx="114">
                  <c:v>91.229600000000033</c:v>
                </c:pt>
                <c:pt idx="115">
                  <c:v>91.252900000000011</c:v>
                </c:pt>
                <c:pt idx="116">
                  <c:v>91.260100000000023</c:v>
                </c:pt>
                <c:pt idx="117">
                  <c:v>91.265200000000021</c:v>
                </c:pt>
                <c:pt idx="118">
                  <c:v>91.262700000000038</c:v>
                </c:pt>
                <c:pt idx="119">
                  <c:v>91.268600000000049</c:v>
                </c:pt>
                <c:pt idx="120">
                  <c:v>91.253500000000017</c:v>
                </c:pt>
                <c:pt idx="121">
                  <c:v>91.222400000000022</c:v>
                </c:pt>
                <c:pt idx="122">
                  <c:v>91.208200000000033</c:v>
                </c:pt>
                <c:pt idx="123">
                  <c:v>91.205700000000036</c:v>
                </c:pt>
                <c:pt idx="124">
                  <c:v>91.19610000000003</c:v>
                </c:pt>
                <c:pt idx="125">
                  <c:v>91.191100000000006</c:v>
                </c:pt>
                <c:pt idx="126">
                  <c:v>91.191499999999991</c:v>
                </c:pt>
                <c:pt idx="127">
                  <c:v>91.193600000000004</c:v>
                </c:pt>
                <c:pt idx="128">
                  <c:v>91.183300000000003</c:v>
                </c:pt>
                <c:pt idx="129">
                  <c:v>91.205100000000002</c:v>
                </c:pt>
                <c:pt idx="130">
                  <c:v>91.235400000000027</c:v>
                </c:pt>
                <c:pt idx="131">
                  <c:v>91.267800000000008</c:v>
                </c:pt>
                <c:pt idx="132">
                  <c:v>91.316500000000019</c:v>
                </c:pt>
                <c:pt idx="133">
                  <c:v>91.343300000000013</c:v>
                </c:pt>
                <c:pt idx="134">
                  <c:v>91.372700000000023</c:v>
                </c:pt>
                <c:pt idx="135">
                  <c:v>91.431200000000032</c:v>
                </c:pt>
                <c:pt idx="136">
                  <c:v>91.493000000000052</c:v>
                </c:pt>
                <c:pt idx="137">
                  <c:v>91.571300000000065</c:v>
                </c:pt>
                <c:pt idx="138">
                  <c:v>91.648900000000054</c:v>
                </c:pt>
                <c:pt idx="139">
                  <c:v>91.714900000000057</c:v>
                </c:pt>
                <c:pt idx="140">
                  <c:v>91.801600000000036</c:v>
                </c:pt>
                <c:pt idx="141">
                  <c:v>91.890700000000038</c:v>
                </c:pt>
                <c:pt idx="142">
                  <c:v>91.963800000000049</c:v>
                </c:pt>
                <c:pt idx="143">
                  <c:v>92.04260000000005</c:v>
                </c:pt>
                <c:pt idx="144">
                  <c:v>92.125700000000052</c:v>
                </c:pt>
                <c:pt idx="145">
                  <c:v>92.201500000000067</c:v>
                </c:pt>
                <c:pt idx="146">
                  <c:v>92.302400000000048</c:v>
                </c:pt>
                <c:pt idx="147">
                  <c:v>92.412700000000044</c:v>
                </c:pt>
                <c:pt idx="148">
                  <c:v>92.520400000000052</c:v>
                </c:pt>
                <c:pt idx="149">
                  <c:v>92.633600000000044</c:v>
                </c:pt>
                <c:pt idx="150">
                  <c:v>92.758800000000051</c:v>
                </c:pt>
                <c:pt idx="151">
                  <c:v>92.874400000000037</c:v>
                </c:pt>
                <c:pt idx="152">
                  <c:v>92.994700000000051</c:v>
                </c:pt>
                <c:pt idx="153">
                  <c:v>93.117000000000047</c:v>
                </c:pt>
                <c:pt idx="154">
                  <c:v>93.242600000000039</c:v>
                </c:pt>
                <c:pt idx="155">
                  <c:v>93.364700000000042</c:v>
                </c:pt>
                <c:pt idx="156">
                  <c:v>93.471000000000018</c:v>
                </c:pt>
                <c:pt idx="157">
                  <c:v>93.587000000000046</c:v>
                </c:pt>
                <c:pt idx="158">
                  <c:v>93.716600000000057</c:v>
                </c:pt>
                <c:pt idx="159">
                  <c:v>93.817800000000048</c:v>
                </c:pt>
                <c:pt idx="160">
                  <c:v>93.913900000000055</c:v>
                </c:pt>
                <c:pt idx="161">
                  <c:v>94.017300000000048</c:v>
                </c:pt>
                <c:pt idx="162">
                  <c:v>94.117300000000057</c:v>
                </c:pt>
                <c:pt idx="163">
                  <c:v>94.227400000000031</c:v>
                </c:pt>
                <c:pt idx="164">
                  <c:v>94.321400000000011</c:v>
                </c:pt>
                <c:pt idx="165">
                  <c:v>94.42880000000001</c:v>
                </c:pt>
                <c:pt idx="166">
                  <c:v>94.530900000000003</c:v>
                </c:pt>
                <c:pt idx="167">
                  <c:v>94.635199999999998</c:v>
                </c:pt>
                <c:pt idx="168">
                  <c:v>94.779100000000014</c:v>
                </c:pt>
                <c:pt idx="169">
                  <c:v>94.937600000000003</c:v>
                </c:pt>
                <c:pt idx="170">
                  <c:v>95.089200000000019</c:v>
                </c:pt>
                <c:pt idx="171">
                  <c:v>95.228800000000035</c:v>
                </c:pt>
                <c:pt idx="172">
                  <c:v>95.402100000000033</c:v>
                </c:pt>
                <c:pt idx="173">
                  <c:v>95.548500000000018</c:v>
                </c:pt>
                <c:pt idx="174">
                  <c:v>95.677700000000016</c:v>
                </c:pt>
                <c:pt idx="175">
                  <c:v>95.793900000000008</c:v>
                </c:pt>
                <c:pt idx="176">
                  <c:v>95.912200000000013</c:v>
                </c:pt>
                <c:pt idx="177">
                  <c:v>96.032299999999992</c:v>
                </c:pt>
                <c:pt idx="178">
                  <c:v>96.143400000000014</c:v>
                </c:pt>
                <c:pt idx="179">
                  <c:v>96.236400000000017</c:v>
                </c:pt>
                <c:pt idx="180">
                  <c:v>96.328300000000041</c:v>
                </c:pt>
                <c:pt idx="181">
                  <c:v>96.422100000000029</c:v>
                </c:pt>
                <c:pt idx="182">
                  <c:v>96.518300000000039</c:v>
                </c:pt>
                <c:pt idx="183">
                  <c:v>96.598500000000016</c:v>
                </c:pt>
                <c:pt idx="184">
                  <c:v>96.677600000000027</c:v>
                </c:pt>
                <c:pt idx="185">
                  <c:v>96.753200000000021</c:v>
                </c:pt>
                <c:pt idx="186">
                  <c:v>96.832399999999993</c:v>
                </c:pt>
                <c:pt idx="187">
                  <c:v>96.898700000000005</c:v>
                </c:pt>
                <c:pt idx="188">
                  <c:v>96.974500000000006</c:v>
                </c:pt>
                <c:pt idx="189">
                  <c:v>97.037800000000004</c:v>
                </c:pt>
                <c:pt idx="190">
                  <c:v>97.101000000000028</c:v>
                </c:pt>
                <c:pt idx="191">
                  <c:v>97.156100000000023</c:v>
                </c:pt>
                <c:pt idx="192">
                  <c:v>97.201100000000025</c:v>
                </c:pt>
                <c:pt idx="193">
                  <c:v>97.253100000000032</c:v>
                </c:pt>
                <c:pt idx="194">
                  <c:v>97.307700000000025</c:v>
                </c:pt>
                <c:pt idx="195">
                  <c:v>97.35250000000002</c:v>
                </c:pt>
                <c:pt idx="196">
                  <c:v>97.410600000000017</c:v>
                </c:pt>
                <c:pt idx="197">
                  <c:v>97.477600000000024</c:v>
                </c:pt>
                <c:pt idx="198">
                  <c:v>97.570800000000048</c:v>
                </c:pt>
                <c:pt idx="199">
                  <c:v>97.693500000000043</c:v>
                </c:pt>
                <c:pt idx="200">
                  <c:v>97.805800000000019</c:v>
                </c:pt>
                <c:pt idx="201">
                  <c:v>97.941300000000027</c:v>
                </c:pt>
                <c:pt idx="202">
                  <c:v>98.084800000000044</c:v>
                </c:pt>
                <c:pt idx="203">
                  <c:v>98.217300000000051</c:v>
                </c:pt>
                <c:pt idx="204">
                  <c:v>98.34580000000004</c:v>
                </c:pt>
                <c:pt idx="205">
                  <c:v>98.479000000000028</c:v>
                </c:pt>
                <c:pt idx="206">
                  <c:v>98.587800000000044</c:v>
                </c:pt>
                <c:pt idx="207">
                  <c:v>98.709900000000033</c:v>
                </c:pt>
                <c:pt idx="208">
                  <c:v>98.820100000000039</c:v>
                </c:pt>
                <c:pt idx="209">
                  <c:v>98.931200000000032</c:v>
                </c:pt>
                <c:pt idx="210">
                  <c:v>99.024800000000027</c:v>
                </c:pt>
                <c:pt idx="211">
                  <c:v>99.107300000000009</c:v>
                </c:pt>
                <c:pt idx="212">
                  <c:v>99.187400000000011</c:v>
                </c:pt>
                <c:pt idx="213">
                  <c:v>99.279500000000013</c:v>
                </c:pt>
                <c:pt idx="214">
                  <c:v>99.360399999999984</c:v>
                </c:pt>
                <c:pt idx="215">
                  <c:v>99.429699999999968</c:v>
                </c:pt>
                <c:pt idx="216">
                  <c:v>99.50709999999998</c:v>
                </c:pt>
                <c:pt idx="217">
                  <c:v>99.586599999999976</c:v>
                </c:pt>
                <c:pt idx="218">
                  <c:v>99.653599999999969</c:v>
                </c:pt>
                <c:pt idx="219">
                  <c:v>99.694999999999979</c:v>
                </c:pt>
                <c:pt idx="220">
                  <c:v>99.753499999999974</c:v>
                </c:pt>
                <c:pt idx="221">
                  <c:v>99.821199999999976</c:v>
                </c:pt>
                <c:pt idx="222">
                  <c:v>99.888899999999992</c:v>
                </c:pt>
                <c:pt idx="223">
                  <c:v>99.964399999999969</c:v>
                </c:pt>
                <c:pt idx="224">
                  <c:v>100.05509999999995</c:v>
                </c:pt>
                <c:pt idx="225">
                  <c:v>100.15239999999999</c:v>
                </c:pt>
                <c:pt idx="226">
                  <c:v>100.24889999999999</c:v>
                </c:pt>
                <c:pt idx="227">
                  <c:v>100.35089999999998</c:v>
                </c:pt>
                <c:pt idx="228">
                  <c:v>100.48370000000001</c:v>
                </c:pt>
                <c:pt idx="229">
                  <c:v>100.611</c:v>
                </c:pt>
                <c:pt idx="230">
                  <c:v>100.71820000000001</c:v>
                </c:pt>
                <c:pt idx="231">
                  <c:v>100.7886</c:v>
                </c:pt>
                <c:pt idx="232">
                  <c:v>100.84200000000003</c:v>
                </c:pt>
                <c:pt idx="233">
                  <c:v>100.90560000000004</c:v>
                </c:pt>
                <c:pt idx="234">
                  <c:v>100.95510000000004</c:v>
                </c:pt>
                <c:pt idx="235">
                  <c:v>100.96570000000001</c:v>
                </c:pt>
                <c:pt idx="236">
                  <c:v>100.97240000000004</c:v>
                </c:pt>
                <c:pt idx="237">
                  <c:v>100.97890000000002</c:v>
                </c:pt>
                <c:pt idx="238">
                  <c:v>100.96000000000004</c:v>
                </c:pt>
                <c:pt idx="239">
                  <c:v>100.95360000000004</c:v>
                </c:pt>
                <c:pt idx="240">
                  <c:v>100.92170000000004</c:v>
                </c:pt>
                <c:pt idx="241">
                  <c:v>100.87510000000002</c:v>
                </c:pt>
                <c:pt idx="242">
                  <c:v>100.81910000000002</c:v>
                </c:pt>
                <c:pt idx="243">
                  <c:v>100.73910000000004</c:v>
                </c:pt>
                <c:pt idx="244">
                  <c:v>100.64820000000003</c:v>
                </c:pt>
                <c:pt idx="245">
                  <c:v>100.57330000000003</c:v>
                </c:pt>
                <c:pt idx="246">
                  <c:v>100.46790000000003</c:v>
                </c:pt>
                <c:pt idx="247">
                  <c:v>100.34540000000004</c:v>
                </c:pt>
                <c:pt idx="248">
                  <c:v>100.23430000000003</c:v>
                </c:pt>
                <c:pt idx="249">
                  <c:v>100.12100000000002</c:v>
                </c:pt>
                <c:pt idx="250">
                  <c:v>100.00070000000001</c:v>
                </c:pt>
                <c:pt idx="251">
                  <c:v>99.888000000000005</c:v>
                </c:pt>
                <c:pt idx="252">
                  <c:v>99.768100000000018</c:v>
                </c:pt>
                <c:pt idx="253">
                  <c:v>99.641100000000009</c:v>
                </c:pt>
                <c:pt idx="254">
                  <c:v>99.508800000000022</c:v>
                </c:pt>
                <c:pt idx="255">
                  <c:v>99.380200000000016</c:v>
                </c:pt>
                <c:pt idx="256">
                  <c:v>99.278000000000006</c:v>
                </c:pt>
                <c:pt idx="257">
                  <c:v>99.158500000000004</c:v>
                </c:pt>
                <c:pt idx="258">
                  <c:v>99.039100000000005</c:v>
                </c:pt>
                <c:pt idx="259">
                  <c:v>98.931099999999986</c:v>
                </c:pt>
                <c:pt idx="260">
                  <c:v>98.829199999999986</c:v>
                </c:pt>
                <c:pt idx="261">
                  <c:v>98.744699999999952</c:v>
                </c:pt>
                <c:pt idx="262">
                  <c:v>98.675199999999961</c:v>
                </c:pt>
                <c:pt idx="263">
                  <c:v>98.598299999999938</c:v>
                </c:pt>
                <c:pt idx="264">
                  <c:v>98.510099999999952</c:v>
                </c:pt>
                <c:pt idx="265">
                  <c:v>98.413799999999952</c:v>
                </c:pt>
                <c:pt idx="266">
                  <c:v>98.311699999999945</c:v>
                </c:pt>
                <c:pt idx="267">
                  <c:v>98.244999999999948</c:v>
                </c:pt>
                <c:pt idx="268">
                  <c:v>98.146099999999947</c:v>
                </c:pt>
                <c:pt idx="269">
                  <c:v>98.027799999999928</c:v>
                </c:pt>
                <c:pt idx="270">
                  <c:v>97.928499999999929</c:v>
                </c:pt>
                <c:pt idx="271">
                  <c:v>97.833099999999916</c:v>
                </c:pt>
                <c:pt idx="272">
                  <c:v>97.741799999999927</c:v>
                </c:pt>
                <c:pt idx="273">
                  <c:v>97.641199999999941</c:v>
                </c:pt>
                <c:pt idx="274">
                  <c:v>97.564899999999938</c:v>
                </c:pt>
                <c:pt idx="275">
                  <c:v>97.485199999999949</c:v>
                </c:pt>
                <c:pt idx="276">
                  <c:v>97.400399999999934</c:v>
                </c:pt>
                <c:pt idx="277">
                  <c:v>97.318899999999957</c:v>
                </c:pt>
                <c:pt idx="278">
                  <c:v>97.236599999999967</c:v>
                </c:pt>
                <c:pt idx="279">
                  <c:v>97.14819999999996</c:v>
                </c:pt>
                <c:pt idx="280">
                  <c:v>97.083599999999976</c:v>
                </c:pt>
                <c:pt idx="281">
                  <c:v>96.999299999999963</c:v>
                </c:pt>
                <c:pt idx="282">
                  <c:v>96.916699999999963</c:v>
                </c:pt>
                <c:pt idx="283">
                  <c:v>96.841099999999969</c:v>
                </c:pt>
                <c:pt idx="284">
                  <c:v>96.767099999999985</c:v>
                </c:pt>
                <c:pt idx="285">
                  <c:v>96.718499999999992</c:v>
                </c:pt>
                <c:pt idx="286">
                  <c:v>96.674799999999991</c:v>
                </c:pt>
                <c:pt idx="287">
                  <c:v>96.643199999999979</c:v>
                </c:pt>
                <c:pt idx="288">
                  <c:v>96.591299999999976</c:v>
                </c:pt>
                <c:pt idx="289">
                  <c:v>96.545999999999964</c:v>
                </c:pt>
                <c:pt idx="290">
                  <c:v>96.520999999999972</c:v>
                </c:pt>
                <c:pt idx="291">
                  <c:v>96.529699999999963</c:v>
                </c:pt>
                <c:pt idx="292">
                  <c:v>96.539799999999957</c:v>
                </c:pt>
                <c:pt idx="293">
                  <c:v>96.520699999999977</c:v>
                </c:pt>
                <c:pt idx="294">
                  <c:v>96.506099999999975</c:v>
                </c:pt>
                <c:pt idx="295">
                  <c:v>96.526699999999963</c:v>
                </c:pt>
                <c:pt idx="296">
                  <c:v>96.570099999999968</c:v>
                </c:pt>
                <c:pt idx="297">
                  <c:v>96.577399999999983</c:v>
                </c:pt>
                <c:pt idx="298">
                  <c:v>96.549299999999988</c:v>
                </c:pt>
                <c:pt idx="299">
                  <c:v>96.533599999999964</c:v>
                </c:pt>
                <c:pt idx="300">
                  <c:v>96.541099999999972</c:v>
                </c:pt>
                <c:pt idx="301">
                  <c:v>96.549699999999987</c:v>
                </c:pt>
                <c:pt idx="302">
                  <c:v>96.565200000000004</c:v>
                </c:pt>
                <c:pt idx="303">
                  <c:v>96.583100000000016</c:v>
                </c:pt>
                <c:pt idx="304">
                  <c:v>96.593900000000019</c:v>
                </c:pt>
                <c:pt idx="305">
                  <c:v>96.601900000000001</c:v>
                </c:pt>
                <c:pt idx="306">
                  <c:v>96.624200000000002</c:v>
                </c:pt>
                <c:pt idx="307">
                  <c:v>96.631599999999992</c:v>
                </c:pt>
                <c:pt idx="308">
                  <c:v>96.677099999999996</c:v>
                </c:pt>
                <c:pt idx="309">
                  <c:v>96.728799999999993</c:v>
                </c:pt>
                <c:pt idx="310">
                  <c:v>96.799699999999987</c:v>
                </c:pt>
                <c:pt idx="311">
                  <c:v>96.905599999999993</c:v>
                </c:pt>
                <c:pt idx="312">
                  <c:v>97.014699999999991</c:v>
                </c:pt>
                <c:pt idx="313">
                  <c:v>97.112299999999991</c:v>
                </c:pt>
                <c:pt idx="314">
                  <c:v>97.249899999999997</c:v>
                </c:pt>
                <c:pt idx="315">
                  <c:v>97.367299999999972</c:v>
                </c:pt>
                <c:pt idx="316">
                  <c:v>97.439999999999984</c:v>
                </c:pt>
                <c:pt idx="317">
                  <c:v>97.515699999999981</c:v>
                </c:pt>
                <c:pt idx="318">
                  <c:v>97.60299999999998</c:v>
                </c:pt>
                <c:pt idx="319">
                  <c:v>97.731899999999968</c:v>
                </c:pt>
                <c:pt idx="320">
                  <c:v>97.877899999999968</c:v>
                </c:pt>
                <c:pt idx="321">
                  <c:v>98.035999999999987</c:v>
                </c:pt>
                <c:pt idx="322">
                  <c:v>98.18959999999997</c:v>
                </c:pt>
                <c:pt idx="323">
                  <c:v>98.334299999999971</c:v>
                </c:pt>
                <c:pt idx="324">
                  <c:v>98.476499999999973</c:v>
                </c:pt>
                <c:pt idx="325">
                  <c:v>98.599099999999979</c:v>
                </c:pt>
                <c:pt idx="326">
                  <c:v>98.748499999999964</c:v>
                </c:pt>
                <c:pt idx="327">
                  <c:v>98.878999999999991</c:v>
                </c:pt>
                <c:pt idx="328">
                  <c:v>98.974900000000019</c:v>
                </c:pt>
                <c:pt idx="329">
                  <c:v>99.063600000000008</c:v>
                </c:pt>
                <c:pt idx="330">
                  <c:v>99.169000000000011</c:v>
                </c:pt>
                <c:pt idx="331">
                  <c:v>99.305300000000003</c:v>
                </c:pt>
                <c:pt idx="332">
                  <c:v>99.457500000000024</c:v>
                </c:pt>
                <c:pt idx="333">
                  <c:v>99.616900000000001</c:v>
                </c:pt>
                <c:pt idx="334">
                  <c:v>99.752200000000016</c:v>
                </c:pt>
                <c:pt idx="335">
                  <c:v>99.899200000000036</c:v>
                </c:pt>
                <c:pt idx="336">
                  <c:v>100.05610000000003</c:v>
                </c:pt>
                <c:pt idx="337">
                  <c:v>100.21960000000003</c:v>
                </c:pt>
                <c:pt idx="338">
                  <c:v>100.36960000000005</c:v>
                </c:pt>
                <c:pt idx="339">
                  <c:v>100.52030000000005</c:v>
                </c:pt>
                <c:pt idx="340">
                  <c:v>100.62880000000004</c:v>
                </c:pt>
                <c:pt idx="341">
                  <c:v>100.72200000000004</c:v>
                </c:pt>
                <c:pt idx="342">
                  <c:v>100.80630000000005</c:v>
                </c:pt>
                <c:pt idx="343">
                  <c:v>100.93770000000006</c:v>
                </c:pt>
                <c:pt idx="344">
                  <c:v>101.08990000000007</c:v>
                </c:pt>
                <c:pt idx="345">
                  <c:v>101.24340000000005</c:v>
                </c:pt>
                <c:pt idx="346">
                  <c:v>101.40380000000005</c:v>
                </c:pt>
                <c:pt idx="347">
                  <c:v>101.56020000000002</c:v>
                </c:pt>
                <c:pt idx="348">
                  <c:v>101.69850000000002</c:v>
                </c:pt>
                <c:pt idx="349">
                  <c:v>101.84390000000005</c:v>
                </c:pt>
                <c:pt idx="350">
                  <c:v>101.99200000000005</c:v>
                </c:pt>
                <c:pt idx="351">
                  <c:v>102.12080000000006</c:v>
                </c:pt>
                <c:pt idx="352">
                  <c:v>102.26430000000003</c:v>
                </c:pt>
                <c:pt idx="353">
                  <c:v>102.41680000000004</c:v>
                </c:pt>
                <c:pt idx="354">
                  <c:v>102.57170000000004</c:v>
                </c:pt>
                <c:pt idx="355">
                  <c:v>102.72410000000004</c:v>
                </c:pt>
                <c:pt idx="356">
                  <c:v>102.85610000000003</c:v>
                </c:pt>
                <c:pt idx="357">
                  <c:v>102.99730000000004</c:v>
                </c:pt>
                <c:pt idx="358">
                  <c:v>103.12870000000004</c:v>
                </c:pt>
                <c:pt idx="359">
                  <c:v>103.24610000000004</c:v>
                </c:pt>
                <c:pt idx="360">
                  <c:v>103.36780000000003</c:v>
                </c:pt>
                <c:pt idx="361">
                  <c:v>103.47110000000002</c:v>
                </c:pt>
                <c:pt idx="362">
                  <c:v>103.57220000000001</c:v>
                </c:pt>
                <c:pt idx="363">
                  <c:v>103.6797</c:v>
                </c:pt>
                <c:pt idx="364">
                  <c:v>103.78829999999999</c:v>
                </c:pt>
                <c:pt idx="365">
                  <c:v>103.8942</c:v>
                </c:pt>
                <c:pt idx="366">
                  <c:v>103.99549999999999</c:v>
                </c:pt>
                <c:pt idx="367">
                  <c:v>104.05629999999999</c:v>
                </c:pt>
                <c:pt idx="368">
                  <c:v>104.13390000000001</c:v>
                </c:pt>
                <c:pt idx="369">
                  <c:v>104.2101</c:v>
                </c:pt>
                <c:pt idx="370">
                  <c:v>104.252</c:v>
                </c:pt>
                <c:pt idx="371">
                  <c:v>104.2987</c:v>
                </c:pt>
                <c:pt idx="372">
                  <c:v>104.324</c:v>
                </c:pt>
                <c:pt idx="373">
                  <c:v>104.3784</c:v>
                </c:pt>
                <c:pt idx="374">
                  <c:v>104.4243</c:v>
                </c:pt>
                <c:pt idx="375">
                  <c:v>104.46930000000002</c:v>
                </c:pt>
                <c:pt idx="376">
                  <c:v>104.51160000000002</c:v>
                </c:pt>
                <c:pt idx="377">
                  <c:v>104.54170000000001</c:v>
                </c:pt>
                <c:pt idx="378">
                  <c:v>104.57170000000001</c:v>
                </c:pt>
                <c:pt idx="379">
                  <c:v>104.62569999999998</c:v>
                </c:pt>
                <c:pt idx="380">
                  <c:v>104.67979999999997</c:v>
                </c:pt>
                <c:pt idx="381">
                  <c:v>104.73649999999998</c:v>
                </c:pt>
                <c:pt idx="382">
                  <c:v>104.78899999999997</c:v>
                </c:pt>
                <c:pt idx="383">
                  <c:v>104.83589999999998</c:v>
                </c:pt>
                <c:pt idx="384">
                  <c:v>104.88289999999998</c:v>
                </c:pt>
                <c:pt idx="385">
                  <c:v>104.90629999999999</c:v>
                </c:pt>
                <c:pt idx="386">
                  <c:v>104.92029999999998</c:v>
                </c:pt>
                <c:pt idx="387">
                  <c:v>104.93129999999999</c:v>
                </c:pt>
                <c:pt idx="388">
                  <c:v>104.9676</c:v>
                </c:pt>
                <c:pt idx="389">
                  <c:v>104.9939</c:v>
                </c:pt>
                <c:pt idx="390">
                  <c:v>104.9992</c:v>
                </c:pt>
                <c:pt idx="391">
                  <c:v>104.98159999999999</c:v>
                </c:pt>
                <c:pt idx="392">
                  <c:v>104.96989999999998</c:v>
                </c:pt>
                <c:pt idx="393">
                  <c:v>104.99029999999999</c:v>
                </c:pt>
                <c:pt idx="394">
                  <c:v>105.00709999999999</c:v>
                </c:pt>
                <c:pt idx="395">
                  <c:v>105.00569999999998</c:v>
                </c:pt>
                <c:pt idx="396">
                  <c:v>104.98349999999999</c:v>
                </c:pt>
                <c:pt idx="397">
                  <c:v>104.99939999999997</c:v>
                </c:pt>
                <c:pt idx="398">
                  <c:v>105.01479999999998</c:v>
                </c:pt>
                <c:pt idx="399">
                  <c:v>105.0106</c:v>
                </c:pt>
                <c:pt idx="400">
                  <c:v>104.9965</c:v>
                </c:pt>
                <c:pt idx="401">
                  <c:v>104.96510000000001</c:v>
                </c:pt>
                <c:pt idx="402">
                  <c:v>104.92820000000002</c:v>
                </c:pt>
                <c:pt idx="403">
                  <c:v>104.89020000000001</c:v>
                </c:pt>
                <c:pt idx="404">
                  <c:v>104.84200000000001</c:v>
                </c:pt>
                <c:pt idx="405">
                  <c:v>104.79260000000001</c:v>
                </c:pt>
                <c:pt idx="406">
                  <c:v>104.73200000000001</c:v>
                </c:pt>
                <c:pt idx="407">
                  <c:v>104.67390000000002</c:v>
                </c:pt>
                <c:pt idx="408">
                  <c:v>104.61030000000002</c:v>
                </c:pt>
                <c:pt idx="409">
                  <c:v>104.54900000000002</c:v>
                </c:pt>
                <c:pt idx="410">
                  <c:v>104.47630000000001</c:v>
                </c:pt>
                <c:pt idx="411">
                  <c:v>104.38690000000003</c:v>
                </c:pt>
                <c:pt idx="412">
                  <c:v>104.28580000000002</c:v>
                </c:pt>
                <c:pt idx="413">
                  <c:v>104.18720000000003</c:v>
                </c:pt>
                <c:pt idx="414">
                  <c:v>104.06070000000001</c:v>
                </c:pt>
                <c:pt idx="415">
                  <c:v>103.94920000000002</c:v>
                </c:pt>
                <c:pt idx="416">
                  <c:v>103.87750000000004</c:v>
                </c:pt>
                <c:pt idx="417">
                  <c:v>103.78900000000003</c:v>
                </c:pt>
                <c:pt idx="418">
                  <c:v>103.70980000000002</c:v>
                </c:pt>
                <c:pt idx="419">
                  <c:v>103.6048</c:v>
                </c:pt>
                <c:pt idx="420">
                  <c:v>103.48690000000001</c:v>
                </c:pt>
                <c:pt idx="421">
                  <c:v>103.3309</c:v>
                </c:pt>
                <c:pt idx="422">
                  <c:v>103.18260000000001</c:v>
                </c:pt>
                <c:pt idx="423">
                  <c:v>103.039</c:v>
                </c:pt>
                <c:pt idx="424">
                  <c:v>102.895</c:v>
                </c:pt>
                <c:pt idx="425">
                  <c:v>102.76089999999998</c:v>
                </c:pt>
                <c:pt idx="426">
                  <c:v>102.59789999999997</c:v>
                </c:pt>
                <c:pt idx="427">
                  <c:v>102.42839999999997</c:v>
                </c:pt>
                <c:pt idx="428">
                  <c:v>102.27949999999996</c:v>
                </c:pt>
                <c:pt idx="429">
                  <c:v>102.13849999999996</c:v>
                </c:pt>
                <c:pt idx="430">
                  <c:v>101.99049999999997</c:v>
                </c:pt>
                <c:pt idx="431">
                  <c:v>101.83539999999999</c:v>
                </c:pt>
                <c:pt idx="432">
                  <c:v>101.69339999999997</c:v>
                </c:pt>
                <c:pt idx="433">
                  <c:v>101.55589999999997</c:v>
                </c:pt>
                <c:pt idx="434">
                  <c:v>101.43909999999998</c:v>
                </c:pt>
                <c:pt idx="435">
                  <c:v>101.34009999999998</c:v>
                </c:pt>
                <c:pt idx="436">
                  <c:v>101.23109999999997</c:v>
                </c:pt>
                <c:pt idx="437">
                  <c:v>101.12589999999996</c:v>
                </c:pt>
                <c:pt idx="438">
                  <c:v>101.03009999999996</c:v>
                </c:pt>
                <c:pt idx="439">
                  <c:v>100.92969999999997</c:v>
                </c:pt>
                <c:pt idx="440">
                  <c:v>100.88239999999998</c:v>
                </c:pt>
                <c:pt idx="441">
                  <c:v>100.86989999999997</c:v>
                </c:pt>
                <c:pt idx="442">
                  <c:v>100.87759999999999</c:v>
                </c:pt>
                <c:pt idx="443">
                  <c:v>100.86579999999996</c:v>
                </c:pt>
                <c:pt idx="444">
                  <c:v>100.83089999999997</c:v>
                </c:pt>
                <c:pt idx="445">
                  <c:v>100.80099999999997</c:v>
                </c:pt>
                <c:pt idx="446">
                  <c:v>100.75249999999998</c:v>
                </c:pt>
                <c:pt idx="447">
                  <c:v>100.71919999999996</c:v>
                </c:pt>
                <c:pt idx="448">
                  <c:v>100.70789999999997</c:v>
                </c:pt>
                <c:pt idx="449">
                  <c:v>100.67759999999997</c:v>
                </c:pt>
                <c:pt idx="450">
                  <c:v>100.64979999999997</c:v>
                </c:pt>
                <c:pt idx="451">
                  <c:v>100.64589999999998</c:v>
                </c:pt>
                <c:pt idx="452">
                  <c:v>100.62769999999999</c:v>
                </c:pt>
                <c:pt idx="453">
                  <c:v>100.60219999999998</c:v>
                </c:pt>
                <c:pt idx="454">
                  <c:v>100.57129999999998</c:v>
                </c:pt>
                <c:pt idx="455">
                  <c:v>100.53929999999998</c:v>
                </c:pt>
                <c:pt idx="456">
                  <c:v>100.51939999999999</c:v>
                </c:pt>
                <c:pt idx="457">
                  <c:v>100.48219999999999</c:v>
                </c:pt>
                <c:pt idx="458">
                  <c:v>100.43609999999998</c:v>
                </c:pt>
                <c:pt idx="459">
                  <c:v>100.40690000000001</c:v>
                </c:pt>
                <c:pt idx="460">
                  <c:v>100.35700000000001</c:v>
                </c:pt>
                <c:pt idx="461">
                  <c:v>100.29789999999998</c:v>
                </c:pt>
                <c:pt idx="462">
                  <c:v>100.23989999999998</c:v>
                </c:pt>
                <c:pt idx="463">
                  <c:v>100.16140000000001</c:v>
                </c:pt>
                <c:pt idx="464">
                  <c:v>100.11499999999999</c:v>
                </c:pt>
                <c:pt idx="465">
                  <c:v>100.08670000000002</c:v>
                </c:pt>
                <c:pt idx="466">
                  <c:v>100.06180000000001</c:v>
                </c:pt>
                <c:pt idx="467">
                  <c:v>100.04800000000002</c:v>
                </c:pt>
                <c:pt idx="468">
                  <c:v>100.03839999999998</c:v>
                </c:pt>
                <c:pt idx="469">
                  <c:v>100.04600000000001</c:v>
                </c:pt>
                <c:pt idx="470">
                  <c:v>100.08210000000001</c:v>
                </c:pt>
                <c:pt idx="471">
                  <c:v>100.13650000000001</c:v>
                </c:pt>
                <c:pt idx="472">
                  <c:v>100.1841</c:v>
                </c:pt>
                <c:pt idx="473">
                  <c:v>100.18439999999998</c:v>
                </c:pt>
                <c:pt idx="474">
                  <c:v>100.18610000000001</c:v>
                </c:pt>
                <c:pt idx="475">
                  <c:v>100.1885</c:v>
                </c:pt>
                <c:pt idx="476">
                  <c:v>100.17460000000003</c:v>
                </c:pt>
                <c:pt idx="477">
                  <c:v>100.16600000000003</c:v>
                </c:pt>
                <c:pt idx="478">
                  <c:v>100.1743</c:v>
                </c:pt>
                <c:pt idx="479">
                  <c:v>100.17820000000002</c:v>
                </c:pt>
                <c:pt idx="480">
                  <c:v>100.14630000000002</c:v>
                </c:pt>
                <c:pt idx="481">
                  <c:v>100.10910000000004</c:v>
                </c:pt>
                <c:pt idx="482">
                  <c:v>100.06350000000003</c:v>
                </c:pt>
                <c:pt idx="483">
                  <c:v>100.02620000000003</c:v>
                </c:pt>
                <c:pt idx="484">
                  <c:v>99.987600000000043</c:v>
                </c:pt>
                <c:pt idx="485">
                  <c:v>99.936100000000039</c:v>
                </c:pt>
                <c:pt idx="486">
                  <c:v>99.883500000000041</c:v>
                </c:pt>
                <c:pt idx="487">
                  <c:v>99.816900000000047</c:v>
                </c:pt>
                <c:pt idx="488">
                  <c:v>99.737400000000036</c:v>
                </c:pt>
                <c:pt idx="489">
                  <c:v>99.687200000000033</c:v>
                </c:pt>
                <c:pt idx="490">
                  <c:v>99.660600000000031</c:v>
                </c:pt>
                <c:pt idx="491">
                  <c:v>99.627000000000024</c:v>
                </c:pt>
                <c:pt idx="492">
                  <c:v>99.61930000000001</c:v>
                </c:pt>
                <c:pt idx="493">
                  <c:v>99.596800000000002</c:v>
                </c:pt>
                <c:pt idx="494">
                  <c:v>99.55149999999999</c:v>
                </c:pt>
                <c:pt idx="495">
                  <c:v>99.502199999999988</c:v>
                </c:pt>
                <c:pt idx="496">
                  <c:v>99.447299999999998</c:v>
                </c:pt>
                <c:pt idx="497">
                  <c:v>99.38900000000001</c:v>
                </c:pt>
                <c:pt idx="498">
                  <c:v>99.34020000000001</c:v>
                </c:pt>
                <c:pt idx="499">
                  <c:v>99.2941</c:v>
                </c:pt>
                <c:pt idx="500">
                  <c:v>99.242999999999995</c:v>
                </c:pt>
                <c:pt idx="501">
                  <c:v>99.191399999999973</c:v>
                </c:pt>
                <c:pt idx="502">
                  <c:v>99.150099999999981</c:v>
                </c:pt>
                <c:pt idx="503">
                  <c:v>99.098199999999977</c:v>
                </c:pt>
                <c:pt idx="504">
                  <c:v>99.054799999999972</c:v>
                </c:pt>
                <c:pt idx="505">
                  <c:v>99.019899999999978</c:v>
                </c:pt>
                <c:pt idx="506">
                  <c:v>99.013999999999982</c:v>
                </c:pt>
                <c:pt idx="507">
                  <c:v>99.008699999999976</c:v>
                </c:pt>
                <c:pt idx="508">
                  <c:v>98.98599999999999</c:v>
                </c:pt>
                <c:pt idx="509">
                  <c:v>98.970499999999973</c:v>
                </c:pt>
                <c:pt idx="510">
                  <c:v>98.970199999999991</c:v>
                </c:pt>
                <c:pt idx="511">
                  <c:v>98.979499999999973</c:v>
                </c:pt>
                <c:pt idx="512">
                  <c:v>99.018099999999976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Average Close Forecast 1st Qtr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average_close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Sheet1!$B$2:$B$120</c:f>
              <c:numCache>
                <c:formatCode>General</c:formatCode>
                <c:ptCount val="119"/>
                <c:pt idx="0">
                  <c:v>93.045000000000002</c:v>
                </c:pt>
                <c:pt idx="1">
                  <c:v>92.94</c:v>
                </c:pt>
                <c:pt idx="2">
                  <c:v>90.342500000000001</c:v>
                </c:pt>
                <c:pt idx="3">
                  <c:v>89.266000000000005</c:v>
                </c:pt>
                <c:pt idx="4">
                  <c:v>91.210000000000008</c:v>
                </c:pt>
                <c:pt idx="5">
                  <c:v>89.328000000000003</c:v>
                </c:pt>
                <c:pt idx="6">
                  <c:v>87.7</c:v>
                </c:pt>
                <c:pt idx="7">
                  <c:v>88.007499999999993</c:v>
                </c:pt>
                <c:pt idx="8">
                  <c:v>86.792000000000002</c:v>
                </c:pt>
                <c:pt idx="9">
                  <c:v>89.605999999999995</c:v>
                </c:pt>
                <c:pt idx="10">
                  <c:v>89.581999999999994</c:v>
                </c:pt>
                <c:pt idx="11">
                  <c:v>88.998000000000005</c:v>
                </c:pt>
                <c:pt idx="12">
                  <c:v>89.202500000000001</c:v>
                </c:pt>
                <c:pt idx="13">
                  <c:v>90.132000000000005</c:v>
                </c:pt>
                <c:pt idx="14">
                  <c:v>89.56</c:v>
                </c:pt>
                <c:pt idx="15">
                  <c:v>89.947999999999993</c:v>
                </c:pt>
                <c:pt idx="16">
                  <c:v>93.207999999999998</c:v>
                </c:pt>
                <c:pt idx="17">
                  <c:v>94.796000000000006</c:v>
                </c:pt>
                <c:pt idx="18">
                  <c:v>97.403999999999996</c:v>
                </c:pt>
                <c:pt idx="19">
                  <c:v>97.039999999999992</c:v>
                </c:pt>
                <c:pt idx="20">
                  <c:v>95.456000000000003</c:v>
                </c:pt>
                <c:pt idx="21">
                  <c:v>93.03</c:v>
                </c:pt>
                <c:pt idx="22">
                  <c:v>92.7</c:v>
                </c:pt>
                <c:pt idx="23">
                  <c:v>91.337999999999994</c:v>
                </c:pt>
                <c:pt idx="24">
                  <c:v>90.477500000000006</c:v>
                </c:pt>
                <c:pt idx="25">
                  <c:v>89.885999999999996</c:v>
                </c:pt>
                <c:pt idx="26">
                  <c:v>88.94</c:v>
                </c:pt>
                <c:pt idx="27">
                  <c:v>90.158000000000001</c:v>
                </c:pt>
                <c:pt idx="28">
                  <c:v>92.744</c:v>
                </c:pt>
                <c:pt idx="29">
                  <c:v>95.225999999999999</c:v>
                </c:pt>
                <c:pt idx="30">
                  <c:v>98.917999999999992</c:v>
                </c:pt>
                <c:pt idx="31">
                  <c:v>100.86</c:v>
                </c:pt>
                <c:pt idx="32">
                  <c:v>100.746</c:v>
                </c:pt>
                <c:pt idx="33">
                  <c:v>100.45399999999999</c:v>
                </c:pt>
                <c:pt idx="34">
                  <c:v>100.65</c:v>
                </c:pt>
                <c:pt idx="35">
                  <c:v>103.6875</c:v>
                </c:pt>
                <c:pt idx="36">
                  <c:v>104.298</c:v>
                </c:pt>
                <c:pt idx="37">
                  <c:v>103.654</c:v>
                </c:pt>
                <c:pt idx="38">
                  <c:v>103.434</c:v>
                </c:pt>
                <c:pt idx="39">
                  <c:v>104.18</c:v>
                </c:pt>
                <c:pt idx="40">
                  <c:v>101.904</c:v>
                </c:pt>
                <c:pt idx="41">
                  <c:v>105.41</c:v>
                </c:pt>
                <c:pt idx="42">
                  <c:v>106.19200000000001</c:v>
                </c:pt>
                <c:pt idx="43">
                  <c:v>102.42400000000001</c:v>
                </c:pt>
                <c:pt idx="44">
                  <c:v>98.727999999999994</c:v>
                </c:pt>
                <c:pt idx="45">
                  <c:v>96.522000000000006</c:v>
                </c:pt>
                <c:pt idx="46">
                  <c:v>97.671999999999997</c:v>
                </c:pt>
                <c:pt idx="47">
                  <c:v>100.83500000000001</c:v>
                </c:pt>
                <c:pt idx="48">
                  <c:v>96.793999999999997</c:v>
                </c:pt>
                <c:pt idx="49">
                  <c:v>93.504000000000005</c:v>
                </c:pt>
                <c:pt idx="50">
                  <c:v>90.013999999999996</c:v>
                </c:pt>
                <c:pt idx="51">
                  <c:v>89.6</c:v>
                </c:pt>
                <c:pt idx="52">
                  <c:v>89.164999999999992</c:v>
                </c:pt>
                <c:pt idx="53">
                  <c:v>88.382500000000007</c:v>
                </c:pt>
                <c:pt idx="54">
                  <c:v>90.787999999999997</c:v>
                </c:pt>
                <c:pt idx="55">
                  <c:v>91.334999999999994</c:v>
                </c:pt>
                <c:pt idx="56">
                  <c:v>93.69</c:v>
                </c:pt>
                <c:pt idx="57">
                  <c:v>95.644000000000005</c:v>
                </c:pt>
                <c:pt idx="58">
                  <c:v>95.632000000000005</c:v>
                </c:pt>
                <c:pt idx="59">
                  <c:v>96.26</c:v>
                </c:pt>
                <c:pt idx="60">
                  <c:v>100.41</c:v>
                </c:pt>
                <c:pt idx="61">
                  <c:v>102.184</c:v>
                </c:pt>
                <c:pt idx="62">
                  <c:v>104.81</c:v>
                </c:pt>
                <c:pt idx="63">
                  <c:v>107.84</c:v>
                </c:pt>
                <c:pt idx="64">
                  <c:v>107.3</c:v>
                </c:pt>
                <c:pt idx="65">
                  <c:v>110.45399999999999</c:v>
                </c:pt>
                <c:pt idx="66">
                  <c:v>107.072</c:v>
                </c:pt>
                <c:pt idx="67">
                  <c:v>111.9</c:v>
                </c:pt>
                <c:pt idx="68">
                  <c:v>111.70399999999999</c:v>
                </c:pt>
                <c:pt idx="69">
                  <c:v>111.72</c:v>
                </c:pt>
                <c:pt idx="70">
                  <c:v>109.292</c:v>
                </c:pt>
                <c:pt idx="71">
                  <c:v>101.938</c:v>
                </c:pt>
                <c:pt idx="72">
                  <c:v>104.76599999999999</c:v>
                </c:pt>
                <c:pt idx="73">
                  <c:v>103.4875</c:v>
                </c:pt>
                <c:pt idx="74">
                  <c:v>102.63799999999999</c:v>
                </c:pt>
                <c:pt idx="75">
                  <c:v>102.756</c:v>
                </c:pt>
                <c:pt idx="76">
                  <c:v>101.17</c:v>
                </c:pt>
                <c:pt idx="77">
                  <c:v>99.19</c:v>
                </c:pt>
                <c:pt idx="78">
                  <c:v>100.34</c:v>
                </c:pt>
                <c:pt idx="79">
                  <c:v>100.13</c:v>
                </c:pt>
                <c:pt idx="80">
                  <c:v>100.62</c:v>
                </c:pt>
                <c:pt idx="81">
                  <c:v>102.504</c:v>
                </c:pt>
                <c:pt idx="82">
                  <c:v>102.75</c:v>
                </c:pt>
                <c:pt idx="83">
                  <c:v>104.634</c:v>
                </c:pt>
                <c:pt idx="84">
                  <c:v>103.02</c:v>
                </c:pt>
                <c:pt idx="85">
                  <c:v>101.15</c:v>
                </c:pt>
                <c:pt idx="86">
                  <c:v>99.227999999999994</c:v>
                </c:pt>
                <c:pt idx="87">
                  <c:v>97.724999999999994</c:v>
                </c:pt>
                <c:pt idx="88">
                  <c:v>97.192000000000007</c:v>
                </c:pt>
                <c:pt idx="89">
                  <c:v>96.33</c:v>
                </c:pt>
                <c:pt idx="90">
                  <c:v>98.39</c:v>
                </c:pt>
                <c:pt idx="91">
                  <c:v>98.941999999999993</c:v>
                </c:pt>
                <c:pt idx="92">
                  <c:v>100.678</c:v>
                </c:pt>
                <c:pt idx="93">
                  <c:v>101.46</c:v>
                </c:pt>
                <c:pt idx="94">
                  <c:v>101.206</c:v>
                </c:pt>
                <c:pt idx="95">
                  <c:v>98.274000000000001</c:v>
                </c:pt>
                <c:pt idx="96">
                  <c:v>97.244</c:v>
                </c:pt>
                <c:pt idx="97">
                  <c:v>100.126</c:v>
                </c:pt>
                <c:pt idx="98">
                  <c:v>101.64999999999999</c:v>
                </c:pt>
                <c:pt idx="99">
                  <c:v>99.567499999999995</c:v>
                </c:pt>
                <c:pt idx="100">
                  <c:v>96.804000000000002</c:v>
                </c:pt>
                <c:pt idx="101">
                  <c:v>95.97</c:v>
                </c:pt>
                <c:pt idx="102">
                  <c:v>99.31</c:v>
                </c:pt>
                <c:pt idx="103">
                  <c:v>99.087500000000006</c:v>
                </c:pt>
                <c:pt idx="104">
                  <c:v>99.685000000000002</c:v>
                </c:pt>
                <c:pt idx="105">
                  <c:v>99.316000000000003</c:v>
                </c:pt>
                <c:pt idx="106">
                  <c:v>101.38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F-4C31-AFCC-17125766660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Forecast(average_close)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46112</c:v>
                </c:pt>
              </c:numCache>
            </c:numRef>
          </c:cat>
          <c:val>
            <c:numRef>
              <c:f>Sheet1!$C$2:$C$120</c:f>
              <c:numCache>
                <c:formatCode>General</c:formatCode>
                <c:ptCount val="119"/>
                <c:pt idx="106">
                  <c:v>101.38</c:v>
                </c:pt>
                <c:pt idx="107">
                  <c:v>97.020811482508719</c:v>
                </c:pt>
                <c:pt idx="108">
                  <c:v>100.53055832507381</c:v>
                </c:pt>
                <c:pt idx="109">
                  <c:v>99.737437443889647</c:v>
                </c:pt>
                <c:pt idx="110">
                  <c:v>99.030563493853478</c:v>
                </c:pt>
                <c:pt idx="111">
                  <c:v>99.229782661184373</c:v>
                </c:pt>
                <c:pt idx="112">
                  <c:v>97.890518290604476</c:v>
                </c:pt>
                <c:pt idx="113">
                  <c:v>98.204373705803846</c:v>
                </c:pt>
                <c:pt idx="114">
                  <c:v>99.973148805973494</c:v>
                </c:pt>
                <c:pt idx="115">
                  <c:v>98.899345476535771</c:v>
                </c:pt>
                <c:pt idx="116">
                  <c:v>97.34264390634452</c:v>
                </c:pt>
                <c:pt idx="117">
                  <c:v>96.796984368054339</c:v>
                </c:pt>
                <c:pt idx="118">
                  <c:v>96.577750357954869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F-4C31-AFCC-171257666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24656"/>
        <c:axId val="281329936"/>
      </c:lineChart>
      <c:catAx>
        <c:axId val="2813246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29936"/>
        <c:crosses val="autoZero"/>
        <c:auto val="1"/>
        <c:lblAlgn val="ctr"/>
        <c:lblOffset val="100"/>
        <c:noMultiLvlLbl val="0"/>
      </c:catAx>
      <c:valAx>
        <c:axId val="28132993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19050</xdr:rowOff>
    </xdr:from>
    <xdr:to>
      <xdr:col>6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0</xdr:row>
      <xdr:rowOff>66675</xdr:rowOff>
    </xdr:from>
    <xdr:to>
      <xdr:col>6</xdr:col>
      <xdr:colOff>333375</xdr:colOff>
      <xdr:row>13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4DDB3D-E15D-442F-B85C-21617AC9B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25</xdr:row>
      <xdr:rowOff>19050</xdr:rowOff>
    </xdr:from>
    <xdr:to>
      <xdr:col>6</xdr:col>
      <xdr:colOff>361950</xdr:colOff>
      <xdr:row>37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38</xdr:row>
      <xdr:rowOff>76200</xdr:rowOff>
    </xdr:from>
    <xdr:to>
      <xdr:col>6</xdr:col>
      <xdr:colOff>352425</xdr:colOff>
      <xdr:row>53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53</xdr:row>
      <xdr:rowOff>95249</xdr:rowOff>
    </xdr:from>
    <xdr:to>
      <xdr:col>6</xdr:col>
      <xdr:colOff>371475</xdr:colOff>
      <xdr:row>66</xdr:row>
      <xdr:rowOff>9524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66</xdr:row>
      <xdr:rowOff>85725</xdr:rowOff>
    </xdr:from>
    <xdr:to>
      <xdr:col>6</xdr:col>
      <xdr:colOff>390525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219075</xdr:colOff>
      <xdr:row>79</xdr:row>
      <xdr:rowOff>104775</xdr:rowOff>
    </xdr:from>
    <xdr:to>
      <xdr:col>6</xdr:col>
      <xdr:colOff>390525</xdr:colOff>
      <xdr:row>92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CAD083-6312-4BEB-81AE-50CB5F404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C62EF9-E8E7-495D-AF6E-9EDFC1EA5095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average_clos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3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</a>
  <a r="1" c="513">
    <v>92.41</v>
    <v>93</v>
    <v>93.25</v>
    <v>93.52</v>
    <v>93.81</v>
    <v>93.7</v>
    <v>94.32</v>
    <v>91.25</v>
    <v>91.62</v>
    <v>91.56</v>
    <v>90.55</v>
    <v>89.4</v>
    <v>89.86</v>
    <v>89.2</v>
    <v>89.12</v>
    <v>88.32</v>
    <v>89.67</v>
    <v>90.02</v>
    <v>90.59</v>
    <v>90.68</v>
    <v>90.9</v>
    <v>92.78</v>
    <v>91.1</v>
    <v>89.67</v>
    <v>89.77</v>
    <v>89.47</v>
    <v>88.67</v>
    <v>89.06</v>
    <v>89.45</v>
    <v>86.67</v>
    <v>86.84</v>
    <v>88.22</v>
    <v>87.32</v>
    <v>87.58</v>
    <v>88.61</v>
    <v>87.91</v>
    <v>87.93</v>
    <v>86.21</v>
    <v>86.88</v>
    <v>86.65</v>
    <v>87.21</v>
    <v>87.01</v>
    <v>89.13</v>
    <v>88.99</v>
    <v>89.85</v>
    <v>89.94</v>
    <v>90.12</v>
    <v>90.8</v>
    <v>89.93</v>
    <v>89.57</v>
    <v>88.67</v>
    <v>88.94</v>
    <v>88.99</v>
    <v>89.71</v>
    <v>89.04</v>
    <v>88.65</v>
    <v>88.6</v>
    <v>88.5</v>
    <v>87.45</v>
    <v>90.05</v>
    <v>90.81</v>
    <v>90.33</v>
    <v>90.6</v>
    <v>89.89</v>
    <v>90.19</v>
    <v>89.65</v>
    <v>90.6</v>
    <v>91.13</v>
    <v>88.89</v>
    <v>88.55</v>
    <v>88.63</v>
    <v>89.32</v>
    <v>87.42</v>
    <v>90.33</v>
    <v>90.9</v>
    <v>91.77</v>
    <v>92.73</v>
    <v>92.84</v>
    <v>93.43</v>
    <v>94.11</v>
    <v>92.93</v>
    <v>93.97</v>
    <v>94.4</v>
    <v>94.8</v>
    <v>95.25</v>
    <v>95.56</v>
    <v>96.13</v>
    <v>97.5</v>
    <v>97.57</v>
    <v>98.12</v>
    <v>97.7</v>
    <v>97.64</v>
    <v>96.64</v>
    <v>96.91</v>
    <v>96.91</v>
    <v>97.1</v>
    <v>96.51</v>
    <v>96.34</v>
    <v>96.13</v>
    <v>93.87</v>
    <v>94.43</v>
    <v>93.21</v>
    <v>91.91</v>
    <v>92.45</v>
    <v>94.55</v>
    <v>93.68</v>
    <v>93.72</v>
    <v>92.6</v>
    <v>91.89</v>
    <v>91.61</v>
    <v>92.32</v>
    <v>91.75</v>
    <v>91.14</v>
    <v>90.61</v>
    <v>90.87</v>
    <v>90.65</v>
    <v>90.39</v>
    <v>90.53</v>
    <v>90.34</v>
    <v>91.27</v>
    <v>89.39</v>
    <v>89.67</v>
    <v>89.68</v>
    <v>89.42</v>
    <v>88.81</v>
    <v>88.97</v>
    <v>88.71</v>
    <v>89.27</v>
    <v>88.42</v>
    <v>88.85</v>
    <v>89.87</v>
    <v>91.46</v>
    <v>92.19</v>
    <v>90.26</v>
    <v>91.55</v>
    <v>93.76</v>
    <v>94.11</v>
    <v>94.04</v>
    <v>94.64</v>
    <v>93.25</v>
    <v>95.88</v>
    <v>95.92</v>
    <v>96.44</v>
    <v>96.87</v>
    <v>98.16</v>
    <v>97.52</v>
    <v>100.21</v>
    <v>101.83</v>
    <v>100.7</v>
    <v>100.89</v>
    <v>101.19</v>
    <v>100.5</v>
    <v>101.02</v>
    <v>101.94</v>
    <v>101.6</v>
    <v>100.86</v>
    <v>99.23</v>
    <v>100.1</v>
    <v>100.41</v>
    <v>100.17</v>
    <v>100.42</v>
    <v>100.67</v>
    <v>100.6</v>
    <v>100.9</v>
    <v>99.59</v>
    <v>100.39</v>
    <v>100.81</v>
    <v>101.56</v>
    <v>103.28</v>
    <v>104.4</v>
    <v>103.79</v>
    <v>103.28</v>
    <v>104.75</v>
    <v>104.97</v>
    <v>103.82</v>
    <v>103.39</v>
    <v>104.56</v>
    <v>104.85</v>
    <v>104.54</v>
    <v>103.41</v>
    <v>102.12</v>
    <v>103.35</v>
    <v>104.02</v>
    <v>102.82</v>
    <v>103.16</v>
    <v>103.12</v>
    <v>104.05</v>
    <v>104.13</v>
    <v>105.15</v>
    <v>104.45</v>
    <v>104.02</v>
    <v>103.15</v>
    <v>101.14</v>
    <v>102.11</v>
    <v>102.37</v>
    <v>101.58</v>
    <v>102.32</v>
    <v>103.04</v>
    <v>105.45</v>
    <v>106.14</v>
    <v>105.66</v>
    <v>106.76</v>
    <v>106.26</v>
    <v>105.7</v>
    <v>107.4</v>
    <v>107</v>
    <v>104.6</v>
    <v>104.81</v>
    <v>102.91</v>
    <v>102.72</v>
    <v>101.68</v>
    <v>100</v>
    <v>99.15</v>
    <v>99.82</v>
    <v>98.96</v>
    <v>97.58</v>
    <v>98.13</v>
    <v>98.48</v>
    <v>97.04</v>
    <v>95.41</v>
    <v>95.24</v>
    <v>96.44</v>
    <v>96.45</v>
    <v>96.97</v>
    <v>97.88</v>
    <v>98.7</v>
    <v>98.36</v>
    <v>99.47</v>
    <v>101.7</v>
    <v>101.58</v>
    <v>100.59</v>
    <v>98.5</v>
    <v>97.53</v>
    <v>96.62</v>
    <v>96.5</v>
    <v>94.82</v>
    <v>94.78</v>
    <v>94.69</v>
    <v>92.75</v>
    <v>92.61</v>
    <v>92.69</v>
    <v>91.26</v>
    <v>90.84</v>
    <v>88.87</v>
    <v>89.07</v>
    <v>90.03</v>
    <v>89.67</v>
    <v>89.58</v>
    <v>89.59</v>
    <v>89.56</v>
    <v>89.16</v>
    <v>89.23</v>
    <v>89.03</v>
    <v>89.24</v>
    <v>88.37</v>
    <v>88</v>
    <v>89.01</v>
    <v>88.15</v>
    <v>88.47</v>
    <v>89.37</v>
    <v>90.23</v>
    <v>92.22</v>
    <v>93.65</v>
    <v>93.21</v>
    <v>90.77</v>
    <v>90.76</v>
    <v>90.6</v>
    <v>94.89</v>
    <v>93.39</v>
    <v>92.57</v>
    <v>93.86</v>
    <v>93.74</v>
    <v>95.62</v>
    <v>94.91</v>
    <v>96.19</v>
    <v>95.42</v>
    <v>96.08</v>
    <v>96.7</v>
    <v>96.31</v>
    <v>94.57</v>
    <v>95.66</v>
    <v>94.92</v>
    <v>95.76</v>
    <v>95.26</v>
    <v>95.76</v>
    <v>98.26</v>
    <v>99.68</v>
    <v>100.97</v>
    <v>99.96</v>
    <v>99.92</v>
    <v>101.52</v>
    <v>104.02</v>
    <v>102.15</v>
    <v>100.2</v>
    <v>100.91</v>
    <v>103.64</v>
    <v>106.66</v>
    <v>103.77</v>
    <v>102.64</v>
    <v>104.57</v>
    <v>106.41</v>
    <v>107.62</v>
    <v>107.81</v>
    <v>107.49</v>
    <v>108.48</v>
    <v>107.8</v>
    <v>106.83</v>
    <v>105.55</v>
    <v>107.46</v>
    <v>107.89</v>
    <v>108.77</v>
    <v>110.59</v>
    <v>110.06</v>
    <v>109.58</v>
    <v>112.72</v>
    <v>109.32</v>
    <v>105.4</v>
    <v>106.05</v>
    <v>105.77</v>
    <v>108.3</v>
    <v>109.84</v>
    <v>112.25</v>
    <v>111.81</v>
    <v>111.44</v>
    <v>112.1</v>
    <v>110.96</v>
    <v>113.3</v>
    <v>112.52</v>
    <v>111.29</v>
    <v>110.45</v>
    <v>111.13</v>
    <v>112.13</v>
    <v>112.75</v>
    <v>112.56</v>
    <v>110.03</v>
    <v>109.52</v>
    <v>110.47</v>
    <v>111.04</v>
    <v>107.75</v>
    <v>107.68</v>
    <v>103.54</v>
    <v>100.58</v>
    <v>99.27</v>
    <v>102.01</v>
    <v>104.29</v>
    <v>105.38</v>
    <v>105.71</v>
    <v>105.22</v>
    <v>103.42</v>
    <v>104.1</v>
    <v>103.97</v>
    <v>102.11</v>
    <v>103.38</v>
    <v>104.49</v>
    <v>103.86</v>
    <v>103.24</v>
    <v>102.21</v>
    <v>102.27</v>
    <v>101.61</v>
    <v>101.11</v>
    <v>102.4</v>
    <v>102.55</v>
    <v>103.76</v>
    <v>103.96</v>
    <v>101.63</v>
    <v>101.35</v>
    <v>100.73</v>
    <v>100.97</v>
    <v>101.15</v>
    <v>100.19</v>
    <v>98.05</v>
    <v>98.41</v>
    <v>98.15</v>
    <v>100.35</v>
    <v>100.78</v>
    <v>99.92</v>
    <v>100.31</v>
    <v>99.71</v>
    <v>99.31</v>
    <v>99.97</v>
    <v>101.07</v>
    <v>100.59</v>
    <v>101.01</v>
    <v>99.95</v>
    <v>100.46</v>
    <v>100.6</v>
    <v>101.08</v>
    <v>102.07</v>
    <v>103.59</v>
    <v>102.55</v>
    <v>102.05</v>
    <v>102.26</v>
    <v>100.98</v>
    <v>102.24</v>
    <v>102.59</v>
    <v>103.5</v>
    <v>104.44</v>
    <v>105.36</v>
    <v>104.18</v>
    <v>104.15</v>
    <v>105</v>
    <v>104.48</v>
    <v>104.12</v>
    <v>103.69</v>
    <v>103.66</v>
    <v>102.86</v>
    <v>100.77</v>
    <v>99.74</v>
    <v>101.1</v>
    <v>101.76</v>
    <v>101.5</v>
    <v>101.65</v>
    <v>99.95</v>
    <v>99.72</v>
    <v>100.07</v>
    <v>98.17</v>
    <v>98.23</v>
    <v>97.2</v>
    <v>97.85</v>
    <v>97.8</v>
    <v>98.05</v>
    <v>96.65</v>
    <v>96.98</v>
    <v>97.08</v>
    <v>97.7</v>
    <v>97.55</v>
    <v>97</v>
    <v>95.57</v>
    <v>96.4</v>
    <v>96.35</v>
    <v>96.33</v>
    <v>96.62</v>
    <v>98.55</v>
    <v>98.81</v>
    <v>98.35</v>
    <v>99.62</v>
    <v>99.57</v>
    <v>100.52</v>
    <v>98.17</v>
    <v>97.64</v>
    <v>98.81</v>
    <v>99.33</v>
    <v>100.04</v>
    <v>100.83</v>
    <v>100.8</v>
    <v>102.39</v>
    <v>100.86</v>
    <v>101.89</v>
    <v>102.29</v>
    <v>101.07</v>
    <v>101.19</v>
    <v>101.72</v>
    <v>101.56</v>
    <v>101.94</v>
    <v>100.77</v>
    <v>100.04</v>
    <v>100.22</v>
    <v>98.55</v>
    <v>97</v>
    <v>98.19</v>
    <v>97.41</v>
    <v>96.64</v>
    <v>97.96</v>
    <v>96.11</v>
    <v>96.99</v>
    <v>98.52</v>
    <v>98.24</v>
    <v>99.59</v>
    <v>100.19</v>
    <v>100.95</v>
    <v>101.66</v>
    <v>103.85</v>
    <v>102.91</v>
    <v>100.38</v>
    <v>100.95</v>
    <v>100.16</v>
    <v>98.92</v>
    <v>98.85</v>
    <v>100.14</v>
    <v>100.36</v>
    <v>97.88</v>
    <v>96.87</v>
    <v>96.45</v>
    <v>96.22</v>
    <v>96.6</v>
    <v>95.45</v>
    <v>95.82</v>
    <v>95.41</v>
    <v>95.64</v>
    <v>97.53</v>
    <v>99.39</v>
    <v>98.9</v>
    <v>100.21</v>
    <v>99.99</v>
    <v>98.06</v>
    <v>98.57</v>
    <v>98.95</v>
    <v>99.53</v>
    <v>99.3</v>
    <v>99.54</v>
    <v>99.89</v>
    <v>99.32</v>
    <v>99.99</v>
    <v>98.5</v>
    <v>99.32</v>
    <v>99.37</v>
    <v>100.18</v>
    <v>99.21</v>
    <v>98.83</v>
    <v>100.21</v>
    <v>101.47</v>
    <v>102.58</v>
    <v>103.81</v>
  </a>
  <a r="1" c="513">
    <v>1806880</v>
    <v>2014288</v>
    <v>1727129</v>
    <v>1971991</v>
    <v>1203530</v>
    <v>1291766</v>
    <v>1572378</v>
    <v>2045304</v>
    <v>2202499</v>
    <v>2038202</v>
    <v>1885348</v>
    <v>1682318</v>
    <v>1689928</v>
    <v>1678501</v>
    <v>1586101</v>
    <v>1932368</v>
    <v>1548425</v>
    <v>2218871</v>
    <v>2173342</v>
    <v>1550005</v>
    <v>3138166</v>
    <v>1625052</v>
    <v>1978373</v>
    <v>1852011</v>
    <v>1621500</v>
    <v>1413513</v>
    <v>1626478</v>
    <v>1457619</v>
    <v>1627308</v>
    <v>3513616</v>
    <v>2412954</v>
    <v>2168515</v>
    <v>2949343</v>
    <v>1974526</v>
    <v>1747225</v>
    <v>1628834</v>
    <v>1190734</v>
    <v>1562868</v>
    <v>1159107</v>
    <v>1185454</v>
    <v>2803360</v>
    <v>1571973</v>
    <v>1960927</v>
    <v>2037247</v>
    <v>1436735</v>
    <v>1007905</v>
    <v>1072856</v>
    <v>1197165</v>
    <v>1316827</v>
    <v>1673563</v>
    <v>1450252</v>
    <v>3462511</v>
    <v>1354963</v>
    <v>1507656</v>
    <v>1545741</v>
    <v>2162914</v>
    <v>1507460</v>
    <v>1163704</v>
    <v>1411961</v>
    <v>1935394</v>
    <v>1785835</v>
    <v>1109597</v>
    <v>1829435</v>
    <v>1404637</v>
    <v>1666995</v>
    <v>1737921</v>
    <v>1437861</v>
    <v>1184146</v>
    <v>1623462</v>
    <v>1325849</v>
    <v>1395978</v>
    <v>3517995</v>
    <v>2098153</v>
    <v>2923183</v>
    <v>2528774</v>
    <v>7398350</v>
    <v>1818305</v>
    <v>1843846</v>
    <v>2001652</v>
    <v>2191488</v>
    <v>1418568</v>
    <v>1146354</v>
    <v>3731976</v>
    <v>2372909</v>
    <v>1991646</v>
    <v>2465195</v>
    <v>2071466</v>
    <v>2029790</v>
    <v>2179673</v>
    <v>1613152</v>
    <v>1688630</v>
    <v>1557959</v>
    <v>1723445</v>
    <v>1749069</v>
    <v>2388169</v>
    <v>1570651</v>
    <v>1224455</v>
    <v>1515950</v>
    <v>3657513</v>
    <v>2056720</v>
    <v>1639105</v>
    <v>2168958</v>
    <v>2013488</v>
    <v>1929613</v>
    <v>7907625</v>
    <v>2211836</v>
    <v>3445948</v>
    <v>2129688</v>
    <v>1416883</v>
    <v>1312297</v>
    <v>1803642</v>
    <v>1315681</v>
    <v>1333420</v>
    <v>1598015</v>
    <v>1258477</v>
    <v>1401222</v>
    <v>1336404</v>
    <v>1383835</v>
    <v>3202328</v>
    <v>1441194</v>
    <v>1531285</v>
    <v>1838729</v>
    <v>1258140</v>
    <v>2647348</v>
    <v>1145188</v>
    <v>1128198</v>
    <v>922354</v>
    <v>1551140</v>
    <v>1169376</v>
    <v>1589236</v>
    <v>1188425</v>
    <v>1345746</v>
    <v>1222858</v>
    <v>1490241</v>
    <v>1526591</v>
    <v>2039333</v>
    <v>2135657</v>
    <v>1809737</v>
    <v>1547938</v>
    <v>1245714</v>
    <v>2179846</v>
    <v>1920793</v>
    <v>1438755</v>
    <v>1320213</v>
    <v>1127031</v>
    <v>1623371</v>
    <v>2409332</v>
    <v>4425804</v>
    <v>2846485</v>
    <v>1956382</v>
    <v>2139807</v>
    <v>1784635</v>
    <v>1512920</v>
    <v>1238505</v>
    <v>1505744</v>
    <v>1639219</v>
    <v>2757442</v>
    <v>1684765</v>
    <v>1837783</v>
    <v>1460744</v>
    <v>1922499</v>
    <v>1844957</v>
    <v>1620024</v>
    <v>1221535</v>
    <v>927271</v>
    <v>1019536</v>
    <v>1150898</v>
    <v>2366505</v>
    <v>2122586</v>
    <v>1501047</v>
    <v>1538696</v>
    <v>1760628</v>
    <v>1672940</v>
    <v>1271138</v>
    <v>2685901</v>
    <v>1528602</v>
    <v>1274726</v>
    <v>1467923</v>
    <v>1391024</v>
    <v>1347037</v>
    <v>1761679</v>
    <v>3492651</v>
    <v>1053579</v>
    <v>1063139</v>
    <v>1151089</v>
    <v>1391590</v>
    <v>1366877</v>
    <v>1449539</v>
    <v>1834563</v>
    <v>996739</v>
    <v>952060</v>
    <v>952852</v>
    <v>1967334</v>
    <v>1328778</v>
    <v>1114658</v>
    <v>1179589</v>
    <v>1317182</v>
    <v>1976020</v>
    <v>2748901</v>
    <v>1869233</v>
    <v>1727853</v>
    <v>6365337</v>
    <v>1405779</v>
    <v>1207216</v>
    <v>1663173</v>
    <v>1127349</v>
    <v>1734348</v>
    <v>1204579</v>
    <v>1452899</v>
    <v>1641332</v>
    <v>3732407</v>
    <v>2832691</v>
    <v>2088316</v>
    <v>2062310</v>
    <v>3701796</v>
    <v>3061381</v>
    <v>2915588</v>
    <v>1968440</v>
    <v>2682776</v>
    <v>2129523</v>
    <v>2112696</v>
    <v>2239156</v>
    <v>1838749</v>
    <v>1861442</v>
    <v>2119615</v>
    <v>1470557</v>
    <v>1185988</v>
    <v>3996180</v>
    <v>2435337</v>
    <v>1330448</v>
    <v>952343</v>
    <v>1911596</v>
    <v>1535995</v>
    <v>5090667</v>
    <v>2615839</v>
    <v>2813525</v>
    <v>2529568</v>
    <v>1695783</v>
    <v>2352368</v>
    <v>2300218</v>
    <v>1868498</v>
    <v>3004564</v>
    <v>2172159</v>
    <v>2677519</v>
    <v>2555753</v>
    <v>4876371</v>
    <v>1979057</v>
    <v>653911</v>
    <v>1879775</v>
    <v>1319594</v>
    <v>1377975</v>
    <v>1640959</v>
    <v>1557946</v>
    <v>1954733</v>
    <v>1981278</v>
    <v>2861220</v>
    <v>1793238</v>
    <v>2243180</v>
    <v>1883715</v>
    <v>2103980</v>
    <v>1972026</v>
    <v>2097561</v>
    <v>3516804</v>
    <v>2761523</v>
    <v>1805432</v>
    <v>1649741</v>
    <v>2596989</v>
    <v>4043815</v>
    <v>2470603</v>
    <v>1935876</v>
    <v>2274316</v>
    <v>6072722</v>
    <v>3234925</v>
    <v>2186451</v>
    <v>1874087</v>
    <v>1587040</v>
    <v>1520031</v>
    <v>1570620</v>
    <v>3162385</v>
    <v>3704165</v>
    <v>1860296</v>
    <v>1948212</v>
    <v>2568491</v>
    <v>1857550</v>
    <v>2580181</v>
    <v>4414893</v>
    <v>2943078</v>
    <v>3481345</v>
    <v>2072708</v>
    <v>3314096</v>
    <v>5254613</v>
    <v>3555914</v>
    <v>3592034</v>
    <v>5509676</v>
    <v>4345916</v>
    <v>2865771</v>
    <v>3471894</v>
    <v>2731268</v>
    <v>3739207</v>
    <v>2392163</v>
    <v>3779158</v>
    <v>3930736</v>
    <v>3275711</v>
    <v>2293611</v>
    <v>1896164</v>
    <v>4415458</v>
    <v>1897938</v>
    <v>2543771</v>
    <v>1925093</v>
    <v>1859144</v>
    <v>2392331</v>
    <v>2920439</v>
    <v>2507642</v>
    <v>2015191</v>
    <v>4175537</v>
    <v>6395885</v>
    <v>4405486</v>
    <v>2683063</v>
    <v>4912769</v>
    <v>3382289</v>
    <v>2617288</v>
    <v>2133340</v>
    <v>2314523</v>
    <v>2133038</v>
    <v>2055242</v>
    <v>2333943</v>
    <v>1833656</v>
    <v>2098373</v>
    <v>2389269</v>
    <v>2820849</v>
    <v>2938240</v>
    <v>2000418</v>
    <v>4940839</v>
    <v>3265519</v>
    <v>3421767</v>
    <v>3225219</v>
    <v>2186858</v>
    <v>3555181</v>
    <v>3652455</v>
    <v>2248912</v>
    <v>3918415</v>
    <v>4495917</v>
    <v>3383905</v>
    <v>3497345</v>
    <v>2758882</v>
    <v>2047865</v>
    <v>2177662</v>
    <v>2741568</v>
    <v>2266069</v>
    <v>2116235</v>
    <v>2638922</v>
    <v>1945687</v>
    <v>2762859</v>
    <v>6398572</v>
    <v>2292241</v>
    <v>2316659</v>
    <v>1845717</v>
    <v>2734457</v>
    <v>1694578</v>
    <v>1781808</v>
    <v>2311885</v>
    <v>2439137</v>
    <v>1902564</v>
    <v>3337359</v>
    <v>2737989</v>
    <v>2844894</v>
    <v>2620595</v>
    <v>7504224</v>
    <v>3957784</v>
    <v>2952898</v>
    <v>4397192</v>
    <v>2655622</v>
    <v>2880053</v>
    <v>2930483</v>
    <v>2749128</v>
    <v>2485839</v>
    <v>1316576</v>
    <v>1800719</v>
    <v>3451218</v>
    <v>2782533</v>
    <v>1851807</v>
    <v>1853687</v>
    <v>1409864</v>
    <v>1731322</v>
    <v>1865373</v>
    <v>2131709</v>
    <v>1813453</v>
    <v>1667769</v>
    <v>1663862</v>
    <v>2563086</v>
    <v>2467810</v>
    <v>1375737</v>
    <v>1995248</v>
    <v>1265041</v>
    <v>1565213</v>
    <v>3483197</v>
    <v>2272580</v>
    <v>2345153</v>
    <v>2515949</v>
    <v>1993167</v>
    <v>2577713</v>
    <v>2796477</v>
    <v>2357182</v>
    <v>2578774</v>
    <v>2728415</v>
    <v>2171761</v>
    <v>3098753</v>
    <v>2789322</v>
    <v>3948355</v>
    <v>3216440</v>
    <v>2282712</v>
    <v>2753050</v>
    <v>2498894</v>
    <v>3309463</v>
    <v>4313818</v>
    <v>2400163</v>
    <v>4220120</v>
    <v>3019315</v>
    <v>4306674</v>
    <v>2033303</v>
    <v>1724666</v>
    <v>2189394</v>
    <v>1282697</v>
    <v>1603960</v>
    <v>1689992</v>
    <v>1249463</v>
    <v>1351898</v>
    <v>2116706</v>
    <v>1879757</v>
    <v>1815705</v>
    <v>4091681</v>
    <v>1938992</v>
    <v>2204294</v>
    <v>1611788</v>
    <v>1848471</v>
    <v>1947302</v>
    <v>1875302</v>
    <v>2199219</v>
    <v>2301874</v>
    <v>1449485</v>
    <v>1676205</v>
    <v>1769805</v>
    <v>1722042</v>
    <v>1570590</v>
    <v>1816124</v>
    <v>2059205</v>
    <v>1515680</v>
    <v>1423256</v>
    <v>1556615</v>
    <v>1558806</v>
    <v>1597575</v>
    <v>1129321</v>
    <v>1116965</v>
    <v>1508989</v>
    <v>1302838</v>
    <v>1036366</v>
    <v>1537561</v>
    <v>1156747</v>
    <v>1804147</v>
    <v>2073284</v>
    <v>2770794</v>
    <v>1692176</v>
    <v>1614634</v>
    <v>2273863</v>
    <v>3064515</v>
    <v>2924446</v>
    <v>2188924</v>
    <v>1779798</v>
    <v>1340259</v>
    <v>1977816</v>
    <v>2443256</v>
    <v>3007831</v>
    <v>2585563</v>
    <v>3059734</v>
    <v>2462396</v>
    <v>4721989</v>
    <v>7708010</v>
    <v>2127188</v>
    <v>1305669</v>
    <v>1063335</v>
    <v>2744812</v>
    <v>2753150</v>
    <v>1762033</v>
    <v>2303530</v>
    <v>1775844</v>
    <v>2089307</v>
    <v>1823336</v>
    <v>1848956</v>
    <v>1396780</v>
    <v>2638227</v>
    <v>2388088</v>
    <v>2321135</v>
    <v>2330732</v>
    <v>2345340</v>
    <v>4366286</v>
    <v>1526222</v>
    <v>1485103</v>
    <v>522559</v>
    <v>611485</v>
    <v>1647935</v>
    <v>1019883</v>
    <v>1218242</v>
    <v>1441121</v>
    <v>2112395</v>
    <v>1643792</v>
    <v>1638957</v>
    <v>1717623</v>
    <v>1354245</v>
    <v>1987289</v>
    <v>2073342</v>
    <v>1963060</v>
    <v>1813479</v>
    <v>2201908</v>
  </a>
</arrayData>
</file>

<file path=xl/richData/rdrichvalue.xml><?xml version="1.0" encoding="utf-8"?>
<rvData xmlns="http://schemas.microsoft.com/office/spreadsheetml/2017/richdata" count="1483">
  <rv s="0">
    <fb>45293</fb>
    <v>0</v>
  </rv>
  <rv s="0">
    <fb>92.41</fb>
    <v>1</v>
  </rv>
  <rv s="0">
    <fb>1806880</fb>
    <v>2</v>
  </rv>
  <rv s="0">
    <fb>45294</fb>
    <v>0</v>
  </rv>
  <rv s="0">
    <fb>93</fb>
    <v>1</v>
  </rv>
  <rv s="0">
    <fb>2014288</fb>
    <v>2</v>
  </rv>
  <rv s="0">
    <fb>45295</fb>
    <v>0</v>
  </rv>
  <rv s="0">
    <fb>93.25</fb>
    <v>1</v>
  </rv>
  <rv s="0">
    <fb>1727129</fb>
    <v>2</v>
  </rv>
  <rv s="0">
    <fb>45296</fb>
    <v>0</v>
  </rv>
  <rv s="0">
    <fb>93.52</fb>
    <v>1</v>
  </rv>
  <rv s="0">
    <fb>1971991</fb>
    <v>2</v>
  </rv>
  <rv s="0">
    <fb>45299</fb>
    <v>0</v>
  </rv>
  <rv s="0">
    <fb>93.81</fb>
    <v>1</v>
  </rv>
  <rv s="0">
    <fb>1203530</fb>
    <v>2</v>
  </rv>
  <rv s="0">
    <fb>45300</fb>
    <v>0</v>
  </rv>
  <rv s="0">
    <fb>93.7</fb>
    <v>1</v>
  </rv>
  <rv s="0">
    <fb>1291766</fb>
    <v>2</v>
  </rv>
  <rv s="0">
    <fb>45301</fb>
    <v>0</v>
  </rv>
  <rv s="0">
    <fb>94.32</fb>
    <v>1</v>
  </rv>
  <rv s="0">
    <fb>1572378</fb>
    <v>2</v>
  </rv>
  <rv s="0">
    <fb>45302</fb>
    <v>0</v>
  </rv>
  <rv s="0">
    <fb>91.25</fb>
    <v>1</v>
  </rv>
  <rv s="0">
    <fb>2045304</fb>
    <v>2</v>
  </rv>
  <rv s="0">
    <fb>45303</fb>
    <v>0</v>
  </rv>
  <rv s="0">
    <fb>91.62</fb>
    <v>1</v>
  </rv>
  <rv s="0">
    <fb>2202499</fb>
    <v>2</v>
  </rv>
  <rv s="0">
    <fb>45307</fb>
    <v>0</v>
  </rv>
  <rv s="0">
    <fb>91.56</fb>
    <v>1</v>
  </rv>
  <rv s="0">
    <fb>2038202</fb>
    <v>2</v>
  </rv>
  <rv s="0">
    <fb>45308</fb>
    <v>0</v>
  </rv>
  <rv s="0">
    <fb>90.55</fb>
    <v>1</v>
  </rv>
  <rv s="0">
    <fb>1885348</fb>
    <v>2</v>
  </rv>
  <rv s="0">
    <fb>45309</fb>
    <v>0</v>
  </rv>
  <rv s="0">
    <fb>89.4</fb>
    <v>1</v>
  </rv>
  <rv s="0">
    <fb>1682318</fb>
    <v>2</v>
  </rv>
  <rv s="0">
    <fb>45310</fb>
    <v>0</v>
  </rv>
  <rv s="0">
    <fb>89.86</fb>
    <v>1</v>
  </rv>
  <rv s="0">
    <fb>1689928</fb>
    <v>2</v>
  </rv>
  <rv s="0">
    <fb>45313</fb>
    <v>0</v>
  </rv>
  <rv s="0">
    <fb>89.2</fb>
    <v>1</v>
  </rv>
  <rv s="0">
    <fb>1678501</fb>
    <v>2</v>
  </rv>
  <rv s="0">
    <fb>45314</fb>
    <v>0</v>
  </rv>
  <rv s="0">
    <fb>89.12</fb>
    <v>1</v>
  </rv>
  <rv s="0">
    <fb>1586101</fb>
    <v>2</v>
  </rv>
  <rv s="0">
    <fb>45315</fb>
    <v>0</v>
  </rv>
  <rv s="0">
    <fb>88.32</fb>
    <v>1</v>
  </rv>
  <rv s="0">
    <fb>1932368</fb>
    <v>2</v>
  </rv>
  <rv s="0">
    <fb>45316</fb>
    <v>0</v>
  </rv>
  <rv s="0">
    <fb>89.67</fb>
    <v>1</v>
  </rv>
  <rv s="0">
    <fb>1548425</fb>
    <v>2</v>
  </rv>
  <rv s="0">
    <fb>45317</fb>
    <v>0</v>
  </rv>
  <rv s="0">
    <fb>90.02</fb>
    <v>1</v>
  </rv>
  <rv s="0">
    <fb>2218871</fb>
    <v>2</v>
  </rv>
  <rv s="0">
    <fb>45320</fb>
    <v>0</v>
  </rv>
  <rv s="0">
    <fb>90.59</fb>
    <v>1</v>
  </rv>
  <rv s="0">
    <fb>2173342</fb>
    <v>2</v>
  </rv>
  <rv s="0">
    <fb>45321</fb>
    <v>0</v>
  </rv>
  <rv s="0">
    <fb>90.68</fb>
    <v>1</v>
  </rv>
  <rv s="0">
    <fb>1550005</fb>
    <v>2</v>
  </rv>
  <rv s="0">
    <fb>45322</fb>
    <v>0</v>
  </rv>
  <rv s="0">
    <fb>90.9</fb>
    <v>1</v>
  </rv>
  <rv s="0">
    <fb>3138166</fb>
    <v>2</v>
  </rv>
  <rv s="0">
    <fb>45323</fb>
    <v>0</v>
  </rv>
  <rv s="0">
    <fb>92.78</fb>
    <v>1</v>
  </rv>
  <rv s="0">
    <fb>1625052</fb>
    <v>2</v>
  </rv>
  <rv s="0">
    <fb>45324</fb>
    <v>0</v>
  </rv>
  <rv s="0">
    <fb>91.1</fb>
    <v>1</v>
  </rv>
  <rv s="0">
    <fb>1978373</fb>
    <v>2</v>
  </rv>
  <rv s="0">
    <fb>45327</fb>
    <v>0</v>
  </rv>
  <rv s="0">
    <fb>1852011</fb>
    <v>2</v>
  </rv>
  <rv s="0">
    <fb>45328</fb>
    <v>0</v>
  </rv>
  <rv s="0">
    <fb>89.77</fb>
    <v>1</v>
  </rv>
  <rv s="0">
    <fb>1621500</fb>
    <v>2</v>
  </rv>
  <rv s="0">
    <fb>45329</fb>
    <v>0</v>
  </rv>
  <rv s="0">
    <fb>89.47</fb>
    <v>1</v>
  </rv>
  <rv s="0">
    <fb>1413513</fb>
    <v>2</v>
  </rv>
  <rv s="0">
    <fb>45330</fb>
    <v>0</v>
  </rv>
  <rv s="0">
    <fb>88.67</fb>
    <v>1</v>
  </rv>
  <rv s="0">
    <fb>1626478</fb>
    <v>2</v>
  </rv>
  <rv s="0">
    <fb>45331</fb>
    <v>0</v>
  </rv>
  <rv s="0">
    <fb>89.06</fb>
    <v>1</v>
  </rv>
  <rv s="0">
    <fb>1457619</fb>
    <v>2</v>
  </rv>
  <rv s="0">
    <fb>45334</fb>
    <v>0</v>
  </rv>
  <rv s="0">
    <fb>89.45</fb>
    <v>1</v>
  </rv>
  <rv s="0">
    <fb>1627308</fb>
    <v>2</v>
  </rv>
  <rv s="0">
    <fb>45335</fb>
    <v>0</v>
  </rv>
  <rv s="0">
    <fb>86.67</fb>
    <v>1</v>
  </rv>
  <rv s="0">
    <fb>3513616</fb>
    <v>2</v>
  </rv>
  <rv s="0">
    <fb>45336</fb>
    <v>0</v>
  </rv>
  <rv s="0">
    <fb>86.84</fb>
    <v>1</v>
  </rv>
  <rv s="0">
    <fb>2412954</fb>
    <v>2</v>
  </rv>
  <rv s="0">
    <fb>45337</fb>
    <v>0</v>
  </rv>
  <rv s="0">
    <fb>88.22</fb>
    <v>1</v>
  </rv>
  <rv s="0">
    <fb>2168515</fb>
    <v>2</v>
  </rv>
  <rv s="0">
    <fb>45338</fb>
    <v>0</v>
  </rv>
  <rv s="0">
    <fb>87.32</fb>
    <v>1</v>
  </rv>
  <rv s="0">
    <fb>2949343</fb>
    <v>2</v>
  </rv>
  <rv s="0">
    <fb>45342</fb>
    <v>0</v>
  </rv>
  <rv s="0">
    <fb>87.58</fb>
    <v>1</v>
  </rv>
  <rv s="0">
    <fb>1974526</fb>
    <v>2</v>
  </rv>
  <rv s="0">
    <fb>45343</fb>
    <v>0</v>
  </rv>
  <rv s="0">
    <fb>88.61</fb>
    <v>1</v>
  </rv>
  <rv s="0">
    <fb>1747225</fb>
    <v>2</v>
  </rv>
  <rv s="0">
    <fb>45344</fb>
    <v>0</v>
  </rv>
  <rv s="0">
    <fb>87.91</fb>
    <v>1</v>
  </rv>
  <rv s="0">
    <fb>1628834</fb>
    <v>2</v>
  </rv>
  <rv s="0">
    <fb>45345</fb>
    <v>0</v>
  </rv>
  <rv s="0">
    <fb>87.93</fb>
    <v>1</v>
  </rv>
  <rv s="0">
    <fb>1190734</fb>
    <v>2</v>
  </rv>
  <rv s="0">
    <fb>45348</fb>
    <v>0</v>
  </rv>
  <rv s="0">
    <fb>86.21</fb>
    <v>1</v>
  </rv>
  <rv s="0">
    <fb>1562868</fb>
    <v>2</v>
  </rv>
  <rv s="0">
    <fb>45349</fb>
    <v>0</v>
  </rv>
  <rv s="0">
    <fb>86.88</fb>
    <v>1</v>
  </rv>
  <rv s="0">
    <fb>1159107</fb>
    <v>2</v>
  </rv>
  <rv s="0">
    <fb>45350</fb>
    <v>0</v>
  </rv>
  <rv s="0">
    <fb>86.65</fb>
    <v>1</v>
  </rv>
  <rv s="0">
    <fb>1185454</fb>
    <v>2</v>
  </rv>
  <rv s="0">
    <fb>45351</fb>
    <v>0</v>
  </rv>
  <rv s="0">
    <fb>87.21</fb>
    <v>1</v>
  </rv>
  <rv s="0">
    <fb>2803360</fb>
    <v>2</v>
  </rv>
  <rv s="0">
    <fb>45352</fb>
    <v>0</v>
  </rv>
  <rv s="0">
    <fb>87.01</fb>
    <v>1</v>
  </rv>
  <rv s="0">
    <fb>1571973</fb>
    <v>2</v>
  </rv>
  <rv s="0">
    <fb>45355</fb>
    <v>0</v>
  </rv>
  <rv s="0">
    <fb>89.13</fb>
    <v>1</v>
  </rv>
  <rv s="0">
    <fb>1960927</fb>
    <v>2</v>
  </rv>
  <rv s="0">
    <fb>45356</fb>
    <v>0</v>
  </rv>
  <rv s="0">
    <fb>88.99</fb>
    <v>1</v>
  </rv>
  <rv s="0">
    <fb>2037247</fb>
    <v>2</v>
  </rv>
  <rv s="0">
    <fb>45357</fb>
    <v>0</v>
  </rv>
  <rv s="0">
    <fb>89.85</fb>
    <v>1</v>
  </rv>
  <rv s="0">
    <fb>1436735</fb>
    <v>2</v>
  </rv>
  <rv s="0">
    <fb>45358</fb>
    <v>0</v>
  </rv>
  <rv s="0">
    <fb>89.94</fb>
    <v>1</v>
  </rv>
  <rv s="0">
    <fb>1007905</fb>
    <v>2</v>
  </rv>
  <rv s="0">
    <fb>45359</fb>
    <v>0</v>
  </rv>
  <rv s="0">
    <fb>90.12</fb>
    <v>1</v>
  </rv>
  <rv s="0">
    <fb>1072856</fb>
    <v>2</v>
  </rv>
  <rv s="0">
    <fb>45362</fb>
    <v>0</v>
  </rv>
  <rv s="0">
    <fb>90.8</fb>
    <v>1</v>
  </rv>
  <rv s="0">
    <fb>1197165</fb>
    <v>2</v>
  </rv>
  <rv s="0">
    <fb>45363</fb>
    <v>0</v>
  </rv>
  <rv s="0">
    <fb>89.93</fb>
    <v>1</v>
  </rv>
  <rv s="0">
    <fb>1316827</fb>
    <v>2</v>
  </rv>
  <rv s="0">
    <fb>45364</fb>
    <v>0</v>
  </rv>
  <rv s="0">
    <fb>89.57</fb>
    <v>1</v>
  </rv>
  <rv s="0">
    <fb>1673563</fb>
    <v>2</v>
  </rv>
  <rv s="0">
    <fb>45365</fb>
    <v>0</v>
  </rv>
  <rv s="0">
    <fb>1450252</fb>
    <v>2</v>
  </rv>
  <rv s="0">
    <fb>45366</fb>
    <v>0</v>
  </rv>
  <rv s="0">
    <fb>88.94</fb>
    <v>1</v>
  </rv>
  <rv s="0">
    <fb>3462511</fb>
    <v>2</v>
  </rv>
  <rv s="0">
    <fb>45369</fb>
    <v>0</v>
  </rv>
  <rv s="0">
    <fb>1354963</fb>
    <v>2</v>
  </rv>
  <rv s="0">
    <fb>45370</fb>
    <v>0</v>
  </rv>
  <rv s="0">
    <fb>89.71</fb>
    <v>1</v>
  </rv>
  <rv s="0">
    <fb>1507656</fb>
    <v>2</v>
  </rv>
  <rv s="0">
    <fb>45371</fb>
    <v>0</v>
  </rv>
  <rv s="0">
    <fb>89.04</fb>
    <v>1</v>
  </rv>
  <rv s="0">
    <fb>1545741</fb>
    <v>2</v>
  </rv>
  <rv s="0">
    <fb>45372</fb>
    <v>0</v>
  </rv>
  <rv s="0">
    <fb>88.65</fb>
    <v>1</v>
  </rv>
  <rv s="0">
    <fb>2162914</fb>
    <v>2</v>
  </rv>
  <rv s="0">
    <fb>45373</fb>
    <v>0</v>
  </rv>
  <rv s="0">
    <fb>88.6</fb>
    <v>1</v>
  </rv>
  <rv s="0">
    <fb>1507460</fb>
    <v>2</v>
  </rv>
  <rv s="0">
    <fb>45376</fb>
    <v>0</v>
  </rv>
  <rv s="0">
    <fb>88.5</fb>
    <v>1</v>
  </rv>
  <rv s="0">
    <fb>1163704</fb>
    <v>2</v>
  </rv>
  <rv s="0">
    <fb>45377</fb>
    <v>0</v>
  </rv>
  <rv s="0">
    <fb>87.45</fb>
    <v>1</v>
  </rv>
  <rv s="0">
    <fb>1411961</fb>
    <v>2</v>
  </rv>
  <rv s="0">
    <fb>45378</fb>
    <v>0</v>
  </rv>
  <rv s="0">
    <fb>90.05</fb>
    <v>1</v>
  </rv>
  <rv s="0">
    <fb>1935394</fb>
    <v>2</v>
  </rv>
  <rv s="0">
    <fb>45379</fb>
    <v>0</v>
  </rv>
  <rv s="0">
    <fb>90.81</fb>
    <v>1</v>
  </rv>
  <rv s="0">
    <fb>1785835</fb>
    <v>2</v>
  </rv>
  <rv s="0">
    <fb>45383</fb>
    <v>0</v>
  </rv>
  <rv s="0">
    <fb>90.33</fb>
    <v>1</v>
  </rv>
  <rv s="0">
    <fb>1109597</fb>
    <v>2</v>
  </rv>
  <rv s="0">
    <fb>45384</fb>
    <v>0</v>
  </rv>
  <rv s="0">
    <fb>90.6</fb>
    <v>1</v>
  </rv>
  <rv s="0">
    <fb>1829435</fb>
    <v>2</v>
  </rv>
  <rv s="0">
    <fb>45385</fb>
    <v>0</v>
  </rv>
  <rv s="0">
    <fb>89.89</fb>
    <v>1</v>
  </rv>
  <rv s="0">
    <fb>1404637</fb>
    <v>2</v>
  </rv>
  <rv s="0">
    <fb>45386</fb>
    <v>0</v>
  </rv>
  <rv s="0">
    <fb>90.19</fb>
    <v>1</v>
  </rv>
  <rv s="0">
    <fb>1666995</fb>
    <v>2</v>
  </rv>
  <rv s="0">
    <fb>45387</fb>
    <v>0</v>
  </rv>
  <rv s="0">
    <fb>89.65</fb>
    <v>1</v>
  </rv>
  <rv s="0">
    <fb>1737921</fb>
    <v>2</v>
  </rv>
  <rv s="0">
    <fb>45390</fb>
    <v>0</v>
  </rv>
  <rv s="0">
    <fb>1437861</fb>
    <v>2</v>
  </rv>
  <rv s="0">
    <fb>45391</fb>
    <v>0</v>
  </rv>
  <rv s="0">
    <fb>91.13</fb>
    <v>1</v>
  </rv>
  <rv s="0">
    <fb>1184146</fb>
    <v>2</v>
  </rv>
  <rv s="0">
    <fb>45392</fb>
    <v>0</v>
  </rv>
  <rv s="0">
    <fb>88.89</fb>
    <v>1</v>
  </rv>
  <rv s="0">
    <fb>1623462</fb>
    <v>2</v>
  </rv>
  <rv s="0">
    <fb>45393</fb>
    <v>0</v>
  </rv>
  <rv s="0">
    <fb>88.55</fb>
    <v>1</v>
  </rv>
  <rv s="0">
    <fb>1325849</fb>
    <v>2</v>
  </rv>
  <rv s="0">
    <fb>45394</fb>
    <v>0</v>
  </rv>
  <rv s="0">
    <fb>88.63</fb>
    <v>1</v>
  </rv>
  <rv s="0">
    <fb>1395978</fb>
    <v>2</v>
  </rv>
  <rv s="0">
    <fb>45397</fb>
    <v>0</v>
  </rv>
  <rv s="0">
    <fb>89.32</fb>
    <v>1</v>
  </rv>
  <rv s="0">
    <fb>3517995</fb>
    <v>2</v>
  </rv>
  <rv s="0">
    <fb>45398</fb>
    <v>0</v>
  </rv>
  <rv s="0">
    <fb>87.42</fb>
    <v>1</v>
  </rv>
  <rv s="0">
    <fb>2098153</fb>
    <v>2</v>
  </rv>
  <rv s="0">
    <fb>45399</fb>
    <v>0</v>
  </rv>
  <rv s="0">
    <fb>2923183</fb>
    <v>2</v>
  </rv>
  <rv s="0">
    <fb>45400</fb>
    <v>0</v>
  </rv>
  <rv s="0">
    <fb>2528774</fb>
    <v>2</v>
  </rv>
  <rv s="0">
    <fb>45401</fb>
    <v>0</v>
  </rv>
  <rv s="0">
    <fb>91.77</fb>
    <v>1</v>
  </rv>
  <rv s="0">
    <fb>7398350</fb>
    <v>2</v>
  </rv>
  <rv s="0">
    <fb>45404</fb>
    <v>0</v>
  </rv>
  <rv s="0">
    <fb>92.73</fb>
    <v>1</v>
  </rv>
  <rv s="0">
    <fb>1818305</fb>
    <v>2</v>
  </rv>
  <rv s="0">
    <fb>45405</fb>
    <v>0</v>
  </rv>
  <rv s="0">
    <fb>92.84</fb>
    <v>1</v>
  </rv>
  <rv s="0">
    <fb>1843846</fb>
    <v>2</v>
  </rv>
  <rv s="0">
    <fb>45406</fb>
    <v>0</v>
  </rv>
  <rv s="0">
    <fb>93.43</fb>
    <v>1</v>
  </rv>
  <rv s="0">
    <fb>2001652</fb>
    <v>2</v>
  </rv>
  <rv s="0">
    <fb>45407</fb>
    <v>0</v>
  </rv>
  <rv s="0">
    <fb>94.11</fb>
    <v>1</v>
  </rv>
  <rv s="0">
    <fb>2191488</fb>
    <v>2</v>
  </rv>
  <rv s="0">
    <fb>45408</fb>
    <v>0</v>
  </rv>
  <rv s="0">
    <fb>92.93</fb>
    <v>1</v>
  </rv>
  <rv s="0">
    <fb>1418568</fb>
    <v>2</v>
  </rv>
  <rv s="0">
    <fb>45411</fb>
    <v>0</v>
  </rv>
  <rv s="0">
    <fb>93.97</fb>
    <v>1</v>
  </rv>
  <rv s="0">
    <fb>1146354</fb>
    <v>2</v>
  </rv>
  <rv s="0">
    <fb>45412</fb>
    <v>0</v>
  </rv>
  <rv s="0">
    <fb>94.4</fb>
    <v>1</v>
  </rv>
  <rv s="0">
    <fb>3731976</fb>
    <v>2</v>
  </rv>
  <rv s="0">
    <fb>45413</fb>
    <v>0</v>
  </rv>
  <rv s="0">
    <fb>94.8</fb>
    <v>1</v>
  </rv>
  <rv s="0">
    <fb>2372909</fb>
    <v>2</v>
  </rv>
  <rv s="0">
    <fb>45414</fb>
    <v>0</v>
  </rv>
  <rv s="0">
    <fb>95.25</fb>
    <v>1</v>
  </rv>
  <rv s="0">
    <fb>1991646</fb>
    <v>2</v>
  </rv>
  <rv s="0">
    <fb>45415</fb>
    <v>0</v>
  </rv>
  <rv s="0">
    <fb>95.56</fb>
    <v>1</v>
  </rv>
  <rv s="0">
    <fb>2465195</fb>
    <v>2</v>
  </rv>
  <rv s="0">
    <fb>45418</fb>
    <v>0</v>
  </rv>
  <rv s="0">
    <fb>96.13</fb>
    <v>1</v>
  </rv>
  <rv s="0">
    <fb>2071466</fb>
    <v>2</v>
  </rv>
  <rv s="0">
    <fb>45419</fb>
    <v>0</v>
  </rv>
  <rv s="0">
    <fb>97.5</fb>
    <v>1</v>
  </rv>
  <rv s="0">
    <fb>2029790</fb>
    <v>2</v>
  </rv>
  <rv s="0">
    <fb>45420</fb>
    <v>0</v>
  </rv>
  <rv s="0">
    <fb>97.57</fb>
    <v>1</v>
  </rv>
  <rv s="0">
    <fb>2179673</fb>
    <v>2</v>
  </rv>
  <rv s="0">
    <fb>45421</fb>
    <v>0</v>
  </rv>
  <rv s="0">
    <fb>98.12</fb>
    <v>1</v>
  </rv>
  <rv s="0">
    <fb>1613152</fb>
    <v>2</v>
  </rv>
  <rv s="0">
    <fb>45422</fb>
    <v>0</v>
  </rv>
  <rv s="0">
    <fb>97.7</fb>
    <v>1</v>
  </rv>
  <rv s="0">
    <fb>1688630</fb>
    <v>2</v>
  </rv>
  <rv s="0">
    <fb>45425</fb>
    <v>0</v>
  </rv>
  <rv s="0">
    <fb>97.64</fb>
    <v>1</v>
  </rv>
  <rv s="0">
    <fb>1557959</fb>
    <v>2</v>
  </rv>
  <rv s="0">
    <fb>45426</fb>
    <v>0</v>
  </rv>
  <rv s="0">
    <fb>96.64</fb>
    <v>1</v>
  </rv>
  <rv s="0">
    <fb>1723445</fb>
    <v>2</v>
  </rv>
  <rv s="0">
    <fb>45427</fb>
    <v>0</v>
  </rv>
  <rv s="0">
    <fb>96.91</fb>
    <v>1</v>
  </rv>
  <rv s="0">
    <fb>1749069</fb>
    <v>2</v>
  </rv>
  <rv s="0">
    <fb>45428</fb>
    <v>0</v>
  </rv>
  <rv s="0">
    <fb>2388169</fb>
    <v>2</v>
  </rv>
  <rv s="0">
    <fb>45429</fb>
    <v>0</v>
  </rv>
  <rv s="0">
    <fb>97.1</fb>
    <v>1</v>
  </rv>
  <rv s="0">
    <fb>1570651</fb>
    <v>2</v>
  </rv>
  <rv s="0">
    <fb>45432</fb>
    <v>0</v>
  </rv>
  <rv s="0">
    <fb>96.51</fb>
    <v>1</v>
  </rv>
  <rv s="0">
    <fb>1224455</fb>
    <v>2</v>
  </rv>
  <rv s="0">
    <fb>45433</fb>
    <v>0</v>
  </rv>
  <rv s="0">
    <fb>96.34</fb>
    <v>1</v>
  </rv>
  <rv s="0">
    <fb>1515950</fb>
    <v>2</v>
  </rv>
  <rv s="0">
    <fb>45434</fb>
    <v>0</v>
  </rv>
  <rv s="0">
    <fb>3657513</fb>
    <v>2</v>
  </rv>
  <rv s="0">
    <fb>45435</fb>
    <v>0</v>
  </rv>
  <rv s="0">
    <fb>93.87</fb>
    <v>1</v>
  </rv>
  <rv s="0">
    <fb>2056720</fb>
    <v>2</v>
  </rv>
  <rv s="0">
    <fb>45436</fb>
    <v>0</v>
  </rv>
  <rv s="0">
    <fb>94.43</fb>
    <v>1</v>
  </rv>
  <rv s="0">
    <fb>1639105</fb>
    <v>2</v>
  </rv>
  <rv s="0">
    <fb>45440</fb>
    <v>0</v>
  </rv>
  <rv s="0">
    <fb>93.21</fb>
    <v>1</v>
  </rv>
  <rv s="0">
    <fb>2168958</fb>
    <v>2</v>
  </rv>
  <rv s="0">
    <fb>45441</fb>
    <v>0</v>
  </rv>
  <rv s="0">
    <fb>91.91</fb>
    <v>1</v>
  </rv>
  <rv s="0">
    <fb>2013488</fb>
    <v>2</v>
  </rv>
  <rv s="0">
    <fb>45442</fb>
    <v>0</v>
  </rv>
  <rv s="0">
    <fb>92.45</fb>
    <v>1</v>
  </rv>
  <rv s="0">
    <fb>1929613</fb>
    <v>2</v>
  </rv>
  <rv s="0">
    <fb>45443</fb>
    <v>0</v>
  </rv>
  <rv s="0">
    <fb>94.55</fb>
    <v>1</v>
  </rv>
  <rv s="0">
    <fb>7907625</fb>
    <v>2</v>
  </rv>
  <rv s="0">
    <fb>45446</fb>
    <v>0</v>
  </rv>
  <rv s="0">
    <fb>93.68</fb>
    <v>1</v>
  </rv>
  <rv s="0">
    <fb>2211836</fb>
    <v>2</v>
  </rv>
  <rv s="0">
    <fb>45447</fb>
    <v>0</v>
  </rv>
  <rv s="0">
    <fb>93.72</fb>
    <v>1</v>
  </rv>
  <rv s="0">
    <fb>3445948</fb>
    <v>2</v>
  </rv>
  <rv s="0">
    <fb>45448</fb>
    <v>0</v>
  </rv>
  <rv s="0">
    <fb>92.6</fb>
    <v>1</v>
  </rv>
  <rv s="0">
    <fb>2129688</fb>
    <v>2</v>
  </rv>
  <rv s="0">
    <fb>45449</fb>
    <v>0</v>
  </rv>
  <rv s="0">
    <fb>91.89</fb>
    <v>1</v>
  </rv>
  <rv s="0">
    <fb>1416883</fb>
    <v>2</v>
  </rv>
  <rv s="0">
    <fb>45450</fb>
    <v>0</v>
  </rv>
  <rv s="0">
    <fb>91.61</fb>
    <v>1</v>
  </rv>
  <rv s="0">
    <fb>1312297</fb>
    <v>2</v>
  </rv>
  <rv s="0">
    <fb>45453</fb>
    <v>0</v>
  </rv>
  <rv s="0">
    <fb>92.32</fb>
    <v>1</v>
  </rv>
  <rv s="0">
    <fb>1803642</fb>
    <v>2</v>
  </rv>
  <rv s="0">
    <fb>45454</fb>
    <v>0</v>
  </rv>
  <rv s="0">
    <fb>91.75</fb>
    <v>1</v>
  </rv>
  <rv s="0">
    <fb>1315681</fb>
    <v>2</v>
  </rv>
  <rv s="0">
    <fb>45455</fb>
    <v>0</v>
  </rv>
  <rv s="0">
    <fb>91.14</fb>
    <v>1</v>
  </rv>
  <rv s="0">
    <fb>1333420</fb>
    <v>2</v>
  </rv>
  <rv s="0">
    <fb>45456</fb>
    <v>0</v>
  </rv>
  <rv s="0">
    <fb>90.61</fb>
    <v>1</v>
  </rv>
  <rv s="0">
    <fb>1598015</fb>
    <v>2</v>
  </rv>
  <rv s="0">
    <fb>45457</fb>
    <v>0</v>
  </rv>
  <rv s="0">
    <fb>90.87</fb>
    <v>1</v>
  </rv>
  <rv s="0">
    <fb>1258477</fb>
    <v>2</v>
  </rv>
  <rv s="0">
    <fb>45460</fb>
    <v>0</v>
  </rv>
  <rv s="0">
    <fb>90.65</fb>
    <v>1</v>
  </rv>
  <rv s="0">
    <fb>1401222</fb>
    <v>2</v>
  </rv>
  <rv s="0">
    <fb>45461</fb>
    <v>0</v>
  </rv>
  <rv s="0">
    <fb>90.39</fb>
    <v>1</v>
  </rv>
  <rv s="0">
    <fb>1336404</fb>
    <v>2</v>
  </rv>
  <rv s="0">
    <fb>45463</fb>
    <v>0</v>
  </rv>
  <rv s="0">
    <fb>90.53</fb>
    <v>1</v>
  </rv>
  <rv s="0">
    <fb>1383835</fb>
    <v>2</v>
  </rv>
  <rv s="0">
    <fb>45464</fb>
    <v>0</v>
  </rv>
  <rv s="0">
    <fb>90.34</fb>
    <v>1</v>
  </rv>
  <rv s="0">
    <fb>3202328</fb>
    <v>2</v>
  </rv>
  <rv s="0">
    <fb>45467</fb>
    <v>0</v>
  </rv>
  <rv s="0">
    <fb>91.27</fb>
    <v>1</v>
  </rv>
  <rv s="0">
    <fb>1441194</fb>
    <v>2</v>
  </rv>
  <rv s="0">
    <fb>45468</fb>
    <v>0</v>
  </rv>
  <rv s="0">
    <fb>89.39</fb>
    <v>1</v>
  </rv>
  <rv s="0">
    <fb>1531285</fb>
    <v>2</v>
  </rv>
  <rv s="0">
    <fb>45469</fb>
    <v>0</v>
  </rv>
  <rv s="0">
    <fb>1838729</fb>
    <v>2</v>
  </rv>
  <rv s="0">
    <fb>45470</fb>
    <v>0</v>
  </rv>
  <rv s="0">
    <fb>89.68</fb>
    <v>1</v>
  </rv>
  <rv s="0">
    <fb>1258140</fb>
    <v>2</v>
  </rv>
  <rv s="0">
    <fb>45471</fb>
    <v>0</v>
  </rv>
  <rv s="0">
    <fb>89.42</fb>
    <v>1</v>
  </rv>
  <rv s="0">
    <fb>2647348</fb>
    <v>2</v>
  </rv>
  <rv s="0">
    <fb>45474</fb>
    <v>0</v>
  </rv>
  <rv s="0">
    <fb>88.81</fb>
    <v>1</v>
  </rv>
  <rv s="0">
    <fb>1145188</fb>
    <v>2</v>
  </rv>
  <rv s="0">
    <fb>45475</fb>
    <v>0</v>
  </rv>
  <rv s="0">
    <fb>88.97</fb>
    <v>1</v>
  </rv>
  <rv s="0">
    <fb>1128198</fb>
    <v>2</v>
  </rv>
  <rv s="0">
    <fb>45476</fb>
    <v>0</v>
  </rv>
  <rv s="0">
    <fb>88.71</fb>
    <v>1</v>
  </rv>
  <rv s="0">
    <fb>922354</fb>
    <v>2</v>
  </rv>
  <rv s="0">
    <fb>45478</fb>
    <v>0</v>
  </rv>
  <rv s="0">
    <fb>89.27</fb>
    <v>1</v>
  </rv>
  <rv s="0">
    <fb>1551140</fb>
    <v>2</v>
  </rv>
  <rv s="0">
    <fb>45481</fb>
    <v>0</v>
  </rv>
  <rv s="0">
    <fb>88.42</fb>
    <v>1</v>
  </rv>
  <rv s="0">
    <fb>1169376</fb>
    <v>2</v>
  </rv>
  <rv s="0">
    <fb>45482</fb>
    <v>0</v>
  </rv>
  <rv s="0">
    <fb>88.85</fb>
    <v>1</v>
  </rv>
  <rv s="0">
    <fb>1589236</fb>
    <v>2</v>
  </rv>
  <rv s="0">
    <fb>45483</fb>
    <v>0</v>
  </rv>
  <rv s="0">
    <fb>89.87</fb>
    <v>1</v>
  </rv>
  <rv s="0">
    <fb>1188425</fb>
    <v>2</v>
  </rv>
  <rv s="0">
    <fb>45484</fb>
    <v>0</v>
  </rv>
  <rv s="0">
    <fb>91.46</fb>
    <v>1</v>
  </rv>
  <rv s="0">
    <fb>1345746</fb>
    <v>2</v>
  </rv>
  <rv s="0">
    <fb>45485</fb>
    <v>0</v>
  </rv>
  <rv s="0">
    <fb>92.19</fb>
    <v>1</v>
  </rv>
  <rv s="0">
    <fb>1222858</fb>
    <v>2</v>
  </rv>
  <rv s="0">
    <fb>45488</fb>
    <v>0</v>
  </rv>
  <rv s="0">
    <fb>90.26</fb>
    <v>1</v>
  </rv>
  <rv s="0">
    <fb>1490241</fb>
    <v>2</v>
  </rv>
  <rv s="0">
    <fb>45489</fb>
    <v>0</v>
  </rv>
  <rv s="0">
    <fb>91.55</fb>
    <v>1</v>
  </rv>
  <rv s="0">
    <fb>1526591</fb>
    <v>2</v>
  </rv>
  <rv s="0">
    <fb>45490</fb>
    <v>0</v>
  </rv>
  <rv s="0">
    <fb>93.76</fb>
    <v>1</v>
  </rv>
  <rv s="0">
    <fb>2039333</fb>
    <v>2</v>
  </rv>
  <rv s="0">
    <fb>45491</fb>
    <v>0</v>
  </rv>
  <rv s="0">
    <fb>2135657</fb>
    <v>2</v>
  </rv>
  <rv s="0">
    <fb>45492</fb>
    <v>0</v>
  </rv>
  <rv s="0">
    <fb>94.04</fb>
    <v>1</v>
  </rv>
  <rv s="0">
    <fb>1809737</fb>
    <v>2</v>
  </rv>
  <rv s="0">
    <fb>45495</fb>
    <v>0</v>
  </rv>
  <rv s="0">
    <fb>94.64</fb>
    <v>1</v>
  </rv>
  <rv s="0">
    <fb>1547938</fb>
    <v>2</v>
  </rv>
  <rv s="0">
    <fb>45496</fb>
    <v>0</v>
  </rv>
  <rv s="0">
    <fb>1245714</fb>
    <v>2</v>
  </rv>
  <rv s="0">
    <fb>45497</fb>
    <v>0</v>
  </rv>
  <rv s="0">
    <fb>95.88</fb>
    <v>1</v>
  </rv>
  <rv s="0">
    <fb>2179846</fb>
    <v>2</v>
  </rv>
  <rv s="0">
    <fb>45498</fb>
    <v>0</v>
  </rv>
  <rv s="0">
    <fb>95.92</fb>
    <v>1</v>
  </rv>
  <rv s="0">
    <fb>1920793</fb>
    <v>2</v>
  </rv>
  <rv s="0">
    <fb>45499</fb>
    <v>0</v>
  </rv>
  <rv s="0">
    <fb>96.44</fb>
    <v>1</v>
  </rv>
  <rv s="0">
    <fb>1438755</fb>
    <v>2</v>
  </rv>
  <rv s="0">
    <fb>45502</fb>
    <v>0</v>
  </rv>
  <rv s="0">
    <fb>96.87</fb>
    <v>1</v>
  </rv>
  <rv s="0">
    <fb>1320213</fb>
    <v>2</v>
  </rv>
  <rv s="0">
    <fb>45503</fb>
    <v>0</v>
  </rv>
  <rv s="0">
    <fb>98.16</fb>
    <v>1</v>
  </rv>
  <rv s="0">
    <fb>1127031</fb>
    <v>2</v>
  </rv>
  <rv s="0">
    <fb>45504</fb>
    <v>0</v>
  </rv>
  <rv s="0">
    <fb>97.52</fb>
    <v>1</v>
  </rv>
  <rv s="0">
    <fb>1623371</fb>
    <v>2</v>
  </rv>
  <rv s="0">
    <fb>45505</fb>
    <v>0</v>
  </rv>
  <rv s="0">
    <fb>100.21</fb>
    <v>1</v>
  </rv>
  <rv s="0">
    <fb>2409332</fb>
    <v>2</v>
  </rv>
  <rv s="0">
    <fb>45506</fb>
    <v>0</v>
  </rv>
  <rv s="0">
    <fb>101.83</fb>
    <v>1</v>
  </rv>
  <rv s="0">
    <fb>4425804</fb>
    <v>2</v>
  </rv>
  <rv s="0">
    <fb>45509</fb>
    <v>0</v>
  </rv>
  <rv s="0">
    <fb>100.7</fb>
    <v>1</v>
  </rv>
  <rv s="0">
    <fb>2846485</fb>
    <v>2</v>
  </rv>
  <rv s="0">
    <fb>45510</fb>
    <v>0</v>
  </rv>
  <rv s="0">
    <fb>100.89</fb>
    <v>1</v>
  </rv>
  <rv s="0">
    <fb>1956382</fb>
    <v>2</v>
  </rv>
  <rv s="0">
    <fb>45511</fb>
    <v>0</v>
  </rv>
  <rv s="0">
    <fb>101.19</fb>
    <v>1</v>
  </rv>
  <rv s="0">
    <fb>2139807</fb>
    <v>2</v>
  </rv>
  <rv s="0">
    <fb>45512</fb>
    <v>0</v>
  </rv>
  <rv s="0">
    <fb>100.5</fb>
    <v>1</v>
  </rv>
  <rv s="0">
    <fb>1784635</fb>
    <v>2</v>
  </rv>
  <rv s="0">
    <fb>45513</fb>
    <v>0</v>
  </rv>
  <rv s="0">
    <fb>101.02</fb>
    <v>1</v>
  </rv>
  <rv s="0">
    <fb>1512920</fb>
    <v>2</v>
  </rv>
  <rv s="0">
    <fb>45516</fb>
    <v>0</v>
  </rv>
  <rv s="0">
    <fb>101.94</fb>
    <v>1</v>
  </rv>
  <rv s="0">
    <fb>1238505</fb>
    <v>2</v>
  </rv>
  <rv s="0">
    <fb>45517</fb>
    <v>0</v>
  </rv>
  <rv s="0">
    <fb>101.6</fb>
    <v>1</v>
  </rv>
  <rv s="0">
    <fb>1505744</fb>
    <v>2</v>
  </rv>
  <rv s="0">
    <fb>45518</fb>
    <v>0</v>
  </rv>
  <rv s="0">
    <fb>100.86</fb>
    <v>1</v>
  </rv>
  <rv s="0">
    <fb>1639219</fb>
    <v>2</v>
  </rv>
  <rv s="0">
    <fb>45519</fb>
    <v>0</v>
  </rv>
  <rv s="0">
    <fb>99.23</fb>
    <v>1</v>
  </rv>
  <rv s="0">
    <fb>2757442</fb>
    <v>2</v>
  </rv>
  <rv s="0">
    <fb>45520</fb>
    <v>0</v>
  </rv>
  <rv s="0">
    <fb>100.1</fb>
    <v>1</v>
  </rv>
  <rv s="0">
    <fb>1684765</fb>
    <v>2</v>
  </rv>
  <rv s="0">
    <fb>45523</fb>
    <v>0</v>
  </rv>
  <rv s="0">
    <fb>100.41</fb>
    <v>1</v>
  </rv>
  <rv s="0">
    <fb>1837783</fb>
    <v>2</v>
  </rv>
  <rv s="0">
    <fb>45524</fb>
    <v>0</v>
  </rv>
  <rv s="0">
    <fb>100.17</fb>
    <v>1</v>
  </rv>
  <rv s="0">
    <fb>1460744</fb>
    <v>2</v>
  </rv>
  <rv s="0">
    <fb>45525</fb>
    <v>0</v>
  </rv>
  <rv s="0">
    <fb>100.42</fb>
    <v>1</v>
  </rv>
  <rv s="0">
    <fb>1922499</fb>
    <v>2</v>
  </rv>
  <rv s="0">
    <fb>45526</fb>
    <v>0</v>
  </rv>
  <rv s="0">
    <fb>100.67</fb>
    <v>1</v>
  </rv>
  <rv s="0">
    <fb>1844957</fb>
    <v>2</v>
  </rv>
  <rv s="0">
    <fb>45527</fb>
    <v>0</v>
  </rv>
  <rv s="0">
    <fb>100.6</fb>
    <v>1</v>
  </rv>
  <rv s="0">
    <fb>1620024</fb>
    <v>2</v>
  </rv>
  <rv s="0">
    <fb>45530</fb>
    <v>0</v>
  </rv>
  <rv s="0">
    <fb>100.9</fb>
    <v>1</v>
  </rv>
  <rv s="0">
    <fb>1221535</fb>
    <v>2</v>
  </rv>
  <rv s="0">
    <fb>45531</fb>
    <v>0</v>
  </rv>
  <rv s="0">
    <fb>99.59</fb>
    <v>1</v>
  </rv>
  <rv s="0">
    <fb>927271</fb>
    <v>2</v>
  </rv>
  <rv s="0">
    <fb>45532</fb>
    <v>0</v>
  </rv>
  <rv s="0">
    <fb>100.39</fb>
    <v>1</v>
  </rv>
  <rv s="0">
    <fb>1019536</fb>
    <v>2</v>
  </rv>
  <rv s="0">
    <fb>45533</fb>
    <v>0</v>
  </rv>
  <rv s="0">
    <fb>100.81</fb>
    <v>1</v>
  </rv>
  <rv s="0">
    <fb>1150898</fb>
    <v>2</v>
  </rv>
  <rv s="0">
    <fb>45534</fb>
    <v>0</v>
  </rv>
  <rv s="0">
    <fb>101.56</fb>
    <v>1</v>
  </rv>
  <rv s="0">
    <fb>2366505</fb>
    <v>2</v>
  </rv>
  <rv s="0">
    <fb>45538</fb>
    <v>0</v>
  </rv>
  <rv s="0">
    <fb>103.28</fb>
    <v>1</v>
  </rv>
  <rv s="0">
    <fb>2122586</fb>
    <v>2</v>
  </rv>
  <rv s="0">
    <fb>45539</fb>
    <v>0</v>
  </rv>
  <rv s="0">
    <fb>104.4</fb>
    <v>1</v>
  </rv>
  <rv s="0">
    <fb>1501047</fb>
    <v>2</v>
  </rv>
  <rv s="0">
    <fb>45540</fb>
    <v>0</v>
  </rv>
  <rv s="0">
    <fb>103.79</fb>
    <v>1</v>
  </rv>
  <rv s="0">
    <fb>1538696</fb>
    <v>2</v>
  </rv>
  <rv s="0">
    <fb>45541</fb>
    <v>0</v>
  </rv>
  <rv s="0">
    <fb>1760628</fb>
    <v>2</v>
  </rv>
  <rv s="0">
    <fb>45544</fb>
    <v>0</v>
  </rv>
  <rv s="0">
    <fb>104.75</fb>
    <v>1</v>
  </rv>
  <rv s="0">
    <fb>1672940</fb>
    <v>2</v>
  </rv>
  <rv s="0">
    <fb>45545</fb>
    <v>0</v>
  </rv>
  <rv s="0">
    <fb>104.97</fb>
    <v>1</v>
  </rv>
  <rv s="0">
    <fb>1271138</fb>
    <v>2</v>
  </rv>
  <rv s="0">
    <fb>45546</fb>
    <v>0</v>
  </rv>
  <rv s="0">
    <fb>103.82</fb>
    <v>1</v>
  </rv>
  <rv s="0">
    <fb>2685901</fb>
    <v>2</v>
  </rv>
  <rv s="0">
    <fb>45547</fb>
    <v>0</v>
  </rv>
  <rv s="0">
    <fb>103.39</fb>
    <v>1</v>
  </rv>
  <rv s="0">
    <fb>1528602</fb>
    <v>2</v>
  </rv>
  <rv s="0">
    <fb>45548</fb>
    <v>0</v>
  </rv>
  <rv s="0">
    <fb>104.56</fb>
    <v>1</v>
  </rv>
  <rv s="0">
    <fb>1274726</fb>
    <v>2</v>
  </rv>
  <rv s="0">
    <fb>45551</fb>
    <v>0</v>
  </rv>
  <rv s="0">
    <fb>104.85</fb>
    <v>1</v>
  </rv>
  <rv s="0">
    <fb>1467923</fb>
    <v>2</v>
  </rv>
  <rv s="0">
    <fb>45552</fb>
    <v>0</v>
  </rv>
  <rv s="0">
    <fb>104.54</fb>
    <v>1</v>
  </rv>
  <rv s="0">
    <fb>1391024</fb>
    <v>2</v>
  </rv>
  <rv s="0">
    <fb>45553</fb>
    <v>0</v>
  </rv>
  <rv s="0">
    <fb>103.41</fb>
    <v>1</v>
  </rv>
  <rv s="0">
    <fb>1347037</fb>
    <v>2</v>
  </rv>
  <rv s="0">
    <fb>45554</fb>
    <v>0</v>
  </rv>
  <rv s="0">
    <fb>102.12</fb>
    <v>1</v>
  </rv>
  <rv s="0">
    <fb>1761679</fb>
    <v>2</v>
  </rv>
  <rv s="0">
    <fb>45555</fb>
    <v>0</v>
  </rv>
  <rv s="0">
    <fb>103.35</fb>
    <v>1</v>
  </rv>
  <rv s="0">
    <fb>3492651</fb>
    <v>2</v>
  </rv>
  <rv s="0">
    <fb>45558</fb>
    <v>0</v>
  </rv>
  <rv s="0">
    <fb>104.02</fb>
    <v>1</v>
  </rv>
  <rv s="0">
    <fb>1053579</fb>
    <v>2</v>
  </rv>
  <rv s="0">
    <fb>45559</fb>
    <v>0</v>
  </rv>
  <rv s="0">
    <fb>102.82</fb>
    <v>1</v>
  </rv>
  <rv s="0">
    <fb>1063139</fb>
    <v>2</v>
  </rv>
  <rv s="0">
    <fb>45560</fb>
    <v>0</v>
  </rv>
  <rv s="0">
    <fb>103.16</fb>
    <v>1</v>
  </rv>
  <rv s="0">
    <fb>1151089</fb>
    <v>2</v>
  </rv>
  <rv s="0">
    <fb>45561</fb>
    <v>0</v>
  </rv>
  <rv s="0">
    <fb>103.12</fb>
    <v>1</v>
  </rv>
  <rv s="0">
    <fb>1391590</fb>
    <v>2</v>
  </rv>
  <rv s="0">
    <fb>45562</fb>
    <v>0</v>
  </rv>
  <rv s="0">
    <fb>104.05</fb>
    <v>1</v>
  </rv>
  <rv s="0">
    <fb>1366877</fb>
    <v>2</v>
  </rv>
  <rv s="0">
    <fb>45565</fb>
    <v>0</v>
  </rv>
  <rv s="0">
    <fb>104.13</fb>
    <v>1</v>
  </rv>
  <rv s="0">
    <fb>1449539</fb>
    <v>2</v>
  </rv>
  <rv s="0">
    <fb>45566</fb>
    <v>0</v>
  </rv>
  <rv s="0">
    <fb>105.15</fb>
    <v>1</v>
  </rv>
  <rv s="0">
    <fb>1834563</fb>
    <v>2</v>
  </rv>
  <rv s="0">
    <fb>45567</fb>
    <v>0</v>
  </rv>
  <rv s="0">
    <fb>104.45</fb>
    <v>1</v>
  </rv>
  <rv s="0">
    <fb>996739</fb>
    <v>2</v>
  </rv>
  <rv s="0">
    <fb>45568</fb>
    <v>0</v>
  </rv>
  <rv s="0">
    <fb>952060</fb>
    <v>2</v>
  </rv>
  <rv s="0">
    <fb>45569</fb>
    <v>0</v>
  </rv>
  <rv s="0">
    <fb>103.15</fb>
    <v>1</v>
  </rv>
  <rv s="0">
    <fb>952852</fb>
    <v>2</v>
  </rv>
  <rv s="0">
    <fb>45572</fb>
    <v>0</v>
  </rv>
  <rv s="0">
    <fb>101.14</fb>
    <v>1</v>
  </rv>
  <rv s="0">
    <fb>1967334</fb>
    <v>2</v>
  </rv>
  <rv s="0">
    <fb>45573</fb>
    <v>0</v>
  </rv>
  <rv s="0">
    <fb>102.11</fb>
    <v>1</v>
  </rv>
  <rv s="0">
    <fb>1328778</fb>
    <v>2</v>
  </rv>
  <rv s="0">
    <fb>45574</fb>
    <v>0</v>
  </rv>
  <rv s="0">
    <fb>102.37</fb>
    <v>1</v>
  </rv>
  <rv s="0">
    <fb>1114658</fb>
    <v>2</v>
  </rv>
  <rv s="0">
    <fb>45575</fb>
    <v>0</v>
  </rv>
  <rv s="0">
    <fb>101.58</fb>
    <v>1</v>
  </rv>
  <rv s="0">
    <fb>1179589</fb>
    <v>2</v>
  </rv>
  <rv s="0">
    <fb>45576</fb>
    <v>0</v>
  </rv>
  <rv s="0">
    <fb>102.32</fb>
    <v>1</v>
  </rv>
  <rv s="0">
    <fb>1317182</fb>
    <v>2</v>
  </rv>
  <rv s="0">
    <fb>45579</fb>
    <v>0</v>
  </rv>
  <rv s="0">
    <fb>103.04</fb>
    <v>1</v>
  </rv>
  <rv s="0">
    <fb>1976020</fb>
    <v>2</v>
  </rv>
  <rv s="0">
    <fb>45580</fb>
    <v>0</v>
  </rv>
  <rv s="0">
    <fb>105.45</fb>
    <v>1</v>
  </rv>
  <rv s="0">
    <fb>2748901</fb>
    <v>2</v>
  </rv>
  <rv s="0">
    <fb>45581</fb>
    <v>0</v>
  </rv>
  <rv s="0">
    <fb>106.14</fb>
    <v>1</v>
  </rv>
  <rv s="0">
    <fb>1869233</fb>
    <v>2</v>
  </rv>
  <rv s="0">
    <fb>45582</fb>
    <v>0</v>
  </rv>
  <rv s="0">
    <fb>105.66</fb>
    <v>1</v>
  </rv>
  <rv s="0">
    <fb>1727853</fb>
    <v>2</v>
  </rv>
  <rv s="0">
    <fb>45583</fb>
    <v>0</v>
  </rv>
  <rv s="0">
    <fb>106.76</fb>
    <v>1</v>
  </rv>
  <rv s="0">
    <fb>6365337</fb>
    <v>2</v>
  </rv>
  <rv s="0">
    <fb>45586</fb>
    <v>0</v>
  </rv>
  <rv s="0">
    <fb>106.26</fb>
    <v>1</v>
  </rv>
  <rv s="0">
    <fb>1405779</fb>
    <v>2</v>
  </rv>
  <rv s="0">
    <fb>45587</fb>
    <v>0</v>
  </rv>
  <rv s="0">
    <fb>105.7</fb>
    <v>1</v>
  </rv>
  <rv s="0">
    <fb>1207216</fb>
    <v>2</v>
  </rv>
  <rv s="0">
    <fb>45588</fb>
    <v>0</v>
  </rv>
  <rv s="0">
    <fb>107.4</fb>
    <v>1</v>
  </rv>
  <rv s="0">
    <fb>1663173</fb>
    <v>2</v>
  </rv>
  <rv s="0">
    <fb>45589</fb>
    <v>0</v>
  </rv>
  <rv s="0">
    <fb>107</fb>
    <v>1</v>
  </rv>
  <rv s="0">
    <fb>1127349</fb>
    <v>2</v>
  </rv>
  <rv s="0">
    <fb>45590</fb>
    <v>0</v>
  </rv>
  <rv s="0">
    <fb>104.6</fb>
    <v>1</v>
  </rv>
  <rv s="0">
    <fb>1734348</fb>
    <v>2</v>
  </rv>
  <rv s="0">
    <fb>45593</fb>
    <v>0</v>
  </rv>
  <rv s="0">
    <fb>104.81</fb>
    <v>1</v>
  </rv>
  <rv s="0">
    <fb>1204579</fb>
    <v>2</v>
  </rv>
  <rv s="0">
    <fb>45594</fb>
    <v>0</v>
  </rv>
  <rv s="0">
    <fb>102.91</fb>
    <v>1</v>
  </rv>
  <rv s="0">
    <fb>1452899</fb>
    <v>2</v>
  </rv>
  <rv s="0">
    <fb>45595</fb>
    <v>0</v>
  </rv>
  <rv s="0">
    <fb>102.72</fb>
    <v>1</v>
  </rv>
  <rv s="0">
    <fb>1641332</fb>
    <v>2</v>
  </rv>
  <rv s="0">
    <fb>45596</fb>
    <v>0</v>
  </rv>
  <rv s="0">
    <fb>101.68</fb>
    <v>1</v>
  </rv>
  <rv s="0">
    <fb>3732407</fb>
    <v>2</v>
  </rv>
  <rv s="0">
    <fb>45597</fb>
    <v>0</v>
  </rv>
  <rv s="0">
    <fb>100</fb>
    <v>1</v>
  </rv>
  <rv s="0">
    <fb>2832691</fb>
    <v>2</v>
  </rv>
  <rv s="0">
    <fb>45600</fb>
    <v>0</v>
  </rv>
  <rv s="0">
    <fb>99.15</fb>
    <v>1</v>
  </rv>
  <rv s="0">
    <fb>2088316</fb>
    <v>2</v>
  </rv>
  <rv s="0">
    <fb>45601</fb>
    <v>0</v>
  </rv>
  <rv s="0">
    <fb>99.82</fb>
    <v>1</v>
  </rv>
  <rv s="0">
    <fb>2062310</fb>
    <v>2</v>
  </rv>
  <rv s="0">
    <fb>45602</fb>
    <v>0</v>
  </rv>
  <rv s="0">
    <fb>98.96</fb>
    <v>1</v>
  </rv>
  <rv s="0">
    <fb>3701796</fb>
    <v>2</v>
  </rv>
  <rv s="0">
    <fb>45603</fb>
    <v>0</v>
  </rv>
  <rv s="0">
    <fb>97.58</fb>
    <v>1</v>
  </rv>
  <rv s="0">
    <fb>3061381</fb>
    <v>2</v>
  </rv>
  <rv s="0">
    <fb>45604</fb>
    <v>0</v>
  </rv>
  <rv s="0">
    <fb>98.13</fb>
    <v>1</v>
  </rv>
  <rv s="0">
    <fb>2915588</fb>
    <v>2</v>
  </rv>
  <rv s="0">
    <fb>45607</fb>
    <v>0</v>
  </rv>
  <rv s="0">
    <fb>98.48</fb>
    <v>1</v>
  </rv>
  <rv s="0">
    <fb>1968440</fb>
    <v>2</v>
  </rv>
  <rv s="0">
    <fb>45608</fb>
    <v>0</v>
  </rv>
  <rv s="0">
    <fb>97.04</fb>
    <v>1</v>
  </rv>
  <rv s="0">
    <fb>2682776</fb>
    <v>2</v>
  </rv>
  <rv s="0">
    <fb>45609</fb>
    <v>0</v>
  </rv>
  <rv s="0">
    <fb>95.41</fb>
    <v>1</v>
  </rv>
  <rv s="0">
    <fb>2129523</fb>
    <v>2</v>
  </rv>
  <rv s="0">
    <fb>45610</fb>
    <v>0</v>
  </rv>
  <rv s="0">
    <fb>95.24</fb>
    <v>1</v>
  </rv>
  <rv s="0">
    <fb>2112696</fb>
    <v>2</v>
  </rv>
  <rv s="0">
    <fb>45611</fb>
    <v>0</v>
  </rv>
  <rv s="0">
    <fb>2239156</fb>
    <v>2</v>
  </rv>
  <rv s="0">
    <fb>45614</fb>
    <v>0</v>
  </rv>
  <rv s="0">
    <fb>96.45</fb>
    <v>1</v>
  </rv>
  <rv s="0">
    <fb>1838749</fb>
    <v>2</v>
  </rv>
  <rv s="0">
    <fb>45615</fb>
    <v>0</v>
  </rv>
  <rv s="0">
    <fb>96.97</fb>
    <v>1</v>
  </rv>
  <rv s="0">
    <fb>1861442</fb>
    <v>2</v>
  </rv>
  <rv s="0">
    <fb>45616</fb>
    <v>0</v>
  </rv>
  <rv s="0">
    <fb>97.88</fb>
    <v>1</v>
  </rv>
  <rv s="0">
    <fb>2119615</fb>
    <v>2</v>
  </rv>
  <rv s="0">
    <fb>45617</fb>
    <v>0</v>
  </rv>
  <rv s="0">
    <fb>98.7</fb>
    <v>1</v>
  </rv>
  <rv s="0">
    <fb>1470557</fb>
    <v>2</v>
  </rv>
  <rv s="0">
    <fb>45618</fb>
    <v>0</v>
  </rv>
  <rv s="0">
    <fb>98.36</fb>
    <v>1</v>
  </rv>
  <rv s="0">
    <fb>1185988</fb>
    <v>2</v>
  </rv>
  <rv s="0">
    <fb>45621</fb>
    <v>0</v>
  </rv>
  <rv s="0">
    <fb>99.47</fb>
    <v>1</v>
  </rv>
  <rv s="0">
    <fb>3996180</fb>
    <v>2</v>
  </rv>
  <rv s="0">
    <fb>45622</fb>
    <v>0</v>
  </rv>
  <rv s="0">
    <fb>101.7</fb>
    <v>1</v>
  </rv>
  <rv s="0">
    <fb>2435337</fb>
    <v>2</v>
  </rv>
  <rv s="0">
    <fb>45623</fb>
    <v>0</v>
  </rv>
  <rv s="0">
    <fb>1330448</fb>
    <v>2</v>
  </rv>
  <rv s="0">
    <fb>45625</fb>
    <v>0</v>
  </rv>
  <rv s="0">
    <fb>100.59</fb>
    <v>1</v>
  </rv>
  <rv s="0">
    <fb>952343</fb>
    <v>2</v>
  </rv>
  <rv s="0">
    <fb>45628</fb>
    <v>0</v>
  </rv>
  <rv s="0">
    <fb>98.5</fb>
    <v>1</v>
  </rv>
  <rv s="0">
    <fb>1911596</fb>
    <v>2</v>
  </rv>
  <rv s="0">
    <fb>45629</fb>
    <v>0</v>
  </rv>
  <rv s="0">
    <fb>97.53</fb>
    <v>1</v>
  </rv>
  <rv s="0">
    <fb>1535995</fb>
    <v>2</v>
  </rv>
  <rv s="0">
    <fb>45630</fb>
    <v>0</v>
  </rv>
  <rv s="0">
    <fb>96.62</fb>
    <v>1</v>
  </rv>
  <rv s="0">
    <fb>5090667</fb>
    <v>2</v>
  </rv>
  <rv s="0">
    <fb>45631</fb>
    <v>0</v>
  </rv>
  <rv s="0">
    <fb>96.5</fb>
    <v>1</v>
  </rv>
  <rv s="0">
    <fb>2615839</fb>
    <v>2</v>
  </rv>
  <rv s="0">
    <fb>45632</fb>
    <v>0</v>
  </rv>
  <rv s="0">
    <fb>94.82</fb>
    <v>1</v>
  </rv>
  <rv s="0">
    <fb>2813525</fb>
    <v>2</v>
  </rv>
  <rv s="0">
    <fb>45635</fb>
    <v>0</v>
  </rv>
  <rv s="0">
    <fb>94.78</fb>
    <v>1</v>
  </rv>
  <rv s="0">
    <fb>2529568</fb>
    <v>2</v>
  </rv>
  <rv s="0">
    <fb>45636</fb>
    <v>0</v>
  </rv>
  <rv s="0">
    <fb>94.69</fb>
    <v>1</v>
  </rv>
  <rv s="0">
    <fb>1695783</fb>
    <v>2</v>
  </rv>
  <rv s="0">
    <fb>45637</fb>
    <v>0</v>
  </rv>
  <rv s="0">
    <fb>92.75</fb>
    <v>1</v>
  </rv>
  <rv s="0">
    <fb>2352368</fb>
    <v>2</v>
  </rv>
  <rv s="0">
    <fb>45638</fb>
    <v>0</v>
  </rv>
  <rv s="0">
    <fb>92.61</fb>
    <v>1</v>
  </rv>
  <rv s="0">
    <fb>2300218</fb>
    <v>2</v>
  </rv>
  <rv s="0">
    <fb>45639</fb>
    <v>0</v>
  </rv>
  <rv s="0">
    <fb>92.69</fb>
    <v>1</v>
  </rv>
  <rv s="0">
    <fb>1868498</fb>
    <v>2</v>
  </rv>
  <rv s="0">
    <fb>45642</fb>
    <v>0</v>
  </rv>
  <rv s="0">
    <fb>91.26</fb>
    <v>1</v>
  </rv>
  <rv s="0">
    <fb>3004564</fb>
    <v>2</v>
  </rv>
  <rv s="0">
    <fb>45643</fb>
    <v>0</v>
  </rv>
  <rv s="0">
    <fb>90.84</fb>
    <v>1</v>
  </rv>
  <rv s="0">
    <fb>2172159</fb>
    <v>2</v>
  </rv>
  <rv s="0">
    <fb>45644</fb>
    <v>0</v>
  </rv>
  <rv s="0">
    <fb>88.87</fb>
    <v>1</v>
  </rv>
  <rv s="0">
    <fb>2677519</fb>
    <v>2</v>
  </rv>
  <rv s="0">
    <fb>45645</fb>
    <v>0</v>
  </rv>
  <rv s="0">
    <fb>89.07</fb>
    <v>1</v>
  </rv>
  <rv s="0">
    <fb>2555753</fb>
    <v>2</v>
  </rv>
  <rv s="0">
    <fb>45646</fb>
    <v>0</v>
  </rv>
  <rv s="0">
    <fb>90.03</fb>
    <v>1</v>
  </rv>
  <rv s="0">
    <fb>4876371</fb>
    <v>2</v>
  </rv>
  <rv s="0">
    <fb>45649</fb>
    <v>0</v>
  </rv>
  <rv s="0">
    <fb>1979057</fb>
    <v>2</v>
  </rv>
  <rv s="0">
    <fb>45650</fb>
    <v>0</v>
  </rv>
  <rv s="0">
    <fb>89.58</fb>
    <v>1</v>
  </rv>
  <rv s="0">
    <fb>653911</fb>
    <v>2</v>
  </rv>
  <rv s="0">
    <fb>45652</fb>
    <v>0</v>
  </rv>
  <rv s="0">
    <fb>89.59</fb>
    <v>1</v>
  </rv>
  <rv s="0">
    <fb>1879775</fb>
    <v>2</v>
  </rv>
  <rv s="0">
    <fb>45653</fb>
    <v>0</v>
  </rv>
  <rv s="0">
    <fb>89.56</fb>
    <v>1</v>
  </rv>
  <rv s="0">
    <fb>1319594</fb>
    <v>2</v>
  </rv>
  <rv s="0">
    <fb>45656</fb>
    <v>0</v>
  </rv>
  <rv s="0">
    <fb>89.16</fb>
    <v>1</v>
  </rv>
  <rv s="0">
    <fb>1377975</fb>
    <v>2</v>
  </rv>
  <rv s="0">
    <fb>45657</fb>
    <v>0</v>
  </rv>
  <rv s="0">
    <fb>89.23</fb>
    <v>1</v>
  </rv>
  <rv s="0">
    <fb>1640959</fb>
    <v>2</v>
  </rv>
  <rv s="0">
    <fb>45659</fb>
    <v>0</v>
  </rv>
  <rv s="0">
    <fb>89.03</fb>
    <v>1</v>
  </rv>
  <rv s="0">
    <fb>1557946</fb>
    <v>2</v>
  </rv>
  <rv s="0">
    <fb>45660</fb>
    <v>0</v>
  </rv>
  <rv s="0">
    <fb>89.24</fb>
    <v>1</v>
  </rv>
  <rv s="0">
    <fb>1954733</fb>
    <v>2</v>
  </rv>
  <rv s="0">
    <fb>45663</fb>
    <v>0</v>
  </rv>
  <rv s="0">
    <fb>88.37</fb>
    <v>1</v>
  </rv>
  <rv s="0">
    <fb>1981278</fb>
    <v>2</v>
  </rv>
  <rv s="0">
    <fb>45664</fb>
    <v>0</v>
  </rv>
  <rv s="0">
    <fb>88</fb>
    <v>1</v>
  </rv>
  <rv s="0">
    <fb>2861220</fb>
    <v>2</v>
  </rv>
  <rv s="0">
    <fb>45665</fb>
    <v>0</v>
  </rv>
  <rv s="0">
    <fb>89.01</fb>
    <v>1</v>
  </rv>
  <rv s="0">
    <fb>1793238</fb>
    <v>2</v>
  </rv>
  <rv s="0">
    <fb>45667</fb>
    <v>0</v>
  </rv>
  <rv s="0">
    <fb>88.15</fb>
    <v>1</v>
  </rv>
  <rv s="0">
    <fb>2243180</fb>
    <v>2</v>
  </rv>
  <rv s="0">
    <fb>45670</fb>
    <v>0</v>
  </rv>
  <rv s="0">
    <fb>88.47</fb>
    <v>1</v>
  </rv>
  <rv s="0">
    <fb>1883715</fb>
    <v>2</v>
  </rv>
  <rv s="0">
    <fb>45671</fb>
    <v>0</v>
  </rv>
  <rv s="0">
    <fb>89.37</fb>
    <v>1</v>
  </rv>
  <rv s="0">
    <fb>2103980</fb>
    <v>2</v>
  </rv>
  <rv s="0">
    <fb>45672</fb>
    <v>0</v>
  </rv>
  <rv s="0">
    <fb>90.23</fb>
    <v>1</v>
  </rv>
  <rv s="0">
    <fb>1972026</fb>
    <v>2</v>
  </rv>
  <rv s="0">
    <fb>45673</fb>
    <v>0</v>
  </rv>
  <rv s="0">
    <fb>92.22</fb>
    <v>1</v>
  </rv>
  <rv s="0">
    <fb>2097561</fb>
    <v>2</v>
  </rv>
  <rv s="0">
    <fb>45674</fb>
    <v>0</v>
  </rv>
  <rv s="0">
    <fb>93.65</fb>
    <v>1</v>
  </rv>
  <rv s="0">
    <fb>3516804</fb>
    <v>2</v>
  </rv>
  <rv s="0">
    <fb>45678</fb>
    <v>0</v>
  </rv>
  <rv s="0">
    <fb>2761523</fb>
    <v>2</v>
  </rv>
  <rv s="0">
    <fb>45679</fb>
    <v>0</v>
  </rv>
  <rv s="0">
    <fb>90.77</fb>
    <v>1</v>
  </rv>
  <rv s="0">
    <fb>1805432</fb>
    <v>2</v>
  </rv>
  <rv s="0">
    <fb>45680</fb>
    <v>0</v>
  </rv>
  <rv s="0">
    <fb>90.76</fb>
    <v>1</v>
  </rv>
  <rv s="0">
    <fb>1649741</fb>
    <v>2</v>
  </rv>
  <rv s="0">
    <fb>45681</fb>
    <v>0</v>
  </rv>
  <rv s="0">
    <fb>2596989</fb>
    <v>2</v>
  </rv>
  <rv s="0">
    <fb>45684</fb>
    <v>0</v>
  </rv>
  <rv s="0">
    <fb>94.89</fb>
    <v>1</v>
  </rv>
  <rv s="0">
    <fb>4043815</fb>
    <v>2</v>
  </rv>
  <rv s="0">
    <fb>45685</fb>
    <v>0</v>
  </rv>
  <rv s="0">
    <fb>93.39</fb>
    <v>1</v>
  </rv>
  <rv s="0">
    <fb>2470603</fb>
    <v>2</v>
  </rv>
  <rv s="0">
    <fb>45686</fb>
    <v>0</v>
  </rv>
  <rv s="0">
    <fb>92.57</fb>
    <v>1</v>
  </rv>
  <rv s="0">
    <fb>1935876</fb>
    <v>2</v>
  </rv>
  <rv s="0">
    <fb>45687</fb>
    <v>0</v>
  </rv>
  <rv s="0">
    <fb>93.86</fb>
    <v>1</v>
  </rv>
  <rv s="0">
    <fb>2274316</fb>
    <v>2</v>
  </rv>
  <rv s="0">
    <fb>45688</fb>
    <v>0</v>
  </rv>
  <rv s="0">
    <fb>93.74</fb>
    <v>1</v>
  </rv>
  <rv s="0">
    <fb>6072722</fb>
    <v>2</v>
  </rv>
  <rv s="0">
    <fb>45691</fb>
    <v>0</v>
  </rv>
  <rv s="0">
    <fb>95.62</fb>
    <v>1</v>
  </rv>
  <rv s="0">
    <fb>3234925</fb>
    <v>2</v>
  </rv>
  <rv s="0">
    <fb>45692</fb>
    <v>0</v>
  </rv>
  <rv s="0">
    <fb>94.91</fb>
    <v>1</v>
  </rv>
  <rv s="0">
    <fb>2186451</fb>
    <v>2</v>
  </rv>
  <rv s="0">
    <fb>45693</fb>
    <v>0</v>
  </rv>
  <rv s="0">
    <fb>96.19</fb>
    <v>1</v>
  </rv>
  <rv s="0">
    <fb>1874087</fb>
    <v>2</v>
  </rv>
  <rv s="0">
    <fb>45694</fb>
    <v>0</v>
  </rv>
  <rv s="0">
    <fb>95.42</fb>
    <v>1</v>
  </rv>
  <rv s="0">
    <fb>1587040</fb>
    <v>2</v>
  </rv>
  <rv s="0">
    <fb>45695</fb>
    <v>0</v>
  </rv>
  <rv s="0">
    <fb>96.08</fb>
    <v>1</v>
  </rv>
  <rv s="0">
    <fb>1520031</fb>
    <v>2</v>
  </rv>
  <rv s="0">
    <fb>45698</fb>
    <v>0</v>
  </rv>
  <rv s="0">
    <fb>96.7</fb>
    <v>1</v>
  </rv>
  <rv s="0">
    <fb>1570620</fb>
    <v>2</v>
  </rv>
  <rv s="0">
    <fb>45699</fb>
    <v>0</v>
  </rv>
  <rv s="0">
    <fb>96.31</fb>
    <v>1</v>
  </rv>
  <rv s="0">
    <fb>3162385</fb>
    <v>2</v>
  </rv>
  <rv s="0">
    <fb>45700</fb>
    <v>0</v>
  </rv>
  <rv s="0">
    <fb>94.57</fb>
    <v>1</v>
  </rv>
  <rv s="0">
    <fb>3704165</fb>
    <v>2</v>
  </rv>
  <rv s="0">
    <fb>45701</fb>
    <v>0</v>
  </rv>
  <rv s="0">
    <fb>95.66</fb>
    <v>1</v>
  </rv>
  <rv s="0">
    <fb>1860296</fb>
    <v>2</v>
  </rv>
  <rv s="0">
    <fb>45702</fb>
    <v>0</v>
  </rv>
  <rv s="0">
    <fb>94.92</fb>
    <v>1</v>
  </rv>
  <rv s="0">
    <fb>1948212</fb>
    <v>2</v>
  </rv>
  <rv s="0">
    <fb>45706</fb>
    <v>0</v>
  </rv>
  <rv s="0">
    <fb>95.76</fb>
    <v>1</v>
  </rv>
  <rv s="0">
    <fb>2568491</fb>
    <v>2</v>
  </rv>
  <rv s="0">
    <fb>45707</fb>
    <v>0</v>
  </rv>
  <rv s="0">
    <fb>95.26</fb>
    <v>1</v>
  </rv>
  <rv s="0">
    <fb>1857550</fb>
    <v>2</v>
  </rv>
  <rv s="0">
    <fb>45708</fb>
    <v>0</v>
  </rv>
  <rv s="0">
    <fb>2580181</fb>
    <v>2</v>
  </rv>
  <rv s="0">
    <fb>45709</fb>
    <v>0</v>
  </rv>
  <rv s="0">
    <fb>98.26</fb>
    <v>1</v>
  </rv>
  <rv s="0">
    <fb>4414893</fb>
    <v>2</v>
  </rv>
  <rv s="0">
    <fb>45712</fb>
    <v>0</v>
  </rv>
  <rv s="0">
    <fb>99.68</fb>
    <v>1</v>
  </rv>
  <rv s="0">
    <fb>2943078</fb>
    <v>2</v>
  </rv>
  <rv s="0">
    <fb>45713</fb>
    <v>0</v>
  </rv>
  <rv s="0">
    <fb>100.97</fb>
    <v>1</v>
  </rv>
  <rv s="0">
    <fb>3481345</fb>
    <v>2</v>
  </rv>
  <rv s="0">
    <fb>45714</fb>
    <v>0</v>
  </rv>
  <rv s="0">
    <fb>99.96</fb>
    <v>1</v>
  </rv>
  <rv s="0">
    <fb>2072708</fb>
    <v>2</v>
  </rv>
  <rv s="0">
    <fb>45715</fb>
    <v>0</v>
  </rv>
  <rv s="0">
    <fb>99.92</fb>
    <v>1</v>
  </rv>
  <rv s="0">
    <fb>3314096</fb>
    <v>2</v>
  </rv>
  <rv s="0">
    <fb>45716</fb>
    <v>0</v>
  </rv>
  <rv s="0">
    <fb>101.52</fb>
    <v>1</v>
  </rv>
  <rv s="0">
    <fb>5254613</fb>
    <v>2</v>
  </rv>
  <rv s="0">
    <fb>45719</fb>
    <v>0</v>
  </rv>
  <rv s="0">
    <fb>3555914</fb>
    <v>2</v>
  </rv>
  <rv s="0">
    <fb>45720</fb>
    <v>0</v>
  </rv>
  <rv s="0">
    <fb>102.15</fb>
    <v>1</v>
  </rv>
  <rv s="0">
    <fb>3592034</fb>
    <v>2</v>
  </rv>
  <rv s="0">
    <fb>45721</fb>
    <v>0</v>
  </rv>
  <rv s="0">
    <fb>100.2</fb>
    <v>1</v>
  </rv>
  <rv s="0">
    <fb>5509676</fb>
    <v>2</v>
  </rv>
  <rv s="0">
    <fb>45722</fb>
    <v>0</v>
  </rv>
  <rv s="0">
    <fb>100.91</fb>
    <v>1</v>
  </rv>
  <rv s="0">
    <fb>4345916</fb>
    <v>2</v>
  </rv>
  <rv s="0">
    <fb>45723</fb>
    <v>0</v>
  </rv>
  <rv s="0">
    <fb>103.64</fb>
    <v>1</v>
  </rv>
  <rv s="0">
    <fb>2865771</fb>
    <v>2</v>
  </rv>
  <rv s="0">
    <fb>45726</fb>
    <v>0</v>
  </rv>
  <rv s="0">
    <fb>106.66</fb>
    <v>1</v>
  </rv>
  <rv s="0">
    <fb>3471894</fb>
    <v>2</v>
  </rv>
  <rv s="0">
    <fb>45727</fb>
    <v>0</v>
  </rv>
  <rv s="0">
    <fb>103.77</fb>
    <v>1</v>
  </rv>
  <rv s="0">
    <fb>2731268</fb>
    <v>2</v>
  </rv>
  <rv s="0">
    <fb>45728</fb>
    <v>0</v>
  </rv>
  <rv s="0">
    <fb>102.64</fb>
    <v>1</v>
  </rv>
  <rv s="0">
    <fb>3739207</fb>
    <v>2</v>
  </rv>
  <rv s="0">
    <fb>45729</fb>
    <v>0</v>
  </rv>
  <rv s="0">
    <fb>104.57</fb>
    <v>1</v>
  </rv>
  <rv s="0">
    <fb>2392163</fb>
    <v>2</v>
  </rv>
  <rv s="0">
    <fb>45730</fb>
    <v>0</v>
  </rv>
  <rv s="0">
    <fb>106.41</fb>
    <v>1</v>
  </rv>
  <rv s="0">
    <fb>3779158</fb>
    <v>2</v>
  </rv>
  <rv s="0">
    <fb>45733</fb>
    <v>0</v>
  </rv>
  <rv s="0">
    <fb>107.62</fb>
    <v>1</v>
  </rv>
  <rv s="0">
    <fb>3930736</fb>
    <v>2</v>
  </rv>
  <rv s="0">
    <fb>45734</fb>
    <v>0</v>
  </rv>
  <rv s="0">
    <fb>107.81</fb>
    <v>1</v>
  </rv>
  <rv s="0">
    <fb>3275711</fb>
    <v>2</v>
  </rv>
  <rv s="0">
    <fb>45735</fb>
    <v>0</v>
  </rv>
  <rv s="0">
    <fb>107.49</fb>
    <v>1</v>
  </rv>
  <rv s="0">
    <fb>2293611</fb>
    <v>2</v>
  </rv>
  <rv s="0">
    <fb>45736</fb>
    <v>0</v>
  </rv>
  <rv s="0">
    <fb>108.48</fb>
    <v>1</v>
  </rv>
  <rv s="0">
    <fb>1896164</fb>
    <v>2</v>
  </rv>
  <rv s="0">
    <fb>45737</fb>
    <v>0</v>
  </rv>
  <rv s="0">
    <fb>107.8</fb>
    <v>1</v>
  </rv>
  <rv s="0">
    <fb>4415458</fb>
    <v>2</v>
  </rv>
  <rv s="0">
    <fb>45740</fb>
    <v>0</v>
  </rv>
  <rv s="0">
    <fb>106.83</fb>
    <v>1</v>
  </rv>
  <rv s="0">
    <fb>1897938</fb>
    <v>2</v>
  </rv>
  <rv s="0">
    <fb>45741</fb>
    <v>0</v>
  </rv>
  <rv s="0">
    <fb>105.55</fb>
    <v>1</v>
  </rv>
  <rv s="0">
    <fb>2543771</fb>
    <v>2</v>
  </rv>
  <rv s="0">
    <fb>45742</fb>
    <v>0</v>
  </rv>
  <rv s="0">
    <fb>107.46</fb>
    <v>1</v>
  </rv>
  <rv s="0">
    <fb>1925093</fb>
    <v>2</v>
  </rv>
  <rv s="0">
    <fb>45743</fb>
    <v>0</v>
  </rv>
  <rv s="0">
    <fb>107.89</fb>
    <v>1</v>
  </rv>
  <rv s="0">
    <fb>1859144</fb>
    <v>2</v>
  </rv>
  <rv s="0">
    <fb>45744</fb>
    <v>0</v>
  </rv>
  <rv s="0">
    <fb>108.77</fb>
    <v>1</v>
  </rv>
  <rv s="0">
    <fb>2392331</fb>
    <v>2</v>
  </rv>
  <rv s="0">
    <fb>45747</fb>
    <v>0</v>
  </rv>
  <rv s="0">
    <fb>110.59</fb>
    <v>1</v>
  </rv>
  <rv s="0">
    <fb>2920439</fb>
    <v>2</v>
  </rv>
  <rv s="0">
    <fb>45748</fb>
    <v>0</v>
  </rv>
  <rv s="0">
    <fb>110.06</fb>
    <v>1</v>
  </rv>
  <rv s="0">
    <fb>2507642</fb>
    <v>2</v>
  </rv>
  <rv s="0">
    <fb>45749</fb>
    <v>0</v>
  </rv>
  <rv s="0">
    <fb>109.58</fb>
    <v>1</v>
  </rv>
  <rv s="0">
    <fb>2015191</fb>
    <v>2</v>
  </rv>
  <rv s="0">
    <fb>45750</fb>
    <v>0</v>
  </rv>
  <rv s="0">
    <fb>112.72</fb>
    <v>1</v>
  </rv>
  <rv s="0">
    <fb>4175537</fb>
    <v>2</v>
  </rv>
  <rv s="0">
    <fb>45751</fb>
    <v>0</v>
  </rv>
  <rv s="0">
    <fb>109.32</fb>
    <v>1</v>
  </rv>
  <rv s="0">
    <fb>6395885</fb>
    <v>2</v>
  </rv>
  <rv s="0">
    <fb>45754</fb>
    <v>0</v>
  </rv>
  <rv s="0">
    <fb>105.4</fb>
    <v>1</v>
  </rv>
  <rv s="0">
    <fb>4405486</fb>
    <v>2</v>
  </rv>
  <rv s="0">
    <fb>45755</fb>
    <v>0</v>
  </rv>
  <rv s="0">
    <fb>106.05</fb>
    <v>1</v>
  </rv>
  <rv s="0">
    <fb>2683063</fb>
    <v>2</v>
  </rv>
  <rv s="0">
    <fb>45756</fb>
    <v>0</v>
  </rv>
  <rv s="0">
    <fb>105.77</fb>
    <v>1</v>
  </rv>
  <rv s="0">
    <fb>4912769</fb>
    <v>2</v>
  </rv>
  <rv s="0">
    <fb>45757</fb>
    <v>0</v>
  </rv>
  <rv s="0">
    <fb>108.3</fb>
    <v>1</v>
  </rv>
  <rv s="0">
    <fb>3382289</fb>
    <v>2</v>
  </rv>
  <rv s="0">
    <fb>45758</fb>
    <v>0</v>
  </rv>
  <rv s="0">
    <fb>109.84</fb>
    <v>1</v>
  </rv>
  <rv s="0">
    <fb>2617288</fb>
    <v>2</v>
  </rv>
  <rv s="0">
    <fb>45761</fb>
    <v>0</v>
  </rv>
  <rv s="0">
    <fb>112.25</fb>
    <v>1</v>
  </rv>
  <rv s="0">
    <fb>2133340</fb>
    <v>2</v>
  </rv>
  <rv s="0">
    <fb>45762</fb>
    <v>0</v>
  </rv>
  <rv s="0">
    <fb>111.81</fb>
    <v>1</v>
  </rv>
  <rv s="0">
    <fb>2314523</fb>
    <v>2</v>
  </rv>
  <rv s="0">
    <fb>45763</fb>
    <v>0</v>
  </rv>
  <rv s="0">
    <fb>111.44</fb>
    <v>1</v>
  </rv>
  <rv s="0">
    <fb>2133038</fb>
    <v>2</v>
  </rv>
  <rv s="0">
    <fb>45764</fb>
    <v>0</v>
  </rv>
  <rv s="0">
    <fb>112.1</fb>
    <v>1</v>
  </rv>
  <rv s="0">
    <fb>2055242</fb>
    <v>2</v>
  </rv>
  <rv s="0">
    <fb>45768</fb>
    <v>0</v>
  </rv>
  <rv s="0">
    <fb>110.96</fb>
    <v>1</v>
  </rv>
  <rv s="0">
    <fb>2333943</fb>
    <v>2</v>
  </rv>
  <rv s="0">
    <fb>45769</fb>
    <v>0</v>
  </rv>
  <rv s="0">
    <fb>113.3</fb>
    <v>1</v>
  </rv>
  <rv s="0">
    <fb>1833656</fb>
    <v>2</v>
  </rv>
  <rv s="0">
    <fb>45770</fb>
    <v>0</v>
  </rv>
  <rv s="0">
    <fb>112.52</fb>
    <v>1</v>
  </rv>
  <rv s="0">
    <fb>2098373</fb>
    <v>2</v>
  </rv>
  <rv s="0">
    <fb>45771</fb>
    <v>0</v>
  </rv>
  <rv s="0">
    <fb>111.29</fb>
    <v>1</v>
  </rv>
  <rv s="0">
    <fb>2389269</fb>
    <v>2</v>
  </rv>
  <rv s="0">
    <fb>45772</fb>
    <v>0</v>
  </rv>
  <rv s="0">
    <fb>110.45</fb>
    <v>1</v>
  </rv>
  <rv s="0">
    <fb>2820849</fb>
    <v>2</v>
  </rv>
  <rv s="0">
    <fb>45775</fb>
    <v>0</v>
  </rv>
  <rv s="0">
    <fb>111.13</fb>
    <v>1</v>
  </rv>
  <rv s="0">
    <fb>2938240</fb>
    <v>2</v>
  </rv>
  <rv s="0">
    <fb>45776</fb>
    <v>0</v>
  </rv>
  <rv s="0">
    <fb>112.13</fb>
    <v>1</v>
  </rv>
  <rv s="0">
    <fb>2000418</fb>
    <v>2</v>
  </rv>
  <rv s="0">
    <fb>45777</fb>
    <v>0</v>
  </rv>
  <rv s="0">
    <fb>112.75</fb>
    <v>1</v>
  </rv>
  <rv s="0">
    <fb>4940839</fb>
    <v>2</v>
  </rv>
  <rv s="0">
    <fb>45778</fb>
    <v>0</v>
  </rv>
  <rv s="0">
    <fb>112.56</fb>
    <v>1</v>
  </rv>
  <rv s="0">
    <fb>3265519</fb>
    <v>2</v>
  </rv>
  <rv s="0">
    <fb>45779</fb>
    <v>0</v>
  </rv>
  <rv s="0">
    <fb>110.03</fb>
    <v>1</v>
  </rv>
  <rv s="0">
    <fb>3421767</fb>
    <v>2</v>
  </rv>
  <rv s="0">
    <fb>45782</fb>
    <v>0</v>
  </rv>
  <rv s="0">
    <fb>109.52</fb>
    <v>1</v>
  </rv>
  <rv s="0">
    <fb>3225219</fb>
    <v>2</v>
  </rv>
  <rv s="0">
    <fb>45783</fb>
    <v>0</v>
  </rv>
  <rv s="0">
    <fb>110.47</fb>
    <v>1</v>
  </rv>
  <rv s="0">
    <fb>2186858</fb>
    <v>2</v>
  </rv>
  <rv s="0">
    <fb>45784</fb>
    <v>0</v>
  </rv>
  <rv s="0">
    <fb>111.04</fb>
    <v>1</v>
  </rv>
  <rv s="0">
    <fb>3555181</fb>
    <v>2</v>
  </rv>
  <rv s="0">
    <fb>45785</fb>
    <v>0</v>
  </rv>
  <rv s="0">
    <fb>107.75</fb>
    <v>1</v>
  </rv>
  <rv s="0">
    <fb>3652455</fb>
    <v>2</v>
  </rv>
  <rv s="0">
    <fb>45786</fb>
    <v>0</v>
  </rv>
  <rv s="0">
    <fb>107.68</fb>
    <v>1</v>
  </rv>
  <rv s="0">
    <fb>2248912</fb>
    <v>2</v>
  </rv>
  <rv s="0">
    <fb>45789</fb>
    <v>0</v>
  </rv>
  <rv s="0">
    <fb>103.54</fb>
    <v>1</v>
  </rv>
  <rv s="0">
    <fb>3918415</fb>
    <v>2</v>
  </rv>
  <rv s="0">
    <fb>45790</fb>
    <v>0</v>
  </rv>
  <rv s="0">
    <fb>100.58</fb>
    <v>1</v>
  </rv>
  <rv s="0">
    <fb>4495917</fb>
    <v>2</v>
  </rv>
  <rv s="0">
    <fb>45791</fb>
    <v>0</v>
  </rv>
  <rv s="0">
    <fb>99.27</fb>
    <v>1</v>
  </rv>
  <rv s="0">
    <fb>3383905</fb>
    <v>2</v>
  </rv>
  <rv s="0">
    <fb>45792</fb>
    <v>0</v>
  </rv>
  <rv s="0">
    <fb>102.01</fb>
    <v>1</v>
  </rv>
  <rv s="0">
    <fb>3497345</fb>
    <v>2</v>
  </rv>
  <rv s="0">
    <fb>45793</fb>
    <v>0</v>
  </rv>
  <rv s="0">
    <fb>104.29</fb>
    <v>1</v>
  </rv>
  <rv s="0">
    <fb>2758882</fb>
    <v>2</v>
  </rv>
  <rv s="0">
    <fb>45796</fb>
    <v>0</v>
  </rv>
  <rv s="0">
    <fb>105.38</fb>
    <v>1</v>
  </rv>
  <rv s="0">
    <fb>2047865</fb>
    <v>2</v>
  </rv>
  <rv s="0">
    <fb>45797</fb>
    <v>0</v>
  </rv>
  <rv s="0">
    <fb>105.71</fb>
    <v>1</v>
  </rv>
  <rv s="0">
    <fb>2177662</fb>
    <v>2</v>
  </rv>
  <rv s="0">
    <fb>45798</fb>
    <v>0</v>
  </rv>
  <rv s="0">
    <fb>105.22</fb>
    <v>1</v>
  </rv>
  <rv s="0">
    <fb>2741568</fb>
    <v>2</v>
  </rv>
  <rv s="0">
    <fb>45799</fb>
    <v>0</v>
  </rv>
  <rv s="0">
    <fb>103.42</fb>
    <v>1</v>
  </rv>
  <rv s="0">
    <fb>2266069</fb>
    <v>2</v>
  </rv>
  <rv s="0">
    <fb>45800</fb>
    <v>0</v>
  </rv>
  <rv s="0">
    <fb>104.1</fb>
    <v>1</v>
  </rv>
  <rv s="0">
    <fb>2116235</fb>
    <v>2</v>
  </rv>
  <rv s="0">
    <fb>45804</fb>
    <v>0</v>
  </rv>
  <rv s="0">
    <fb>103.97</fb>
    <v>1</v>
  </rv>
  <rv s="0">
    <fb>2638922</fb>
    <v>2</v>
  </rv>
  <rv s="0">
    <fb>45805</fb>
    <v>0</v>
  </rv>
  <rv s="0">
    <fb>1945687</fb>
    <v>2</v>
  </rv>
  <rv s="0">
    <fb>45806</fb>
    <v>0</v>
  </rv>
  <rv s="0">
    <fb>103.38</fb>
    <v>1</v>
  </rv>
  <rv s="0">
    <fb>2762859</fb>
    <v>2</v>
  </rv>
  <rv s="0">
    <fb>45807</fb>
    <v>0</v>
  </rv>
  <rv s="0">
    <fb>104.49</fb>
    <v>1</v>
  </rv>
  <rv s="0">
    <fb>6398572</fb>
    <v>2</v>
  </rv>
  <rv s="0">
    <fb>45810</fb>
    <v>0</v>
  </rv>
  <rv s="0">
    <fb>103.86</fb>
    <v>1</v>
  </rv>
  <rv s="0">
    <fb>2292241</fb>
    <v>2</v>
  </rv>
  <rv s="0">
    <fb>45811</fb>
    <v>0</v>
  </rv>
  <rv s="0">
    <fb>103.24</fb>
    <v>1</v>
  </rv>
  <rv s="0">
    <fb>2316659</fb>
    <v>2</v>
  </rv>
  <rv s="0">
    <fb>45812</fb>
    <v>0</v>
  </rv>
  <rv s="0">
    <fb>102.21</fb>
    <v>1</v>
  </rv>
  <rv s="0">
    <fb>1845717</fb>
    <v>2</v>
  </rv>
  <rv s="0">
    <fb>45813</fb>
    <v>0</v>
  </rv>
  <rv s="0">
    <fb>102.27</fb>
    <v>1</v>
  </rv>
  <rv s="0">
    <fb>2734457</fb>
    <v>2</v>
  </rv>
  <rv s="0">
    <fb>45814</fb>
    <v>0</v>
  </rv>
  <rv s="0">
    <fb>101.61</fb>
    <v>1</v>
  </rv>
  <rv s="0">
    <fb>1694578</fb>
    <v>2</v>
  </rv>
  <rv s="0">
    <fb>45817</fb>
    <v>0</v>
  </rv>
  <rv s="0">
    <fb>101.11</fb>
    <v>1</v>
  </rv>
  <rv s="0">
    <fb>1781808</fb>
    <v>2</v>
  </rv>
  <rv s="0">
    <fb>45818</fb>
    <v>0</v>
  </rv>
  <rv s="0">
    <fb>102.4</fb>
    <v>1</v>
  </rv>
  <rv s="0">
    <fb>2311885</fb>
    <v>2</v>
  </rv>
  <rv s="0">
    <fb>45819</fb>
    <v>0</v>
  </rv>
  <rv s="0">
    <fb>102.55</fb>
    <v>1</v>
  </rv>
  <rv s="0">
    <fb>2439137</fb>
    <v>2</v>
  </rv>
  <rv s="0">
    <fb>45820</fb>
    <v>0</v>
  </rv>
  <rv s="0">
    <fb>103.76</fb>
    <v>1</v>
  </rv>
  <rv s="0">
    <fb>1902564</fb>
    <v>2</v>
  </rv>
  <rv s="0">
    <fb>45821</fb>
    <v>0</v>
  </rv>
  <rv s="0">
    <fb>103.96</fb>
    <v>1</v>
  </rv>
  <rv s="0">
    <fb>3337359</fb>
    <v>2</v>
  </rv>
  <rv s="0">
    <fb>45824</fb>
    <v>0</v>
  </rv>
  <rv s="0">
    <fb>101.63</fb>
    <v>1</v>
  </rv>
  <rv s="0">
    <fb>2737989</fb>
    <v>2</v>
  </rv>
  <rv s="0">
    <fb>45825</fb>
    <v>0</v>
  </rv>
  <rv s="0">
    <fb>101.35</fb>
    <v>1</v>
  </rv>
  <rv s="0">
    <fb>2844894</fb>
    <v>2</v>
  </rv>
  <rv s="0">
    <fb>45826</fb>
    <v>0</v>
  </rv>
  <rv s="0">
    <fb>100.73</fb>
    <v>1</v>
  </rv>
  <rv s="0">
    <fb>2620595</fb>
    <v>2</v>
  </rv>
  <rv s="0">
    <fb>45828</fb>
    <v>0</v>
  </rv>
  <rv s="0">
    <fb>7504224</fb>
    <v>2</v>
  </rv>
  <rv s="0">
    <fb>45831</fb>
    <v>0</v>
  </rv>
  <rv s="0">
    <fb>101.15</fb>
    <v>1</v>
  </rv>
  <rv s="0">
    <fb>3957784</fb>
    <v>2</v>
  </rv>
  <rv s="0">
    <fb>45832</fb>
    <v>0</v>
  </rv>
  <rv s="0">
    <fb>100.19</fb>
    <v>1</v>
  </rv>
  <rv s="0">
    <fb>2952898</fb>
    <v>2</v>
  </rv>
  <rv s="0">
    <fb>45833</fb>
    <v>0</v>
  </rv>
  <rv s="0">
    <fb>98.05</fb>
    <v>1</v>
  </rv>
  <rv s="0">
    <fb>4397192</fb>
    <v>2</v>
  </rv>
  <rv s="0">
    <fb>45834</fb>
    <v>0</v>
  </rv>
  <rv s="0">
    <fb>98.41</fb>
    <v>1</v>
  </rv>
  <rv s="0">
    <fb>2655622</fb>
    <v>2</v>
  </rv>
  <rv s="0">
    <fb>45835</fb>
    <v>0</v>
  </rv>
  <rv s="0">
    <fb>98.15</fb>
    <v>1</v>
  </rv>
  <rv s="0">
    <fb>2880053</fb>
    <v>2</v>
  </rv>
  <rv s="0">
    <fb>45838</fb>
    <v>0</v>
  </rv>
  <rv s="0">
    <fb>100.35</fb>
    <v>1</v>
  </rv>
  <rv s="0">
    <fb>2930483</fb>
    <v>2</v>
  </rv>
  <rv s="0">
    <fb>45839</fb>
    <v>0</v>
  </rv>
  <rv s="0">
    <fb>100.78</fb>
    <v>1</v>
  </rv>
  <rv s="0">
    <fb>2749128</fb>
    <v>2</v>
  </rv>
  <rv s="0">
    <fb>45840</fb>
    <v>0</v>
  </rv>
  <rv s="0">
    <fb>2485839</fb>
    <v>2</v>
  </rv>
  <rv s="0">
    <fb>45841</fb>
    <v>0</v>
  </rv>
  <rv s="0">
    <fb>100.31</fb>
    <v>1</v>
  </rv>
  <rv s="0">
    <fb>1316576</fb>
    <v>2</v>
  </rv>
  <rv s="0">
    <fb>45845</fb>
    <v>0</v>
  </rv>
  <rv s="0">
    <fb>99.71</fb>
    <v>1</v>
  </rv>
  <rv s="0">
    <fb>1800719</fb>
    <v>2</v>
  </rv>
  <rv s="0">
    <fb>45846</fb>
    <v>0</v>
  </rv>
  <rv s="0">
    <fb>99.31</fb>
    <v>1</v>
  </rv>
  <rv s="0">
    <fb>3451218</fb>
    <v>2</v>
  </rv>
  <rv s="0">
    <fb>45847</fb>
    <v>0</v>
  </rv>
  <rv s="0">
    <fb>99.97</fb>
    <v>1</v>
  </rv>
  <rv s="0">
    <fb>2782533</fb>
    <v>2</v>
  </rv>
  <rv s="0">
    <fb>45848</fb>
    <v>0</v>
  </rv>
  <rv s="0">
    <fb>101.07</fb>
    <v>1</v>
  </rv>
  <rv s="0">
    <fb>1851807</fb>
    <v>2</v>
  </rv>
  <rv s="0">
    <fb>45849</fb>
    <v>0</v>
  </rv>
  <rv s="0">
    <fb>1853687</fb>
    <v>2</v>
  </rv>
  <rv s="0">
    <fb>45852</fb>
    <v>0</v>
  </rv>
  <rv s="0">
    <fb>101.01</fb>
    <v>1</v>
  </rv>
  <rv s="0">
    <fb>1409864</fb>
    <v>2</v>
  </rv>
  <rv s="0">
    <fb>45853</fb>
    <v>0</v>
  </rv>
  <rv s="0">
    <fb>99.95</fb>
    <v>1</v>
  </rv>
  <rv s="0">
    <fb>1731322</fb>
    <v>2</v>
  </rv>
  <rv s="0">
    <fb>45854</fb>
    <v>0</v>
  </rv>
  <rv s="0">
    <fb>100.46</fb>
    <v>1</v>
  </rv>
  <rv s="0">
    <fb>1865373</fb>
    <v>2</v>
  </rv>
  <rv s="0">
    <fb>45855</fb>
    <v>0</v>
  </rv>
  <rv s="0">
    <fb>2131709</fb>
    <v>2</v>
  </rv>
  <rv s="0">
    <fb>45856</fb>
    <v>0</v>
  </rv>
  <rv s="0">
    <fb>101.08</fb>
    <v>1</v>
  </rv>
  <rv s="0">
    <fb>1813453</fb>
    <v>2</v>
  </rv>
  <rv s="0">
    <fb>45859</fb>
    <v>0</v>
  </rv>
  <rv s="0">
    <fb>102.07</fb>
    <v>1</v>
  </rv>
  <rv s="0">
    <fb>1667769</fb>
    <v>2</v>
  </rv>
  <rv s="0">
    <fb>45860</fb>
    <v>0</v>
  </rv>
  <rv s="0">
    <fb>103.59</fb>
    <v>1</v>
  </rv>
  <rv s="0">
    <fb>1663862</fb>
    <v>2</v>
  </rv>
  <rv s="0">
    <fb>45861</fb>
    <v>0</v>
  </rv>
  <rv s="0">
    <fb>2563086</fb>
    <v>2</v>
  </rv>
  <rv s="0">
    <fb>45862</fb>
    <v>0</v>
  </rv>
  <rv s="0">
    <fb>102.05</fb>
    <v>1</v>
  </rv>
  <rv s="0">
    <fb>2467810</fb>
    <v>2</v>
  </rv>
  <rv s="0">
    <fb>45863</fb>
    <v>0</v>
  </rv>
  <rv s="0">
    <fb>102.26</fb>
    <v>1</v>
  </rv>
  <rv s="0">
    <fb>1375737</fb>
    <v>2</v>
  </rv>
  <rv s="0">
    <fb>45866</fb>
    <v>0</v>
  </rv>
  <rv s="0">
    <fb>100.98</fb>
    <v>1</v>
  </rv>
  <rv s="0">
    <fb>1995248</fb>
    <v>2</v>
  </rv>
  <rv s="0">
    <fb>45867</fb>
    <v>0</v>
  </rv>
  <rv s="0">
    <fb>102.24</fb>
    <v>1</v>
  </rv>
  <rv s="0">
    <fb>1265041</fb>
    <v>2</v>
  </rv>
  <rv s="0">
    <fb>45868</fb>
    <v>0</v>
  </rv>
  <rv s="0">
    <fb>102.59</fb>
    <v>1</v>
  </rv>
  <rv s="0">
    <fb>1565213</fb>
    <v>2</v>
  </rv>
  <rv s="0">
    <fb>45869</fb>
    <v>0</v>
  </rv>
  <rv s="0">
    <fb>103.5</fb>
    <v>1</v>
  </rv>
  <rv s="0">
    <fb>3483197</fb>
    <v>2</v>
  </rv>
  <rv s="0">
    <fb>45870</fb>
    <v>0</v>
  </rv>
  <rv s="0">
    <fb>104.44</fb>
    <v>1</v>
  </rv>
  <rv s="0">
    <fb>2272580</fb>
    <v>2</v>
  </rv>
  <rv s="0">
    <fb>45873</fb>
    <v>0</v>
  </rv>
  <rv s="0">
    <fb>105.36</fb>
    <v>1</v>
  </rv>
  <rv s="0">
    <fb>2345153</fb>
    <v>2</v>
  </rv>
  <rv s="0">
    <fb>45874</fb>
    <v>0</v>
  </rv>
  <rv s="0">
    <fb>104.18</fb>
    <v>1</v>
  </rv>
  <rv s="0">
    <fb>2515949</fb>
    <v>2</v>
  </rv>
  <rv s="0">
    <fb>45875</fb>
    <v>0</v>
  </rv>
  <rv s="0">
    <fb>104.15</fb>
    <v>1</v>
  </rv>
  <rv s="0">
    <fb>1993167</fb>
    <v>2</v>
  </rv>
  <rv s="0">
    <fb>45876</fb>
    <v>0</v>
  </rv>
  <rv s="0">
    <fb>105</fb>
    <v>1</v>
  </rv>
  <rv s="0">
    <fb>2577713</fb>
    <v>2</v>
  </rv>
  <rv s="0">
    <fb>45877</fb>
    <v>0</v>
  </rv>
  <rv s="0">
    <fb>104.48</fb>
    <v>1</v>
  </rv>
  <rv s="0">
    <fb>2796477</fb>
    <v>2</v>
  </rv>
  <rv s="0">
    <fb>45880</fb>
    <v>0</v>
  </rv>
  <rv s="0">
    <fb>104.12</fb>
    <v>1</v>
  </rv>
  <rv s="0">
    <fb>2357182</fb>
    <v>2</v>
  </rv>
  <rv s="0">
    <fb>45881</fb>
    <v>0</v>
  </rv>
  <rv s="0">
    <fb>103.69</fb>
    <v>1</v>
  </rv>
  <rv s="0">
    <fb>2578774</fb>
    <v>2</v>
  </rv>
  <rv s="0">
    <fb>45882</fb>
    <v>0</v>
  </rv>
  <rv s="0">
    <fb>103.66</fb>
    <v>1</v>
  </rv>
  <rv s="0">
    <fb>2728415</fb>
    <v>2</v>
  </rv>
  <rv s="0">
    <fb>45883</fb>
    <v>0</v>
  </rv>
  <rv s="0">
    <fb>102.86</fb>
    <v>1</v>
  </rv>
  <rv s="0">
    <fb>2171761</fb>
    <v>2</v>
  </rv>
  <rv s="0">
    <fb>45884</fb>
    <v>0</v>
  </rv>
  <rv s="0">
    <fb>100.77</fb>
    <v>1</v>
  </rv>
  <rv s="0">
    <fb>3098753</fb>
    <v>2</v>
  </rv>
  <rv s="0">
    <fb>45887</fb>
    <v>0</v>
  </rv>
  <rv s="0">
    <fb>99.74</fb>
    <v>1</v>
  </rv>
  <rv s="0">
    <fb>2789322</fb>
    <v>2</v>
  </rv>
  <rv s="0">
    <fb>45888</fb>
    <v>0</v>
  </rv>
  <rv s="0">
    <fb>101.1</fb>
    <v>1</v>
  </rv>
  <rv s="0">
    <fb>3948355</fb>
    <v>2</v>
  </rv>
  <rv s="0">
    <fb>45889</fb>
    <v>0</v>
  </rv>
  <rv s="0">
    <fb>101.76</fb>
    <v>1</v>
  </rv>
  <rv s="0">
    <fb>3216440</fb>
    <v>2</v>
  </rv>
  <rv s="0">
    <fb>45890</fb>
    <v>0</v>
  </rv>
  <rv s="0">
    <fb>101.5</fb>
    <v>1</v>
  </rv>
  <rv s="0">
    <fb>2282712</fb>
    <v>2</v>
  </rv>
  <rv s="0">
    <fb>45891</fb>
    <v>0</v>
  </rv>
  <rv s="0">
    <fb>101.65</fb>
    <v>1</v>
  </rv>
  <rv s="0">
    <fb>2753050</fb>
    <v>2</v>
  </rv>
  <rv s="0">
    <fb>45894</fb>
    <v>0</v>
  </rv>
  <rv s="0">
    <fb>2498894</fb>
    <v>2</v>
  </rv>
  <rv s="0">
    <fb>45895</fb>
    <v>0</v>
  </rv>
  <rv s="0">
    <fb>99.72</fb>
    <v>1</v>
  </rv>
  <rv s="0">
    <fb>3309463</fb>
    <v>2</v>
  </rv>
  <rv s="0">
    <fb>45896</fb>
    <v>0</v>
  </rv>
  <rv s="0">
    <fb>100.07</fb>
    <v>1</v>
  </rv>
  <rv s="0">
    <fb>4313818</fb>
    <v>2</v>
  </rv>
  <rv s="0">
    <fb>45897</fb>
    <v>0</v>
  </rv>
  <rv s="0">
    <fb>98.17</fb>
    <v>1</v>
  </rv>
  <rv s="0">
    <fb>2400163</fb>
    <v>2</v>
  </rv>
  <rv s="0">
    <fb>45898</fb>
    <v>0</v>
  </rv>
  <rv s="0">
    <fb>98.23</fb>
    <v>1</v>
  </rv>
  <rv s="0">
    <fb>4220120</fb>
    <v>2</v>
  </rv>
  <rv s="0">
    <fb>45902</fb>
    <v>0</v>
  </rv>
  <rv s="0">
    <fb>97.2</fb>
    <v>1</v>
  </rv>
  <rv s="0">
    <fb>3019315</fb>
    <v>2</v>
  </rv>
  <rv s="0">
    <fb>45903</fb>
    <v>0</v>
  </rv>
  <rv s="0">
    <fb>97.85</fb>
    <v>1</v>
  </rv>
  <rv s="0">
    <fb>4306674</fb>
    <v>2</v>
  </rv>
  <rv s="0">
    <fb>45904</fb>
    <v>0</v>
  </rv>
  <rv s="0">
    <fb>97.8</fb>
    <v>1</v>
  </rv>
  <rv s="0">
    <fb>2033303</fb>
    <v>2</v>
  </rv>
  <rv s="0">
    <fb>45905</fb>
    <v>0</v>
  </rv>
  <rv s="0">
    <fb>1724666</fb>
    <v>2</v>
  </rv>
  <rv s="0">
    <fb>45908</fb>
    <v>0</v>
  </rv>
  <rv s="0">
    <fb>96.65</fb>
    <v>1</v>
  </rv>
  <rv s="0">
    <fb>2189394</fb>
    <v>2</v>
  </rv>
  <rv s="0">
    <fb>45909</fb>
    <v>0</v>
  </rv>
  <rv s="0">
    <fb>96.98</fb>
    <v>1</v>
  </rv>
  <rv s="0">
    <fb>1282697</fb>
    <v>2</v>
  </rv>
  <rv s="0">
    <fb>45910</fb>
    <v>0</v>
  </rv>
  <rv s="0">
    <fb>97.08</fb>
    <v>1</v>
  </rv>
  <rv s="0">
    <fb>1603960</fb>
    <v>2</v>
  </rv>
  <rv s="0">
    <fb>45911</fb>
    <v>0</v>
  </rv>
  <rv s="0">
    <fb>1689992</fb>
    <v>2</v>
  </rv>
  <rv s="0">
    <fb>45912</fb>
    <v>0</v>
  </rv>
  <rv s="0">
    <fb>97.55</fb>
    <v>1</v>
  </rv>
  <rv s="0">
    <fb>1249463</fb>
    <v>2</v>
  </rv>
  <rv s="0">
    <fb>45915</fb>
    <v>0</v>
  </rv>
  <rv s="0">
    <fb>97</fb>
    <v>1</v>
  </rv>
  <rv s="0">
    <fb>1351898</fb>
    <v>2</v>
  </rv>
  <rv s="0">
    <fb>45916</fb>
    <v>0</v>
  </rv>
  <rv s="0">
    <fb>95.57</fb>
    <v>1</v>
  </rv>
  <rv s="0">
    <fb>2116706</fb>
    <v>2</v>
  </rv>
  <rv s="0">
    <fb>45917</fb>
    <v>0</v>
  </rv>
  <rv s="0">
    <fb>96.4</fb>
    <v>1</v>
  </rv>
  <rv s="0">
    <fb>1879757</fb>
    <v>2</v>
  </rv>
  <rv s="0">
    <fb>45918</fb>
    <v>0</v>
  </rv>
  <rv s="0">
    <fb>96.35</fb>
    <v>1</v>
  </rv>
  <rv s="0">
    <fb>1815705</fb>
    <v>2</v>
  </rv>
  <rv s="0">
    <fb>45919</fb>
    <v>0</v>
  </rv>
  <rv s="0">
    <fb>96.33</fb>
    <v>1</v>
  </rv>
  <rv s="0">
    <fb>4091681</fb>
    <v>2</v>
  </rv>
  <rv s="0">
    <fb>45922</fb>
    <v>0</v>
  </rv>
  <rv s="0">
    <fb>1938992</fb>
    <v>2</v>
  </rv>
  <rv s="0">
    <fb>45923</fb>
    <v>0</v>
  </rv>
  <rv s="0">
    <fb>98.55</fb>
    <v>1</v>
  </rv>
  <rv s="0">
    <fb>2204294</fb>
    <v>2</v>
  </rv>
  <rv s="0">
    <fb>45924</fb>
    <v>0</v>
  </rv>
  <rv s="0">
    <fb>98.81</fb>
    <v>1</v>
  </rv>
  <rv s="0">
    <fb>1611788</fb>
    <v>2</v>
  </rv>
  <rv s="0">
    <fb>45925</fb>
    <v>0</v>
  </rv>
  <rv s="0">
    <fb>98.35</fb>
    <v>1</v>
  </rv>
  <rv s="0">
    <fb>1848471</fb>
    <v>2</v>
  </rv>
  <rv s="0">
    <fb>45926</fb>
    <v>0</v>
  </rv>
  <rv s="0">
    <fb>99.62</fb>
    <v>1</v>
  </rv>
  <rv s="0">
    <fb>1947302</fb>
    <v>2</v>
  </rv>
  <rv s="0">
    <fb>45929</fb>
    <v>0</v>
  </rv>
  <rv s="0">
    <fb>99.57</fb>
    <v>1</v>
  </rv>
  <rv s="0">
    <fb>1875302</fb>
    <v>2</v>
  </rv>
  <rv s="0">
    <fb>45930</fb>
    <v>0</v>
  </rv>
  <rv s="0">
    <fb>100.52</fb>
    <v>1</v>
  </rv>
  <rv s="0">
    <fb>2199219</fb>
    <v>2</v>
  </rv>
  <rv s="0">
    <fb>45931</fb>
    <v>0</v>
  </rv>
  <rv s="0">
    <fb>2301874</fb>
    <v>2</v>
  </rv>
  <rv s="0">
    <fb>45932</fb>
    <v>0</v>
  </rv>
  <rv s="0">
    <fb>1449485</fb>
    <v>2</v>
  </rv>
  <rv s="0">
    <fb>45933</fb>
    <v>0</v>
  </rv>
  <rv s="0">
    <fb>1676205</fb>
    <v>2</v>
  </rv>
  <rv s="0">
    <fb>45936</fb>
    <v>0</v>
  </rv>
  <rv s="0">
    <fb>99.33</fb>
    <v>1</v>
  </rv>
  <rv s="0">
    <fb>1769805</fb>
    <v>2</v>
  </rv>
  <rv s="0">
    <fb>45937</fb>
    <v>0</v>
  </rv>
  <rv s="0">
    <fb>100.04</fb>
    <v>1</v>
  </rv>
  <rv s="0">
    <fb>1722042</fb>
    <v>2</v>
  </rv>
  <rv s="0">
    <fb>45938</fb>
    <v>0</v>
  </rv>
  <rv s="0">
    <fb>100.83</fb>
    <v>1</v>
  </rv>
  <rv s="0">
    <fb>1570590</fb>
    <v>2</v>
  </rv>
  <rv s="0">
    <fb>45939</fb>
    <v>0</v>
  </rv>
  <rv s="0">
    <fb>100.8</fb>
    <v>1</v>
  </rv>
  <rv s="0">
    <fb>1816124</fb>
    <v>2</v>
  </rv>
  <rv s="0">
    <fb>45940</fb>
    <v>0</v>
  </rv>
  <rv s="0">
    <fb>102.39</fb>
    <v>1</v>
  </rv>
  <rv s="0">
    <fb>2059205</fb>
    <v>2</v>
  </rv>
  <rv s="0">
    <fb>45943</fb>
    <v>0</v>
  </rv>
  <rv s="0">
    <fb>1515680</fb>
    <v>2</v>
  </rv>
  <rv s="0">
    <fb>45944</fb>
    <v>0</v>
  </rv>
  <rv s="0">
    <fb>101.89</fb>
    <v>1</v>
  </rv>
  <rv s="0">
    <fb>1423256</fb>
    <v>2</v>
  </rv>
  <rv s="0">
    <fb>45945</fb>
    <v>0</v>
  </rv>
  <rv s="0">
    <fb>102.29</fb>
    <v>1</v>
  </rv>
  <rv s="0">
    <fb>1556615</fb>
    <v>2</v>
  </rv>
  <rv s="0">
    <fb>45946</fb>
    <v>0</v>
  </rv>
  <rv s="0">
    <fb>1558806</fb>
    <v>2</v>
  </rv>
  <rv s="0">
    <fb>45947</fb>
    <v>0</v>
  </rv>
  <rv s="0">
    <fb>1597575</fb>
    <v>2</v>
  </rv>
  <rv s="0">
    <fb>45950</fb>
    <v>0</v>
  </rv>
  <rv s="0">
    <fb>101.72</fb>
    <v>1</v>
  </rv>
  <rv s="0">
    <fb>1129321</fb>
    <v>2</v>
  </rv>
  <rv s="0">
    <fb>45951</fb>
    <v>0</v>
  </rv>
  <rv s="0">
    <fb>1116965</fb>
    <v>2</v>
  </rv>
  <rv s="0">
    <fb>45952</fb>
    <v>0</v>
  </rv>
  <rv s="0">
    <fb>1508989</fb>
    <v>2</v>
  </rv>
  <rv s="0">
    <fb>45953</fb>
    <v>0</v>
  </rv>
  <rv s="0">
    <fb>1302838</fb>
    <v>2</v>
  </rv>
  <rv s="0">
    <fb>45954</fb>
    <v>0</v>
  </rv>
  <rv s="0">
    <fb>1036366</fb>
    <v>2</v>
  </rv>
  <rv s="0">
    <fb>45957</fb>
    <v>0</v>
  </rv>
  <rv s="0">
    <fb>100.22</fb>
    <v>1</v>
  </rv>
  <rv s="0">
    <fb>1537561</fb>
    <v>2</v>
  </rv>
  <rv s="0">
    <fb>45958</fb>
    <v>0</v>
  </rv>
  <rv s="0">
    <fb>1156747</fb>
    <v>2</v>
  </rv>
  <rv s="0">
    <fb>45959</fb>
    <v>0</v>
  </rv>
  <rv s="0">
    <fb>1804147</fb>
    <v>2</v>
  </rv>
  <rv s="0">
    <fb>45960</fb>
    <v>0</v>
  </rv>
  <rv s="0">
    <fb>98.19</fb>
    <v>1</v>
  </rv>
  <rv s="0">
    <fb>2073284</fb>
    <v>2</v>
  </rv>
  <rv s="0">
    <fb>45961</fb>
    <v>0</v>
  </rv>
  <rv s="0">
    <fb>97.41</fb>
    <v>1</v>
  </rv>
  <rv s="0">
    <fb>2770794</fb>
    <v>2</v>
  </rv>
  <rv s="0">
    <fb>45964</fb>
    <v>0</v>
  </rv>
  <rv s="0">
    <fb>1692176</fb>
    <v>2</v>
  </rv>
  <rv s="0">
    <fb>45965</fb>
    <v>0</v>
  </rv>
  <rv s="0">
    <fb>97.96</fb>
    <v>1</v>
  </rv>
  <rv s="0">
    <fb>1614634</fb>
    <v>2</v>
  </rv>
  <rv s="0">
    <fb>45966</fb>
    <v>0</v>
  </rv>
  <rv s="0">
    <fb>96.11</fb>
    <v>1</v>
  </rv>
  <rv s="0">
    <fb>2273863</fb>
    <v>2</v>
  </rv>
  <rv s="0">
    <fb>45967</fb>
    <v>0</v>
  </rv>
  <rv s="0">
    <fb>96.99</fb>
    <v>1</v>
  </rv>
  <rv s="0">
    <fb>3064515</fb>
    <v>2</v>
  </rv>
  <rv s="0">
    <fb>45968</fb>
    <v>0</v>
  </rv>
  <rv s="0">
    <fb>98.52</fb>
    <v>1</v>
  </rv>
  <rv s="0">
    <fb>2924446</fb>
    <v>2</v>
  </rv>
  <rv s="0">
    <fb>45971</fb>
    <v>0</v>
  </rv>
  <rv s="0">
    <fb>98.24</fb>
    <v>1</v>
  </rv>
  <rv s="0">
    <fb>2188924</fb>
    <v>2</v>
  </rv>
  <rv s="0">
    <fb>45972</fb>
    <v>0</v>
  </rv>
  <rv s="0">
    <fb>1779798</fb>
    <v>2</v>
  </rv>
  <rv s="0">
    <fb>45973</fb>
    <v>0</v>
  </rv>
  <rv s="0">
    <fb>1340259</fb>
    <v>2</v>
  </rv>
  <rv s="0">
    <fb>45974</fb>
    <v>0</v>
  </rv>
  <rv s="0">
    <fb>100.95</fb>
    <v>1</v>
  </rv>
  <rv s="0">
    <fb>1977816</fb>
    <v>2</v>
  </rv>
  <rv s="0">
    <fb>45975</fb>
    <v>0</v>
  </rv>
  <rv s="0">
    <fb>101.66</fb>
    <v>1</v>
  </rv>
  <rv s="0">
    <fb>2443256</fb>
    <v>2</v>
  </rv>
  <rv s="0">
    <fb>45978</fb>
    <v>0</v>
  </rv>
  <rv s="0">
    <fb>103.85</fb>
    <v>1</v>
  </rv>
  <rv s="0">
    <fb>3007831</fb>
    <v>2</v>
  </rv>
  <rv s="0">
    <fb>45979</fb>
    <v>0</v>
  </rv>
  <rv s="0">
    <fb>2585563</fb>
    <v>2</v>
  </rv>
  <rv s="0">
    <fb>45980</fb>
    <v>0</v>
  </rv>
  <rv s="0">
    <fb>100.38</fb>
    <v>1</v>
  </rv>
  <rv s="0">
    <fb>3059734</fb>
    <v>2</v>
  </rv>
  <rv s="0">
    <fb>45981</fb>
    <v>0</v>
  </rv>
  <rv s="0">
    <fb>2462396</fb>
    <v>2</v>
  </rv>
  <rv s="0">
    <fb>45982</fb>
    <v>0</v>
  </rv>
  <rv s="0">
    <fb>100.16</fb>
    <v>1</v>
  </rv>
  <rv s="0">
    <fb>4721989</fb>
    <v>2</v>
  </rv>
  <rv s="0">
    <fb>45985</fb>
    <v>0</v>
  </rv>
  <rv s="0">
    <fb>98.92</fb>
    <v>1</v>
  </rv>
  <rv s="0">
    <fb>7708010</fb>
    <v>2</v>
  </rv>
  <rv s="0">
    <fb>45986</fb>
    <v>0</v>
  </rv>
  <rv s="0">
    <fb>98.85</fb>
    <v>1</v>
  </rv>
  <rv s="0">
    <fb>2127188</fb>
    <v>2</v>
  </rv>
  <rv s="0">
    <fb>45987</fb>
    <v>0</v>
  </rv>
  <rv s="0">
    <fb>100.14</fb>
    <v>1</v>
  </rv>
  <rv s="0">
    <fb>1305669</fb>
    <v>2</v>
  </rv>
  <rv s="0">
    <fb>45989</fb>
    <v>0</v>
  </rv>
  <rv s="0">
    <fb>100.36</fb>
    <v>1</v>
  </rv>
  <rv s="0">
    <fb>1063335</fb>
    <v>2</v>
  </rv>
  <rv s="0">
    <fb>45992</fb>
    <v>0</v>
  </rv>
  <rv s="0">
    <fb>2744812</fb>
    <v>2</v>
  </rv>
  <rv s="0">
    <fb>45993</fb>
    <v>0</v>
  </rv>
  <rv s="0">
    <fb>2753150</fb>
    <v>2</v>
  </rv>
  <rv s="0">
    <fb>45994</fb>
    <v>0</v>
  </rv>
  <rv s="0">
    <fb>1762033</fb>
    <v>2</v>
  </rv>
  <rv s="0">
    <fb>45995</fb>
    <v>0</v>
  </rv>
  <rv s="0">
    <fb>96.22</fb>
    <v>1</v>
  </rv>
  <rv s="0">
    <fb>2303530</fb>
    <v>2</v>
  </rv>
  <rv s="0">
    <fb>45996</fb>
    <v>0</v>
  </rv>
  <rv s="0">
    <fb>96.6</fb>
    <v>1</v>
  </rv>
  <rv s="0">
    <fb>1775844</fb>
    <v>2</v>
  </rv>
  <rv s="0">
    <fb>45999</fb>
    <v>0</v>
  </rv>
  <rv s="0">
    <fb>95.45</fb>
    <v>1</v>
  </rv>
  <rv s="0">
    <fb>2089307</fb>
    <v>2</v>
  </rv>
  <rv s="0">
    <fb>46000</fb>
    <v>0</v>
  </rv>
  <rv s="0">
    <fb>95.82</fb>
    <v>1</v>
  </rv>
  <rv s="0">
    <fb>1823336</fb>
    <v>2</v>
  </rv>
  <rv s="0">
    <fb>46001</fb>
    <v>0</v>
  </rv>
  <rv s="0">
    <fb>1848956</fb>
    <v>2</v>
  </rv>
  <rv s="0">
    <fb>46002</fb>
    <v>0</v>
  </rv>
  <rv s="0">
    <fb>95.64</fb>
    <v>1</v>
  </rv>
  <rv s="0">
    <fb>1396780</fb>
    <v>2</v>
  </rv>
  <rv s="0">
    <fb>46003</fb>
    <v>0</v>
  </rv>
  <rv s="0">
    <fb>2638227</fb>
    <v>2</v>
  </rv>
  <rv s="0">
    <fb>46006</fb>
    <v>0</v>
  </rv>
  <rv s="0">
    <fb>99.39</fb>
    <v>1</v>
  </rv>
  <rv s="0">
    <fb>2388088</fb>
    <v>2</v>
  </rv>
  <rv s="0">
    <fb>46007</fb>
    <v>0</v>
  </rv>
  <rv s="0">
    <fb>98.9</fb>
    <v>1</v>
  </rv>
  <rv s="0">
    <fb>2321135</fb>
    <v>2</v>
  </rv>
  <rv s="0">
    <fb>46008</fb>
    <v>0</v>
  </rv>
  <rv s="0">
    <fb>2330732</fb>
    <v>2</v>
  </rv>
  <rv s="0">
    <fb>46009</fb>
    <v>0</v>
  </rv>
  <rv s="0">
    <fb>99.99</fb>
    <v>1</v>
  </rv>
  <rv s="0">
    <fb>2345340</fb>
    <v>2</v>
  </rv>
  <rv s="0">
    <fb>46010</fb>
    <v>0</v>
  </rv>
  <rv s="0">
    <fb>98.06</fb>
    <v>1</v>
  </rv>
  <rv s="0">
    <fb>4366286</fb>
    <v>2</v>
  </rv>
  <rv s="0">
    <fb>46013</fb>
    <v>0</v>
  </rv>
  <rv s="0">
    <fb>98.57</fb>
    <v>1</v>
  </rv>
  <rv s="0">
    <fb>1526222</fb>
    <v>2</v>
  </rv>
  <rv s="0">
    <fb>46014</fb>
    <v>0</v>
  </rv>
  <rv s="0">
    <fb>98.95</fb>
    <v>1</v>
  </rv>
  <rv s="0">
    <fb>1485103</fb>
    <v>2</v>
  </rv>
  <rv s="0">
    <fb>46015</fb>
    <v>0</v>
  </rv>
  <rv s="0">
    <fb>99.53</fb>
    <v>1</v>
  </rv>
  <rv s="0">
    <fb>522559</fb>
    <v>2</v>
  </rv>
  <rv s="0">
    <fb>46017</fb>
    <v>0</v>
  </rv>
  <rv s="0">
    <fb>99.3</fb>
    <v>1</v>
  </rv>
  <rv s="0">
    <fb>611485</fb>
    <v>2</v>
  </rv>
  <rv s="0">
    <fb>46020</fb>
    <v>0</v>
  </rv>
  <rv s="0">
    <fb>99.54</fb>
    <v>1</v>
  </rv>
  <rv s="0">
    <fb>1647935</fb>
    <v>2</v>
  </rv>
  <rv s="0">
    <fb>46021</fb>
    <v>0</v>
  </rv>
  <rv s="0">
    <fb>99.89</fb>
    <v>1</v>
  </rv>
  <rv s="0">
    <fb>1019883</fb>
    <v>2</v>
  </rv>
  <rv s="0">
    <fb>46022</fb>
    <v>0</v>
  </rv>
  <rv s="0">
    <fb>99.32</fb>
    <v>1</v>
  </rv>
  <rv s="0">
    <fb>1218242</fb>
    <v>2</v>
  </rv>
  <rv s="0">
    <fb>46024</fb>
    <v>0</v>
  </rv>
  <rv s="0">
    <fb>1441121</fb>
    <v>2</v>
  </rv>
  <rv s="0">
    <fb>46027</fb>
    <v>0</v>
  </rv>
  <rv s="0">
    <fb>2112395</fb>
    <v>2</v>
  </rv>
  <rv s="0">
    <fb>46028</fb>
    <v>0</v>
  </rv>
  <rv s="0">
    <fb>1643792</fb>
    <v>2</v>
  </rv>
  <rv s="0">
    <fb>46029</fb>
    <v>0</v>
  </rv>
  <rv s="0">
    <fb>99.37</fb>
    <v>1</v>
  </rv>
  <rv s="0">
    <fb>1638957</fb>
    <v>2</v>
  </rv>
  <rv s="0">
    <fb>46030</fb>
    <v>0</v>
  </rv>
  <rv s="0">
    <fb>100.18</fb>
    <v>1</v>
  </rv>
  <rv s="0">
    <fb>1717623</fb>
    <v>2</v>
  </rv>
  <rv s="0">
    <fb>46031</fb>
    <v>0</v>
  </rv>
  <rv s="0">
    <fb>99.21</fb>
    <v>1</v>
  </rv>
  <rv s="0">
    <fb>1354245</fb>
    <v>2</v>
  </rv>
  <rv s="0">
    <fb>46034</fb>
    <v>0</v>
  </rv>
  <rv s="0">
    <fb>98.83</fb>
    <v>1</v>
  </rv>
  <rv s="0">
    <fb>1987289</fb>
    <v>2</v>
  </rv>
  <rv s="0">
    <fb>46035</fb>
    <v>0</v>
  </rv>
  <rv s="0">
    <fb>2073342</fb>
    <v>2</v>
  </rv>
  <rv s="0">
    <fb>46036</fb>
    <v>0</v>
  </rv>
  <rv s="0">
    <fb>101.47</fb>
    <v>1</v>
  </rv>
  <rv s="0">
    <fb>1963060</fb>
    <v>2</v>
  </rv>
  <rv s="0">
    <fb>46037</fb>
    <v>0</v>
  </rv>
  <rv s="0">
    <fb>102.58</fb>
    <v>1</v>
  </rv>
  <rv s="0">
    <fb>1813479</fb>
    <v>2</v>
  </rv>
  <rv s="0">
    <fb>46038</fb>
    <v>0</v>
  </rv>
  <rv s="0">
    <fb>103.81</fb>
    <v>1</v>
  </rv>
  <rv s="0">
    <fb>2201908</fb>
    <v>2</v>
  </rv>
  <rv s="1">
    <v>3</v>
    <v>ED</v>
    <v>Daily</v>
    <v>45292</v>
    <v>46041</v>
    <v>0</v>
    <v>1</v>
    <v>639041184000000000,639044469619037432,0</v>
    <v>0</v>
    <v>a1rmkr</v>
    <v>XNYS:ED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DA6656-C124-4341-B58E-6A421A8096D3}" name="Table2" displayName="Table2" ref="A1:C120" totalsRowShown="0">
  <autoFilter ref="A1:C120" xr:uid="{BADA6656-C124-4341-B58E-6A421A8096D3}"/>
  <tableColumns count="3">
    <tableColumn id="1" xr3:uid="{5BFA16E4-905A-43FD-B06B-F715AFBAAE24}" name="Date" dataDxfId="0"/>
    <tableColumn id="2" xr3:uid="{8780304C-B113-41B6-9B1B-01E149D7B250}" name="average_close"/>
    <tableColumn id="3" xr3:uid="{F6B7C41C-AE61-4EF5-A64C-6CBE314689CD}" name="Forecast(average_close)">
      <calculatedColumnFormula>_xlfn.FORECAST.ETS(A2,$B$2:$B$108,$A$2:$A$108,1,1)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C926E-EAC1-41B3-9FCC-73ACE2A90CAD}" name="Weekly" displayName="Weekly" ref="A1:B108" tableType="queryTable" totalsRowShown="0">
  <autoFilter ref="A1:B108" xr:uid="{835C926E-EAC1-41B3-9FCC-73ACE2A90CAD}"/>
  <tableColumns count="2">
    <tableColumn id="1" xr3:uid="{8E05EE61-32E9-49FC-9C22-D28ADD80DB6E}" uniqueName="1" name="Date" queryTableFieldId="1" dataDxfId="1"/>
    <tableColumn id="2" xr3:uid="{0F4B4131-8A4A-427B-8299-0BF74E1CB9EF}" uniqueName="2" name="average_clos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89FF-B9EF-42F3-A18F-C3DED8A63D8A}">
  <dimension ref="A1:C120"/>
  <sheetViews>
    <sheetView workbookViewId="0">
      <selection activeCell="D18" sqref="D18"/>
    </sheetView>
  </sheetViews>
  <sheetFormatPr defaultRowHeight="15" x14ac:dyDescent="0.25"/>
  <cols>
    <col min="1" max="1" width="10.42578125" bestFit="1" customWidth="1"/>
    <col min="2" max="2" width="15.85546875" customWidth="1"/>
    <col min="3" max="3" width="2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s="12">
        <v>45291</v>
      </c>
      <c r="B2">
        <v>93.045000000000002</v>
      </c>
    </row>
    <row r="3" spans="1:3" x14ac:dyDescent="0.25">
      <c r="A3" s="12">
        <v>45298</v>
      </c>
      <c r="B3">
        <v>92.94</v>
      </c>
    </row>
    <row r="4" spans="1:3" x14ac:dyDescent="0.25">
      <c r="A4" s="12">
        <v>45305</v>
      </c>
      <c r="B4">
        <v>90.342500000000001</v>
      </c>
    </row>
    <row r="5" spans="1:3" x14ac:dyDescent="0.25">
      <c r="A5" s="12">
        <v>45312</v>
      </c>
      <c r="B5">
        <v>89.266000000000005</v>
      </c>
    </row>
    <row r="6" spans="1:3" x14ac:dyDescent="0.25">
      <c r="A6" s="12">
        <v>45319</v>
      </c>
      <c r="B6">
        <v>91.210000000000008</v>
      </c>
    </row>
    <row r="7" spans="1:3" x14ac:dyDescent="0.25">
      <c r="A7" s="12">
        <v>45326</v>
      </c>
      <c r="B7">
        <v>89.328000000000003</v>
      </c>
    </row>
    <row r="8" spans="1:3" x14ac:dyDescent="0.25">
      <c r="A8" s="12">
        <v>45333</v>
      </c>
      <c r="B8">
        <v>87.7</v>
      </c>
    </row>
    <row r="9" spans="1:3" x14ac:dyDescent="0.25">
      <c r="A9" s="12">
        <v>45340</v>
      </c>
      <c r="B9">
        <v>88.007499999999993</v>
      </c>
    </row>
    <row r="10" spans="1:3" x14ac:dyDescent="0.25">
      <c r="A10" s="12">
        <v>45347</v>
      </c>
      <c r="B10">
        <v>86.792000000000002</v>
      </c>
    </row>
    <row r="11" spans="1:3" x14ac:dyDescent="0.25">
      <c r="A11" s="12">
        <v>45354</v>
      </c>
      <c r="B11">
        <v>89.605999999999995</v>
      </c>
    </row>
    <row r="12" spans="1:3" x14ac:dyDescent="0.25">
      <c r="A12" s="12">
        <v>45361</v>
      </c>
      <c r="B12">
        <v>89.581999999999994</v>
      </c>
    </row>
    <row r="13" spans="1:3" x14ac:dyDescent="0.25">
      <c r="A13" s="12">
        <v>45368</v>
      </c>
      <c r="B13">
        <v>88.998000000000005</v>
      </c>
    </row>
    <row r="14" spans="1:3" x14ac:dyDescent="0.25">
      <c r="A14" s="12">
        <v>45375</v>
      </c>
      <c r="B14">
        <v>89.202500000000001</v>
      </c>
    </row>
    <row r="15" spans="1:3" x14ac:dyDescent="0.25">
      <c r="A15" s="12">
        <v>45382</v>
      </c>
      <c r="B15">
        <v>90.132000000000005</v>
      </c>
    </row>
    <row r="16" spans="1:3" x14ac:dyDescent="0.25">
      <c r="A16" s="12">
        <v>45389</v>
      </c>
      <c r="B16">
        <v>89.56</v>
      </c>
    </row>
    <row r="17" spans="1:2" x14ac:dyDescent="0.25">
      <c r="A17" s="12">
        <v>45396</v>
      </c>
      <c r="B17">
        <v>89.947999999999993</v>
      </c>
    </row>
    <row r="18" spans="1:2" x14ac:dyDescent="0.25">
      <c r="A18" s="12">
        <v>45403</v>
      </c>
      <c r="B18">
        <v>93.207999999999998</v>
      </c>
    </row>
    <row r="19" spans="1:2" x14ac:dyDescent="0.25">
      <c r="A19" s="12">
        <v>45410</v>
      </c>
      <c r="B19">
        <v>94.796000000000006</v>
      </c>
    </row>
    <row r="20" spans="1:2" x14ac:dyDescent="0.25">
      <c r="A20" s="12">
        <v>45417</v>
      </c>
      <c r="B20">
        <v>97.403999999999996</v>
      </c>
    </row>
    <row r="21" spans="1:2" x14ac:dyDescent="0.25">
      <c r="A21" s="12">
        <v>45424</v>
      </c>
      <c r="B21">
        <v>97.039999999999992</v>
      </c>
    </row>
    <row r="22" spans="1:2" x14ac:dyDescent="0.25">
      <c r="A22" s="12">
        <v>45431</v>
      </c>
      <c r="B22">
        <v>95.456000000000003</v>
      </c>
    </row>
    <row r="23" spans="1:2" x14ac:dyDescent="0.25">
      <c r="A23" s="12">
        <v>45438</v>
      </c>
      <c r="B23">
        <v>93.03</v>
      </c>
    </row>
    <row r="24" spans="1:2" x14ac:dyDescent="0.25">
      <c r="A24" s="12">
        <v>45445</v>
      </c>
      <c r="B24">
        <v>92.7</v>
      </c>
    </row>
    <row r="25" spans="1:2" x14ac:dyDescent="0.25">
      <c r="A25" s="12">
        <v>45452</v>
      </c>
      <c r="B25">
        <v>91.337999999999994</v>
      </c>
    </row>
    <row r="26" spans="1:2" x14ac:dyDescent="0.25">
      <c r="A26" s="12">
        <v>45459</v>
      </c>
      <c r="B26">
        <v>90.477500000000006</v>
      </c>
    </row>
    <row r="27" spans="1:2" x14ac:dyDescent="0.25">
      <c r="A27" s="12">
        <v>45466</v>
      </c>
      <c r="B27">
        <v>89.885999999999996</v>
      </c>
    </row>
    <row r="28" spans="1:2" x14ac:dyDescent="0.25">
      <c r="A28" s="12">
        <v>45473</v>
      </c>
      <c r="B28">
        <v>88.94</v>
      </c>
    </row>
    <row r="29" spans="1:2" x14ac:dyDescent="0.25">
      <c r="A29" s="12">
        <v>45480</v>
      </c>
      <c r="B29">
        <v>90.158000000000001</v>
      </c>
    </row>
    <row r="30" spans="1:2" x14ac:dyDescent="0.25">
      <c r="A30" s="12">
        <v>45487</v>
      </c>
      <c r="B30">
        <v>92.744</v>
      </c>
    </row>
    <row r="31" spans="1:2" x14ac:dyDescent="0.25">
      <c r="A31" s="12">
        <v>45494</v>
      </c>
      <c r="B31">
        <v>95.225999999999999</v>
      </c>
    </row>
    <row r="32" spans="1:2" x14ac:dyDescent="0.25">
      <c r="A32" s="12">
        <v>45501</v>
      </c>
      <c r="B32">
        <v>98.917999999999992</v>
      </c>
    </row>
    <row r="33" spans="1:2" x14ac:dyDescent="0.25">
      <c r="A33" s="12">
        <v>45508</v>
      </c>
      <c r="B33">
        <v>100.86</v>
      </c>
    </row>
    <row r="34" spans="1:2" x14ac:dyDescent="0.25">
      <c r="A34" s="12">
        <v>45515</v>
      </c>
      <c r="B34">
        <v>100.746</v>
      </c>
    </row>
    <row r="35" spans="1:2" x14ac:dyDescent="0.25">
      <c r="A35" s="12">
        <v>45522</v>
      </c>
      <c r="B35">
        <v>100.45399999999999</v>
      </c>
    </row>
    <row r="36" spans="1:2" x14ac:dyDescent="0.25">
      <c r="A36" s="12">
        <v>45529</v>
      </c>
      <c r="B36">
        <v>100.65</v>
      </c>
    </row>
    <row r="37" spans="1:2" x14ac:dyDescent="0.25">
      <c r="A37" s="12">
        <v>45536</v>
      </c>
      <c r="B37">
        <v>103.6875</v>
      </c>
    </row>
    <row r="38" spans="1:2" x14ac:dyDescent="0.25">
      <c r="A38" s="12">
        <v>45543</v>
      </c>
      <c r="B38">
        <v>104.298</v>
      </c>
    </row>
    <row r="39" spans="1:2" x14ac:dyDescent="0.25">
      <c r="A39" s="12">
        <v>45550</v>
      </c>
      <c r="B39">
        <v>103.654</v>
      </c>
    </row>
    <row r="40" spans="1:2" x14ac:dyDescent="0.25">
      <c r="A40" s="12">
        <v>45557</v>
      </c>
      <c r="B40">
        <v>103.434</v>
      </c>
    </row>
    <row r="41" spans="1:2" x14ac:dyDescent="0.25">
      <c r="A41" s="12">
        <v>45564</v>
      </c>
      <c r="B41">
        <v>104.18</v>
      </c>
    </row>
    <row r="42" spans="1:2" x14ac:dyDescent="0.25">
      <c r="A42" s="12">
        <v>45571</v>
      </c>
      <c r="B42">
        <v>101.904</v>
      </c>
    </row>
    <row r="43" spans="1:2" x14ac:dyDescent="0.25">
      <c r="A43" s="12">
        <v>45578</v>
      </c>
      <c r="B43">
        <v>105.41</v>
      </c>
    </row>
    <row r="44" spans="1:2" x14ac:dyDescent="0.25">
      <c r="A44" s="12">
        <v>45585</v>
      </c>
      <c r="B44">
        <v>106.19200000000001</v>
      </c>
    </row>
    <row r="45" spans="1:2" x14ac:dyDescent="0.25">
      <c r="A45" s="12">
        <v>45592</v>
      </c>
      <c r="B45">
        <v>102.42400000000001</v>
      </c>
    </row>
    <row r="46" spans="1:2" x14ac:dyDescent="0.25">
      <c r="A46" s="12">
        <v>45599</v>
      </c>
      <c r="B46">
        <v>98.727999999999994</v>
      </c>
    </row>
    <row r="47" spans="1:2" x14ac:dyDescent="0.25">
      <c r="A47" s="12">
        <v>45606</v>
      </c>
      <c r="B47">
        <v>96.522000000000006</v>
      </c>
    </row>
    <row r="48" spans="1:2" x14ac:dyDescent="0.25">
      <c r="A48" s="12">
        <v>45613</v>
      </c>
      <c r="B48">
        <v>97.671999999999997</v>
      </c>
    </row>
    <row r="49" spans="1:2" x14ac:dyDescent="0.25">
      <c r="A49" s="12">
        <v>45620</v>
      </c>
      <c r="B49">
        <v>100.83500000000001</v>
      </c>
    </row>
    <row r="50" spans="1:2" x14ac:dyDescent="0.25">
      <c r="A50" s="12">
        <v>45627</v>
      </c>
      <c r="B50">
        <v>96.793999999999997</v>
      </c>
    </row>
    <row r="51" spans="1:2" x14ac:dyDescent="0.25">
      <c r="A51" s="12">
        <v>45634</v>
      </c>
      <c r="B51">
        <v>93.504000000000005</v>
      </c>
    </row>
    <row r="52" spans="1:2" x14ac:dyDescent="0.25">
      <c r="A52" s="12">
        <v>45641</v>
      </c>
      <c r="B52">
        <v>90.013999999999996</v>
      </c>
    </row>
    <row r="53" spans="1:2" x14ac:dyDescent="0.25">
      <c r="A53" s="12">
        <v>45648</v>
      </c>
      <c r="B53">
        <v>89.6</v>
      </c>
    </row>
    <row r="54" spans="1:2" x14ac:dyDescent="0.25">
      <c r="A54" s="12">
        <v>45655</v>
      </c>
      <c r="B54">
        <v>89.164999999999992</v>
      </c>
    </row>
    <row r="55" spans="1:2" x14ac:dyDescent="0.25">
      <c r="A55" s="12">
        <v>45662</v>
      </c>
      <c r="B55">
        <v>88.382500000000007</v>
      </c>
    </row>
    <row r="56" spans="1:2" x14ac:dyDescent="0.25">
      <c r="A56" s="12">
        <v>45669</v>
      </c>
      <c r="B56">
        <v>90.787999999999997</v>
      </c>
    </row>
    <row r="57" spans="1:2" x14ac:dyDescent="0.25">
      <c r="A57" s="12">
        <v>45676</v>
      </c>
      <c r="B57">
        <v>91.334999999999994</v>
      </c>
    </row>
    <row r="58" spans="1:2" x14ac:dyDescent="0.25">
      <c r="A58" s="12">
        <v>45683</v>
      </c>
      <c r="B58">
        <v>93.69</v>
      </c>
    </row>
    <row r="59" spans="1:2" x14ac:dyDescent="0.25">
      <c r="A59" s="12">
        <v>45690</v>
      </c>
      <c r="B59">
        <v>95.644000000000005</v>
      </c>
    </row>
    <row r="60" spans="1:2" x14ac:dyDescent="0.25">
      <c r="A60" s="12">
        <v>45697</v>
      </c>
      <c r="B60">
        <v>95.632000000000005</v>
      </c>
    </row>
    <row r="61" spans="1:2" x14ac:dyDescent="0.25">
      <c r="A61" s="12">
        <v>45704</v>
      </c>
      <c r="B61">
        <v>96.26</v>
      </c>
    </row>
    <row r="62" spans="1:2" x14ac:dyDescent="0.25">
      <c r="A62" s="12">
        <v>45711</v>
      </c>
      <c r="B62">
        <v>100.41</v>
      </c>
    </row>
    <row r="63" spans="1:2" x14ac:dyDescent="0.25">
      <c r="A63" s="12">
        <v>45718</v>
      </c>
      <c r="B63">
        <v>102.184</v>
      </c>
    </row>
    <row r="64" spans="1:2" x14ac:dyDescent="0.25">
      <c r="A64" s="12">
        <v>45725</v>
      </c>
      <c r="B64">
        <v>104.81</v>
      </c>
    </row>
    <row r="65" spans="1:2" x14ac:dyDescent="0.25">
      <c r="A65" s="12">
        <v>45732</v>
      </c>
      <c r="B65">
        <v>107.84</v>
      </c>
    </row>
    <row r="66" spans="1:2" x14ac:dyDescent="0.25">
      <c r="A66" s="12">
        <v>45739</v>
      </c>
      <c r="B66">
        <v>107.3</v>
      </c>
    </row>
    <row r="67" spans="1:2" x14ac:dyDescent="0.25">
      <c r="A67" s="12">
        <v>45746</v>
      </c>
      <c r="B67">
        <v>110.45399999999999</v>
      </c>
    </row>
    <row r="68" spans="1:2" x14ac:dyDescent="0.25">
      <c r="A68" s="12">
        <v>45753</v>
      </c>
      <c r="B68">
        <v>107.072</v>
      </c>
    </row>
    <row r="69" spans="1:2" x14ac:dyDescent="0.25">
      <c r="A69" s="12">
        <v>45760</v>
      </c>
      <c r="B69">
        <v>111.9</v>
      </c>
    </row>
    <row r="70" spans="1:2" x14ac:dyDescent="0.25">
      <c r="A70" s="12">
        <v>45767</v>
      </c>
      <c r="B70">
        <v>111.70399999999999</v>
      </c>
    </row>
    <row r="71" spans="1:2" x14ac:dyDescent="0.25">
      <c r="A71" s="12">
        <v>45774</v>
      </c>
      <c r="B71">
        <v>111.72</v>
      </c>
    </row>
    <row r="72" spans="1:2" x14ac:dyDescent="0.25">
      <c r="A72" s="12">
        <v>45781</v>
      </c>
      <c r="B72">
        <v>109.292</v>
      </c>
    </row>
    <row r="73" spans="1:2" x14ac:dyDescent="0.25">
      <c r="A73" s="12">
        <v>45788</v>
      </c>
      <c r="B73">
        <v>101.938</v>
      </c>
    </row>
    <row r="74" spans="1:2" x14ac:dyDescent="0.25">
      <c r="A74" s="12">
        <v>45795</v>
      </c>
      <c r="B74">
        <v>104.76599999999999</v>
      </c>
    </row>
    <row r="75" spans="1:2" x14ac:dyDescent="0.25">
      <c r="A75" s="12">
        <v>45802</v>
      </c>
      <c r="B75">
        <v>103.4875</v>
      </c>
    </row>
    <row r="76" spans="1:2" x14ac:dyDescent="0.25">
      <c r="A76" s="12">
        <v>45809</v>
      </c>
      <c r="B76">
        <v>102.63799999999999</v>
      </c>
    </row>
    <row r="77" spans="1:2" x14ac:dyDescent="0.25">
      <c r="A77" s="12">
        <v>45816</v>
      </c>
      <c r="B77">
        <v>102.756</v>
      </c>
    </row>
    <row r="78" spans="1:2" x14ac:dyDescent="0.25">
      <c r="A78" s="12">
        <v>45823</v>
      </c>
      <c r="B78">
        <v>101.17</v>
      </c>
    </row>
    <row r="79" spans="1:2" x14ac:dyDescent="0.25">
      <c r="A79" s="12">
        <v>45830</v>
      </c>
      <c r="B79">
        <v>99.19</v>
      </c>
    </row>
    <row r="80" spans="1:2" x14ac:dyDescent="0.25">
      <c r="A80" s="12">
        <v>45837</v>
      </c>
      <c r="B80">
        <v>100.34</v>
      </c>
    </row>
    <row r="81" spans="1:2" x14ac:dyDescent="0.25">
      <c r="A81" s="12">
        <v>45844</v>
      </c>
      <c r="B81">
        <v>100.13</v>
      </c>
    </row>
    <row r="82" spans="1:2" x14ac:dyDescent="0.25">
      <c r="A82" s="12">
        <v>45851</v>
      </c>
      <c r="B82">
        <v>100.62</v>
      </c>
    </row>
    <row r="83" spans="1:2" x14ac:dyDescent="0.25">
      <c r="A83" s="12">
        <v>45858</v>
      </c>
      <c r="B83">
        <v>102.504</v>
      </c>
    </row>
    <row r="84" spans="1:2" x14ac:dyDescent="0.25">
      <c r="A84" s="12">
        <v>45865</v>
      </c>
      <c r="B84">
        <v>102.75</v>
      </c>
    </row>
    <row r="85" spans="1:2" x14ac:dyDescent="0.25">
      <c r="A85" s="12">
        <v>45872</v>
      </c>
      <c r="B85">
        <v>104.634</v>
      </c>
    </row>
    <row r="86" spans="1:2" x14ac:dyDescent="0.25">
      <c r="A86" s="12">
        <v>45879</v>
      </c>
      <c r="B86">
        <v>103.02</v>
      </c>
    </row>
    <row r="87" spans="1:2" x14ac:dyDescent="0.25">
      <c r="A87" s="12">
        <v>45886</v>
      </c>
      <c r="B87">
        <v>101.15</v>
      </c>
    </row>
    <row r="88" spans="1:2" x14ac:dyDescent="0.25">
      <c r="A88" s="12">
        <v>45893</v>
      </c>
      <c r="B88">
        <v>99.227999999999994</v>
      </c>
    </row>
    <row r="89" spans="1:2" x14ac:dyDescent="0.25">
      <c r="A89" s="12">
        <v>45900</v>
      </c>
      <c r="B89">
        <v>97.724999999999994</v>
      </c>
    </row>
    <row r="90" spans="1:2" x14ac:dyDescent="0.25">
      <c r="A90" s="12">
        <v>45907</v>
      </c>
      <c r="B90">
        <v>97.192000000000007</v>
      </c>
    </row>
    <row r="91" spans="1:2" x14ac:dyDescent="0.25">
      <c r="A91" s="12">
        <v>45914</v>
      </c>
      <c r="B91">
        <v>96.33</v>
      </c>
    </row>
    <row r="92" spans="1:2" x14ac:dyDescent="0.25">
      <c r="A92" s="12">
        <v>45921</v>
      </c>
      <c r="B92">
        <v>98.39</v>
      </c>
    </row>
    <row r="93" spans="1:2" x14ac:dyDescent="0.25">
      <c r="A93" s="12">
        <v>45928</v>
      </c>
      <c r="B93">
        <v>98.941999999999993</v>
      </c>
    </row>
    <row r="94" spans="1:2" x14ac:dyDescent="0.25">
      <c r="A94" s="12">
        <v>45935</v>
      </c>
      <c r="B94">
        <v>100.678</v>
      </c>
    </row>
    <row r="95" spans="1:2" x14ac:dyDescent="0.25">
      <c r="A95" s="12">
        <v>45942</v>
      </c>
      <c r="B95">
        <v>101.46</v>
      </c>
    </row>
    <row r="96" spans="1:2" x14ac:dyDescent="0.25">
      <c r="A96" s="12">
        <v>45949</v>
      </c>
      <c r="B96">
        <v>101.206</v>
      </c>
    </row>
    <row r="97" spans="1:3" x14ac:dyDescent="0.25">
      <c r="A97" s="12">
        <v>45956</v>
      </c>
      <c r="B97">
        <v>98.274000000000001</v>
      </c>
    </row>
    <row r="98" spans="1:3" x14ac:dyDescent="0.25">
      <c r="A98" s="12">
        <v>45963</v>
      </c>
      <c r="B98">
        <v>97.244</v>
      </c>
    </row>
    <row r="99" spans="1:3" x14ac:dyDescent="0.25">
      <c r="A99" s="12">
        <v>45970</v>
      </c>
      <c r="B99">
        <v>100.126</v>
      </c>
    </row>
    <row r="100" spans="1:3" x14ac:dyDescent="0.25">
      <c r="A100" s="12">
        <v>45977</v>
      </c>
      <c r="B100">
        <v>101.64999999999999</v>
      </c>
    </row>
    <row r="101" spans="1:3" x14ac:dyDescent="0.25">
      <c r="A101" s="12">
        <v>45984</v>
      </c>
      <c r="B101">
        <v>99.567499999999995</v>
      </c>
    </row>
    <row r="102" spans="1:3" x14ac:dyDescent="0.25">
      <c r="A102" s="12">
        <v>45991</v>
      </c>
      <c r="B102">
        <v>96.804000000000002</v>
      </c>
    </row>
    <row r="103" spans="1:3" x14ac:dyDescent="0.25">
      <c r="A103" s="12">
        <v>45998</v>
      </c>
      <c r="B103">
        <v>95.97</v>
      </c>
    </row>
    <row r="104" spans="1:3" x14ac:dyDescent="0.25">
      <c r="A104" s="12">
        <v>46005</v>
      </c>
      <c r="B104">
        <v>99.31</v>
      </c>
    </row>
    <row r="105" spans="1:3" x14ac:dyDescent="0.25">
      <c r="A105" s="12">
        <v>46012</v>
      </c>
      <c r="B105">
        <v>99.087500000000006</v>
      </c>
    </row>
    <row r="106" spans="1:3" x14ac:dyDescent="0.25">
      <c r="A106" s="12">
        <v>46019</v>
      </c>
      <c r="B106">
        <v>99.685000000000002</v>
      </c>
    </row>
    <row r="107" spans="1:3" x14ac:dyDescent="0.25">
      <c r="A107" s="12">
        <v>46026</v>
      </c>
      <c r="B107">
        <v>99.316000000000003</v>
      </c>
    </row>
    <row r="108" spans="1:3" x14ac:dyDescent="0.25">
      <c r="A108" s="12">
        <v>46033</v>
      </c>
      <c r="B108">
        <v>101.38</v>
      </c>
      <c r="C108">
        <v>101.38</v>
      </c>
    </row>
    <row r="109" spans="1:3" x14ac:dyDescent="0.25">
      <c r="A109" s="12">
        <v>46040</v>
      </c>
      <c r="C109">
        <f>_xlfn.FORECAST.ETS(A109,$B$2:$B$108,$A$2:$A$108,1,1)</f>
        <v>97.020811482508719</v>
      </c>
    </row>
    <row r="110" spans="1:3" x14ac:dyDescent="0.25">
      <c r="A110" s="12">
        <v>46047</v>
      </c>
      <c r="C110">
        <f>_xlfn.FORECAST.ETS(A110,$B$2:$B$108,$A$2:$A$108,1,1)</f>
        <v>100.53055832507381</v>
      </c>
    </row>
    <row r="111" spans="1:3" x14ac:dyDescent="0.25">
      <c r="A111" s="12">
        <v>46054</v>
      </c>
      <c r="C111">
        <f>_xlfn.FORECAST.ETS(A111,$B$2:$B$108,$A$2:$A$108,1,1)</f>
        <v>99.737437443889647</v>
      </c>
    </row>
    <row r="112" spans="1:3" x14ac:dyDescent="0.25">
      <c r="A112" s="12">
        <v>46061</v>
      </c>
      <c r="C112">
        <f>_xlfn.FORECAST.ETS(A112,$B$2:$B$108,$A$2:$A$108,1,1)</f>
        <v>99.030563493853478</v>
      </c>
    </row>
    <row r="113" spans="1:3" x14ac:dyDescent="0.25">
      <c r="A113" s="12">
        <v>46068</v>
      </c>
      <c r="C113">
        <f>_xlfn.FORECAST.ETS(A113,$B$2:$B$108,$A$2:$A$108,1,1)</f>
        <v>99.229782661184373</v>
      </c>
    </row>
    <row r="114" spans="1:3" x14ac:dyDescent="0.25">
      <c r="A114" s="12">
        <v>46075</v>
      </c>
      <c r="C114">
        <f>_xlfn.FORECAST.ETS(A114,$B$2:$B$108,$A$2:$A$108,1,1)</f>
        <v>97.890518290604476</v>
      </c>
    </row>
    <row r="115" spans="1:3" x14ac:dyDescent="0.25">
      <c r="A115" s="12">
        <v>46082</v>
      </c>
      <c r="C115">
        <f>_xlfn.FORECAST.ETS(A115,$B$2:$B$108,$A$2:$A$108,1,1)</f>
        <v>98.204373705803846</v>
      </c>
    </row>
    <row r="116" spans="1:3" x14ac:dyDescent="0.25">
      <c r="A116" s="12">
        <v>46089</v>
      </c>
      <c r="C116">
        <f>_xlfn.FORECAST.ETS(A116,$B$2:$B$108,$A$2:$A$108,1,1)</f>
        <v>99.973148805973494</v>
      </c>
    </row>
    <row r="117" spans="1:3" x14ac:dyDescent="0.25">
      <c r="A117" s="12">
        <v>46096</v>
      </c>
      <c r="C117">
        <f>_xlfn.FORECAST.ETS(A117,$B$2:$B$108,$A$2:$A$108,1,1)</f>
        <v>98.899345476535771</v>
      </c>
    </row>
    <row r="118" spans="1:3" x14ac:dyDescent="0.25">
      <c r="A118" s="12">
        <v>46103</v>
      </c>
      <c r="C118">
        <f>_xlfn.FORECAST.ETS(A118,$B$2:$B$108,$A$2:$A$108,1,1)</f>
        <v>97.34264390634452</v>
      </c>
    </row>
    <row r="119" spans="1:3" x14ac:dyDescent="0.25">
      <c r="A119" s="12">
        <v>46110</v>
      </c>
      <c r="C119">
        <f>_xlfn.FORECAST.ETS(A119,$B$2:$B$108,$A$2:$A$108,1,1)</f>
        <v>96.796984368054339</v>
      </c>
    </row>
    <row r="120" spans="1:3" x14ac:dyDescent="0.25">
      <c r="A120" s="12">
        <v>46112</v>
      </c>
      <c r="C120">
        <f>_xlfn.FORECAST.ETS(A120,$B$2:$B$108,$A$2:$A$108,1,1)</f>
        <v>96.577750357954869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BF69-F30B-4E41-A691-FF90C6A95AA4}">
  <dimension ref="A1:B108"/>
  <sheetViews>
    <sheetView workbookViewId="0">
      <selection activeCell="A2" sqref="A1:B108"/>
    </sheetView>
  </sheetViews>
  <sheetFormatPr defaultRowHeight="15" x14ac:dyDescent="0.25"/>
  <cols>
    <col min="1" max="1" width="10.42578125" bestFit="1" customWidth="1"/>
    <col min="2" max="2" width="10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>
        <v>45291</v>
      </c>
      <c r="B2">
        <v>93.045000000000002</v>
      </c>
    </row>
    <row r="3" spans="1:2" x14ac:dyDescent="0.25">
      <c r="A3" s="12">
        <v>45298</v>
      </c>
      <c r="B3">
        <v>92.94</v>
      </c>
    </row>
    <row r="4" spans="1:2" x14ac:dyDescent="0.25">
      <c r="A4" s="12">
        <v>45305</v>
      </c>
      <c r="B4">
        <v>90.342500000000001</v>
      </c>
    </row>
    <row r="5" spans="1:2" x14ac:dyDescent="0.25">
      <c r="A5" s="12">
        <v>45312</v>
      </c>
      <c r="B5">
        <v>89.266000000000005</v>
      </c>
    </row>
    <row r="6" spans="1:2" x14ac:dyDescent="0.25">
      <c r="A6" s="12">
        <v>45319</v>
      </c>
      <c r="B6">
        <v>91.210000000000008</v>
      </c>
    </row>
    <row r="7" spans="1:2" x14ac:dyDescent="0.25">
      <c r="A7" s="12">
        <v>45326</v>
      </c>
      <c r="B7">
        <v>89.328000000000003</v>
      </c>
    </row>
    <row r="8" spans="1:2" x14ac:dyDescent="0.25">
      <c r="A8" s="12">
        <v>45333</v>
      </c>
      <c r="B8">
        <v>87.7</v>
      </c>
    </row>
    <row r="9" spans="1:2" x14ac:dyDescent="0.25">
      <c r="A9" s="12">
        <v>45340</v>
      </c>
      <c r="B9">
        <v>88.007499999999993</v>
      </c>
    </row>
    <row r="10" spans="1:2" x14ac:dyDescent="0.25">
      <c r="A10" s="12">
        <v>45347</v>
      </c>
      <c r="B10">
        <v>86.792000000000002</v>
      </c>
    </row>
    <row r="11" spans="1:2" x14ac:dyDescent="0.25">
      <c r="A11" s="12">
        <v>45354</v>
      </c>
      <c r="B11">
        <v>89.605999999999995</v>
      </c>
    </row>
    <row r="12" spans="1:2" x14ac:dyDescent="0.25">
      <c r="A12" s="12">
        <v>45361</v>
      </c>
      <c r="B12">
        <v>89.581999999999994</v>
      </c>
    </row>
    <row r="13" spans="1:2" x14ac:dyDescent="0.25">
      <c r="A13" s="12">
        <v>45368</v>
      </c>
      <c r="B13">
        <v>88.998000000000005</v>
      </c>
    </row>
    <row r="14" spans="1:2" x14ac:dyDescent="0.25">
      <c r="A14" s="12">
        <v>45375</v>
      </c>
      <c r="B14">
        <v>89.202500000000001</v>
      </c>
    </row>
    <row r="15" spans="1:2" x14ac:dyDescent="0.25">
      <c r="A15" s="12">
        <v>45382</v>
      </c>
      <c r="B15">
        <v>90.132000000000005</v>
      </c>
    </row>
    <row r="16" spans="1:2" x14ac:dyDescent="0.25">
      <c r="A16" s="12">
        <v>45389</v>
      </c>
      <c r="B16">
        <v>89.56</v>
      </c>
    </row>
    <row r="17" spans="1:2" x14ac:dyDescent="0.25">
      <c r="A17" s="12">
        <v>45396</v>
      </c>
      <c r="B17">
        <v>89.947999999999993</v>
      </c>
    </row>
    <row r="18" spans="1:2" x14ac:dyDescent="0.25">
      <c r="A18" s="12">
        <v>45403</v>
      </c>
      <c r="B18">
        <v>93.207999999999998</v>
      </c>
    </row>
    <row r="19" spans="1:2" x14ac:dyDescent="0.25">
      <c r="A19" s="12">
        <v>45410</v>
      </c>
      <c r="B19">
        <v>94.796000000000006</v>
      </c>
    </row>
    <row r="20" spans="1:2" x14ac:dyDescent="0.25">
      <c r="A20" s="12">
        <v>45417</v>
      </c>
      <c r="B20">
        <v>97.403999999999996</v>
      </c>
    </row>
    <row r="21" spans="1:2" x14ac:dyDescent="0.25">
      <c r="A21" s="12">
        <v>45424</v>
      </c>
      <c r="B21">
        <v>97.039999999999992</v>
      </c>
    </row>
    <row r="22" spans="1:2" x14ac:dyDescent="0.25">
      <c r="A22" s="12">
        <v>45431</v>
      </c>
      <c r="B22">
        <v>95.456000000000003</v>
      </c>
    </row>
    <row r="23" spans="1:2" x14ac:dyDescent="0.25">
      <c r="A23" s="12">
        <v>45438</v>
      </c>
      <c r="B23">
        <v>93.03</v>
      </c>
    </row>
    <row r="24" spans="1:2" x14ac:dyDescent="0.25">
      <c r="A24" s="12">
        <v>45445</v>
      </c>
      <c r="B24">
        <v>92.7</v>
      </c>
    </row>
    <row r="25" spans="1:2" x14ac:dyDescent="0.25">
      <c r="A25" s="12">
        <v>45452</v>
      </c>
      <c r="B25">
        <v>91.337999999999994</v>
      </c>
    </row>
    <row r="26" spans="1:2" x14ac:dyDescent="0.25">
      <c r="A26" s="12">
        <v>45459</v>
      </c>
      <c r="B26">
        <v>90.477500000000006</v>
      </c>
    </row>
    <row r="27" spans="1:2" x14ac:dyDescent="0.25">
      <c r="A27" s="12">
        <v>45466</v>
      </c>
      <c r="B27">
        <v>89.885999999999996</v>
      </c>
    </row>
    <row r="28" spans="1:2" x14ac:dyDescent="0.25">
      <c r="A28" s="12">
        <v>45473</v>
      </c>
      <c r="B28">
        <v>88.94</v>
      </c>
    </row>
    <row r="29" spans="1:2" x14ac:dyDescent="0.25">
      <c r="A29" s="12">
        <v>45480</v>
      </c>
      <c r="B29">
        <v>90.158000000000001</v>
      </c>
    </row>
    <row r="30" spans="1:2" x14ac:dyDescent="0.25">
      <c r="A30" s="12">
        <v>45487</v>
      </c>
      <c r="B30">
        <v>92.744</v>
      </c>
    </row>
    <row r="31" spans="1:2" x14ac:dyDescent="0.25">
      <c r="A31" s="12">
        <v>45494</v>
      </c>
      <c r="B31">
        <v>95.225999999999999</v>
      </c>
    </row>
    <row r="32" spans="1:2" x14ac:dyDescent="0.25">
      <c r="A32" s="12">
        <v>45501</v>
      </c>
      <c r="B32">
        <v>98.917999999999992</v>
      </c>
    </row>
    <row r="33" spans="1:2" x14ac:dyDescent="0.25">
      <c r="A33" s="12">
        <v>45508</v>
      </c>
      <c r="B33">
        <v>100.86</v>
      </c>
    </row>
    <row r="34" spans="1:2" x14ac:dyDescent="0.25">
      <c r="A34" s="12">
        <v>45515</v>
      </c>
      <c r="B34">
        <v>100.746</v>
      </c>
    </row>
    <row r="35" spans="1:2" x14ac:dyDescent="0.25">
      <c r="A35" s="12">
        <v>45522</v>
      </c>
      <c r="B35">
        <v>100.45399999999999</v>
      </c>
    </row>
    <row r="36" spans="1:2" x14ac:dyDescent="0.25">
      <c r="A36" s="12">
        <v>45529</v>
      </c>
      <c r="B36">
        <v>100.65</v>
      </c>
    </row>
    <row r="37" spans="1:2" x14ac:dyDescent="0.25">
      <c r="A37" s="12">
        <v>45536</v>
      </c>
      <c r="B37">
        <v>103.6875</v>
      </c>
    </row>
    <row r="38" spans="1:2" x14ac:dyDescent="0.25">
      <c r="A38" s="12">
        <v>45543</v>
      </c>
      <c r="B38">
        <v>104.298</v>
      </c>
    </row>
    <row r="39" spans="1:2" x14ac:dyDescent="0.25">
      <c r="A39" s="12">
        <v>45550</v>
      </c>
      <c r="B39">
        <v>103.654</v>
      </c>
    </row>
    <row r="40" spans="1:2" x14ac:dyDescent="0.25">
      <c r="A40" s="12">
        <v>45557</v>
      </c>
      <c r="B40">
        <v>103.434</v>
      </c>
    </row>
    <row r="41" spans="1:2" x14ac:dyDescent="0.25">
      <c r="A41" s="12">
        <v>45564</v>
      </c>
      <c r="B41">
        <v>104.18</v>
      </c>
    </row>
    <row r="42" spans="1:2" x14ac:dyDescent="0.25">
      <c r="A42" s="12">
        <v>45571</v>
      </c>
      <c r="B42">
        <v>101.904</v>
      </c>
    </row>
    <row r="43" spans="1:2" x14ac:dyDescent="0.25">
      <c r="A43" s="12">
        <v>45578</v>
      </c>
      <c r="B43">
        <v>105.41</v>
      </c>
    </row>
    <row r="44" spans="1:2" x14ac:dyDescent="0.25">
      <c r="A44" s="12">
        <v>45585</v>
      </c>
      <c r="B44">
        <v>106.19200000000001</v>
      </c>
    </row>
    <row r="45" spans="1:2" x14ac:dyDescent="0.25">
      <c r="A45" s="12">
        <v>45592</v>
      </c>
      <c r="B45">
        <v>102.42400000000001</v>
      </c>
    </row>
    <row r="46" spans="1:2" x14ac:dyDescent="0.25">
      <c r="A46" s="12">
        <v>45599</v>
      </c>
      <c r="B46">
        <v>98.727999999999994</v>
      </c>
    </row>
    <row r="47" spans="1:2" x14ac:dyDescent="0.25">
      <c r="A47" s="12">
        <v>45606</v>
      </c>
      <c r="B47">
        <v>96.522000000000006</v>
      </c>
    </row>
    <row r="48" spans="1:2" x14ac:dyDescent="0.25">
      <c r="A48" s="12">
        <v>45613</v>
      </c>
      <c r="B48">
        <v>97.671999999999997</v>
      </c>
    </row>
    <row r="49" spans="1:2" x14ac:dyDescent="0.25">
      <c r="A49" s="12">
        <v>45620</v>
      </c>
      <c r="B49">
        <v>100.83500000000001</v>
      </c>
    </row>
    <row r="50" spans="1:2" x14ac:dyDescent="0.25">
      <c r="A50" s="12">
        <v>45627</v>
      </c>
      <c r="B50">
        <v>96.793999999999997</v>
      </c>
    </row>
    <row r="51" spans="1:2" x14ac:dyDescent="0.25">
      <c r="A51" s="12">
        <v>45634</v>
      </c>
      <c r="B51">
        <v>93.504000000000005</v>
      </c>
    </row>
    <row r="52" spans="1:2" x14ac:dyDescent="0.25">
      <c r="A52" s="12">
        <v>45641</v>
      </c>
      <c r="B52">
        <v>90.013999999999996</v>
      </c>
    </row>
    <row r="53" spans="1:2" x14ac:dyDescent="0.25">
      <c r="A53" s="12">
        <v>45648</v>
      </c>
      <c r="B53">
        <v>89.6</v>
      </c>
    </row>
    <row r="54" spans="1:2" x14ac:dyDescent="0.25">
      <c r="A54" s="12">
        <v>45655</v>
      </c>
      <c r="B54">
        <v>89.164999999999992</v>
      </c>
    </row>
    <row r="55" spans="1:2" x14ac:dyDescent="0.25">
      <c r="A55" s="12">
        <v>45662</v>
      </c>
      <c r="B55">
        <v>88.382500000000007</v>
      </c>
    </row>
    <row r="56" spans="1:2" x14ac:dyDescent="0.25">
      <c r="A56" s="12">
        <v>45669</v>
      </c>
      <c r="B56">
        <v>90.787999999999997</v>
      </c>
    </row>
    <row r="57" spans="1:2" x14ac:dyDescent="0.25">
      <c r="A57" s="12">
        <v>45676</v>
      </c>
      <c r="B57">
        <v>91.334999999999994</v>
      </c>
    </row>
    <row r="58" spans="1:2" x14ac:dyDescent="0.25">
      <c r="A58" s="12">
        <v>45683</v>
      </c>
      <c r="B58">
        <v>93.69</v>
      </c>
    </row>
    <row r="59" spans="1:2" x14ac:dyDescent="0.25">
      <c r="A59" s="12">
        <v>45690</v>
      </c>
      <c r="B59">
        <v>95.644000000000005</v>
      </c>
    </row>
    <row r="60" spans="1:2" x14ac:dyDescent="0.25">
      <c r="A60" s="12">
        <v>45697</v>
      </c>
      <c r="B60">
        <v>95.632000000000005</v>
      </c>
    </row>
    <row r="61" spans="1:2" x14ac:dyDescent="0.25">
      <c r="A61" s="12">
        <v>45704</v>
      </c>
      <c r="B61">
        <v>96.26</v>
      </c>
    </row>
    <row r="62" spans="1:2" x14ac:dyDescent="0.25">
      <c r="A62" s="12">
        <v>45711</v>
      </c>
      <c r="B62">
        <v>100.41</v>
      </c>
    </row>
    <row r="63" spans="1:2" x14ac:dyDescent="0.25">
      <c r="A63" s="12">
        <v>45718</v>
      </c>
      <c r="B63">
        <v>102.184</v>
      </c>
    </row>
    <row r="64" spans="1:2" x14ac:dyDescent="0.25">
      <c r="A64" s="12">
        <v>45725</v>
      </c>
      <c r="B64">
        <v>104.81</v>
      </c>
    </row>
    <row r="65" spans="1:2" x14ac:dyDescent="0.25">
      <c r="A65" s="12">
        <v>45732</v>
      </c>
      <c r="B65">
        <v>107.84</v>
      </c>
    </row>
    <row r="66" spans="1:2" x14ac:dyDescent="0.25">
      <c r="A66" s="12">
        <v>45739</v>
      </c>
      <c r="B66">
        <v>107.3</v>
      </c>
    </row>
    <row r="67" spans="1:2" x14ac:dyDescent="0.25">
      <c r="A67" s="12">
        <v>45746</v>
      </c>
      <c r="B67">
        <v>110.45399999999999</v>
      </c>
    </row>
    <row r="68" spans="1:2" x14ac:dyDescent="0.25">
      <c r="A68" s="12">
        <v>45753</v>
      </c>
      <c r="B68">
        <v>107.072</v>
      </c>
    </row>
    <row r="69" spans="1:2" x14ac:dyDescent="0.25">
      <c r="A69" s="12">
        <v>45760</v>
      </c>
      <c r="B69">
        <v>111.9</v>
      </c>
    </row>
    <row r="70" spans="1:2" x14ac:dyDescent="0.25">
      <c r="A70" s="12">
        <v>45767</v>
      </c>
      <c r="B70">
        <v>111.70399999999999</v>
      </c>
    </row>
    <row r="71" spans="1:2" x14ac:dyDescent="0.25">
      <c r="A71" s="12">
        <v>45774</v>
      </c>
      <c r="B71">
        <v>111.72</v>
      </c>
    </row>
    <row r="72" spans="1:2" x14ac:dyDescent="0.25">
      <c r="A72" s="12">
        <v>45781</v>
      </c>
      <c r="B72">
        <v>109.292</v>
      </c>
    </row>
    <row r="73" spans="1:2" x14ac:dyDescent="0.25">
      <c r="A73" s="12">
        <v>45788</v>
      </c>
      <c r="B73">
        <v>101.938</v>
      </c>
    </row>
    <row r="74" spans="1:2" x14ac:dyDescent="0.25">
      <c r="A74" s="12">
        <v>45795</v>
      </c>
      <c r="B74">
        <v>104.76599999999999</v>
      </c>
    </row>
    <row r="75" spans="1:2" x14ac:dyDescent="0.25">
      <c r="A75" s="12">
        <v>45802</v>
      </c>
      <c r="B75">
        <v>103.4875</v>
      </c>
    </row>
    <row r="76" spans="1:2" x14ac:dyDescent="0.25">
      <c r="A76" s="12">
        <v>45809</v>
      </c>
      <c r="B76">
        <v>102.63799999999999</v>
      </c>
    </row>
    <row r="77" spans="1:2" x14ac:dyDescent="0.25">
      <c r="A77" s="12">
        <v>45816</v>
      </c>
      <c r="B77">
        <v>102.756</v>
      </c>
    </row>
    <row r="78" spans="1:2" x14ac:dyDescent="0.25">
      <c r="A78" s="12">
        <v>45823</v>
      </c>
      <c r="B78">
        <v>101.17</v>
      </c>
    </row>
    <row r="79" spans="1:2" x14ac:dyDescent="0.25">
      <c r="A79" s="12">
        <v>45830</v>
      </c>
      <c r="B79">
        <v>99.19</v>
      </c>
    </row>
    <row r="80" spans="1:2" x14ac:dyDescent="0.25">
      <c r="A80" s="12">
        <v>45837</v>
      </c>
      <c r="B80">
        <v>100.34</v>
      </c>
    </row>
    <row r="81" spans="1:2" x14ac:dyDescent="0.25">
      <c r="A81" s="12">
        <v>45844</v>
      </c>
      <c r="B81">
        <v>100.13</v>
      </c>
    </row>
    <row r="82" spans="1:2" x14ac:dyDescent="0.25">
      <c r="A82" s="12">
        <v>45851</v>
      </c>
      <c r="B82">
        <v>100.62</v>
      </c>
    </row>
    <row r="83" spans="1:2" x14ac:dyDescent="0.25">
      <c r="A83" s="12">
        <v>45858</v>
      </c>
      <c r="B83">
        <v>102.504</v>
      </c>
    </row>
    <row r="84" spans="1:2" x14ac:dyDescent="0.25">
      <c r="A84" s="12">
        <v>45865</v>
      </c>
      <c r="B84">
        <v>102.75</v>
      </c>
    </row>
    <row r="85" spans="1:2" x14ac:dyDescent="0.25">
      <c r="A85" s="12">
        <v>45872</v>
      </c>
      <c r="B85">
        <v>104.634</v>
      </c>
    </row>
    <row r="86" spans="1:2" x14ac:dyDescent="0.25">
      <c r="A86" s="12">
        <v>45879</v>
      </c>
      <c r="B86">
        <v>103.02</v>
      </c>
    </row>
    <row r="87" spans="1:2" x14ac:dyDescent="0.25">
      <c r="A87" s="12">
        <v>45886</v>
      </c>
      <c r="B87">
        <v>101.15</v>
      </c>
    </row>
    <row r="88" spans="1:2" x14ac:dyDescent="0.25">
      <c r="A88" s="12">
        <v>45893</v>
      </c>
      <c r="B88">
        <v>99.227999999999994</v>
      </c>
    </row>
    <row r="89" spans="1:2" x14ac:dyDescent="0.25">
      <c r="A89" s="12">
        <v>45900</v>
      </c>
      <c r="B89">
        <v>97.724999999999994</v>
      </c>
    </row>
    <row r="90" spans="1:2" x14ac:dyDescent="0.25">
      <c r="A90" s="12">
        <v>45907</v>
      </c>
      <c r="B90">
        <v>97.192000000000007</v>
      </c>
    </row>
    <row r="91" spans="1:2" x14ac:dyDescent="0.25">
      <c r="A91" s="12">
        <v>45914</v>
      </c>
      <c r="B91">
        <v>96.33</v>
      </c>
    </row>
    <row r="92" spans="1:2" x14ac:dyDescent="0.25">
      <c r="A92" s="12">
        <v>45921</v>
      </c>
      <c r="B92">
        <v>98.39</v>
      </c>
    </row>
    <row r="93" spans="1:2" x14ac:dyDescent="0.25">
      <c r="A93" s="12">
        <v>45928</v>
      </c>
      <c r="B93">
        <v>98.941999999999993</v>
      </c>
    </row>
    <row r="94" spans="1:2" x14ac:dyDescent="0.25">
      <c r="A94" s="12">
        <v>45935</v>
      </c>
      <c r="B94">
        <v>100.678</v>
      </c>
    </row>
    <row r="95" spans="1:2" x14ac:dyDescent="0.25">
      <c r="A95" s="12">
        <v>45942</v>
      </c>
      <c r="B95">
        <v>101.46</v>
      </c>
    </row>
    <row r="96" spans="1:2" x14ac:dyDescent="0.25">
      <c r="A96" s="12">
        <v>45949</v>
      </c>
      <c r="B96">
        <v>101.206</v>
      </c>
    </row>
    <row r="97" spans="1:2" x14ac:dyDescent="0.25">
      <c r="A97" s="12">
        <v>45956</v>
      </c>
      <c r="B97">
        <v>98.274000000000001</v>
      </c>
    </row>
    <row r="98" spans="1:2" x14ac:dyDescent="0.25">
      <c r="A98" s="12">
        <v>45963</v>
      </c>
      <c r="B98">
        <v>97.244</v>
      </c>
    </row>
    <row r="99" spans="1:2" x14ac:dyDescent="0.25">
      <c r="A99" s="12">
        <v>45970</v>
      </c>
      <c r="B99">
        <v>100.126</v>
      </c>
    </row>
    <row r="100" spans="1:2" x14ac:dyDescent="0.25">
      <c r="A100" s="12">
        <v>45977</v>
      </c>
      <c r="B100">
        <v>101.64999999999999</v>
      </c>
    </row>
    <row r="101" spans="1:2" x14ac:dyDescent="0.25">
      <c r="A101" s="12">
        <v>45984</v>
      </c>
      <c r="B101">
        <v>99.567499999999995</v>
      </c>
    </row>
    <row r="102" spans="1:2" x14ac:dyDescent="0.25">
      <c r="A102" s="12">
        <v>45991</v>
      </c>
      <c r="B102">
        <v>96.804000000000002</v>
      </c>
    </row>
    <row r="103" spans="1:2" x14ac:dyDescent="0.25">
      <c r="A103" s="12">
        <v>45998</v>
      </c>
      <c r="B103">
        <v>95.97</v>
      </c>
    </row>
    <row r="104" spans="1:2" x14ac:dyDescent="0.25">
      <c r="A104" s="12">
        <v>46005</v>
      </c>
      <c r="B104">
        <v>99.31</v>
      </c>
    </row>
    <row r="105" spans="1:2" x14ac:dyDescent="0.25">
      <c r="A105" s="12">
        <v>46012</v>
      </c>
      <c r="B105">
        <v>99.087500000000006</v>
      </c>
    </row>
    <row r="106" spans="1:2" x14ac:dyDescent="0.25">
      <c r="A106" s="12">
        <v>46019</v>
      </c>
      <c r="B106">
        <v>99.685000000000002</v>
      </c>
    </row>
    <row r="107" spans="1:2" x14ac:dyDescent="0.25">
      <c r="A107" s="12">
        <v>46026</v>
      </c>
      <c r="B107">
        <v>99.316000000000003</v>
      </c>
    </row>
    <row r="108" spans="1:2" x14ac:dyDescent="0.25">
      <c r="A108" s="12">
        <v>46033</v>
      </c>
      <c r="B108">
        <v>101.38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A514"/>
  <sheetViews>
    <sheetView zoomScale="70" zoomScaleNormal="70" workbookViewId="0"/>
  </sheetViews>
  <sheetFormatPr defaultRowHeight="15" x14ac:dyDescent="0.25"/>
  <cols>
    <col min="1" max="1" width="12" bestFit="1" customWidth="1"/>
    <col min="3" max="3" width="11.140625" bestFit="1" customWidth="1"/>
    <col min="4" max="4" width="14.85546875" bestFit="1" customWidth="1"/>
    <col min="7" max="7" width="14.85546875" bestFit="1" customWidth="1"/>
    <col min="8" max="8" width="13.5703125" bestFit="1" customWidth="1"/>
    <col min="9" max="9" width="11.7109375" bestFit="1" customWidth="1"/>
    <col min="13" max="13" width="10.5703125" bestFit="1" customWidth="1"/>
    <col min="14" max="14" width="10" bestFit="1" customWidth="1"/>
    <col min="16" max="17" width="11.42578125" bestFit="1" customWidth="1"/>
    <col min="22" max="22" width="9.7109375" bestFit="1" customWidth="1"/>
    <col min="23" max="23" width="10.140625" bestFit="1" customWidth="1"/>
    <col min="24" max="24" width="8.5703125" bestFit="1" customWidth="1"/>
    <col min="25" max="25" width="8.85546875" bestFit="1" customWidth="1"/>
    <col min="26" max="26" width="13" bestFit="1" customWidth="1"/>
    <col min="27" max="27" width="12.85546875" bestFit="1" customWidth="1"/>
  </cols>
  <sheetData>
    <row r="1" spans="1:27" s="8" customFormat="1" x14ac:dyDescent="0.25">
      <c r="A1" s="4" t="str" cm="1">
        <f t="array" aca="1" ref="A1:C514" ca="1">_xlfn.STOCKHISTORY("ED","2024-01-01",TODAY(),0,1,0,1,5)</f>
        <v>Date</v>
      </c>
      <c r="B1" s="4" t="str">
        <f ca="1"/>
        <v>Close</v>
      </c>
      <c r="C1" s="4" t="str">
        <f ca="1"/>
        <v>Volume</v>
      </c>
      <c r="D1" s="5" t="s">
        <v>0</v>
      </c>
      <c r="E1" s="5" t="s">
        <v>1</v>
      </c>
      <c r="F1" s="6" t="s">
        <v>2</v>
      </c>
      <c r="G1" s="6" t="s">
        <v>3</v>
      </c>
      <c r="H1" s="6" t="s">
        <v>4</v>
      </c>
      <c r="I1" s="7" t="s">
        <v>7</v>
      </c>
      <c r="J1" s="7" t="s">
        <v>8</v>
      </c>
      <c r="K1" s="7" t="s">
        <v>6</v>
      </c>
      <c r="L1" s="7" t="s">
        <v>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1" t="s">
        <v>23</v>
      </c>
    </row>
    <row r="2" spans="1:27" x14ac:dyDescent="0.25">
      <c r="A2" vm="1">
        <f ca="1"/>
        <v>45293</v>
      </c>
      <c r="B2" vm="2">
        <f ca="1"/>
        <v>92.41</v>
      </c>
      <c r="C2" vm="3">
        <f ca="1"/>
        <v>1806880</v>
      </c>
      <c r="D2">
        <f ca="1">B2*C2</f>
        <v>166973780.79999998</v>
      </c>
      <c r="E2">
        <f ca="1">SUM($D$2:D2)/SUM($C$2:C2)</f>
        <v>92.41</v>
      </c>
      <c r="F2">
        <f ca="1">_xlfn.STDEV.P($B$2:B2)</f>
        <v>0</v>
      </c>
      <c r="G2">
        <f ca="1">E2 + F2</f>
        <v>92.41</v>
      </c>
      <c r="H2">
        <f ca="1">E2 - F2</f>
        <v>92.41</v>
      </c>
    </row>
    <row r="3" spans="1:27" x14ac:dyDescent="0.25">
      <c r="A3" vm="4">
        <f ca="1"/>
        <v>45294</v>
      </c>
      <c r="B3" vm="5">
        <f ca="1"/>
        <v>93</v>
      </c>
      <c r="C3" vm="6">
        <f ca="1"/>
        <v>2014288</v>
      </c>
      <c r="D3">
        <f t="shared" ref="D3:D66" ca="1" si="0">B3*C3</f>
        <v>187328784</v>
      </c>
      <c r="E3">
        <f ca="1">SUM($D$2:D3)/SUM($C$2:C3)</f>
        <v>92.721012214066477</v>
      </c>
      <c r="F3">
        <f ca="1">_xlfn.STDEV.P($B$2:B3)</f>
        <v>0.29500000000000171</v>
      </c>
      <c r="G3">
        <f t="shared" ref="G3:G66" ca="1" si="1">E3 + F3</f>
        <v>93.016012214066478</v>
      </c>
      <c r="H3">
        <f t="shared" ref="H3:H66" ca="1" si="2">E3 - F3</f>
        <v>92.426012214066475</v>
      </c>
      <c r="M3">
        <f ca="1">B3-B2</f>
        <v>0.59000000000000341</v>
      </c>
      <c r="N3">
        <f ca="1">MAX(M3,0)</f>
        <v>0.59000000000000341</v>
      </c>
      <c r="O3">
        <f ca="1">MAX(-M3,0)</f>
        <v>0</v>
      </c>
    </row>
    <row r="4" spans="1:27" x14ac:dyDescent="0.25">
      <c r="A4" vm="7">
        <f ca="1"/>
        <v>45295</v>
      </c>
      <c r="B4" vm="8">
        <f ca="1"/>
        <v>93.25</v>
      </c>
      <c r="C4" vm="9">
        <f ca="1"/>
        <v>1727129</v>
      </c>
      <c r="D4">
        <f t="shared" ca="1" si="0"/>
        <v>161054779.25</v>
      </c>
      <c r="E4">
        <f ca="1">SUM($D$2:D4)/SUM($C$2:C4)</f>
        <v>92.885680786374621</v>
      </c>
      <c r="F4">
        <f ca="1">_xlfn.STDEV.P($B$2:B4)</f>
        <v>0.35216788925485998</v>
      </c>
      <c r="G4">
        <f t="shared" ca="1" si="1"/>
        <v>93.237848675629479</v>
      </c>
      <c r="H4">
        <f t="shared" ca="1" si="2"/>
        <v>92.533512897119763</v>
      </c>
      <c r="M4">
        <f t="shared" ref="M4:M67" ca="1" si="3">B4-B3</f>
        <v>0.25</v>
      </c>
      <c r="N4">
        <f t="shared" ref="N4:N67" ca="1" si="4">MAX(M4,0)</f>
        <v>0.25</v>
      </c>
      <c r="O4">
        <f t="shared" ref="O4:O67" ca="1" si="5">MAX(-M4,0)</f>
        <v>0</v>
      </c>
    </row>
    <row r="5" spans="1:27" x14ac:dyDescent="0.25">
      <c r="A5" vm="10">
        <f ca="1"/>
        <v>45296</v>
      </c>
      <c r="B5" vm="11">
        <f ca="1"/>
        <v>93.52</v>
      </c>
      <c r="C5" vm="12">
        <f ca="1"/>
        <v>1971991</v>
      </c>
      <c r="D5">
        <f t="shared" ca="1" si="0"/>
        <v>184420598.31999999</v>
      </c>
      <c r="E5">
        <f ca="1">SUM($D$2:D5)/SUM($C$2:C5)</f>
        <v>93.052013748675563</v>
      </c>
      <c r="F5">
        <f ca="1">_xlfn.STDEV.P($B$2:B5)</f>
        <v>0.4101524106963168</v>
      </c>
      <c r="G5">
        <f t="shared" ca="1" si="1"/>
        <v>93.462166159371876</v>
      </c>
      <c r="H5">
        <f t="shared" ca="1" si="2"/>
        <v>92.64186133797925</v>
      </c>
      <c r="M5">
        <f t="shared" ca="1" si="3"/>
        <v>0.26999999999999602</v>
      </c>
      <c r="N5">
        <f t="shared" ca="1" si="4"/>
        <v>0.26999999999999602</v>
      </c>
      <c r="O5">
        <f t="shared" ca="1" si="5"/>
        <v>0</v>
      </c>
    </row>
    <row r="6" spans="1:27" x14ac:dyDescent="0.25">
      <c r="A6" vm="13">
        <f ca="1"/>
        <v>45299</v>
      </c>
      <c r="B6" vm="14">
        <f ca="1"/>
        <v>93.81</v>
      </c>
      <c r="C6" vm="15">
        <f ca="1"/>
        <v>1203530</v>
      </c>
      <c r="D6">
        <f t="shared" ca="1" si="0"/>
        <v>112903149.3</v>
      </c>
      <c r="E6">
        <f ca="1">SUM($D$2:D6)/SUM($C$2:C6)</f>
        <v>93.156584842783261</v>
      </c>
      <c r="F6">
        <f ca="1">_xlfn.STDEV.P($B$2:B6)</f>
        <v>0.47771958301916106</v>
      </c>
      <c r="G6">
        <f t="shared" ca="1" si="1"/>
        <v>93.634304425802426</v>
      </c>
      <c r="H6">
        <f t="shared" ca="1" si="2"/>
        <v>92.678865259764095</v>
      </c>
      <c r="M6">
        <f t="shared" ca="1" si="3"/>
        <v>0.29000000000000625</v>
      </c>
      <c r="N6">
        <f t="shared" ca="1" si="4"/>
        <v>0.29000000000000625</v>
      </c>
      <c r="O6">
        <f t="shared" ca="1" si="5"/>
        <v>0</v>
      </c>
    </row>
    <row r="7" spans="1:27" x14ac:dyDescent="0.25">
      <c r="A7" vm="16">
        <f ca="1"/>
        <v>45300</v>
      </c>
      <c r="B7" vm="17">
        <f ca="1"/>
        <v>93.7</v>
      </c>
      <c r="C7" vm="18">
        <f ca="1"/>
        <v>1291766</v>
      </c>
      <c r="D7">
        <f t="shared" ca="1" si="0"/>
        <v>121038474.2</v>
      </c>
      <c r="E7">
        <f ca="1">SUM($D$2:D7)/SUM($C$2:C7)</f>
        <v>93.226672141135239</v>
      </c>
      <c r="F7">
        <f ca="1">_xlfn.STDEV.P($B$2:B7)</f>
        <v>0.47453193312521869</v>
      </c>
      <c r="G7">
        <f t="shared" ca="1" si="1"/>
        <v>93.70120407426046</v>
      </c>
      <c r="H7">
        <f t="shared" ca="1" si="2"/>
        <v>92.752140208010019</v>
      </c>
      <c r="M7">
        <f t="shared" ca="1" si="3"/>
        <v>-0.10999999999999943</v>
      </c>
      <c r="N7">
        <f t="shared" ca="1" si="4"/>
        <v>0</v>
      </c>
      <c r="O7">
        <f t="shared" ca="1" si="5"/>
        <v>0.10999999999999943</v>
      </c>
    </row>
    <row r="8" spans="1:27" x14ac:dyDescent="0.25">
      <c r="A8" vm="19">
        <f ca="1"/>
        <v>45301</v>
      </c>
      <c r="B8" vm="20">
        <f ca="1"/>
        <v>94.32</v>
      </c>
      <c r="C8" vm="21">
        <f ca="1"/>
        <v>1572378</v>
      </c>
      <c r="D8">
        <f t="shared" ca="1" si="0"/>
        <v>148306692.95999998</v>
      </c>
      <c r="E8">
        <f ca="1">SUM($D$2:D8)/SUM($C$2:C8)</f>
        <v>93.375026499914298</v>
      </c>
      <c r="F8">
        <f ca="1">_xlfn.STDEV.P($B$2:B8)</f>
        <v>0.57011277079940159</v>
      </c>
      <c r="G8">
        <f t="shared" ca="1" si="1"/>
        <v>93.945139270713696</v>
      </c>
      <c r="H8">
        <f t="shared" ca="1" si="2"/>
        <v>92.804913729114901</v>
      </c>
      <c r="M8">
        <f t="shared" ca="1" si="3"/>
        <v>0.61999999999999034</v>
      </c>
      <c r="N8">
        <f t="shared" ca="1" si="4"/>
        <v>0.61999999999999034</v>
      </c>
      <c r="O8">
        <f t="shared" ca="1" si="5"/>
        <v>0</v>
      </c>
    </row>
    <row r="9" spans="1:27" x14ac:dyDescent="0.25">
      <c r="A9" vm="22">
        <f ca="1"/>
        <v>45302</v>
      </c>
      <c r="B9" vm="23">
        <f ca="1"/>
        <v>91.25</v>
      </c>
      <c r="C9" vm="24">
        <f ca="1"/>
        <v>2045304</v>
      </c>
      <c r="D9">
        <f t="shared" ca="1" si="0"/>
        <v>186633990</v>
      </c>
      <c r="E9">
        <f ca="1">SUM($D$2:D9)/SUM($C$2:C9)</f>
        <v>93.056223565945231</v>
      </c>
      <c r="F9">
        <f ca="1">_xlfn.STDEV.P($B$2:B9)</f>
        <v>0.89676850413024611</v>
      </c>
      <c r="G9">
        <f t="shared" ca="1" si="1"/>
        <v>93.952992070075481</v>
      </c>
      <c r="H9">
        <f t="shared" ca="1" si="2"/>
        <v>92.159455061814981</v>
      </c>
      <c r="M9">
        <f t="shared" ca="1" si="3"/>
        <v>-3.0699999999999932</v>
      </c>
      <c r="N9">
        <f t="shared" ca="1" si="4"/>
        <v>0</v>
      </c>
      <c r="O9">
        <f t="shared" ca="1" si="5"/>
        <v>3.0699999999999932</v>
      </c>
    </row>
    <row r="10" spans="1:27" x14ac:dyDescent="0.25">
      <c r="A10" vm="25">
        <f ca="1"/>
        <v>45303</v>
      </c>
      <c r="B10" vm="26">
        <f ca="1"/>
        <v>91.62</v>
      </c>
      <c r="C10" vm="27">
        <f ca="1"/>
        <v>2202499</v>
      </c>
      <c r="D10">
        <f t="shared" ca="1" si="0"/>
        <v>201792958.38</v>
      </c>
      <c r="E10">
        <f ca="1">SUM($D$2:D10)/SUM($C$2:C10)</f>
        <v>92.856468077797317</v>
      </c>
      <c r="F10">
        <f ca="1">_xlfn.STDEV.P($B$2:B10)</f>
        <v>0.97381266736015937</v>
      </c>
      <c r="G10">
        <f t="shared" ca="1" si="1"/>
        <v>93.830280745157481</v>
      </c>
      <c r="H10">
        <f t="shared" ca="1" si="2"/>
        <v>91.882655410437152</v>
      </c>
      <c r="M10">
        <f t="shared" ca="1" si="3"/>
        <v>0.37000000000000455</v>
      </c>
      <c r="N10">
        <f t="shared" ca="1" si="4"/>
        <v>0.37000000000000455</v>
      </c>
      <c r="O10">
        <f t="shared" ca="1" si="5"/>
        <v>0</v>
      </c>
    </row>
    <row r="11" spans="1:27" x14ac:dyDescent="0.25">
      <c r="A11" vm="28">
        <f ca="1"/>
        <v>45307</v>
      </c>
      <c r="B11" vm="29">
        <f ca="1"/>
        <v>91.56</v>
      </c>
      <c r="C11" vm="30">
        <f ca="1"/>
        <v>2038202</v>
      </c>
      <c r="D11">
        <f t="shared" ca="1" si="0"/>
        <v>186617775.12</v>
      </c>
      <c r="E11">
        <f ca="1">SUM($D$2:D11)/SUM($C$2:C11)</f>
        <v>92.708629389883058</v>
      </c>
      <c r="F11">
        <f ca="1">_xlfn.STDEV.P($B$2:B11)</f>
        <v>1.0181669804113651</v>
      </c>
      <c r="G11">
        <f t="shared" ca="1" si="1"/>
        <v>93.726796370294423</v>
      </c>
      <c r="H11">
        <f t="shared" ca="1" si="2"/>
        <v>91.690462409471692</v>
      </c>
      <c r="M11">
        <f t="shared" ca="1" si="3"/>
        <v>-6.0000000000002274E-2</v>
      </c>
      <c r="N11">
        <f t="shared" ca="1" si="4"/>
        <v>0</v>
      </c>
      <c r="O11">
        <f t="shared" ca="1" si="5"/>
        <v>6.0000000000002274E-2</v>
      </c>
    </row>
    <row r="12" spans="1:27" x14ac:dyDescent="0.25">
      <c r="A12" vm="31">
        <f ca="1"/>
        <v>45308</v>
      </c>
      <c r="B12" vm="32">
        <f ca="1"/>
        <v>90.55</v>
      </c>
      <c r="C12" vm="33">
        <f ca="1"/>
        <v>1885348</v>
      </c>
      <c r="D12">
        <f t="shared" ca="1" si="0"/>
        <v>170718261.40000001</v>
      </c>
      <c r="E12">
        <f ca="1">SUM($D$2:D12)/SUM($C$2:C12)</f>
        <v>92.502662350896273</v>
      </c>
      <c r="F12">
        <f ca="1">_xlfn.STDEV.P($B$2:B12)</f>
        <v>1.1735986896284092</v>
      </c>
      <c r="G12">
        <f t="shared" ca="1" si="1"/>
        <v>93.676261040524679</v>
      </c>
      <c r="H12">
        <f t="shared" ca="1" si="2"/>
        <v>91.329063661267867</v>
      </c>
      <c r="M12">
        <f t="shared" ca="1" si="3"/>
        <v>-1.0100000000000051</v>
      </c>
      <c r="N12">
        <f t="shared" ca="1" si="4"/>
        <v>0</v>
      </c>
      <c r="O12">
        <f t="shared" ca="1" si="5"/>
        <v>1.0100000000000051</v>
      </c>
    </row>
    <row r="13" spans="1:27" x14ac:dyDescent="0.25">
      <c r="A13" vm="34">
        <f ca="1"/>
        <v>45309</v>
      </c>
      <c r="B13" vm="35">
        <f ca="1"/>
        <v>89.4</v>
      </c>
      <c r="C13" vm="36">
        <f ca="1"/>
        <v>1682318</v>
      </c>
      <c r="D13">
        <f t="shared" ca="1" si="0"/>
        <v>150399229.20000002</v>
      </c>
      <c r="E13">
        <f ca="1">SUM($D$2:D13)/SUM($C$2:C13)</f>
        <v>92.259226381218255</v>
      </c>
      <c r="F13">
        <f ca="1">_xlfn.STDEV.P($B$2:B13)</f>
        <v>1.4360388709533194</v>
      </c>
      <c r="G13">
        <f t="shared" ca="1" si="1"/>
        <v>93.695265252171581</v>
      </c>
      <c r="H13">
        <f t="shared" ca="1" si="2"/>
        <v>90.82318751026493</v>
      </c>
      <c r="M13">
        <f t="shared" ca="1" si="3"/>
        <v>-1.1499999999999915</v>
      </c>
      <c r="N13">
        <f t="shared" ca="1" si="4"/>
        <v>0</v>
      </c>
      <c r="O13">
        <f t="shared" ca="1" si="5"/>
        <v>1.1499999999999915</v>
      </c>
      <c r="V13" s="9">
        <f ca="1">AVERAGE(B2:B13)</f>
        <v>92.365833333333342</v>
      </c>
    </row>
    <row r="14" spans="1:27" x14ac:dyDescent="0.25">
      <c r="A14" vm="37">
        <f ca="1"/>
        <v>45310</v>
      </c>
      <c r="B14" vm="38">
        <f ca="1"/>
        <v>89.86</v>
      </c>
      <c r="C14" vm="39">
        <f ca="1"/>
        <v>1689928</v>
      </c>
      <c r="D14">
        <f t="shared" ca="1" si="0"/>
        <v>151856930.08000001</v>
      </c>
      <c r="E14">
        <f ca="1">SUM($D$2:D14)/SUM($C$2:C14)</f>
        <v>92.083945524039649</v>
      </c>
      <c r="F14">
        <f ca="1">_xlfn.STDEV.P($B$2:B14)</f>
        <v>1.5327872280230312</v>
      </c>
      <c r="G14">
        <f t="shared" ca="1" si="1"/>
        <v>93.616732752062674</v>
      </c>
      <c r="H14">
        <f t="shared" ca="1" si="2"/>
        <v>90.551158296016624</v>
      </c>
      <c r="M14">
        <f t="shared" ca="1" si="3"/>
        <v>0.45999999999999375</v>
      </c>
      <c r="N14">
        <f t="shared" ca="1" si="4"/>
        <v>0.45999999999999375</v>
      </c>
      <c r="O14">
        <f t="shared" ca="1" si="5"/>
        <v>0</v>
      </c>
      <c r="V14">
        <f ca="1">B14*(2/(12+1)) + V13*(1-(2/(12+1)))</f>
        <v>91.980320512820512</v>
      </c>
    </row>
    <row r="15" spans="1:27" x14ac:dyDescent="0.25">
      <c r="A15" vm="40">
        <f ca="1"/>
        <v>45313</v>
      </c>
      <c r="B15" vm="41">
        <f ca="1"/>
        <v>89.2</v>
      </c>
      <c r="C15" vm="42">
        <f ca="1"/>
        <v>1678501</v>
      </c>
      <c r="D15">
        <f t="shared" ca="1" si="0"/>
        <v>149722289.20000002</v>
      </c>
      <c r="E15">
        <f ca="1">SUM($D$2:D15)/SUM($C$2:C15)</f>
        <v>91.888834949707103</v>
      </c>
      <c r="F15">
        <f ca="1">_xlfn.STDEV.P($B$2:B15)</f>
        <v>1.6636983942225738</v>
      </c>
      <c r="G15">
        <f t="shared" ca="1" si="1"/>
        <v>93.552533343929682</v>
      </c>
      <c r="H15">
        <f t="shared" ca="1" si="2"/>
        <v>90.225136555484525</v>
      </c>
      <c r="M15">
        <f t="shared" ca="1" si="3"/>
        <v>-0.65999999999999659</v>
      </c>
      <c r="N15">
        <f t="shared" ca="1" si="4"/>
        <v>0</v>
      </c>
      <c r="O15">
        <f t="shared" ca="1" si="5"/>
        <v>0.65999999999999659</v>
      </c>
      <c r="P15" s="2">
        <f ca="1">AVERAGE(N3:N16)</f>
        <v>0.20357142857142815</v>
      </c>
      <c r="Q15" s="2">
        <f ca="1">AVERAGE(O3:O16)</f>
        <v>0.43857142857142761</v>
      </c>
      <c r="R15">
        <f ca="1">IF(Q15=0,NA(),P15/Q15)</f>
        <v>0.4641693811074919</v>
      </c>
      <c r="S15">
        <f ca="1">100-(100/(1+R15))</f>
        <v>31.701890989988883</v>
      </c>
      <c r="T15">
        <f>70</f>
        <v>70</v>
      </c>
      <c r="U15">
        <f>30</f>
        <v>30</v>
      </c>
      <c r="V15">
        <f t="shared" ref="V15:V78" ca="1" si="6">B15*(2/(12+1)) + V14*(1-(2/(12+1)))</f>
        <v>91.552578895463512</v>
      </c>
    </row>
    <row r="16" spans="1:27" x14ac:dyDescent="0.25">
      <c r="A16" vm="43">
        <f ca="1"/>
        <v>45314</v>
      </c>
      <c r="B16" vm="44">
        <f ca="1"/>
        <v>89.12</v>
      </c>
      <c r="C16" vm="45">
        <f ca="1"/>
        <v>1586101</v>
      </c>
      <c r="D16">
        <f t="shared" ca="1" si="0"/>
        <v>141353321.12</v>
      </c>
      <c r="E16">
        <f ca="1">SUM($D$2:D16)/SUM($C$2:C16)</f>
        <v>91.722460318569787</v>
      </c>
      <c r="F16">
        <f ca="1">_xlfn.STDEV.P($B$2:B16)</f>
        <v>1.7565529374949724</v>
      </c>
      <c r="G16">
        <f t="shared" ca="1" si="1"/>
        <v>93.479013256064761</v>
      </c>
      <c r="H16">
        <f t="shared" ca="1" si="2"/>
        <v>89.965907381074814</v>
      </c>
      <c r="M16">
        <f t="shared" ca="1" si="3"/>
        <v>-7.9999999999998295E-2</v>
      </c>
      <c r="N16">
        <f t="shared" ca="1" si="4"/>
        <v>0</v>
      </c>
      <c r="O16">
        <f t="shared" ca="1" si="5"/>
        <v>7.9999999999998295E-2</v>
      </c>
      <c r="P16">
        <f ca="1">(P15*13+N16)/14</f>
        <v>0.18903061224489756</v>
      </c>
      <c r="Q16">
        <f ca="1">(Q15*13+O16)/14</f>
        <v>0.41295918367346834</v>
      </c>
      <c r="R16">
        <f t="shared" ref="R16:R79" ca="1" si="7">IF(Q16=0,NA(),P16/Q16)</f>
        <v>0.4577464788732396</v>
      </c>
      <c r="S16">
        <f t="shared" ref="S16:S79" ca="1" si="8">100-(100/(1+R16))</f>
        <v>31.40096618357488</v>
      </c>
      <c r="T16">
        <f>70</f>
        <v>70</v>
      </c>
      <c r="U16">
        <f>30</f>
        <v>30</v>
      </c>
      <c r="V16">
        <f t="shared" ca="1" si="6"/>
        <v>91.178335988469129</v>
      </c>
    </row>
    <row r="17" spans="1:24" x14ac:dyDescent="0.25">
      <c r="A17" vm="46">
        <f ca="1"/>
        <v>45315</v>
      </c>
      <c r="B17" vm="47">
        <f ca="1"/>
        <v>88.32</v>
      </c>
      <c r="C17" vm="48">
        <f ca="1"/>
        <v>1932368</v>
      </c>
      <c r="D17">
        <f t="shared" ca="1" si="0"/>
        <v>170666741.75999999</v>
      </c>
      <c r="E17">
        <f ca="1">SUM($D$2:D17)/SUM($C$2:C17)</f>
        <v>91.490369023723829</v>
      </c>
      <c r="F17">
        <f ca="1">_xlfn.STDEV.P($B$2:B17)</f>
        <v>1.8948844580541044</v>
      </c>
      <c r="G17">
        <f t="shared" ca="1" si="1"/>
        <v>93.385253481777937</v>
      </c>
      <c r="H17">
        <f t="shared" ca="1" si="2"/>
        <v>89.595484565669722</v>
      </c>
      <c r="M17">
        <f t="shared" ca="1" si="3"/>
        <v>-0.80000000000001137</v>
      </c>
      <c r="N17">
        <f t="shared" ca="1" si="4"/>
        <v>0</v>
      </c>
      <c r="O17">
        <f t="shared" ca="1" si="5"/>
        <v>0.80000000000001137</v>
      </c>
      <c r="P17">
        <f t="shared" ref="P17:P80" ca="1" si="9">(P16*13+N17)/14</f>
        <v>0.17552842565597632</v>
      </c>
      <c r="Q17">
        <f t="shared" ref="Q17:Q80" ca="1" si="10">(Q16*13+O17)/14</f>
        <v>0.44060495626822144</v>
      </c>
      <c r="R17">
        <f t="shared" ca="1" si="7"/>
        <v>0.39838050652594592</v>
      </c>
      <c r="S17">
        <f t="shared" ca="1" si="8"/>
        <v>28.488705661069247</v>
      </c>
      <c r="T17">
        <f>70</f>
        <v>70</v>
      </c>
      <c r="U17">
        <f>30</f>
        <v>30</v>
      </c>
      <c r="V17">
        <f t="shared" ca="1" si="6"/>
        <v>90.738591990243108</v>
      </c>
    </row>
    <row r="18" spans="1:24" x14ac:dyDescent="0.25">
      <c r="A18" vm="49">
        <f ca="1"/>
        <v>45316</v>
      </c>
      <c r="B18" vm="50">
        <f ca="1"/>
        <v>89.67</v>
      </c>
      <c r="C18" vm="51">
        <f ca="1"/>
        <v>1548425</v>
      </c>
      <c r="D18">
        <f t="shared" ca="1" si="0"/>
        <v>138847269.75</v>
      </c>
      <c r="E18">
        <f ca="1">SUM($D$2:D18)/SUM($C$2:C18)</f>
        <v>91.396025245677649</v>
      </c>
      <c r="F18">
        <f ca="1">_xlfn.STDEV.P($B$2:B18)</f>
        <v>1.8910909321063349</v>
      </c>
      <c r="G18">
        <f t="shared" ca="1" si="1"/>
        <v>93.287116177783986</v>
      </c>
      <c r="H18">
        <f t="shared" ca="1" si="2"/>
        <v>89.504934313571312</v>
      </c>
      <c r="M18">
        <f t="shared" ca="1" si="3"/>
        <v>1.3500000000000085</v>
      </c>
      <c r="N18">
        <f t="shared" ca="1" si="4"/>
        <v>1.3500000000000085</v>
      </c>
      <c r="O18">
        <f t="shared" ca="1" si="5"/>
        <v>0</v>
      </c>
      <c r="P18">
        <f t="shared" ca="1" si="9"/>
        <v>0.25941925239483576</v>
      </c>
      <c r="Q18">
        <f t="shared" ca="1" si="10"/>
        <v>0.40913317367763419</v>
      </c>
      <c r="R18">
        <f t="shared" ca="1" si="7"/>
        <v>0.63407044230355758</v>
      </c>
      <c r="S18">
        <f t="shared" ca="1" si="8"/>
        <v>38.803127814349622</v>
      </c>
      <c r="T18">
        <f>70</f>
        <v>70</v>
      </c>
      <c r="U18">
        <f>30</f>
        <v>30</v>
      </c>
      <c r="V18">
        <f t="shared" ca="1" si="6"/>
        <v>90.574193222513401</v>
      </c>
    </row>
    <row r="19" spans="1:24" x14ac:dyDescent="0.25">
      <c r="A19" vm="52">
        <f ca="1"/>
        <v>45317</v>
      </c>
      <c r="B19" vm="53">
        <f ca="1"/>
        <v>90.02</v>
      </c>
      <c r="C19" vm="54">
        <f ca="1"/>
        <v>2218871</v>
      </c>
      <c r="D19">
        <f t="shared" ca="1" si="0"/>
        <v>199742767.41999999</v>
      </c>
      <c r="E19">
        <f ca="1">SUM($D$2:D19)/SUM($C$2:C19)</f>
        <v>91.300896912860367</v>
      </c>
      <c r="F19">
        <f ca="1">_xlfn.STDEV.P($B$2:B19)</f>
        <v>1.8665601821479654</v>
      </c>
      <c r="G19">
        <f t="shared" ca="1" si="1"/>
        <v>93.167457095008331</v>
      </c>
      <c r="H19">
        <f t="shared" ca="1" si="2"/>
        <v>89.434336730712403</v>
      </c>
      <c r="M19">
        <f t="shared" ca="1" si="3"/>
        <v>0.34999999999999432</v>
      </c>
      <c r="N19">
        <f t="shared" ca="1" si="4"/>
        <v>0.34999999999999432</v>
      </c>
      <c r="O19">
        <f t="shared" ca="1" si="5"/>
        <v>0</v>
      </c>
      <c r="P19">
        <f t="shared" ca="1" si="9"/>
        <v>0.26588930579520426</v>
      </c>
      <c r="Q19">
        <f t="shared" ca="1" si="10"/>
        <v>0.37990937555780319</v>
      </c>
      <c r="R19">
        <f t="shared" ca="1" si="7"/>
        <v>0.69987560955770411</v>
      </c>
      <c r="S19">
        <f t="shared" ca="1" si="8"/>
        <v>41.172166105719164</v>
      </c>
      <c r="T19">
        <f>70</f>
        <v>70</v>
      </c>
      <c r="U19">
        <f>30</f>
        <v>30</v>
      </c>
      <c r="V19">
        <f t="shared" ca="1" si="6"/>
        <v>90.488932726742107</v>
      </c>
    </row>
    <row r="20" spans="1:24" x14ac:dyDescent="0.25">
      <c r="A20" vm="55">
        <f ca="1"/>
        <v>45320</v>
      </c>
      <c r="B20" vm="56">
        <f ca="1"/>
        <v>90.59</v>
      </c>
      <c r="C20" vm="57">
        <f ca="1"/>
        <v>2173342</v>
      </c>
      <c r="D20">
        <f t="shared" ca="1" si="0"/>
        <v>196883051.78</v>
      </c>
      <c r="E20">
        <f ca="1">SUM($D$2:D20)/SUM($C$2:C20)</f>
        <v>91.255812011082043</v>
      </c>
      <c r="F20">
        <f ca="1">_xlfn.STDEV.P($B$2:B20)</f>
        <v>1.8250115166790255</v>
      </c>
      <c r="G20">
        <f t="shared" ca="1" si="1"/>
        <v>93.080823527761069</v>
      </c>
      <c r="H20">
        <f t="shared" ca="1" si="2"/>
        <v>89.430800494403016</v>
      </c>
      <c r="M20">
        <f t="shared" ca="1" si="3"/>
        <v>0.57000000000000739</v>
      </c>
      <c r="N20">
        <f t="shared" ca="1" si="4"/>
        <v>0.57000000000000739</v>
      </c>
      <c r="O20">
        <f t="shared" ca="1" si="5"/>
        <v>0</v>
      </c>
      <c r="P20">
        <f t="shared" ca="1" si="9"/>
        <v>0.28761149823840448</v>
      </c>
      <c r="Q20">
        <f t="shared" ca="1" si="10"/>
        <v>0.35277299158938868</v>
      </c>
      <c r="R20">
        <f t="shared" ca="1" si="7"/>
        <v>0.81528774904959522</v>
      </c>
      <c r="S20">
        <f t="shared" ca="1" si="8"/>
        <v>44.912314836942194</v>
      </c>
      <c r="T20">
        <f>70</f>
        <v>70</v>
      </c>
      <c r="U20">
        <f>30</f>
        <v>30</v>
      </c>
      <c r="V20">
        <f t="shared" ca="1" si="6"/>
        <v>90.504481538012556</v>
      </c>
    </row>
    <row r="21" spans="1:24" x14ac:dyDescent="0.25">
      <c r="A21" vm="58">
        <f ca="1"/>
        <v>45321</v>
      </c>
      <c r="B21" vm="59">
        <f ca="1"/>
        <v>90.68</v>
      </c>
      <c r="C21" vm="60">
        <f ca="1"/>
        <v>1550005</v>
      </c>
      <c r="D21">
        <f t="shared" ca="1" si="0"/>
        <v>140554453.40000001</v>
      </c>
      <c r="E21">
        <f ca="1">SUM($D$2:D21)/SUM($C$2:C21)</f>
        <v>91.230894867648274</v>
      </c>
      <c r="F21">
        <f ca="1">_xlfn.STDEV.P($B$2:B21)</f>
        <v>1.7843426660818256</v>
      </c>
      <c r="G21">
        <f t="shared" ca="1" si="1"/>
        <v>93.015237533730101</v>
      </c>
      <c r="H21">
        <f t="shared" ca="1" si="2"/>
        <v>89.446552201566448</v>
      </c>
      <c r="I21">
        <f ca="1">AVERAGE(B2:B21)</f>
        <v>91.292500000000004</v>
      </c>
      <c r="J21">
        <f ca="1">_xlfn.STDEV.S(B2:B21)</f>
        <v>1.8306969481018618</v>
      </c>
      <c r="K21">
        <f ca="1">I21 + 2*J21</f>
        <v>94.953893896203724</v>
      </c>
      <c r="L21">
        <f ca="1">I21-2*J21</f>
        <v>87.631106103796284</v>
      </c>
      <c r="M21">
        <f t="shared" ca="1" si="3"/>
        <v>9.0000000000003411E-2</v>
      </c>
      <c r="N21">
        <f t="shared" ca="1" si="4"/>
        <v>9.0000000000003411E-2</v>
      </c>
      <c r="O21">
        <f t="shared" ca="1" si="5"/>
        <v>0</v>
      </c>
      <c r="P21">
        <f t="shared" ca="1" si="9"/>
        <v>0.27349639122137581</v>
      </c>
      <c r="Q21">
        <f t="shared" ca="1" si="10"/>
        <v>0.32757492076157518</v>
      </c>
      <c r="R21">
        <f t="shared" ca="1" si="7"/>
        <v>0.83491248531947193</v>
      </c>
      <c r="S21">
        <f t="shared" ca="1" si="8"/>
        <v>45.501488054571027</v>
      </c>
      <c r="T21">
        <f>70</f>
        <v>70</v>
      </c>
      <c r="U21">
        <f>30</f>
        <v>30</v>
      </c>
      <c r="V21">
        <f t="shared" ca="1" si="6"/>
        <v>90.531484378318311</v>
      </c>
    </row>
    <row r="22" spans="1:24" x14ac:dyDescent="0.25">
      <c r="A22" vm="61">
        <f ca="1"/>
        <v>45322</v>
      </c>
      <c r="B22" vm="62">
        <f ca="1"/>
        <v>90.9</v>
      </c>
      <c r="C22" vm="63">
        <f ca="1"/>
        <v>3138166</v>
      </c>
      <c r="D22">
        <f t="shared" ca="1" si="0"/>
        <v>285259289.40000004</v>
      </c>
      <c r="E22">
        <f ca="1">SUM($D$2:D22)/SUM($C$2:C22)</f>
        <v>91.204239992771591</v>
      </c>
      <c r="F22">
        <f ca="1">_xlfn.STDEV.P($B$2:B22)</f>
        <v>1.7433451047325679</v>
      </c>
      <c r="G22">
        <f t="shared" ca="1" si="1"/>
        <v>92.94758509750416</v>
      </c>
      <c r="H22">
        <f t="shared" ca="1" si="2"/>
        <v>89.460894888039022</v>
      </c>
      <c r="I22">
        <f t="shared" ref="I22:I85" ca="1" si="11">AVERAGE(B3:B22)</f>
        <v>91.216999999999999</v>
      </c>
      <c r="J22">
        <f t="shared" ref="J22:J85" ca="1" si="12">_xlfn.STDEV.S(B3:B22)</f>
        <v>1.8132381618471813</v>
      </c>
      <c r="K22">
        <f t="shared" ref="K22:K85" ca="1" si="13">I22 + 2*J22</f>
        <v>94.843476323694361</v>
      </c>
      <c r="L22">
        <f t="shared" ref="L22:L85" ca="1" si="14">I22-2*J22</f>
        <v>87.590523676305637</v>
      </c>
      <c r="M22">
        <f t="shared" ca="1" si="3"/>
        <v>0.21999999999999886</v>
      </c>
      <c r="N22">
        <f t="shared" ca="1" si="4"/>
        <v>0.21999999999999886</v>
      </c>
      <c r="O22">
        <f t="shared" ca="1" si="5"/>
        <v>0</v>
      </c>
      <c r="P22">
        <f t="shared" ca="1" si="9"/>
        <v>0.26967522041984887</v>
      </c>
      <c r="Q22">
        <f t="shared" ca="1" si="10"/>
        <v>0.30417671213574843</v>
      </c>
      <c r="R22">
        <f t="shared" ca="1" si="7"/>
        <v>0.88657418421794831</v>
      </c>
      <c r="S22">
        <f t="shared" ca="1" si="8"/>
        <v>46.993868125332412</v>
      </c>
      <c r="T22">
        <f>70</f>
        <v>70</v>
      </c>
      <c r="U22">
        <f>30</f>
        <v>30</v>
      </c>
      <c r="V22">
        <f t="shared" ca="1" si="6"/>
        <v>90.588179089346255</v>
      </c>
    </row>
    <row r="23" spans="1:24" x14ac:dyDescent="0.25">
      <c r="A23" vm="64">
        <f ca="1"/>
        <v>45323</v>
      </c>
      <c r="B23" vm="65">
        <f ca="1"/>
        <v>92.78</v>
      </c>
      <c r="C23" vm="66">
        <f ca="1"/>
        <v>1625052</v>
      </c>
      <c r="D23">
        <f t="shared" ca="1" si="0"/>
        <v>150772324.56</v>
      </c>
      <c r="E23">
        <f ca="1">SUM($D$2:D23)/SUM($C$2:C23)</f>
        <v>91.267338588617463</v>
      </c>
      <c r="F23">
        <f ca="1">_xlfn.STDEV.P($B$2:B23)</f>
        <v>1.7319167831629934</v>
      </c>
      <c r="G23">
        <f t="shared" ca="1" si="1"/>
        <v>92.99925537178045</v>
      </c>
      <c r="H23">
        <f t="shared" ca="1" si="2"/>
        <v>89.535421805454476</v>
      </c>
      <c r="I23">
        <f t="shared" ca="1" si="11"/>
        <v>91.205999999999989</v>
      </c>
      <c r="J23">
        <f t="shared" ca="1" si="12"/>
        <v>1.8024877545390305</v>
      </c>
      <c r="K23">
        <f t="shared" ca="1" si="13"/>
        <v>94.810975509078048</v>
      </c>
      <c r="L23">
        <f t="shared" ca="1" si="14"/>
        <v>87.60102449092193</v>
      </c>
      <c r="M23">
        <f t="shared" ca="1" si="3"/>
        <v>1.8799999999999955</v>
      </c>
      <c r="N23">
        <f t="shared" ca="1" si="4"/>
        <v>1.8799999999999955</v>
      </c>
      <c r="O23">
        <f t="shared" ca="1" si="5"/>
        <v>0</v>
      </c>
      <c r="P23">
        <f t="shared" ca="1" si="9"/>
        <v>0.38469841896128792</v>
      </c>
      <c r="Q23">
        <f t="shared" ca="1" si="10"/>
        <v>0.28244980412605208</v>
      </c>
      <c r="R23">
        <f t="shared" ca="1" si="7"/>
        <v>1.3620063223326018</v>
      </c>
      <c r="S23">
        <f t="shared" ca="1" si="8"/>
        <v>57.663110782343331</v>
      </c>
      <c r="T23">
        <f>70</f>
        <v>70</v>
      </c>
      <c r="U23">
        <f>30</f>
        <v>30</v>
      </c>
      <c r="V23">
        <f t="shared" ca="1" si="6"/>
        <v>90.925382306369897</v>
      </c>
    </row>
    <row r="24" spans="1:24" x14ac:dyDescent="0.25">
      <c r="A24" vm="67">
        <f ca="1"/>
        <v>45324</v>
      </c>
      <c r="B24" vm="68">
        <f ca="1"/>
        <v>91.1</v>
      </c>
      <c r="C24" vm="69">
        <f ca="1"/>
        <v>1978373</v>
      </c>
      <c r="D24">
        <f t="shared" ca="1" si="0"/>
        <v>180229780.29999998</v>
      </c>
      <c r="E24">
        <f ca="1">SUM($D$2:D24)/SUM($C$2:C24)</f>
        <v>91.259560106591152</v>
      </c>
      <c r="F24">
        <f ca="1">_xlfn.STDEV.P($B$2:B24)</f>
        <v>1.6945684385166133</v>
      </c>
      <c r="G24">
        <f t="shared" ca="1" si="1"/>
        <v>92.954128545107764</v>
      </c>
      <c r="H24">
        <f t="shared" ca="1" si="2"/>
        <v>89.564991668074541</v>
      </c>
      <c r="I24">
        <f t="shared" ca="1" si="11"/>
        <v>91.098499999999987</v>
      </c>
      <c r="J24">
        <f t="shared" ca="1" si="12"/>
        <v>1.7370945948850758</v>
      </c>
      <c r="K24">
        <f t="shared" ca="1" si="13"/>
        <v>94.572689189770145</v>
      </c>
      <c r="L24">
        <f t="shared" ca="1" si="14"/>
        <v>87.624310810229829</v>
      </c>
      <c r="M24">
        <f t="shared" ca="1" si="3"/>
        <v>-1.6800000000000068</v>
      </c>
      <c r="N24">
        <f t="shared" ca="1" si="4"/>
        <v>0</v>
      </c>
      <c r="O24">
        <f t="shared" ca="1" si="5"/>
        <v>1.6800000000000068</v>
      </c>
      <c r="P24">
        <f t="shared" ca="1" si="9"/>
        <v>0.35721996046405308</v>
      </c>
      <c r="Q24">
        <f t="shared" ca="1" si="10"/>
        <v>0.38227481811704883</v>
      </c>
      <c r="R24">
        <f t="shared" ca="1" si="7"/>
        <v>0.93445851919724354</v>
      </c>
      <c r="S24">
        <f t="shared" ca="1" si="8"/>
        <v>48.305947629470118</v>
      </c>
      <c r="T24">
        <f>70</f>
        <v>70</v>
      </c>
      <c r="U24">
        <f>30</f>
        <v>30</v>
      </c>
      <c r="V24">
        <f t="shared" ca="1" si="6"/>
        <v>90.95224656692838</v>
      </c>
    </row>
    <row r="25" spans="1:24" x14ac:dyDescent="0.25">
      <c r="A25" vm="70">
        <f ca="1"/>
        <v>45327</v>
      </c>
      <c r="B25" vm="50">
        <f ca="1"/>
        <v>89.67</v>
      </c>
      <c r="C25" vm="71">
        <f ca="1"/>
        <v>1852011</v>
      </c>
      <c r="D25">
        <f t="shared" ca="1" si="0"/>
        <v>166069826.37</v>
      </c>
      <c r="E25">
        <f ca="1">SUM($D$2:D25)/SUM($C$2:C25)</f>
        <v>91.193275513109128</v>
      </c>
      <c r="F25">
        <f ca="1">_xlfn.STDEV.P($B$2:B25)</f>
        <v>1.6917969982634828</v>
      </c>
      <c r="G25">
        <f t="shared" ca="1" si="1"/>
        <v>92.885072511372613</v>
      </c>
      <c r="H25">
        <f t="shared" ca="1" si="2"/>
        <v>89.501478514845644</v>
      </c>
      <c r="I25">
        <f t="shared" ca="1" si="11"/>
        <v>90.906000000000006</v>
      </c>
      <c r="J25">
        <f t="shared" ca="1" si="12"/>
        <v>1.6665166950069361</v>
      </c>
      <c r="K25">
        <f t="shared" ca="1" si="13"/>
        <v>94.239033390013873</v>
      </c>
      <c r="L25">
        <f t="shared" ca="1" si="14"/>
        <v>87.572966609986139</v>
      </c>
      <c r="M25">
        <f t="shared" ca="1" si="3"/>
        <v>-1.4299999999999926</v>
      </c>
      <c r="N25">
        <f t="shared" ca="1" si="4"/>
        <v>0</v>
      </c>
      <c r="O25">
        <f t="shared" ca="1" si="5"/>
        <v>1.4299999999999926</v>
      </c>
      <c r="P25">
        <f t="shared" ca="1" si="9"/>
        <v>0.33170424900233497</v>
      </c>
      <c r="Q25">
        <f t="shared" ca="1" si="10"/>
        <v>0.45711233110868765</v>
      </c>
      <c r="R25">
        <f t="shared" ca="1" si="7"/>
        <v>0.72565150057933048</v>
      </c>
      <c r="S25">
        <f t="shared" ca="1" si="8"/>
        <v>42.050871820626412</v>
      </c>
      <c r="T25">
        <f>70</f>
        <v>70</v>
      </c>
      <c r="U25">
        <f>30</f>
        <v>30</v>
      </c>
      <c r="V25">
        <f t="shared" ca="1" si="6"/>
        <v>90.754977864324019</v>
      </c>
    </row>
    <row r="26" spans="1:24" x14ac:dyDescent="0.25">
      <c r="A26" vm="72">
        <f ca="1"/>
        <v>45328</v>
      </c>
      <c r="B26" vm="73">
        <f ca="1"/>
        <v>89.77</v>
      </c>
      <c r="C26" vm="74">
        <f ca="1"/>
        <v>1621500</v>
      </c>
      <c r="D26">
        <f t="shared" ca="1" si="0"/>
        <v>145562055</v>
      </c>
      <c r="E26">
        <f ca="1">SUM($D$2:D26)/SUM($C$2:C26)</f>
        <v>91.143142406975201</v>
      </c>
      <c r="F26">
        <f ca="1">_xlfn.STDEV.P($B$2:B26)</f>
        <v>1.6832195816351467</v>
      </c>
      <c r="G26">
        <f t="shared" ca="1" si="1"/>
        <v>92.826361988610344</v>
      </c>
      <c r="H26">
        <f t="shared" ca="1" si="2"/>
        <v>89.459922825340058</v>
      </c>
      <c r="I26">
        <f t="shared" ca="1" si="11"/>
        <v>90.704000000000008</v>
      </c>
      <c r="J26">
        <f t="shared" ca="1" si="12"/>
        <v>1.5357062493232638</v>
      </c>
      <c r="K26">
        <f t="shared" ca="1" si="13"/>
        <v>93.775412498646531</v>
      </c>
      <c r="L26">
        <f t="shared" ca="1" si="14"/>
        <v>87.632587501353484</v>
      </c>
      <c r="M26">
        <f t="shared" ca="1" si="3"/>
        <v>9.9999999999994316E-2</v>
      </c>
      <c r="N26">
        <f t="shared" ca="1" si="4"/>
        <v>9.9999999999994316E-2</v>
      </c>
      <c r="O26">
        <f t="shared" ca="1" si="5"/>
        <v>0</v>
      </c>
      <c r="P26">
        <f t="shared" ca="1" si="9"/>
        <v>0.3151539455021678</v>
      </c>
      <c r="Q26">
        <f t="shared" ca="1" si="10"/>
        <v>0.42446145031520999</v>
      </c>
      <c r="R26">
        <f t="shared" ca="1" si="7"/>
        <v>0.74247954736085175</v>
      </c>
      <c r="S26">
        <f t="shared" ca="1" si="8"/>
        <v>42.610517207241053</v>
      </c>
      <c r="T26">
        <f>70</f>
        <v>70</v>
      </c>
      <c r="U26">
        <f>30</f>
        <v>30</v>
      </c>
      <c r="V26">
        <f t="shared" ca="1" si="6"/>
        <v>90.603442808274167</v>
      </c>
    </row>
    <row r="27" spans="1:24" x14ac:dyDescent="0.25">
      <c r="A27" vm="75">
        <f ca="1"/>
        <v>45329</v>
      </c>
      <c r="B27" vm="76">
        <f ca="1"/>
        <v>89.47</v>
      </c>
      <c r="C27" vm="77">
        <f ca="1"/>
        <v>1413513</v>
      </c>
      <c r="D27">
        <f t="shared" ca="1" si="0"/>
        <v>126467008.11</v>
      </c>
      <c r="E27">
        <f ca="1">SUM($D$2:D27)/SUM($C$2:C27)</f>
        <v>91.093297965475273</v>
      </c>
      <c r="F27">
        <f ca="1">_xlfn.STDEV.P($B$2:B27)</f>
        <v>1.6838350844770917</v>
      </c>
      <c r="G27">
        <f t="shared" ca="1" si="1"/>
        <v>92.777133049952369</v>
      </c>
      <c r="H27">
        <f t="shared" ca="1" si="2"/>
        <v>89.409462880998177</v>
      </c>
      <c r="I27">
        <f t="shared" ca="1" si="11"/>
        <v>90.492500000000007</v>
      </c>
      <c r="J27">
        <f t="shared" ca="1" si="12"/>
        <v>1.3852906782180747</v>
      </c>
      <c r="K27">
        <f t="shared" ca="1" si="13"/>
        <v>93.26308135643616</v>
      </c>
      <c r="L27">
        <f t="shared" ca="1" si="14"/>
        <v>87.721918643563853</v>
      </c>
      <c r="M27">
        <f t="shared" ca="1" si="3"/>
        <v>-0.29999999999999716</v>
      </c>
      <c r="N27">
        <f t="shared" ca="1" si="4"/>
        <v>0</v>
      </c>
      <c r="O27">
        <f t="shared" ca="1" si="5"/>
        <v>0.29999999999999716</v>
      </c>
      <c r="P27">
        <f t="shared" ca="1" si="9"/>
        <v>0.29264294939487012</v>
      </c>
      <c r="Q27">
        <f t="shared" ca="1" si="10"/>
        <v>0.41557134672126622</v>
      </c>
      <c r="R27">
        <f t="shared" ca="1" si="7"/>
        <v>0.704194241743892</v>
      </c>
      <c r="S27">
        <f t="shared" ca="1" si="8"/>
        <v>41.321242878000469</v>
      </c>
      <c r="T27">
        <f>70</f>
        <v>70</v>
      </c>
      <c r="U27">
        <f>30</f>
        <v>30</v>
      </c>
      <c r="V27">
        <f t="shared" ca="1" si="6"/>
        <v>90.429066991616594</v>
      </c>
      <c r="W27" s="9">
        <f ca="1">AVERAGE(B2:B27)</f>
        <v>91.136153846153846</v>
      </c>
      <c r="X27">
        <f ca="1">V28-W28</f>
        <v>-0.79503448287714207</v>
      </c>
    </row>
    <row r="28" spans="1:24" x14ac:dyDescent="0.25">
      <c r="A28" vm="78">
        <f ca="1"/>
        <v>45330</v>
      </c>
      <c r="B28" vm="79">
        <f ca="1"/>
        <v>88.67</v>
      </c>
      <c r="C28" vm="80">
        <f ca="1"/>
        <v>1626478</v>
      </c>
      <c r="D28">
        <f t="shared" ca="1" si="0"/>
        <v>144219804.25999999</v>
      </c>
      <c r="E28">
        <f ca="1">SUM($D$2:D28)/SUM($C$2:C28)</f>
        <v>91.012982128495182</v>
      </c>
      <c r="F28">
        <f ca="1">_xlfn.STDEV.P($B$2:B28)</f>
        <v>1.7167418977482385</v>
      </c>
      <c r="G28">
        <f t="shared" ca="1" si="1"/>
        <v>92.729724026243417</v>
      </c>
      <c r="H28">
        <f t="shared" ca="1" si="2"/>
        <v>89.296240230746946</v>
      </c>
      <c r="I28">
        <f t="shared" ca="1" si="11"/>
        <v>90.210000000000008</v>
      </c>
      <c r="J28">
        <f t="shared" ca="1" si="12"/>
        <v>1.1130139262381229</v>
      </c>
      <c r="K28">
        <f t="shared" ca="1" si="13"/>
        <v>92.436027852476258</v>
      </c>
      <c r="L28">
        <f t="shared" ca="1" si="14"/>
        <v>87.983972147523758</v>
      </c>
      <c r="M28">
        <f t="shared" ca="1" si="3"/>
        <v>-0.79999999999999716</v>
      </c>
      <c r="N28">
        <f t="shared" ca="1" si="4"/>
        <v>0</v>
      </c>
      <c r="O28">
        <f t="shared" ca="1" si="5"/>
        <v>0.79999999999999716</v>
      </c>
      <c r="P28">
        <f t="shared" ca="1" si="9"/>
        <v>0.2717398815809508</v>
      </c>
      <c r="Q28">
        <f t="shared" ca="1" si="10"/>
        <v>0.44303053624117561</v>
      </c>
      <c r="R28">
        <f t="shared" ca="1" si="7"/>
        <v>0.61336603089819952</v>
      </c>
      <c r="S28">
        <f t="shared" ca="1" si="8"/>
        <v>38.017785124478173</v>
      </c>
      <c r="T28">
        <f>70</f>
        <v>70</v>
      </c>
      <c r="U28">
        <f>30</f>
        <v>30</v>
      </c>
      <c r="V28">
        <f t="shared" ca="1" si="6"/>
        <v>90.158441300598653</v>
      </c>
      <c r="W28">
        <f ca="1">B28*(2/(26+1)) + W27*(1-(2/(26+1)))</f>
        <v>90.953475783475795</v>
      </c>
      <c r="X28">
        <f t="shared" ref="X28:X91" ca="1" si="15">V29-W29</f>
        <v>-0.82376798675737462</v>
      </c>
    </row>
    <row r="29" spans="1:24" x14ac:dyDescent="0.25">
      <c r="A29" vm="81">
        <f ca="1"/>
        <v>45331</v>
      </c>
      <c r="B29" vm="82">
        <f ca="1"/>
        <v>89.06</v>
      </c>
      <c r="C29" vm="83">
        <f ca="1"/>
        <v>1457619</v>
      </c>
      <c r="D29">
        <f t="shared" ca="1" si="0"/>
        <v>129815548.14</v>
      </c>
      <c r="E29">
        <f ca="1">SUM($D$2:D29)/SUM($C$2:C29)</f>
        <v>90.956647325215627</v>
      </c>
      <c r="F29">
        <f ca="1">_xlfn.STDEV.P($B$2:B29)</f>
        <v>1.7255772104381977</v>
      </c>
      <c r="G29">
        <f t="shared" ca="1" si="1"/>
        <v>92.68222453565383</v>
      </c>
      <c r="H29">
        <f t="shared" ca="1" si="2"/>
        <v>89.231070114777424</v>
      </c>
      <c r="I29">
        <f t="shared" ca="1" si="11"/>
        <v>90.100500000000011</v>
      </c>
      <c r="J29">
        <f t="shared" ca="1" si="12"/>
        <v>1.1130398158102652</v>
      </c>
      <c r="K29">
        <f t="shared" ca="1" si="13"/>
        <v>92.326579631620547</v>
      </c>
      <c r="L29">
        <f t="shared" ca="1" si="14"/>
        <v>87.874420368379475</v>
      </c>
      <c r="M29">
        <f t="shared" ca="1" si="3"/>
        <v>0.39000000000000057</v>
      </c>
      <c r="N29">
        <f t="shared" ca="1" si="4"/>
        <v>0.39000000000000057</v>
      </c>
      <c r="O29">
        <f t="shared" ca="1" si="5"/>
        <v>0</v>
      </c>
      <c r="P29">
        <f t="shared" ca="1" si="9"/>
        <v>0.28018703289659724</v>
      </c>
      <c r="Q29">
        <f t="shared" ca="1" si="10"/>
        <v>0.41138549793823448</v>
      </c>
      <c r="R29">
        <f t="shared" ca="1" si="7"/>
        <v>0.68108145352917759</v>
      </c>
      <c r="S29">
        <f t="shared" ca="1" si="8"/>
        <v>40.514482632554753</v>
      </c>
      <c r="T29">
        <f>70</f>
        <v>70</v>
      </c>
      <c r="U29">
        <f>30</f>
        <v>30</v>
      </c>
      <c r="V29">
        <f t="shared" ca="1" si="6"/>
        <v>89.989450331275776</v>
      </c>
      <c r="W29">
        <f t="shared" ref="W29:W92" ca="1" si="16">B29*(2/(26+1)) + W28*(1-(2/(26+1)))</f>
        <v>90.813218318033151</v>
      </c>
      <c r="X29">
        <f t="shared" ca="1" si="15"/>
        <v>-0.80578121074606202</v>
      </c>
    </row>
    <row r="30" spans="1:24" x14ac:dyDescent="0.25">
      <c r="A30" vm="84">
        <f ca="1"/>
        <v>45334</v>
      </c>
      <c r="B30" vm="85">
        <f ca="1"/>
        <v>89.45</v>
      </c>
      <c r="C30" vm="86">
        <f ca="1"/>
        <v>1627308</v>
      </c>
      <c r="D30">
        <f t="shared" ca="1" si="0"/>
        <v>145562700.59999999</v>
      </c>
      <c r="E30">
        <f ca="1">SUM($D$2:D30)/SUM($C$2:C30)</f>
        <v>90.909641628664758</v>
      </c>
      <c r="F30">
        <f ca="1">_xlfn.STDEV.P($B$2:B30)</f>
        <v>1.7182142376515477</v>
      </c>
      <c r="G30">
        <f t="shared" ca="1" si="1"/>
        <v>92.62785586631631</v>
      </c>
      <c r="H30">
        <f t="shared" ca="1" si="2"/>
        <v>89.191427391013207</v>
      </c>
      <c r="I30">
        <f t="shared" ca="1" si="11"/>
        <v>89.992000000000004</v>
      </c>
      <c r="J30">
        <f t="shared" ca="1" si="12"/>
        <v>1.0617046868622479</v>
      </c>
      <c r="K30">
        <f t="shared" ca="1" si="13"/>
        <v>92.115409373724503</v>
      </c>
      <c r="L30">
        <f t="shared" ca="1" si="14"/>
        <v>87.868590626275505</v>
      </c>
      <c r="M30">
        <f t="shared" ca="1" si="3"/>
        <v>0.39000000000000057</v>
      </c>
      <c r="N30">
        <f t="shared" ca="1" si="4"/>
        <v>0.39000000000000057</v>
      </c>
      <c r="O30">
        <f t="shared" ca="1" si="5"/>
        <v>0</v>
      </c>
      <c r="P30">
        <f t="shared" ca="1" si="9"/>
        <v>0.28803081626112609</v>
      </c>
      <c r="Q30">
        <f t="shared" ca="1" si="10"/>
        <v>0.38200081951407489</v>
      </c>
      <c r="R30">
        <f t="shared" ca="1" si="7"/>
        <v>0.75400575482407717</v>
      </c>
      <c r="S30">
        <f t="shared" ca="1" si="8"/>
        <v>42.987644296509295</v>
      </c>
      <c r="T30">
        <f>70</f>
        <v>70</v>
      </c>
      <c r="U30">
        <f>30</f>
        <v>30</v>
      </c>
      <c r="V30">
        <f t="shared" ca="1" si="6"/>
        <v>89.906457972617972</v>
      </c>
      <c r="W30">
        <f t="shared" ca="1" si="16"/>
        <v>90.712239183364034</v>
      </c>
      <c r="X30">
        <f t="shared" ca="1" si="15"/>
        <v>-1.0042726972244367</v>
      </c>
    </row>
    <row r="31" spans="1:24" x14ac:dyDescent="0.25">
      <c r="A31" vm="87">
        <f ca="1"/>
        <v>45335</v>
      </c>
      <c r="B31" vm="88">
        <f ca="1"/>
        <v>86.67</v>
      </c>
      <c r="C31" vm="89">
        <f ca="1"/>
        <v>3513616</v>
      </c>
      <c r="D31">
        <f t="shared" ca="1" si="0"/>
        <v>304525098.72000003</v>
      </c>
      <c r="E31">
        <f ca="1">SUM($D$2:D31)/SUM($C$2:C31)</f>
        <v>90.642069852410927</v>
      </c>
      <c r="F31">
        <f ca="1">_xlfn.STDEV.P($B$2:B31)</f>
        <v>1.8537106630275988</v>
      </c>
      <c r="G31">
        <f t="shared" ca="1" si="1"/>
        <v>92.495780515438526</v>
      </c>
      <c r="H31">
        <f t="shared" ca="1" si="2"/>
        <v>88.788359189383328</v>
      </c>
      <c r="I31">
        <f t="shared" ca="1" si="11"/>
        <v>89.747500000000016</v>
      </c>
      <c r="J31">
        <f t="shared" ca="1" si="12"/>
        <v>1.2311435633930801</v>
      </c>
      <c r="K31">
        <f t="shared" ca="1" si="13"/>
        <v>92.209787126786182</v>
      </c>
      <c r="L31">
        <f t="shared" ca="1" si="14"/>
        <v>87.285212873213851</v>
      </c>
      <c r="M31">
        <f t="shared" ca="1" si="3"/>
        <v>-2.7800000000000011</v>
      </c>
      <c r="N31">
        <f t="shared" ca="1" si="4"/>
        <v>0</v>
      </c>
      <c r="O31">
        <f t="shared" ca="1" si="5"/>
        <v>2.7800000000000011</v>
      </c>
      <c r="P31">
        <f t="shared" ca="1" si="9"/>
        <v>0.26745718652818851</v>
      </c>
      <c r="Q31">
        <f t="shared" ca="1" si="10"/>
        <v>0.55328647526306962</v>
      </c>
      <c r="R31">
        <f t="shared" ca="1" si="7"/>
        <v>0.48339729685425864</v>
      </c>
      <c r="S31">
        <f t="shared" ca="1" si="8"/>
        <v>32.587176603285371</v>
      </c>
      <c r="T31">
        <f>70</f>
        <v>70</v>
      </c>
      <c r="U31">
        <f>30</f>
        <v>30</v>
      </c>
      <c r="V31">
        <f t="shared" ca="1" si="6"/>
        <v>89.40854136144597</v>
      </c>
      <c r="W31">
        <f t="shared" ca="1" si="16"/>
        <v>90.412814058670406</v>
      </c>
      <c r="X31">
        <f t="shared" ca="1" si="15"/>
        <v>-1.1347800134428212</v>
      </c>
    </row>
    <row r="32" spans="1:24" x14ac:dyDescent="0.25">
      <c r="A32" vm="90">
        <f ca="1"/>
        <v>45336</v>
      </c>
      <c r="B32" vm="91">
        <f ca="1"/>
        <v>86.84</v>
      </c>
      <c r="C32" vm="92">
        <f ca="1"/>
        <v>2412954</v>
      </c>
      <c r="D32">
        <f t="shared" ca="1" si="0"/>
        <v>209540925.36000001</v>
      </c>
      <c r="E32">
        <f ca="1">SUM($D$2:D32)/SUM($C$2:C32)</f>
        <v>90.484127199566515</v>
      </c>
      <c r="F32">
        <f ca="1">_xlfn.STDEV.P($B$2:B32)</f>
        <v>1.951902244613857</v>
      </c>
      <c r="G32">
        <f t="shared" ca="1" si="1"/>
        <v>92.436029444180377</v>
      </c>
      <c r="H32">
        <f t="shared" ca="1" si="2"/>
        <v>88.532224954952653</v>
      </c>
      <c r="I32">
        <f t="shared" ca="1" si="11"/>
        <v>89.561999999999998</v>
      </c>
      <c r="J32">
        <f t="shared" ca="1" si="12"/>
        <v>1.3749625832229608</v>
      </c>
      <c r="K32">
        <f t="shared" ca="1" si="13"/>
        <v>92.311925166445917</v>
      </c>
      <c r="L32">
        <f t="shared" ca="1" si="14"/>
        <v>86.812074833554078</v>
      </c>
      <c r="M32">
        <f t="shared" ca="1" si="3"/>
        <v>0.17000000000000171</v>
      </c>
      <c r="N32">
        <f t="shared" ca="1" si="4"/>
        <v>0.17000000000000171</v>
      </c>
      <c r="O32">
        <f t="shared" ca="1" si="5"/>
        <v>0</v>
      </c>
      <c r="P32">
        <f t="shared" ca="1" si="9"/>
        <v>0.26049595891903232</v>
      </c>
      <c r="Q32">
        <f t="shared" ca="1" si="10"/>
        <v>0.51376601274427891</v>
      </c>
      <c r="R32">
        <f t="shared" ca="1" si="7"/>
        <v>0.50703229185518583</v>
      </c>
      <c r="S32">
        <f t="shared" ca="1" si="8"/>
        <v>33.644421197572314</v>
      </c>
      <c r="T32">
        <f>70</f>
        <v>70</v>
      </c>
      <c r="U32">
        <f>30</f>
        <v>30</v>
      </c>
      <c r="V32">
        <f t="shared" ca="1" si="6"/>
        <v>89.013381151992746</v>
      </c>
      <c r="W32">
        <f t="shared" ca="1" si="16"/>
        <v>90.148161165435567</v>
      </c>
      <c r="X32">
        <f t="shared" ca="1" si="15"/>
        <v>-1.1140118992157113</v>
      </c>
    </row>
    <row r="33" spans="1:26" x14ac:dyDescent="0.25">
      <c r="A33" vm="93">
        <f ca="1"/>
        <v>45337</v>
      </c>
      <c r="B33" vm="94">
        <f ca="1"/>
        <v>88.22</v>
      </c>
      <c r="C33" vm="95">
        <f ca="1"/>
        <v>2168515</v>
      </c>
      <c r="D33">
        <f t="shared" ca="1" si="0"/>
        <v>191306393.30000001</v>
      </c>
      <c r="E33">
        <f ca="1">SUM($D$2:D33)/SUM($C$2:C33)</f>
        <v>90.402642633231096</v>
      </c>
      <c r="F33">
        <f ca="1">_xlfn.STDEV.P($B$2:B33)</f>
        <v>1.9672325252988647</v>
      </c>
      <c r="G33">
        <f t="shared" ca="1" si="1"/>
        <v>92.369875158529965</v>
      </c>
      <c r="H33">
        <f t="shared" ca="1" si="2"/>
        <v>88.435410107932228</v>
      </c>
      <c r="I33">
        <f t="shared" ca="1" si="11"/>
        <v>89.503000000000014</v>
      </c>
      <c r="J33">
        <f t="shared" ca="1" si="12"/>
        <v>1.4072186079377704</v>
      </c>
      <c r="K33">
        <f t="shared" ca="1" si="13"/>
        <v>92.317437215875557</v>
      </c>
      <c r="L33">
        <f t="shared" ca="1" si="14"/>
        <v>86.688562784124471</v>
      </c>
      <c r="M33">
        <f t="shared" ca="1" si="3"/>
        <v>1.3799999999999955</v>
      </c>
      <c r="N33">
        <f t="shared" ca="1" si="4"/>
        <v>1.3799999999999955</v>
      </c>
      <c r="O33">
        <f t="shared" ca="1" si="5"/>
        <v>0</v>
      </c>
      <c r="P33">
        <f t="shared" ca="1" si="9"/>
        <v>0.34046053328195824</v>
      </c>
      <c r="Q33">
        <f t="shared" ca="1" si="10"/>
        <v>0.47706844040540186</v>
      </c>
      <c r="R33">
        <f t="shared" ca="1" si="7"/>
        <v>0.71365134317550472</v>
      </c>
      <c r="S33">
        <f t="shared" ca="1" si="8"/>
        <v>41.645072436558969</v>
      </c>
      <c r="T33">
        <f>70</f>
        <v>70</v>
      </c>
      <c r="U33">
        <f>30</f>
        <v>30</v>
      </c>
      <c r="V33">
        <f t="shared" ca="1" si="6"/>
        <v>88.891322513224623</v>
      </c>
      <c r="W33">
        <f t="shared" ca="1" si="16"/>
        <v>90.005334412440334</v>
      </c>
      <c r="X33">
        <f t="shared" ca="1" si="15"/>
        <v>-1.1568401641464305</v>
      </c>
    </row>
    <row r="34" spans="1:26" x14ac:dyDescent="0.25">
      <c r="A34" vm="96">
        <f ca="1"/>
        <v>45338</v>
      </c>
      <c r="B34" vm="97">
        <f ca="1"/>
        <v>87.32</v>
      </c>
      <c r="C34" vm="98">
        <f ca="1"/>
        <v>2949343</v>
      </c>
      <c r="D34">
        <f t="shared" ca="1" si="0"/>
        <v>257536630.75999999</v>
      </c>
      <c r="E34">
        <f ca="1">SUM($D$2:D34)/SUM($C$2:C34)</f>
        <v>90.258793749510147</v>
      </c>
      <c r="F34">
        <f ca="1">_xlfn.STDEV.P($B$2:B34)</f>
        <v>2.0160263309604374</v>
      </c>
      <c r="G34">
        <f t="shared" ca="1" si="1"/>
        <v>92.27482008047059</v>
      </c>
      <c r="H34">
        <f t="shared" ca="1" si="2"/>
        <v>88.242767418549704</v>
      </c>
      <c r="I34">
        <f t="shared" ca="1" si="11"/>
        <v>89.376000000000005</v>
      </c>
      <c r="J34">
        <f t="shared" ca="1" si="12"/>
        <v>1.4857300172677836</v>
      </c>
      <c r="K34">
        <f t="shared" ca="1" si="13"/>
        <v>92.347460034535573</v>
      </c>
      <c r="L34">
        <f t="shared" ca="1" si="14"/>
        <v>86.404539965464437</v>
      </c>
      <c r="M34">
        <f t="shared" ca="1" si="3"/>
        <v>-0.90000000000000568</v>
      </c>
      <c r="N34">
        <f t="shared" ca="1" si="4"/>
        <v>0</v>
      </c>
      <c r="O34">
        <f t="shared" ca="1" si="5"/>
        <v>0.90000000000000568</v>
      </c>
      <c r="P34">
        <f t="shared" ca="1" si="9"/>
        <v>0.31614192376181832</v>
      </c>
      <c r="Q34">
        <f t="shared" ca="1" si="10"/>
        <v>0.50727783751930211</v>
      </c>
      <c r="R34">
        <f t="shared" ca="1" si="7"/>
        <v>0.62321256790523394</v>
      </c>
      <c r="S34">
        <f t="shared" ca="1" si="8"/>
        <v>38.393774187535634</v>
      </c>
      <c r="T34">
        <f>70</f>
        <v>70</v>
      </c>
      <c r="U34">
        <f>30</f>
        <v>30</v>
      </c>
      <c r="V34">
        <f t="shared" ca="1" si="6"/>
        <v>88.649580588113139</v>
      </c>
      <c r="W34">
        <f t="shared" ca="1" si="16"/>
        <v>89.806420752259569</v>
      </c>
      <c r="X34">
        <f t="shared" ca="1" si="15"/>
        <v>-1.1564709681332204</v>
      </c>
    </row>
    <row r="35" spans="1:26" x14ac:dyDescent="0.25">
      <c r="A35" vm="99">
        <f ca="1"/>
        <v>45342</v>
      </c>
      <c r="B35" vm="100">
        <f ca="1"/>
        <v>87.58</v>
      </c>
      <c r="C35" vm="101">
        <f ca="1"/>
        <v>1974526</v>
      </c>
      <c r="D35">
        <f t="shared" ca="1" si="0"/>
        <v>172928987.07999998</v>
      </c>
      <c r="E35">
        <f ca="1">SUM($D$2:D35)/SUM($C$2:C35)</f>
        <v>90.177641583188304</v>
      </c>
      <c r="F35">
        <f ca="1">_xlfn.STDEV.P($B$2:B35)</f>
        <v>2.0456169913824356</v>
      </c>
      <c r="G35">
        <f t="shared" ca="1" si="1"/>
        <v>92.223258574570735</v>
      </c>
      <c r="H35">
        <f t="shared" ca="1" si="2"/>
        <v>88.132024591805873</v>
      </c>
      <c r="I35">
        <f t="shared" ca="1" si="11"/>
        <v>89.294999999999987</v>
      </c>
      <c r="J35">
        <f t="shared" ca="1" si="12"/>
        <v>1.5390342152757606</v>
      </c>
      <c r="K35">
        <f t="shared" ca="1" si="13"/>
        <v>92.373068430551513</v>
      </c>
      <c r="L35">
        <f t="shared" ca="1" si="14"/>
        <v>86.216931569448462</v>
      </c>
      <c r="M35">
        <f t="shared" ca="1" si="3"/>
        <v>0.26000000000000512</v>
      </c>
      <c r="N35">
        <f t="shared" ca="1" si="4"/>
        <v>0.26000000000000512</v>
      </c>
      <c r="O35">
        <f t="shared" ca="1" si="5"/>
        <v>0</v>
      </c>
      <c r="P35">
        <f t="shared" ca="1" si="9"/>
        <v>0.31213178635026023</v>
      </c>
      <c r="Q35">
        <f t="shared" ca="1" si="10"/>
        <v>0.47104370626792341</v>
      </c>
      <c r="R35">
        <f t="shared" ca="1" si="7"/>
        <v>0.66263869402539854</v>
      </c>
      <c r="S35">
        <f t="shared" ca="1" si="8"/>
        <v>39.854641685325532</v>
      </c>
      <c r="T35">
        <f>70</f>
        <v>70</v>
      </c>
      <c r="U35">
        <f>30</f>
        <v>30</v>
      </c>
      <c r="V35">
        <f t="shared" ca="1" si="6"/>
        <v>88.485029728403418</v>
      </c>
      <c r="W35">
        <f t="shared" ca="1" si="16"/>
        <v>89.641500696536639</v>
      </c>
      <c r="X35">
        <f t="shared" ca="1" si="15"/>
        <v>-1.0608373135002722</v>
      </c>
    </row>
    <row r="36" spans="1:26" x14ac:dyDescent="0.25">
      <c r="A36" vm="102">
        <f ca="1"/>
        <v>45343</v>
      </c>
      <c r="B36" vm="103">
        <f ca="1"/>
        <v>88.61</v>
      </c>
      <c r="C36" vm="104">
        <f ca="1"/>
        <v>1747225</v>
      </c>
      <c r="D36">
        <f t="shared" ca="1" si="0"/>
        <v>154821607.25</v>
      </c>
      <c r="E36">
        <f ca="1">SUM($D$2:D36)/SUM($C$2:C36)</f>
        <v>90.136715063956416</v>
      </c>
      <c r="F36">
        <f ca="1">_xlfn.STDEV.P($B$2:B36)</f>
        <v>2.0379380135172842</v>
      </c>
      <c r="G36">
        <f t="shared" ca="1" si="1"/>
        <v>92.174653077473707</v>
      </c>
      <c r="H36">
        <f t="shared" ca="1" si="2"/>
        <v>88.098777050439125</v>
      </c>
      <c r="I36">
        <f t="shared" ca="1" si="11"/>
        <v>89.269499999999994</v>
      </c>
      <c r="J36">
        <f t="shared" ca="1" si="12"/>
        <v>1.5462942969019777</v>
      </c>
      <c r="K36">
        <f t="shared" ca="1" si="13"/>
        <v>92.362088593803946</v>
      </c>
      <c r="L36">
        <f t="shared" ca="1" si="14"/>
        <v>86.176911406196041</v>
      </c>
      <c r="M36">
        <f t="shared" ca="1" si="3"/>
        <v>1.0300000000000011</v>
      </c>
      <c r="N36">
        <f t="shared" ca="1" si="4"/>
        <v>1.0300000000000011</v>
      </c>
      <c r="O36">
        <f t="shared" ca="1" si="5"/>
        <v>0</v>
      </c>
      <c r="P36">
        <f t="shared" ca="1" si="9"/>
        <v>0.36340808732524177</v>
      </c>
      <c r="Q36">
        <f t="shared" ca="1" si="10"/>
        <v>0.43739772724878601</v>
      </c>
      <c r="R36">
        <f t="shared" ca="1" si="7"/>
        <v>0.83084127942562469</v>
      </c>
      <c r="S36">
        <f t="shared" ca="1" si="8"/>
        <v>45.380300780976384</v>
      </c>
      <c r="T36">
        <f>70</f>
        <v>70</v>
      </c>
      <c r="U36">
        <f>30</f>
        <v>30</v>
      </c>
      <c r="V36">
        <f t="shared" ca="1" si="6"/>
        <v>88.504255924033657</v>
      </c>
      <c r="W36">
        <f t="shared" ca="1" si="16"/>
        <v>89.565093237533929</v>
      </c>
      <c r="X36">
        <f t="shared" ca="1" si="15"/>
        <v>-1.0296618027365412</v>
      </c>
      <c r="Y36" s="9">
        <f ca="1">AVERAGE(X28:X36)</f>
        <v>-1.0318248951003188</v>
      </c>
    </row>
    <row r="37" spans="1:26" x14ac:dyDescent="0.25">
      <c r="A37" vm="105">
        <f ca="1"/>
        <v>45344</v>
      </c>
      <c r="B37" vm="106">
        <f ca="1"/>
        <v>87.91</v>
      </c>
      <c r="C37" vm="107">
        <f ca="1"/>
        <v>1628834</v>
      </c>
      <c r="D37">
        <f t="shared" ca="1" si="0"/>
        <v>143190796.94</v>
      </c>
      <c r="E37">
        <f ca="1">SUM($D$2:D37)/SUM($C$2:C37)</f>
        <v>90.083808767418191</v>
      </c>
      <c r="F37">
        <f ca="1">_xlfn.STDEV.P($B$2:B37)</f>
        <v>2.048784700743346</v>
      </c>
      <c r="G37">
        <f t="shared" ca="1" si="1"/>
        <v>92.132593468161531</v>
      </c>
      <c r="H37">
        <f t="shared" ca="1" si="2"/>
        <v>88.03502406667485</v>
      </c>
      <c r="I37">
        <f t="shared" ca="1" si="11"/>
        <v>89.248999999999995</v>
      </c>
      <c r="J37">
        <f t="shared" ca="1" si="12"/>
        <v>1.5621809990152271</v>
      </c>
      <c r="K37">
        <f t="shared" ca="1" si="13"/>
        <v>92.373361998030447</v>
      </c>
      <c r="L37">
        <f t="shared" ca="1" si="14"/>
        <v>86.124638001969544</v>
      </c>
      <c r="M37">
        <f t="shared" ca="1" si="3"/>
        <v>-0.70000000000000284</v>
      </c>
      <c r="N37">
        <f t="shared" ca="1" si="4"/>
        <v>0</v>
      </c>
      <c r="O37">
        <f t="shared" ca="1" si="5"/>
        <v>0.70000000000000284</v>
      </c>
      <c r="P37">
        <f t="shared" ca="1" si="9"/>
        <v>0.33745036680201018</v>
      </c>
      <c r="Q37">
        <f t="shared" ca="1" si="10"/>
        <v>0.45615503244530148</v>
      </c>
      <c r="R37">
        <f t="shared" ca="1" si="7"/>
        <v>0.73977122425471553</v>
      </c>
      <c r="S37">
        <f t="shared" ca="1" si="8"/>
        <v>42.521178298693798</v>
      </c>
      <c r="T37">
        <f>70</f>
        <v>70</v>
      </c>
      <c r="U37">
        <f>30</f>
        <v>30</v>
      </c>
      <c r="V37">
        <f t="shared" ca="1" si="6"/>
        <v>88.412831935720789</v>
      </c>
      <c r="W37">
        <f t="shared" ca="1" si="16"/>
        <v>89.44249373845733</v>
      </c>
      <c r="X37">
        <f t="shared" ca="1" si="15"/>
        <v>-0.99190706578222887</v>
      </c>
      <c r="Y37">
        <f ca="1">X37*(2/(9+1)) + Y36*(1-(2/(9+1)))</f>
        <v>-1.023841329236701</v>
      </c>
      <c r="Z37">
        <f ca="1">X37-Y37</f>
        <v>3.1934263454472145E-2</v>
      </c>
    </row>
    <row r="38" spans="1:26" x14ac:dyDescent="0.25">
      <c r="A38" vm="108">
        <f ca="1"/>
        <v>45345</v>
      </c>
      <c r="B38" vm="109">
        <f ca="1"/>
        <v>87.93</v>
      </c>
      <c r="C38" vm="110">
        <f ca="1"/>
        <v>1190734</v>
      </c>
      <c r="D38">
        <f t="shared" ca="1" si="0"/>
        <v>104701240.62</v>
      </c>
      <c r="E38">
        <f ca="1">SUM($D$2:D38)/SUM($C$2:C38)</f>
        <v>90.047037450501264</v>
      </c>
      <c r="F38">
        <f ca="1">_xlfn.STDEV.P($B$2:B38)</f>
        <v>2.0563499260246307</v>
      </c>
      <c r="G38">
        <f t="shared" ca="1" si="1"/>
        <v>92.103387376525902</v>
      </c>
      <c r="H38">
        <f t="shared" ca="1" si="2"/>
        <v>87.990687524476627</v>
      </c>
      <c r="I38">
        <f t="shared" ca="1" si="11"/>
        <v>89.162000000000006</v>
      </c>
      <c r="J38">
        <f t="shared" ca="1" si="12"/>
        <v>1.5857742588401418</v>
      </c>
      <c r="K38">
        <f t="shared" ca="1" si="13"/>
        <v>92.333548517680285</v>
      </c>
      <c r="L38">
        <f t="shared" ca="1" si="14"/>
        <v>85.990451482319727</v>
      </c>
      <c r="M38">
        <f t="shared" ca="1" si="3"/>
        <v>2.0000000000010232E-2</v>
      </c>
      <c r="N38">
        <f t="shared" ca="1" si="4"/>
        <v>2.0000000000010232E-2</v>
      </c>
      <c r="O38">
        <f t="shared" ca="1" si="5"/>
        <v>0</v>
      </c>
      <c r="P38">
        <f t="shared" ca="1" si="9"/>
        <v>0.31477534060186729</v>
      </c>
      <c r="Q38">
        <f t="shared" ca="1" si="10"/>
        <v>0.42357253012777996</v>
      </c>
      <c r="R38">
        <f t="shared" ca="1" si="7"/>
        <v>0.74314389676523263</v>
      </c>
      <c r="S38">
        <f t="shared" ca="1" si="8"/>
        <v>42.632389566018688</v>
      </c>
      <c r="T38">
        <f>70</f>
        <v>70</v>
      </c>
      <c r="U38">
        <f>30</f>
        <v>30</v>
      </c>
      <c r="V38">
        <f t="shared" ca="1" si="6"/>
        <v>88.338550099456043</v>
      </c>
      <c r="W38">
        <f t="shared" ca="1" si="16"/>
        <v>89.330457165238272</v>
      </c>
      <c r="X38">
        <f t="shared" ca="1" si="15"/>
        <v>-1.0882313366495708</v>
      </c>
      <c r="Y38">
        <f t="shared" ref="Y38:Y101" ca="1" si="17">X38*(2/(9+1)) + Y37*(1-(2/(9+1)))</f>
        <v>-1.036719330719275</v>
      </c>
      <c r="Z38">
        <f t="shared" ref="Z38:Z101" ca="1" si="18">X38-Y38</f>
        <v>-5.1512005930295812E-2</v>
      </c>
    </row>
    <row r="39" spans="1:26" x14ac:dyDescent="0.25">
      <c r="A39" vm="111">
        <f ca="1"/>
        <v>45348</v>
      </c>
      <c r="B39" vm="112">
        <f ca="1"/>
        <v>86.21</v>
      </c>
      <c r="C39" vm="113">
        <f ca="1"/>
        <v>1562868</v>
      </c>
      <c r="D39">
        <f t="shared" ca="1" si="0"/>
        <v>134734850.28</v>
      </c>
      <c r="E39">
        <f ca="1">SUM($D$2:D39)/SUM($C$2:C39)</f>
        <v>89.962940307000608</v>
      </c>
      <c r="F39">
        <f ca="1">_xlfn.STDEV.P($B$2:B39)</f>
        <v>2.1277770675772123</v>
      </c>
      <c r="G39">
        <f t="shared" ca="1" si="1"/>
        <v>92.090717374577821</v>
      </c>
      <c r="H39">
        <f t="shared" ca="1" si="2"/>
        <v>87.835163239423395</v>
      </c>
      <c r="I39">
        <f t="shared" ca="1" si="11"/>
        <v>88.971500000000006</v>
      </c>
      <c r="J39">
        <f t="shared" ca="1" si="12"/>
        <v>1.7018759772983656</v>
      </c>
      <c r="K39">
        <f t="shared" ca="1" si="13"/>
        <v>92.375251954596735</v>
      </c>
      <c r="L39">
        <f t="shared" ca="1" si="14"/>
        <v>85.567748045403278</v>
      </c>
      <c r="M39">
        <f t="shared" ca="1" si="3"/>
        <v>-1.7200000000000131</v>
      </c>
      <c r="N39">
        <f t="shared" ca="1" si="4"/>
        <v>0</v>
      </c>
      <c r="O39">
        <f t="shared" ca="1" si="5"/>
        <v>1.7200000000000131</v>
      </c>
      <c r="P39">
        <f t="shared" ca="1" si="9"/>
        <v>0.29229138770173391</v>
      </c>
      <c r="Q39">
        <f t="shared" ca="1" si="10"/>
        <v>0.51617449226151091</v>
      </c>
      <c r="R39">
        <f t="shared" ca="1" si="7"/>
        <v>0.56626468778245931</v>
      </c>
      <c r="S39">
        <f t="shared" ca="1" si="8"/>
        <v>36.153830971199717</v>
      </c>
      <c r="T39">
        <f>70</f>
        <v>70</v>
      </c>
      <c r="U39">
        <f>30</f>
        <v>30</v>
      </c>
      <c r="V39">
        <f t="shared" ca="1" si="6"/>
        <v>88.011080853385877</v>
      </c>
      <c r="W39">
        <f t="shared" ca="1" si="16"/>
        <v>89.099312190035448</v>
      </c>
      <c r="X39">
        <f t="shared" ca="1" si="15"/>
        <v>-1.0978502800738283</v>
      </c>
      <c r="Y39">
        <f t="shared" ca="1" si="17"/>
        <v>-1.0489455205901859</v>
      </c>
      <c r="Z39">
        <f t="shared" ca="1" si="18"/>
        <v>-4.8904759483642479E-2</v>
      </c>
    </row>
    <row r="40" spans="1:26" x14ac:dyDescent="0.25">
      <c r="A40" vm="114">
        <f ca="1"/>
        <v>45349</v>
      </c>
      <c r="B40" vm="115">
        <f ca="1"/>
        <v>86.88</v>
      </c>
      <c r="C40" vm="116">
        <f ca="1"/>
        <v>1159107</v>
      </c>
      <c r="D40">
        <f t="shared" ca="1" si="0"/>
        <v>100703216.16</v>
      </c>
      <c r="E40">
        <f ca="1">SUM($D$2:D40)/SUM($C$2:C40)</f>
        <v>89.913628733006945</v>
      </c>
      <c r="F40">
        <f ca="1">_xlfn.STDEV.P($B$2:B40)</f>
        <v>2.1613136422305868</v>
      </c>
      <c r="G40">
        <f t="shared" ca="1" si="1"/>
        <v>92.074942375237526</v>
      </c>
      <c r="H40">
        <f t="shared" ca="1" si="2"/>
        <v>87.752315090776364</v>
      </c>
      <c r="I40">
        <f t="shared" ca="1" si="11"/>
        <v>88.786000000000016</v>
      </c>
      <c r="J40">
        <f t="shared" ca="1" si="12"/>
        <v>1.7182898474937236</v>
      </c>
      <c r="K40">
        <f t="shared" ca="1" si="13"/>
        <v>92.222579694987459</v>
      </c>
      <c r="L40">
        <f t="shared" ca="1" si="14"/>
        <v>85.349420305012572</v>
      </c>
      <c r="M40">
        <f t="shared" ca="1" si="3"/>
        <v>0.67000000000000171</v>
      </c>
      <c r="N40">
        <f t="shared" ca="1" si="4"/>
        <v>0.67000000000000171</v>
      </c>
      <c r="O40">
        <f t="shared" ca="1" si="5"/>
        <v>0</v>
      </c>
      <c r="P40">
        <f t="shared" ca="1" si="9"/>
        <v>0.31927057429446737</v>
      </c>
      <c r="Q40">
        <f t="shared" ca="1" si="10"/>
        <v>0.47930488567140295</v>
      </c>
      <c r="R40">
        <f t="shared" ca="1" si="7"/>
        <v>0.66611166261582755</v>
      </c>
      <c r="S40">
        <f t="shared" ca="1" si="8"/>
        <v>39.980013198516318</v>
      </c>
      <c r="T40">
        <f>70</f>
        <v>70</v>
      </c>
      <c r="U40">
        <f>30</f>
        <v>30</v>
      </c>
      <c r="V40">
        <f t="shared" ca="1" si="6"/>
        <v>87.837068414403433</v>
      </c>
      <c r="W40">
        <f t="shared" ca="1" si="16"/>
        <v>88.934918694477261</v>
      </c>
      <c r="X40">
        <f t="shared" ca="1" si="15"/>
        <v>-1.1112229533541012</v>
      </c>
      <c r="Y40">
        <f t="shared" ca="1" si="17"/>
        <v>-1.0614010071429689</v>
      </c>
      <c r="Z40">
        <f t="shared" ca="1" si="18"/>
        <v>-4.9821946211132229E-2</v>
      </c>
    </row>
    <row r="41" spans="1:26" x14ac:dyDescent="0.25">
      <c r="A41" vm="117">
        <f ca="1"/>
        <v>45350</v>
      </c>
      <c r="B41" vm="118">
        <f ca="1"/>
        <v>86.65</v>
      </c>
      <c r="C41" vm="119">
        <f ca="1"/>
        <v>1185454</v>
      </c>
      <c r="D41">
        <f t="shared" ca="1" si="0"/>
        <v>102719589.10000001</v>
      </c>
      <c r="E41">
        <f ca="1">SUM($D$2:D41)/SUM($C$2:C41)</f>
        <v>89.861099781989381</v>
      </c>
      <c r="F41">
        <f ca="1">_xlfn.STDEV.P($B$2:B41)</f>
        <v>2.1981316498335581</v>
      </c>
      <c r="G41">
        <f t="shared" ca="1" si="1"/>
        <v>92.059231431822937</v>
      </c>
      <c r="H41">
        <f t="shared" ca="1" si="2"/>
        <v>87.662968132155825</v>
      </c>
      <c r="I41">
        <f t="shared" ca="1" si="11"/>
        <v>88.584500000000006</v>
      </c>
      <c r="J41">
        <f t="shared" ca="1" si="12"/>
        <v>1.7207876868335314</v>
      </c>
      <c r="K41">
        <f t="shared" ca="1" si="13"/>
        <v>92.026075373667069</v>
      </c>
      <c r="L41">
        <f t="shared" ca="1" si="14"/>
        <v>85.142924626332942</v>
      </c>
      <c r="M41">
        <f t="shared" ca="1" si="3"/>
        <v>-0.22999999999998977</v>
      </c>
      <c r="N41">
        <f t="shared" ca="1" si="4"/>
        <v>0</v>
      </c>
      <c r="O41">
        <f t="shared" ca="1" si="5"/>
        <v>0.22999999999998977</v>
      </c>
      <c r="P41">
        <f t="shared" ca="1" si="9"/>
        <v>0.29646553327343395</v>
      </c>
      <c r="Q41">
        <f t="shared" ca="1" si="10"/>
        <v>0.46149739383773059</v>
      </c>
      <c r="R41">
        <f t="shared" ca="1" si="7"/>
        <v>0.64239914944714871</v>
      </c>
      <c r="S41">
        <f t="shared" ca="1" si="8"/>
        <v>39.113460918643796</v>
      </c>
      <c r="T41">
        <f>70</f>
        <v>70</v>
      </c>
      <c r="U41">
        <f>30</f>
        <v>30</v>
      </c>
      <c r="V41">
        <f t="shared" ca="1" si="6"/>
        <v>87.654442504495222</v>
      </c>
      <c r="W41">
        <f t="shared" ca="1" si="16"/>
        <v>88.765665457849323</v>
      </c>
      <c r="X41">
        <f t="shared" ca="1" si="15"/>
        <v>-1.064364244917229</v>
      </c>
      <c r="Y41">
        <f t="shared" ca="1" si="17"/>
        <v>-1.061993654697821</v>
      </c>
      <c r="Z41">
        <f t="shared" ca="1" si="18"/>
        <v>-2.3705902194079975E-3</v>
      </c>
    </row>
    <row r="42" spans="1:26" x14ac:dyDescent="0.25">
      <c r="A42" vm="120">
        <f ca="1"/>
        <v>45351</v>
      </c>
      <c r="B42" vm="121">
        <f ca="1"/>
        <v>87.21</v>
      </c>
      <c r="C42" vm="122">
        <f ca="1"/>
        <v>2803360</v>
      </c>
      <c r="D42">
        <f t="shared" ca="1" si="0"/>
        <v>244481025.59999999</v>
      </c>
      <c r="E42">
        <f ca="1">SUM($D$2:D42)/SUM($C$2:C42)</f>
        <v>89.763893371366692</v>
      </c>
      <c r="F42">
        <f ca="1">_xlfn.STDEV.P($B$2:B42)</f>
        <v>2.211579525502184</v>
      </c>
      <c r="G42">
        <f t="shared" ca="1" si="1"/>
        <v>91.97547289686888</v>
      </c>
      <c r="H42">
        <f t="shared" ca="1" si="2"/>
        <v>87.552313845864504</v>
      </c>
      <c r="I42">
        <f t="shared" ca="1" si="11"/>
        <v>88.4</v>
      </c>
      <c r="J42">
        <f t="shared" ca="1" si="12"/>
        <v>1.6560574614998944</v>
      </c>
      <c r="K42">
        <f t="shared" ca="1" si="13"/>
        <v>91.712114922999788</v>
      </c>
      <c r="L42">
        <f t="shared" ca="1" si="14"/>
        <v>85.087885077000223</v>
      </c>
      <c r="M42">
        <f t="shared" ca="1" si="3"/>
        <v>0.55999999999998806</v>
      </c>
      <c r="N42">
        <f t="shared" ca="1" si="4"/>
        <v>0.55999999999998806</v>
      </c>
      <c r="O42">
        <f t="shared" ca="1" si="5"/>
        <v>0</v>
      </c>
      <c r="P42">
        <f t="shared" ca="1" si="9"/>
        <v>0.31528942375390212</v>
      </c>
      <c r="Q42">
        <f t="shared" ca="1" si="10"/>
        <v>0.42853329427789266</v>
      </c>
      <c r="R42">
        <f t="shared" ca="1" si="7"/>
        <v>0.7357407883212107</v>
      </c>
      <c r="S42">
        <f t="shared" ca="1" si="8"/>
        <v>42.387710957280156</v>
      </c>
      <c r="T42">
        <f>70</f>
        <v>70</v>
      </c>
      <c r="U42">
        <f>30</f>
        <v>30</v>
      </c>
      <c r="V42">
        <f t="shared" ca="1" si="6"/>
        <v>87.586066734572881</v>
      </c>
      <c r="W42">
        <f t="shared" ca="1" si="16"/>
        <v>88.65043097949011</v>
      </c>
      <c r="X42">
        <f t="shared" ca="1" si="15"/>
        <v>-1.0314764905018166</v>
      </c>
      <c r="Y42">
        <f t="shared" ca="1" si="17"/>
        <v>-1.0558902218586201</v>
      </c>
      <c r="Z42">
        <f t="shared" ca="1" si="18"/>
        <v>2.4413731356803581E-2</v>
      </c>
    </row>
    <row r="43" spans="1:26" x14ac:dyDescent="0.25">
      <c r="A43" vm="123">
        <f ca="1"/>
        <v>45352</v>
      </c>
      <c r="B43" vm="124">
        <f ca="1"/>
        <v>87.01</v>
      </c>
      <c r="C43" vm="125">
        <f ca="1"/>
        <v>1571973</v>
      </c>
      <c r="D43">
        <f t="shared" ca="1" si="0"/>
        <v>136777370.73000002</v>
      </c>
      <c r="E43">
        <f ca="1">SUM($D$2:D43)/SUM($C$2:C43)</f>
        <v>89.708412486267875</v>
      </c>
      <c r="F43">
        <f ca="1">_xlfn.STDEV.P($B$2:B43)</f>
        <v>2.2282290131733302</v>
      </c>
      <c r="G43">
        <f t="shared" ca="1" si="1"/>
        <v>91.936641499441208</v>
      </c>
      <c r="H43">
        <f t="shared" ca="1" si="2"/>
        <v>87.480183473094542</v>
      </c>
      <c r="I43">
        <f t="shared" ca="1" si="11"/>
        <v>88.111500000000007</v>
      </c>
      <c r="J43">
        <f t="shared" ca="1" si="12"/>
        <v>1.3217025503413946</v>
      </c>
      <c r="K43">
        <f t="shared" ca="1" si="13"/>
        <v>90.754905100682791</v>
      </c>
      <c r="L43">
        <f t="shared" ca="1" si="14"/>
        <v>85.468094899317222</v>
      </c>
      <c r="M43">
        <f t="shared" ca="1" si="3"/>
        <v>-0.19999999999998863</v>
      </c>
      <c r="N43">
        <f t="shared" ca="1" si="4"/>
        <v>0</v>
      </c>
      <c r="O43">
        <f t="shared" ca="1" si="5"/>
        <v>0.19999999999998863</v>
      </c>
      <c r="P43">
        <f t="shared" ca="1" si="9"/>
        <v>0.2927687506286234</v>
      </c>
      <c r="Q43">
        <f t="shared" ca="1" si="10"/>
        <v>0.41220948754375669</v>
      </c>
      <c r="R43">
        <f t="shared" ca="1" si="7"/>
        <v>0.71024263020521949</v>
      </c>
      <c r="S43">
        <f t="shared" ca="1" si="8"/>
        <v>41.528764261945362</v>
      </c>
      <c r="T43">
        <f>70</f>
        <v>70</v>
      </c>
      <c r="U43">
        <f>30</f>
        <v>30</v>
      </c>
      <c r="V43">
        <f t="shared" ca="1" si="6"/>
        <v>87.497441083100128</v>
      </c>
      <c r="W43">
        <f t="shared" ca="1" si="16"/>
        <v>88.528917573601944</v>
      </c>
      <c r="X43">
        <f t="shared" ca="1" si="15"/>
        <v>-0.82483820438717714</v>
      </c>
      <c r="Y43">
        <f t="shared" ca="1" si="17"/>
        <v>-1.0096798183643316</v>
      </c>
      <c r="Z43">
        <f t="shared" ca="1" si="18"/>
        <v>0.18484161397715448</v>
      </c>
    </row>
    <row r="44" spans="1:26" x14ac:dyDescent="0.25">
      <c r="A44" vm="126">
        <f ca="1"/>
        <v>45355</v>
      </c>
      <c r="B44" vm="127">
        <f ca="1"/>
        <v>89.13</v>
      </c>
      <c r="C44" vm="128">
        <f ca="1"/>
        <v>1960927</v>
      </c>
      <c r="D44">
        <f t="shared" ca="1" si="0"/>
        <v>174777423.50999999</v>
      </c>
      <c r="E44">
        <f ca="1">SUM($D$2:D44)/SUM($C$2:C44)</f>
        <v>89.694232662692215</v>
      </c>
      <c r="F44">
        <f ca="1">_xlfn.STDEV.P($B$2:B44)</f>
        <v>2.2045072811453905</v>
      </c>
      <c r="G44">
        <f t="shared" ca="1" si="1"/>
        <v>91.898739943837612</v>
      </c>
      <c r="H44">
        <f t="shared" ca="1" si="2"/>
        <v>87.489725381546819</v>
      </c>
      <c r="I44">
        <f t="shared" ca="1" si="11"/>
        <v>88.013000000000005</v>
      </c>
      <c r="J44">
        <f t="shared" ca="1" si="12"/>
        <v>1.1494442593110628</v>
      </c>
      <c r="K44">
        <f t="shared" ca="1" si="13"/>
        <v>90.311888518622126</v>
      </c>
      <c r="L44">
        <f t="shared" ca="1" si="14"/>
        <v>85.714111481377884</v>
      </c>
      <c r="M44">
        <f t="shared" ca="1" si="3"/>
        <v>2.1199999999999903</v>
      </c>
      <c r="N44">
        <f t="shared" ca="1" si="4"/>
        <v>2.1199999999999903</v>
      </c>
      <c r="O44">
        <f t="shared" ca="1" si="5"/>
        <v>0</v>
      </c>
      <c r="P44">
        <f t="shared" ca="1" si="9"/>
        <v>0.42328526844086384</v>
      </c>
      <c r="Q44">
        <f t="shared" ca="1" si="10"/>
        <v>0.38276595271920266</v>
      </c>
      <c r="R44">
        <f t="shared" ca="1" si="7"/>
        <v>1.1058592474952602</v>
      </c>
      <c r="S44">
        <f t="shared" ca="1" si="8"/>
        <v>52.513445464628532</v>
      </c>
      <c r="T44">
        <f>70</f>
        <v>70</v>
      </c>
      <c r="U44">
        <f>30</f>
        <v>30</v>
      </c>
      <c r="V44">
        <f t="shared" ca="1" si="6"/>
        <v>87.748603993392408</v>
      </c>
      <c r="W44">
        <f t="shared" ca="1" si="16"/>
        <v>88.573442197779585</v>
      </c>
      <c r="X44">
        <f t="shared" ca="1" si="15"/>
        <v>-0.66471033686843839</v>
      </c>
      <c r="Y44">
        <f t="shared" ca="1" si="17"/>
        <v>-0.94068592206515311</v>
      </c>
      <c r="Z44">
        <f t="shared" ca="1" si="18"/>
        <v>0.27597558519671472</v>
      </c>
    </row>
    <row r="45" spans="1:26" x14ac:dyDescent="0.25">
      <c r="A45" vm="129">
        <f ca="1"/>
        <v>45356</v>
      </c>
      <c r="B45" vm="130">
        <f ca="1"/>
        <v>88.99</v>
      </c>
      <c r="C45" vm="131">
        <f ca="1"/>
        <v>2037247</v>
      </c>
      <c r="D45">
        <f t="shared" ca="1" si="0"/>
        <v>181294610.53</v>
      </c>
      <c r="E45">
        <f ca="1">SUM($D$2:D45)/SUM($C$2:C45)</f>
        <v>89.676741891098601</v>
      </c>
      <c r="F45">
        <f ca="1">_xlfn.STDEV.P($B$2:B45)</f>
        <v>2.1825558412100254</v>
      </c>
      <c r="G45">
        <f t="shared" ca="1" si="1"/>
        <v>91.859297732308633</v>
      </c>
      <c r="H45">
        <f t="shared" ca="1" si="2"/>
        <v>87.494186049888569</v>
      </c>
      <c r="I45">
        <f t="shared" ca="1" si="11"/>
        <v>87.979000000000013</v>
      </c>
      <c r="J45">
        <f t="shared" ca="1" si="12"/>
        <v>1.107129526963166</v>
      </c>
      <c r="K45">
        <f t="shared" ca="1" si="13"/>
        <v>90.19325905392634</v>
      </c>
      <c r="L45">
        <f t="shared" ca="1" si="14"/>
        <v>85.764740946073687</v>
      </c>
      <c r="M45">
        <f t="shared" ca="1" si="3"/>
        <v>-0.14000000000000057</v>
      </c>
      <c r="N45">
        <f t="shared" ca="1" si="4"/>
        <v>0</v>
      </c>
      <c r="O45">
        <f t="shared" ca="1" si="5"/>
        <v>0.14000000000000057</v>
      </c>
      <c r="P45">
        <f t="shared" ca="1" si="9"/>
        <v>0.39305060640937356</v>
      </c>
      <c r="Q45">
        <f t="shared" ca="1" si="10"/>
        <v>0.36542552752497393</v>
      </c>
      <c r="R45">
        <f t="shared" ca="1" si="7"/>
        <v>1.0755970144491662</v>
      </c>
      <c r="S45">
        <f t="shared" ca="1" si="8"/>
        <v>51.821090845739839</v>
      </c>
      <c r="T45">
        <f>70</f>
        <v>70</v>
      </c>
      <c r="U45">
        <f>30</f>
        <v>30</v>
      </c>
      <c r="V45">
        <f t="shared" ca="1" si="6"/>
        <v>87.939587994408967</v>
      </c>
      <c r="W45">
        <f t="shared" ca="1" si="16"/>
        <v>88.604298331277406</v>
      </c>
      <c r="X45">
        <f t="shared" ca="1" si="15"/>
        <v>-0.46307499522988849</v>
      </c>
      <c r="Y45">
        <f t="shared" ca="1" si="17"/>
        <v>-0.84516373669810019</v>
      </c>
      <c r="Z45">
        <f t="shared" ca="1" si="18"/>
        <v>0.3820887414682117</v>
      </c>
    </row>
    <row r="46" spans="1:26" x14ac:dyDescent="0.25">
      <c r="A46" vm="132">
        <f ca="1"/>
        <v>45357</v>
      </c>
      <c r="B46" vm="133">
        <f ca="1"/>
        <v>89.85</v>
      </c>
      <c r="C46" vm="134">
        <f ca="1"/>
        <v>1436735</v>
      </c>
      <c r="D46">
        <f t="shared" ca="1" si="0"/>
        <v>129090639.74999999</v>
      </c>
      <c r="E46">
        <f ca="1">SUM($D$2:D46)/SUM($C$2:C46)</f>
        <v>89.679724376107487</v>
      </c>
      <c r="F46">
        <f ca="1">_xlfn.STDEV.P($B$2:B46)</f>
        <v>2.1582011942962427</v>
      </c>
      <c r="G46">
        <f t="shared" ca="1" si="1"/>
        <v>91.837925570403726</v>
      </c>
      <c r="H46">
        <f t="shared" ca="1" si="2"/>
        <v>87.521523181811247</v>
      </c>
      <c r="I46">
        <f t="shared" ca="1" si="11"/>
        <v>87.983000000000004</v>
      </c>
      <c r="J46">
        <f t="shared" ca="1" si="12"/>
        <v>1.1140636852248804</v>
      </c>
      <c r="K46">
        <f t="shared" ca="1" si="13"/>
        <v>90.211127370449759</v>
      </c>
      <c r="L46">
        <f t="shared" ca="1" si="14"/>
        <v>85.754872629550249</v>
      </c>
      <c r="M46">
        <f t="shared" ca="1" si="3"/>
        <v>0.85999999999999943</v>
      </c>
      <c r="N46">
        <f t="shared" ca="1" si="4"/>
        <v>0.85999999999999943</v>
      </c>
      <c r="O46">
        <f t="shared" ca="1" si="5"/>
        <v>0</v>
      </c>
      <c r="P46">
        <f t="shared" ca="1" si="9"/>
        <v>0.4264041345229897</v>
      </c>
      <c r="Q46">
        <f t="shared" ca="1" si="10"/>
        <v>0.33932370413033291</v>
      </c>
      <c r="R46">
        <f t="shared" ca="1" si="7"/>
        <v>1.2566293758222371</v>
      </c>
      <c r="S46">
        <f t="shared" ca="1" si="8"/>
        <v>55.686121491012017</v>
      </c>
      <c r="T46">
        <f>70</f>
        <v>70</v>
      </c>
      <c r="U46">
        <f>30</f>
        <v>30</v>
      </c>
      <c r="V46">
        <f t="shared" ca="1" si="6"/>
        <v>88.23349753373067</v>
      </c>
      <c r="W46">
        <f t="shared" ca="1" si="16"/>
        <v>88.696572528960559</v>
      </c>
      <c r="X46">
        <f t="shared" ca="1" si="15"/>
        <v>-0.29264189286088538</v>
      </c>
      <c r="Y46">
        <f t="shared" ca="1" si="17"/>
        <v>-0.73465936793065723</v>
      </c>
      <c r="Z46">
        <f t="shared" ca="1" si="18"/>
        <v>0.44201747506977185</v>
      </c>
    </row>
    <row r="47" spans="1:26" x14ac:dyDescent="0.25">
      <c r="A47" vm="135">
        <f ca="1"/>
        <v>45358</v>
      </c>
      <c r="B47" vm="136">
        <f ca="1"/>
        <v>89.94</v>
      </c>
      <c r="C47" vm="137">
        <f ca="1"/>
        <v>1007905</v>
      </c>
      <c r="D47">
        <f t="shared" ca="1" si="0"/>
        <v>90650975.700000003</v>
      </c>
      <c r="E47">
        <f ca="1">SUM($D$2:D47)/SUM($C$2:C47)</f>
        <v>89.68282999345206</v>
      </c>
      <c r="F47">
        <f ca="1">_xlfn.STDEV.P($B$2:B47)</f>
        <v>2.1347545490939064</v>
      </c>
      <c r="G47">
        <f t="shared" ca="1" si="1"/>
        <v>91.817584542545973</v>
      </c>
      <c r="H47">
        <f t="shared" ca="1" si="2"/>
        <v>87.548075444358147</v>
      </c>
      <c r="I47">
        <f t="shared" ca="1" si="11"/>
        <v>88.006499999999988</v>
      </c>
      <c r="J47">
        <f t="shared" ca="1" si="12"/>
        <v>1.1514122906925623</v>
      </c>
      <c r="K47">
        <f t="shared" ca="1" si="13"/>
        <v>90.309324581385113</v>
      </c>
      <c r="L47">
        <f t="shared" ca="1" si="14"/>
        <v>85.703675418614864</v>
      </c>
      <c r="M47">
        <f t="shared" ca="1" si="3"/>
        <v>9.0000000000003411E-2</v>
      </c>
      <c r="N47">
        <f t="shared" ca="1" si="4"/>
        <v>9.0000000000003411E-2</v>
      </c>
      <c r="O47">
        <f t="shared" ca="1" si="5"/>
        <v>0</v>
      </c>
      <c r="P47">
        <f t="shared" ca="1" si="9"/>
        <v>0.40237526777134786</v>
      </c>
      <c r="Q47">
        <f t="shared" ca="1" si="10"/>
        <v>0.31508629669245197</v>
      </c>
      <c r="R47">
        <f t="shared" ca="1" si="7"/>
        <v>1.2770319496442477</v>
      </c>
      <c r="S47">
        <f t="shared" ca="1" si="8"/>
        <v>56.083180995495688</v>
      </c>
      <c r="T47">
        <f>70</f>
        <v>70</v>
      </c>
      <c r="U47">
        <f>30</f>
        <v>30</v>
      </c>
      <c r="V47">
        <f t="shared" ca="1" si="6"/>
        <v>88.496036374695194</v>
      </c>
      <c r="W47">
        <f t="shared" ca="1" si="16"/>
        <v>88.78867826755608</v>
      </c>
      <c r="X47">
        <f t="shared" ca="1" si="15"/>
        <v>-0.14141775974715642</v>
      </c>
      <c r="Y47">
        <f t="shared" ca="1" si="17"/>
        <v>-0.61601104629395709</v>
      </c>
      <c r="Z47">
        <f t="shared" ca="1" si="18"/>
        <v>0.47459328654680066</v>
      </c>
    </row>
    <row r="48" spans="1:26" x14ac:dyDescent="0.25">
      <c r="A48" vm="138">
        <f ca="1"/>
        <v>45359</v>
      </c>
      <c r="B48" vm="139">
        <f ca="1"/>
        <v>90.12</v>
      </c>
      <c r="C48" vm="140">
        <f ca="1"/>
        <v>1072856</v>
      </c>
      <c r="D48">
        <f t="shared" ca="1" si="0"/>
        <v>96685782.719999999</v>
      </c>
      <c r="E48">
        <f ca="1">SUM($D$2:D48)/SUM($C$2:C48)</f>
        <v>89.688312831550391</v>
      </c>
      <c r="F48">
        <f ca="1">_xlfn.STDEV.P($B$2:B48)</f>
        <v>2.1125075370659046</v>
      </c>
      <c r="G48">
        <f t="shared" ca="1" si="1"/>
        <v>91.8008203686163</v>
      </c>
      <c r="H48">
        <f t="shared" ca="1" si="2"/>
        <v>87.575805294484482</v>
      </c>
      <c r="I48">
        <f t="shared" ca="1" si="11"/>
        <v>88.078999999999994</v>
      </c>
      <c r="J48">
        <f t="shared" ca="1" si="12"/>
        <v>1.2377989803637235</v>
      </c>
      <c r="K48">
        <f t="shared" ca="1" si="13"/>
        <v>90.554597960727435</v>
      </c>
      <c r="L48">
        <f t="shared" ca="1" si="14"/>
        <v>85.603402039272552</v>
      </c>
      <c r="M48">
        <f t="shared" ca="1" si="3"/>
        <v>0.18000000000000682</v>
      </c>
      <c r="N48">
        <f t="shared" ca="1" si="4"/>
        <v>0.18000000000000682</v>
      </c>
      <c r="O48">
        <f t="shared" ca="1" si="5"/>
        <v>0</v>
      </c>
      <c r="P48">
        <f t="shared" ca="1" si="9"/>
        <v>0.38649132007339493</v>
      </c>
      <c r="Q48">
        <f t="shared" ca="1" si="10"/>
        <v>0.29258013264299115</v>
      </c>
      <c r="R48">
        <f t="shared" ca="1" si="7"/>
        <v>1.3209759547993474</v>
      </c>
      <c r="S48">
        <f t="shared" ca="1" si="8"/>
        <v>56.914676434618563</v>
      </c>
      <c r="T48">
        <f>70</f>
        <v>70</v>
      </c>
      <c r="U48">
        <f>30</f>
        <v>30</v>
      </c>
      <c r="V48">
        <f t="shared" ca="1" si="6"/>
        <v>88.745876932434399</v>
      </c>
      <c r="W48">
        <f t="shared" ca="1" si="16"/>
        <v>88.887294692181555</v>
      </c>
      <c r="X48">
        <f t="shared" ca="1" si="15"/>
        <v>3.2919299071252794E-2</v>
      </c>
      <c r="Y48">
        <f t="shared" ca="1" si="17"/>
        <v>-0.48622497722091512</v>
      </c>
      <c r="Z48">
        <f t="shared" ca="1" si="18"/>
        <v>0.51914427629216786</v>
      </c>
    </row>
    <row r="49" spans="1:26" x14ac:dyDescent="0.25">
      <c r="A49" vm="141">
        <f ca="1"/>
        <v>45362</v>
      </c>
      <c r="B49" vm="142">
        <f ca="1"/>
        <v>90.8</v>
      </c>
      <c r="C49" vm="143">
        <f ca="1"/>
        <v>1197165</v>
      </c>
      <c r="D49">
        <f t="shared" ca="1" si="0"/>
        <v>108702582</v>
      </c>
      <c r="E49">
        <f ca="1">SUM($D$2:D49)/SUM($C$2:C49)</f>
        <v>89.703655980206179</v>
      </c>
      <c r="F49">
        <f ca="1">_xlfn.STDEV.P($B$2:B49)</f>
        <v>2.0954292913220804</v>
      </c>
      <c r="G49">
        <f t="shared" ca="1" si="1"/>
        <v>91.799085271528256</v>
      </c>
      <c r="H49">
        <f t="shared" ca="1" si="2"/>
        <v>87.608226688884102</v>
      </c>
      <c r="I49">
        <f t="shared" ca="1" si="11"/>
        <v>88.165999999999997</v>
      </c>
      <c r="J49">
        <f t="shared" ca="1" si="12"/>
        <v>1.3649923847869316</v>
      </c>
      <c r="K49">
        <f t="shared" ca="1" si="13"/>
        <v>90.895984769573857</v>
      </c>
      <c r="L49">
        <f t="shared" ca="1" si="14"/>
        <v>85.436015230426136</v>
      </c>
      <c r="M49">
        <f t="shared" ca="1" si="3"/>
        <v>0.67999999999999261</v>
      </c>
      <c r="N49">
        <f t="shared" ca="1" si="4"/>
        <v>0.67999999999999261</v>
      </c>
      <c r="O49">
        <f t="shared" ca="1" si="5"/>
        <v>0</v>
      </c>
      <c r="P49">
        <f t="shared" ca="1" si="9"/>
        <v>0.40745622578243762</v>
      </c>
      <c r="Q49">
        <f t="shared" ca="1" si="10"/>
        <v>0.27168155173992037</v>
      </c>
      <c r="R49">
        <f t="shared" ca="1" si="7"/>
        <v>1.4997566937209406</v>
      </c>
      <c r="S49">
        <f t="shared" ca="1" si="8"/>
        <v>59.996106720631325</v>
      </c>
      <c r="T49">
        <f>70</f>
        <v>70</v>
      </c>
      <c r="U49">
        <f>30</f>
        <v>30</v>
      </c>
      <c r="V49">
        <f t="shared" ca="1" si="6"/>
        <v>89.061895865906024</v>
      </c>
      <c r="W49">
        <f t="shared" ca="1" si="16"/>
        <v>89.028976566834771</v>
      </c>
      <c r="X49">
        <f t="shared" ca="1" si="15"/>
        <v>9.9731304708782886E-2</v>
      </c>
      <c r="Y49">
        <f t="shared" ca="1" si="17"/>
        <v>-0.36903372083497554</v>
      </c>
      <c r="Z49">
        <f t="shared" ca="1" si="18"/>
        <v>0.46876502554375843</v>
      </c>
    </row>
    <row r="50" spans="1:26" x14ac:dyDescent="0.25">
      <c r="A50" vm="144">
        <f ca="1"/>
        <v>45363</v>
      </c>
      <c r="B50" vm="145">
        <f ca="1"/>
        <v>89.93</v>
      </c>
      <c r="C50" vm="146">
        <f ca="1"/>
        <v>1316827</v>
      </c>
      <c r="D50">
        <f t="shared" ca="1" si="0"/>
        <v>118422252.11000001</v>
      </c>
      <c r="E50">
        <f ca="1">SUM($D$2:D50)/SUM($C$2:C50)</f>
        <v>89.707040772796248</v>
      </c>
      <c r="F50">
        <f ca="1">_xlfn.STDEV.P($B$2:B50)</f>
        <v>2.0740137080809737</v>
      </c>
      <c r="G50">
        <f t="shared" ca="1" si="1"/>
        <v>91.781054480877216</v>
      </c>
      <c r="H50">
        <f t="shared" ca="1" si="2"/>
        <v>87.633027064715279</v>
      </c>
      <c r="I50">
        <f t="shared" ca="1" si="11"/>
        <v>88.190000000000012</v>
      </c>
      <c r="J50">
        <f t="shared" ca="1" si="12"/>
        <v>1.3926952286842949</v>
      </c>
      <c r="K50">
        <f t="shared" ca="1" si="13"/>
        <v>90.975390457368604</v>
      </c>
      <c r="L50">
        <f t="shared" ca="1" si="14"/>
        <v>85.40460954263142</v>
      </c>
      <c r="M50">
        <f t="shared" ca="1" si="3"/>
        <v>-0.86999999999999034</v>
      </c>
      <c r="N50">
        <f t="shared" ca="1" si="4"/>
        <v>0</v>
      </c>
      <c r="O50">
        <f t="shared" ca="1" si="5"/>
        <v>0.86999999999999034</v>
      </c>
      <c r="P50">
        <f t="shared" ca="1" si="9"/>
        <v>0.37835220965512067</v>
      </c>
      <c r="Q50">
        <f t="shared" ca="1" si="10"/>
        <v>0.31441858375849679</v>
      </c>
      <c r="R50">
        <f t="shared" ca="1" si="7"/>
        <v>1.2033392083011574</v>
      </c>
      <c r="S50">
        <f t="shared" ca="1" si="8"/>
        <v>54.614341893773549</v>
      </c>
      <c r="T50">
        <f>70</f>
        <v>70</v>
      </c>
      <c r="U50">
        <f>30</f>
        <v>30</v>
      </c>
      <c r="V50">
        <f t="shared" ca="1" si="6"/>
        <v>89.195450348074317</v>
      </c>
      <c r="W50">
        <f t="shared" ca="1" si="16"/>
        <v>89.095719043365534</v>
      </c>
      <c r="X50">
        <f t="shared" ca="1" si="15"/>
        <v>0.12222240536830498</v>
      </c>
      <c r="Y50">
        <f t="shared" ca="1" si="17"/>
        <v>-0.27078249559431944</v>
      </c>
      <c r="Z50">
        <f t="shared" ca="1" si="18"/>
        <v>0.39300490096262441</v>
      </c>
    </row>
    <row r="51" spans="1:26" x14ac:dyDescent="0.25">
      <c r="A51" vm="147">
        <f ca="1"/>
        <v>45364</v>
      </c>
      <c r="B51" vm="148">
        <f ca="1"/>
        <v>89.57</v>
      </c>
      <c r="C51" vm="149">
        <f ca="1"/>
        <v>1673563</v>
      </c>
      <c r="D51">
        <f t="shared" ca="1" si="0"/>
        <v>149901037.91</v>
      </c>
      <c r="E51">
        <f ca="1">SUM($D$2:D51)/SUM($C$2:C51)</f>
        <v>89.704484838382612</v>
      </c>
      <c r="F51">
        <f ca="1">_xlfn.STDEV.P($B$2:B51)</f>
        <v>2.0534358426792885</v>
      </c>
      <c r="G51">
        <f t="shared" ca="1" si="1"/>
        <v>91.757920681061904</v>
      </c>
      <c r="H51">
        <f t="shared" ca="1" si="2"/>
        <v>87.65104899570332</v>
      </c>
      <c r="I51">
        <f t="shared" ca="1" si="11"/>
        <v>88.335000000000008</v>
      </c>
      <c r="J51">
        <f t="shared" ca="1" si="12"/>
        <v>1.3769894698217557</v>
      </c>
      <c r="K51">
        <f t="shared" ca="1" si="13"/>
        <v>91.088978939643525</v>
      </c>
      <c r="L51">
        <f t="shared" ca="1" si="14"/>
        <v>85.581021060356491</v>
      </c>
      <c r="M51">
        <f t="shared" ca="1" si="3"/>
        <v>-0.36000000000001364</v>
      </c>
      <c r="N51">
        <f t="shared" ca="1" si="4"/>
        <v>0</v>
      </c>
      <c r="O51">
        <f t="shared" ca="1" si="5"/>
        <v>0.36000000000001364</v>
      </c>
      <c r="P51">
        <f t="shared" ca="1" si="9"/>
        <v>0.35132705182261204</v>
      </c>
      <c r="Q51">
        <f t="shared" ca="1" si="10"/>
        <v>0.31767439920431945</v>
      </c>
      <c r="R51">
        <f t="shared" ca="1" si="7"/>
        <v>1.1059344180789592</v>
      </c>
      <c r="S51">
        <f t="shared" ca="1" si="8"/>
        <v>52.515140480385739</v>
      </c>
      <c r="T51">
        <f>70</f>
        <v>70</v>
      </c>
      <c r="U51">
        <f>30</f>
        <v>30</v>
      </c>
      <c r="V51">
        <f t="shared" ca="1" si="6"/>
        <v>89.253073371447499</v>
      </c>
      <c r="W51">
        <f t="shared" ca="1" si="16"/>
        <v>89.130850966079194</v>
      </c>
      <c r="X51">
        <f t="shared" ca="1" si="15"/>
        <v>6.665591835945861E-2</v>
      </c>
      <c r="Y51">
        <f t="shared" ca="1" si="17"/>
        <v>-0.20329481280356382</v>
      </c>
      <c r="Z51">
        <f t="shared" ca="1" si="18"/>
        <v>0.26995073116302243</v>
      </c>
    </row>
    <row r="52" spans="1:26" x14ac:dyDescent="0.25">
      <c r="A52" vm="150">
        <f ca="1"/>
        <v>45365</v>
      </c>
      <c r="B52" vm="79">
        <f ca="1"/>
        <v>88.67</v>
      </c>
      <c r="C52" vm="151">
        <f ca="1"/>
        <v>1450252</v>
      </c>
      <c r="D52">
        <f t="shared" ca="1" si="0"/>
        <v>128593844.84</v>
      </c>
      <c r="E52">
        <f ca="1">SUM($D$2:D52)/SUM($C$2:C52)</f>
        <v>89.688031183079687</v>
      </c>
      <c r="F52">
        <f ca="1">_xlfn.STDEV.P($B$2:B52)</f>
        <v>2.039251074353575</v>
      </c>
      <c r="G52">
        <f t="shared" ca="1" si="1"/>
        <v>91.727282257433259</v>
      </c>
      <c r="H52">
        <f t="shared" ca="1" si="2"/>
        <v>87.648780108726115</v>
      </c>
      <c r="I52">
        <f t="shared" ca="1" si="11"/>
        <v>88.426500000000004</v>
      </c>
      <c r="J52">
        <f t="shared" ca="1" si="12"/>
        <v>1.3325017033661475</v>
      </c>
      <c r="K52">
        <f t="shared" ca="1" si="13"/>
        <v>91.091503406732301</v>
      </c>
      <c r="L52">
        <f t="shared" ca="1" si="14"/>
        <v>85.761496593267708</v>
      </c>
      <c r="M52">
        <f t="shared" ca="1" si="3"/>
        <v>-0.89999999999999147</v>
      </c>
      <c r="N52">
        <f t="shared" ca="1" si="4"/>
        <v>0</v>
      </c>
      <c r="O52">
        <f t="shared" ca="1" si="5"/>
        <v>0.89999999999999147</v>
      </c>
      <c r="P52">
        <f t="shared" ca="1" si="9"/>
        <v>0.32623226240671116</v>
      </c>
      <c r="Q52">
        <f t="shared" ca="1" si="10"/>
        <v>0.35926908497543891</v>
      </c>
      <c r="R52">
        <f t="shared" ca="1" si="7"/>
        <v>0.90804434906781284</v>
      </c>
      <c r="S52">
        <f t="shared" ca="1" si="8"/>
        <v>47.590316729872846</v>
      </c>
      <c r="T52">
        <f>70</f>
        <v>70</v>
      </c>
      <c r="U52">
        <f>30</f>
        <v>30</v>
      </c>
      <c r="V52">
        <f t="shared" ca="1" si="6"/>
        <v>89.163369775840195</v>
      </c>
      <c r="W52">
        <f t="shared" ca="1" si="16"/>
        <v>89.096713857480736</v>
      </c>
      <c r="X52">
        <f t="shared" ca="1" si="15"/>
        <v>4.3899771348421268E-2</v>
      </c>
      <c r="Y52">
        <f t="shared" ca="1" si="17"/>
        <v>-0.15385589597316682</v>
      </c>
      <c r="Z52">
        <f t="shared" ca="1" si="18"/>
        <v>0.19775566732158809</v>
      </c>
    </row>
    <row r="53" spans="1:26" x14ac:dyDescent="0.25">
      <c r="A53" vm="152">
        <f ca="1"/>
        <v>45366</v>
      </c>
      <c r="B53" vm="153">
        <f ca="1"/>
        <v>88.94</v>
      </c>
      <c r="C53" vm="154">
        <f ca="1"/>
        <v>3462511</v>
      </c>
      <c r="D53">
        <f t="shared" ca="1" si="0"/>
        <v>307955728.33999997</v>
      </c>
      <c r="E53">
        <f ca="1">SUM($D$2:D53)/SUM($C$2:C53)</f>
        <v>89.660664686989037</v>
      </c>
      <c r="F53">
        <f ca="1">_xlfn.STDEV.P($B$2:B53)</f>
        <v>2.0228368166963562</v>
      </c>
      <c r="G53">
        <f t="shared" ca="1" si="1"/>
        <v>91.683501503685392</v>
      </c>
      <c r="H53">
        <f t="shared" ca="1" si="2"/>
        <v>87.637827870292682</v>
      </c>
      <c r="I53">
        <f t="shared" ca="1" si="11"/>
        <v>88.462499999999991</v>
      </c>
      <c r="J53">
        <f t="shared" ca="1" si="12"/>
        <v>1.3363496036434086</v>
      </c>
      <c r="K53">
        <f t="shared" ca="1" si="13"/>
        <v>91.135199207286803</v>
      </c>
      <c r="L53">
        <f t="shared" ca="1" si="14"/>
        <v>85.78980079271318</v>
      </c>
      <c r="M53">
        <f t="shared" ca="1" si="3"/>
        <v>0.26999999999999602</v>
      </c>
      <c r="N53">
        <f t="shared" ca="1" si="4"/>
        <v>0.26999999999999602</v>
      </c>
      <c r="O53">
        <f t="shared" ca="1" si="5"/>
        <v>0</v>
      </c>
      <c r="P53">
        <f t="shared" ca="1" si="9"/>
        <v>0.32221567223480291</v>
      </c>
      <c r="Q53">
        <f t="shared" ca="1" si="10"/>
        <v>0.3336070074771933</v>
      </c>
      <c r="R53">
        <f t="shared" ca="1" si="7"/>
        <v>0.96585402888106553</v>
      </c>
      <c r="S53">
        <f t="shared" ca="1" si="8"/>
        <v>49.131523230685396</v>
      </c>
      <c r="T53">
        <f>70</f>
        <v>70</v>
      </c>
      <c r="U53">
        <f>30</f>
        <v>30</v>
      </c>
      <c r="V53">
        <f t="shared" ca="1" si="6"/>
        <v>89.129005194941698</v>
      </c>
      <c r="W53">
        <f t="shared" ca="1" si="16"/>
        <v>89.085105423593276</v>
      </c>
      <c r="X53">
        <f t="shared" ca="1" si="15"/>
        <v>2.9559202934095197E-2</v>
      </c>
      <c r="Y53">
        <f t="shared" ca="1" si="17"/>
        <v>-0.11717287619171442</v>
      </c>
      <c r="Z53">
        <f t="shared" ca="1" si="18"/>
        <v>0.1467320791258096</v>
      </c>
    </row>
    <row r="54" spans="1:26" x14ac:dyDescent="0.25">
      <c r="A54" vm="155">
        <f ca="1"/>
        <v>45369</v>
      </c>
      <c r="B54" vm="130">
        <f ca="1"/>
        <v>88.99</v>
      </c>
      <c r="C54" vm="156">
        <f ca="1"/>
        <v>1354963</v>
      </c>
      <c r="D54">
        <f t="shared" ca="1" si="0"/>
        <v>120578157.36999999</v>
      </c>
      <c r="E54">
        <f ca="1">SUM($D$2:D54)/SUM($C$2:C54)</f>
        <v>89.651198660139571</v>
      </c>
      <c r="F54">
        <f ca="1">_xlfn.STDEV.P($B$2:B54)</f>
        <v>2.0064242674585646</v>
      </c>
      <c r="G54">
        <f t="shared" ca="1" si="1"/>
        <v>91.65762292759814</v>
      </c>
      <c r="H54">
        <f t="shared" ca="1" si="2"/>
        <v>87.644774392681001</v>
      </c>
      <c r="I54">
        <f t="shared" ca="1" si="11"/>
        <v>88.546000000000006</v>
      </c>
      <c r="J54">
        <f t="shared" ca="1" si="12"/>
        <v>1.3131777448135815</v>
      </c>
      <c r="K54">
        <f t="shared" ca="1" si="13"/>
        <v>91.172355489627165</v>
      </c>
      <c r="L54">
        <f t="shared" ca="1" si="14"/>
        <v>85.919644510372848</v>
      </c>
      <c r="M54">
        <f t="shared" ca="1" si="3"/>
        <v>4.9999999999997158E-2</v>
      </c>
      <c r="N54">
        <f t="shared" ca="1" si="4"/>
        <v>4.9999999999997158E-2</v>
      </c>
      <c r="O54">
        <f t="shared" ca="1" si="5"/>
        <v>0</v>
      </c>
      <c r="P54">
        <f t="shared" ca="1" si="9"/>
        <v>0.3027716956466025</v>
      </c>
      <c r="Q54">
        <f t="shared" ca="1" si="10"/>
        <v>0.30977793551453658</v>
      </c>
      <c r="R54">
        <f t="shared" ca="1" si="7"/>
        <v>0.97738302485521822</v>
      </c>
      <c r="S54">
        <f t="shared" ca="1" si="8"/>
        <v>49.428108392241363</v>
      </c>
      <c r="T54">
        <f>70</f>
        <v>70</v>
      </c>
      <c r="U54">
        <f>30</f>
        <v>30</v>
      </c>
      <c r="V54">
        <f t="shared" ca="1" si="6"/>
        <v>89.107619780335284</v>
      </c>
      <c r="W54">
        <f t="shared" ca="1" si="16"/>
        <v>89.078060577401189</v>
      </c>
      <c r="X54">
        <f t="shared" ca="1" si="15"/>
        <v>7.5422755282588128E-2</v>
      </c>
      <c r="Y54">
        <f t="shared" ca="1" si="17"/>
        <v>-7.8653749896853919E-2</v>
      </c>
      <c r="Z54">
        <f t="shared" ca="1" si="18"/>
        <v>0.15407650517944205</v>
      </c>
    </row>
    <row r="55" spans="1:26" x14ac:dyDescent="0.25">
      <c r="A55" vm="157">
        <f ca="1"/>
        <v>45370</v>
      </c>
      <c r="B55" vm="158">
        <f ca="1"/>
        <v>89.71</v>
      </c>
      <c r="C55" vm="159">
        <f ca="1"/>
        <v>1507656</v>
      </c>
      <c r="D55">
        <f t="shared" ca="1" si="0"/>
        <v>135251819.75999999</v>
      </c>
      <c r="E55">
        <f ca="1">SUM($D$2:D55)/SUM($C$2:C55)</f>
        <v>89.652107854558366</v>
      </c>
      <c r="F55">
        <f ca="1">_xlfn.STDEV.P($B$2:B55)</f>
        <v>1.9877663567842263</v>
      </c>
      <c r="G55">
        <f t="shared" ca="1" si="1"/>
        <v>91.639874211342587</v>
      </c>
      <c r="H55">
        <f t="shared" ca="1" si="2"/>
        <v>87.664341497774146</v>
      </c>
      <c r="I55">
        <f t="shared" ca="1" si="11"/>
        <v>88.652500000000003</v>
      </c>
      <c r="J55">
        <f t="shared" ca="1" si="12"/>
        <v>1.3170776063135501</v>
      </c>
      <c r="K55">
        <f t="shared" ca="1" si="13"/>
        <v>91.28665521262711</v>
      </c>
      <c r="L55">
        <f t="shared" ca="1" si="14"/>
        <v>86.018344787372897</v>
      </c>
      <c r="M55">
        <f t="shared" ca="1" si="3"/>
        <v>0.71999999999999886</v>
      </c>
      <c r="N55">
        <f t="shared" ca="1" si="4"/>
        <v>0.71999999999999886</v>
      </c>
      <c r="O55">
        <f t="shared" ca="1" si="5"/>
        <v>0</v>
      </c>
      <c r="P55">
        <f t="shared" ca="1" si="9"/>
        <v>0.33257371738613084</v>
      </c>
      <c r="Q55">
        <f t="shared" ca="1" si="10"/>
        <v>0.28765094012064113</v>
      </c>
      <c r="R55">
        <f t="shared" ca="1" si="7"/>
        <v>1.1561711470390086</v>
      </c>
      <c r="S55">
        <f t="shared" ca="1" si="8"/>
        <v>53.621492367465187</v>
      </c>
      <c r="T55">
        <f>70</f>
        <v>70</v>
      </c>
      <c r="U55">
        <f>30</f>
        <v>30</v>
      </c>
      <c r="V55">
        <f t="shared" ca="1" si="6"/>
        <v>89.200293660283691</v>
      </c>
      <c r="W55">
        <f t="shared" ca="1" si="16"/>
        <v>89.124870905001103</v>
      </c>
      <c r="X55">
        <f t="shared" ca="1" si="15"/>
        <v>5.7048925865814226E-2</v>
      </c>
      <c r="Y55">
        <f t="shared" ca="1" si="17"/>
        <v>-5.1513214744320295E-2</v>
      </c>
      <c r="Z55">
        <f t="shared" ca="1" si="18"/>
        <v>0.10856214061013453</v>
      </c>
    </row>
    <row r="56" spans="1:26" x14ac:dyDescent="0.25">
      <c r="A56" vm="160">
        <f ca="1"/>
        <v>45371</v>
      </c>
      <c r="B56" vm="161">
        <f ca="1"/>
        <v>89.04</v>
      </c>
      <c r="C56" vm="162">
        <f ca="1"/>
        <v>1545741</v>
      </c>
      <c r="D56">
        <f t="shared" ca="1" si="0"/>
        <v>137632778.64000002</v>
      </c>
      <c r="E56">
        <f ca="1">SUM($D$2:D56)/SUM($C$2:C56)</f>
        <v>89.642555702960678</v>
      </c>
      <c r="F56">
        <f ca="1">_xlfn.STDEV.P($B$2:B56)</f>
        <v>1.9718840594217635</v>
      </c>
      <c r="G56">
        <f t="shared" ca="1" si="1"/>
        <v>91.614439762382446</v>
      </c>
      <c r="H56">
        <f t="shared" ca="1" si="2"/>
        <v>87.67067164353891</v>
      </c>
      <c r="I56">
        <f t="shared" ca="1" si="11"/>
        <v>88.674000000000007</v>
      </c>
      <c r="J56">
        <f t="shared" ca="1" si="12"/>
        <v>1.3198540589179184</v>
      </c>
      <c r="K56">
        <f t="shared" ca="1" si="13"/>
        <v>91.313708117835844</v>
      </c>
      <c r="L56">
        <f t="shared" ca="1" si="14"/>
        <v>86.034291882164169</v>
      </c>
      <c r="M56">
        <f t="shared" ca="1" si="3"/>
        <v>-0.66999999999998749</v>
      </c>
      <c r="N56">
        <f t="shared" ca="1" si="4"/>
        <v>0</v>
      </c>
      <c r="O56">
        <f t="shared" ca="1" si="5"/>
        <v>0.66999999999998749</v>
      </c>
      <c r="P56">
        <f t="shared" ca="1" si="9"/>
        <v>0.30881845185855006</v>
      </c>
      <c r="Q56">
        <f t="shared" ca="1" si="10"/>
        <v>0.31496158725488016</v>
      </c>
      <c r="R56">
        <f t="shared" ca="1" si="7"/>
        <v>0.98049560440093031</v>
      </c>
      <c r="S56">
        <f t="shared" ca="1" si="8"/>
        <v>49.507588010906758</v>
      </c>
      <c r="T56">
        <f>70</f>
        <v>70</v>
      </c>
      <c r="U56">
        <f>30</f>
        <v>30</v>
      </c>
      <c r="V56">
        <f t="shared" ca="1" si="6"/>
        <v>89.175633097163129</v>
      </c>
      <c r="W56">
        <f t="shared" ca="1" si="16"/>
        <v>89.118584171297314</v>
      </c>
      <c r="X56">
        <f t="shared" ca="1" si="15"/>
        <v>1.0892234147647173E-2</v>
      </c>
      <c r="Y56">
        <f t="shared" ca="1" si="17"/>
        <v>-3.9032124965926805E-2</v>
      </c>
      <c r="Z56">
        <f t="shared" ca="1" si="18"/>
        <v>4.9924359113573978E-2</v>
      </c>
    </row>
    <row r="57" spans="1:26" x14ac:dyDescent="0.25">
      <c r="A57" vm="163">
        <f ca="1"/>
        <v>45372</v>
      </c>
      <c r="B57" vm="164">
        <f ca="1"/>
        <v>88.65</v>
      </c>
      <c r="C57" vm="165">
        <f ca="1"/>
        <v>2162914</v>
      </c>
      <c r="D57">
        <f t="shared" ca="1" si="0"/>
        <v>191742326.10000002</v>
      </c>
      <c r="E57">
        <f ca="1">SUM($D$2:D57)/SUM($C$2:C57)</f>
        <v>89.621345275967869</v>
      </c>
      <c r="F57">
        <f ca="1">_xlfn.STDEV.P($B$2:B57)</f>
        <v>1.9594767676107119</v>
      </c>
      <c r="G57">
        <f t="shared" ca="1" si="1"/>
        <v>91.580822043578578</v>
      </c>
      <c r="H57">
        <f t="shared" ca="1" si="2"/>
        <v>87.661868508357159</v>
      </c>
      <c r="I57">
        <f t="shared" ca="1" si="11"/>
        <v>88.711000000000013</v>
      </c>
      <c r="J57">
        <f t="shared" ca="1" si="12"/>
        <v>1.307625006603474</v>
      </c>
      <c r="K57">
        <f t="shared" ca="1" si="13"/>
        <v>91.326250013206959</v>
      </c>
      <c r="L57">
        <f t="shared" ca="1" si="14"/>
        <v>86.095749986793066</v>
      </c>
      <c r="M57">
        <f t="shared" ca="1" si="3"/>
        <v>-0.39000000000000057</v>
      </c>
      <c r="N57">
        <f t="shared" ca="1" si="4"/>
        <v>0</v>
      </c>
      <c r="O57">
        <f t="shared" ca="1" si="5"/>
        <v>0.39000000000000057</v>
      </c>
      <c r="P57">
        <f t="shared" ca="1" si="9"/>
        <v>0.28675999101151073</v>
      </c>
      <c r="Q57">
        <f t="shared" ca="1" si="10"/>
        <v>0.32032147387953158</v>
      </c>
      <c r="R57">
        <f t="shared" ca="1" si="7"/>
        <v>0.89522562299197317</v>
      </c>
      <c r="S57">
        <f t="shared" ca="1" si="8"/>
        <v>47.235833672335524</v>
      </c>
      <c r="T57">
        <f>70</f>
        <v>70</v>
      </c>
      <c r="U57">
        <f>30</f>
        <v>30</v>
      </c>
      <c r="V57">
        <f t="shared" ca="1" si="6"/>
        <v>89.094766466830336</v>
      </c>
      <c r="W57">
        <f t="shared" ca="1" si="16"/>
        <v>89.083874232682689</v>
      </c>
      <c r="X57">
        <f t="shared" ca="1" si="15"/>
        <v>-2.9383148071971732E-2</v>
      </c>
      <c r="Y57">
        <f t="shared" ca="1" si="17"/>
        <v>-3.7102329587135795E-2</v>
      </c>
      <c r="Z57">
        <f t="shared" ca="1" si="18"/>
        <v>7.7191815151640628E-3</v>
      </c>
    </row>
    <row r="58" spans="1:26" x14ac:dyDescent="0.25">
      <c r="A58" vm="166">
        <f ca="1"/>
        <v>45373</v>
      </c>
      <c r="B58" vm="167">
        <f ca="1"/>
        <v>88.6</v>
      </c>
      <c r="C58" vm="168">
        <f ca="1"/>
        <v>1507460</v>
      </c>
      <c r="D58">
        <f t="shared" ca="1" si="0"/>
        <v>133560955.99999999</v>
      </c>
      <c r="E58">
        <f ca="1">SUM($D$2:D58)/SUM($C$2:C58)</f>
        <v>89.606356950393277</v>
      </c>
      <c r="F58">
        <f ca="1">_xlfn.STDEV.P($B$2:B58)</f>
        <v>1.9477297910319855</v>
      </c>
      <c r="G58">
        <f t="shared" ca="1" si="1"/>
        <v>91.554086741425266</v>
      </c>
      <c r="H58">
        <f t="shared" ca="1" si="2"/>
        <v>87.658627159361288</v>
      </c>
      <c r="I58">
        <f t="shared" ca="1" si="11"/>
        <v>88.744499999999988</v>
      </c>
      <c r="J58">
        <f t="shared" ca="1" si="12"/>
        <v>1.2950857520887014</v>
      </c>
      <c r="K58">
        <f t="shared" ca="1" si="13"/>
        <v>91.334671504177393</v>
      </c>
      <c r="L58">
        <f t="shared" ca="1" si="14"/>
        <v>86.154328495822583</v>
      </c>
      <c r="M58">
        <f t="shared" ca="1" si="3"/>
        <v>-5.0000000000011369E-2</v>
      </c>
      <c r="N58">
        <f t="shared" ca="1" si="4"/>
        <v>0</v>
      </c>
      <c r="O58">
        <f t="shared" ca="1" si="5"/>
        <v>5.0000000000011369E-2</v>
      </c>
      <c r="P58">
        <f t="shared" ca="1" si="9"/>
        <v>0.26627713451068852</v>
      </c>
      <c r="Q58">
        <f t="shared" ca="1" si="10"/>
        <v>0.30101279717385154</v>
      </c>
      <c r="R58">
        <f t="shared" ca="1" si="7"/>
        <v>0.88460403348532302</v>
      </c>
      <c r="S58">
        <f t="shared" ca="1" si="8"/>
        <v>46.938455917945063</v>
      </c>
      <c r="T58">
        <f>70</f>
        <v>70</v>
      </c>
      <c r="U58">
        <f>30</f>
        <v>30</v>
      </c>
      <c r="V58">
        <f t="shared" ca="1" si="6"/>
        <v>89.018648548856433</v>
      </c>
      <c r="W58">
        <f t="shared" ca="1" si="16"/>
        <v>89.048031696928405</v>
      </c>
      <c r="X58">
        <f t="shared" ca="1" si="15"/>
        <v>-6.858029199821658E-2</v>
      </c>
      <c r="Y58">
        <f t="shared" ca="1" si="17"/>
        <v>-4.3397922069351953E-2</v>
      </c>
      <c r="Z58">
        <f t="shared" ca="1" si="18"/>
        <v>-2.5182369928864627E-2</v>
      </c>
    </row>
    <row r="59" spans="1:26" x14ac:dyDescent="0.25">
      <c r="A59" vm="169">
        <f ca="1"/>
        <v>45376</v>
      </c>
      <c r="B59" vm="170">
        <f ca="1"/>
        <v>88.5</v>
      </c>
      <c r="C59" vm="171">
        <f ca="1"/>
        <v>1163704</v>
      </c>
      <c r="D59">
        <f t="shared" ca="1" si="0"/>
        <v>102987804</v>
      </c>
      <c r="E59">
        <f ca="1">SUM($D$2:D59)/SUM($C$2:C59)</f>
        <v>89.593963842468355</v>
      </c>
      <c r="F59">
        <f ca="1">_xlfn.STDEV.P($B$2:B59)</f>
        <v>1.9371353824379405</v>
      </c>
      <c r="G59">
        <f t="shared" ca="1" si="1"/>
        <v>91.531099224906299</v>
      </c>
      <c r="H59">
        <f t="shared" ca="1" si="2"/>
        <v>87.656828460030411</v>
      </c>
      <c r="I59">
        <f t="shared" ca="1" si="11"/>
        <v>88.859000000000009</v>
      </c>
      <c r="J59">
        <f t="shared" ca="1" si="12"/>
        <v>1.1526075700455531</v>
      </c>
      <c r="K59">
        <f t="shared" ca="1" si="13"/>
        <v>91.164215140091116</v>
      </c>
      <c r="L59">
        <f t="shared" ca="1" si="14"/>
        <v>86.553784859908902</v>
      </c>
      <c r="M59">
        <f t="shared" ca="1" si="3"/>
        <v>-9.9999999999994316E-2</v>
      </c>
      <c r="N59">
        <f t="shared" ca="1" si="4"/>
        <v>0</v>
      </c>
      <c r="O59">
        <f t="shared" ca="1" si="5"/>
        <v>9.9999999999994316E-2</v>
      </c>
      <c r="P59">
        <f t="shared" ca="1" si="9"/>
        <v>0.24725733918849649</v>
      </c>
      <c r="Q59">
        <f t="shared" ca="1" si="10"/>
        <v>0.28665474023286169</v>
      </c>
      <c r="R59">
        <f t="shared" ca="1" si="7"/>
        <v>0.86256148768947261</v>
      </c>
      <c r="S59">
        <f t="shared" ca="1" si="8"/>
        <v>46.310497311929787</v>
      </c>
      <c r="T59">
        <f>70</f>
        <v>70</v>
      </c>
      <c r="U59">
        <f>30</f>
        <v>30</v>
      </c>
      <c r="V59">
        <f t="shared" ca="1" si="6"/>
        <v>88.938856464416972</v>
      </c>
      <c r="W59">
        <f t="shared" ca="1" si="16"/>
        <v>89.007436756415188</v>
      </c>
      <c r="X59">
        <f t="shared" ca="1" si="15"/>
        <v>-0.18226944701736159</v>
      </c>
      <c r="Y59">
        <f t="shared" ca="1" si="17"/>
        <v>-7.1172227058953888E-2</v>
      </c>
      <c r="Z59">
        <f t="shared" ca="1" si="18"/>
        <v>-0.1110972199584077</v>
      </c>
    </row>
    <row r="60" spans="1:26" x14ac:dyDescent="0.25">
      <c r="A60" vm="172">
        <f ca="1"/>
        <v>45377</v>
      </c>
      <c r="B60" vm="173">
        <f ca="1"/>
        <v>87.45</v>
      </c>
      <c r="C60" vm="174">
        <f ca="1"/>
        <v>1411961</v>
      </c>
      <c r="D60">
        <f t="shared" ca="1" si="0"/>
        <v>123475989.45</v>
      </c>
      <c r="E60">
        <f ca="1">SUM($D$2:D60)/SUM($C$2:C60)</f>
        <v>89.565215046255858</v>
      </c>
      <c r="F60">
        <f ca="1">_xlfn.STDEV.P($B$2:B60)</f>
        <v>1.9420169313275231</v>
      </c>
      <c r="G60">
        <f t="shared" ca="1" si="1"/>
        <v>91.507231977583388</v>
      </c>
      <c r="H60">
        <f t="shared" ca="1" si="2"/>
        <v>87.623198114928329</v>
      </c>
      <c r="I60">
        <f t="shared" ca="1" si="11"/>
        <v>88.887500000000003</v>
      </c>
      <c r="J60">
        <f t="shared" ca="1" si="12"/>
        <v>1.1072530020398739</v>
      </c>
      <c r="K60">
        <f t="shared" ca="1" si="13"/>
        <v>91.102006004079755</v>
      </c>
      <c r="L60">
        <f t="shared" ca="1" si="14"/>
        <v>86.672993995920251</v>
      </c>
      <c r="M60">
        <f t="shared" ca="1" si="3"/>
        <v>-1.0499999999999972</v>
      </c>
      <c r="N60">
        <f t="shared" ca="1" si="4"/>
        <v>0</v>
      </c>
      <c r="O60">
        <f t="shared" ca="1" si="5"/>
        <v>1.0499999999999972</v>
      </c>
      <c r="P60">
        <f t="shared" ca="1" si="9"/>
        <v>0.22959610067503244</v>
      </c>
      <c r="Q60">
        <f t="shared" ca="1" si="10"/>
        <v>0.34117940164479993</v>
      </c>
      <c r="R60">
        <f t="shared" ca="1" si="7"/>
        <v>0.67294830686778606</v>
      </c>
      <c r="S60">
        <f t="shared" ca="1" si="8"/>
        <v>40.225289933060054</v>
      </c>
      <c r="T60">
        <f>70</f>
        <v>70</v>
      </c>
      <c r="U60">
        <f>30</f>
        <v>30</v>
      </c>
      <c r="V60">
        <f t="shared" ca="1" si="6"/>
        <v>88.709801623737434</v>
      </c>
      <c r="W60">
        <f t="shared" ca="1" si="16"/>
        <v>88.892071070754795</v>
      </c>
      <c r="X60">
        <f t="shared" ca="1" si="15"/>
        <v>-6.1857594715931441E-2</v>
      </c>
      <c r="Y60">
        <f t="shared" ca="1" si="17"/>
        <v>-6.9309300590349399E-2</v>
      </c>
      <c r="Z60">
        <f t="shared" ca="1" si="18"/>
        <v>7.4517058744179576E-3</v>
      </c>
    </row>
    <row r="61" spans="1:26" x14ac:dyDescent="0.25">
      <c r="A61" vm="175">
        <f ca="1"/>
        <v>45378</v>
      </c>
      <c r="B61" vm="176">
        <f ca="1"/>
        <v>90.05</v>
      </c>
      <c r="C61" vm="177">
        <f ca="1"/>
        <v>1935394</v>
      </c>
      <c r="D61">
        <f t="shared" ca="1" si="0"/>
        <v>174282229.69999999</v>
      </c>
      <c r="E61">
        <f ca="1">SUM($D$2:D61)/SUM($C$2:C61)</f>
        <v>89.57396464438294</v>
      </c>
      <c r="F61">
        <f ca="1">_xlfn.STDEV.P($B$2:B61)</f>
        <v>1.9264877295799792</v>
      </c>
      <c r="G61">
        <f t="shared" ca="1" si="1"/>
        <v>91.500452373962915</v>
      </c>
      <c r="H61">
        <f t="shared" ca="1" si="2"/>
        <v>87.647476914802965</v>
      </c>
      <c r="I61">
        <f t="shared" ca="1" si="11"/>
        <v>89.05749999999999</v>
      </c>
      <c r="J61">
        <f t="shared" ca="1" si="12"/>
        <v>1.0016085746648258</v>
      </c>
      <c r="K61">
        <f t="shared" ca="1" si="13"/>
        <v>91.060717149329648</v>
      </c>
      <c r="L61">
        <f t="shared" ca="1" si="14"/>
        <v>87.054282850670333</v>
      </c>
      <c r="M61">
        <f t="shared" ca="1" si="3"/>
        <v>2.5999999999999943</v>
      </c>
      <c r="N61">
        <f t="shared" ca="1" si="4"/>
        <v>2.5999999999999943</v>
      </c>
      <c r="O61">
        <f t="shared" ca="1" si="5"/>
        <v>0</v>
      </c>
      <c r="P61">
        <f t="shared" ca="1" si="9"/>
        <v>0.39891066491252974</v>
      </c>
      <c r="Q61">
        <f t="shared" ca="1" si="10"/>
        <v>0.31680944438445707</v>
      </c>
      <c r="R61">
        <f t="shared" ca="1" si="7"/>
        <v>1.259150167342993</v>
      </c>
      <c r="S61">
        <f t="shared" ca="1" si="8"/>
        <v>55.735567539712989</v>
      </c>
      <c r="T61">
        <f>70</f>
        <v>70</v>
      </c>
      <c r="U61">
        <f>30</f>
        <v>30</v>
      </c>
      <c r="V61">
        <f t="shared" ca="1" si="6"/>
        <v>88.915985989316283</v>
      </c>
      <c r="W61">
        <f t="shared" ca="1" si="16"/>
        <v>88.977843584032215</v>
      </c>
      <c r="X61">
        <f t="shared" ca="1" si="15"/>
        <v>9.3813886086792309E-2</v>
      </c>
      <c r="Y61">
        <f t="shared" ca="1" si="17"/>
        <v>-3.6684663254921063E-2</v>
      </c>
      <c r="Z61">
        <f t="shared" ca="1" si="18"/>
        <v>0.13049854934171337</v>
      </c>
    </row>
    <row r="62" spans="1:26" x14ac:dyDescent="0.25">
      <c r="A62" vm="178">
        <f ca="1"/>
        <v>45379</v>
      </c>
      <c r="B62" vm="179">
        <f ca="1"/>
        <v>90.81</v>
      </c>
      <c r="C62" vm="180">
        <f ca="1"/>
        <v>1785835</v>
      </c>
      <c r="D62">
        <f t="shared" ca="1" si="0"/>
        <v>162171676.34999999</v>
      </c>
      <c r="E62">
        <f ca="1">SUM($D$2:D62)/SUM($C$2:C62)</f>
        <v>89.594212020898837</v>
      </c>
      <c r="F62">
        <f ca="1">_xlfn.STDEV.P($B$2:B62)</f>
        <v>1.9163517924487119</v>
      </c>
      <c r="G62">
        <f t="shared" ca="1" si="1"/>
        <v>91.510563813347545</v>
      </c>
      <c r="H62">
        <f t="shared" ca="1" si="2"/>
        <v>87.677860228450129</v>
      </c>
      <c r="I62">
        <f t="shared" ca="1" si="11"/>
        <v>89.237499999999983</v>
      </c>
      <c r="J62">
        <f t="shared" ca="1" si="12"/>
        <v>0.9752509798427319</v>
      </c>
      <c r="K62">
        <f t="shared" ca="1" si="13"/>
        <v>91.188001959685451</v>
      </c>
      <c r="L62">
        <f t="shared" ca="1" si="14"/>
        <v>87.286998040314515</v>
      </c>
      <c r="M62">
        <f t="shared" ca="1" si="3"/>
        <v>0.76000000000000512</v>
      </c>
      <c r="N62">
        <f t="shared" ca="1" si="4"/>
        <v>0.76000000000000512</v>
      </c>
      <c r="O62">
        <f t="shared" ca="1" si="5"/>
        <v>0</v>
      </c>
      <c r="P62">
        <f t="shared" ca="1" si="9"/>
        <v>0.42470276027592085</v>
      </c>
      <c r="Q62">
        <f t="shared" ca="1" si="10"/>
        <v>0.29418019835699588</v>
      </c>
      <c r="R62">
        <f t="shared" ca="1" si="7"/>
        <v>1.4436823506405152</v>
      </c>
      <c r="S62">
        <f t="shared" ca="1" si="8"/>
        <v>59.078151064196646</v>
      </c>
      <c r="T62">
        <f>70</f>
        <v>70</v>
      </c>
      <c r="U62">
        <f>30</f>
        <v>30</v>
      </c>
      <c r="V62">
        <f t="shared" ca="1" si="6"/>
        <v>89.207372760190708</v>
      </c>
      <c r="W62">
        <f t="shared" ca="1" si="16"/>
        <v>89.113558874103916</v>
      </c>
      <c r="X62">
        <f t="shared" ca="1" si="15"/>
        <v>0.17641901906799262</v>
      </c>
      <c r="Y62">
        <f t="shared" ca="1" si="17"/>
        <v>5.9360732096616735E-3</v>
      </c>
      <c r="Z62">
        <f t="shared" ca="1" si="18"/>
        <v>0.17048294585833096</v>
      </c>
    </row>
    <row r="63" spans="1:26" x14ac:dyDescent="0.25">
      <c r="A63" vm="181">
        <f ca="1"/>
        <v>45383</v>
      </c>
      <c r="B63" vm="182">
        <f ca="1"/>
        <v>90.33</v>
      </c>
      <c r="C63" vm="183">
        <f ca="1"/>
        <v>1109597</v>
      </c>
      <c r="D63">
        <f t="shared" ca="1" si="0"/>
        <v>100229897.01000001</v>
      </c>
      <c r="E63">
        <f ca="1">SUM($D$2:D63)/SUM($C$2:C63)</f>
        <v>89.601625406628031</v>
      </c>
      <c r="F63">
        <f ca="1">_xlfn.STDEV.P($B$2:B63)</f>
        <v>1.9026854686773433</v>
      </c>
      <c r="G63">
        <f t="shared" ca="1" si="1"/>
        <v>91.504310875305379</v>
      </c>
      <c r="H63">
        <f t="shared" ca="1" si="2"/>
        <v>87.698939937950684</v>
      </c>
      <c r="I63">
        <f t="shared" ca="1" si="11"/>
        <v>89.40349999999998</v>
      </c>
      <c r="J63">
        <f t="shared" ca="1" si="12"/>
        <v>0.85075369062100603</v>
      </c>
      <c r="K63">
        <f t="shared" ca="1" si="13"/>
        <v>91.10500738124199</v>
      </c>
      <c r="L63">
        <f t="shared" ca="1" si="14"/>
        <v>87.70199261875797</v>
      </c>
      <c r="M63">
        <f t="shared" ca="1" si="3"/>
        <v>-0.48000000000000398</v>
      </c>
      <c r="N63">
        <f t="shared" ca="1" si="4"/>
        <v>0</v>
      </c>
      <c r="O63">
        <f t="shared" ca="1" si="5"/>
        <v>0.48000000000000398</v>
      </c>
      <c r="P63">
        <f t="shared" ca="1" si="9"/>
        <v>0.39436684882764078</v>
      </c>
      <c r="Q63">
        <f t="shared" ca="1" si="10"/>
        <v>0.30745304133149648</v>
      </c>
      <c r="R63">
        <f t="shared" ca="1" si="7"/>
        <v>1.2826896983023617</v>
      </c>
      <c r="S63">
        <f t="shared" ca="1" si="8"/>
        <v>56.192030798417285</v>
      </c>
      <c r="T63">
        <f>70</f>
        <v>70</v>
      </c>
      <c r="U63">
        <f>30</f>
        <v>30</v>
      </c>
      <c r="V63">
        <f t="shared" ca="1" si="6"/>
        <v>89.380084643238291</v>
      </c>
      <c r="W63">
        <f t="shared" ca="1" si="16"/>
        <v>89.203665624170299</v>
      </c>
      <c r="X63">
        <f t="shared" ca="1" si="15"/>
        <v>0.26066612873626127</v>
      </c>
      <c r="Y63">
        <f t="shared" ca="1" si="17"/>
        <v>5.6882084314981596E-2</v>
      </c>
      <c r="Z63">
        <f t="shared" ca="1" si="18"/>
        <v>0.20378404442127968</v>
      </c>
    </row>
    <row r="64" spans="1:26" x14ac:dyDescent="0.25">
      <c r="A64" vm="184">
        <f ca="1"/>
        <v>45384</v>
      </c>
      <c r="B64" vm="185">
        <f ca="1"/>
        <v>90.6</v>
      </c>
      <c r="C64" vm="186">
        <f ca="1"/>
        <v>1829435</v>
      </c>
      <c r="D64">
        <f t="shared" ca="1" si="0"/>
        <v>165746811</v>
      </c>
      <c r="E64">
        <f ca="1">SUM($D$2:D64)/SUM($C$2:C64)</f>
        <v>89.617939164448799</v>
      </c>
      <c r="F64">
        <f ca="1">_xlfn.STDEV.P($B$2:B64)</f>
        <v>1.8910640936783705</v>
      </c>
      <c r="G64">
        <f t="shared" ca="1" si="1"/>
        <v>91.509003258127166</v>
      </c>
      <c r="H64">
        <f t="shared" ca="1" si="2"/>
        <v>87.726875070770433</v>
      </c>
      <c r="I64">
        <f t="shared" ca="1" si="11"/>
        <v>89.47699999999999</v>
      </c>
      <c r="J64">
        <f t="shared" ca="1" si="12"/>
        <v>0.88854167926410321</v>
      </c>
      <c r="K64">
        <f t="shared" ca="1" si="13"/>
        <v>91.254083358528192</v>
      </c>
      <c r="L64">
        <f t="shared" ca="1" si="14"/>
        <v>87.699916641471788</v>
      </c>
      <c r="M64">
        <f t="shared" ca="1" si="3"/>
        <v>0.26999999999999602</v>
      </c>
      <c r="N64">
        <f t="shared" ca="1" si="4"/>
        <v>0.26999999999999602</v>
      </c>
      <c r="O64">
        <f t="shared" ca="1" si="5"/>
        <v>0</v>
      </c>
      <c r="P64">
        <f t="shared" ca="1" si="9"/>
        <v>0.38548350248280899</v>
      </c>
      <c r="Q64">
        <f t="shared" ca="1" si="10"/>
        <v>0.28549210980781814</v>
      </c>
      <c r="R64">
        <f t="shared" ca="1" si="7"/>
        <v>1.3502422282083419</v>
      </c>
      <c r="S64">
        <f t="shared" ca="1" si="8"/>
        <v>57.451194264247</v>
      </c>
      <c r="T64">
        <f>70</f>
        <v>70</v>
      </c>
      <c r="U64">
        <f>30</f>
        <v>30</v>
      </c>
      <c r="V64">
        <f t="shared" ca="1" si="6"/>
        <v>89.567763928893939</v>
      </c>
      <c r="W64">
        <f t="shared" ca="1" si="16"/>
        <v>89.307097800157678</v>
      </c>
      <c r="X64">
        <f t="shared" ca="1" si="15"/>
        <v>0.26706296817737041</v>
      </c>
      <c r="Y64">
        <f t="shared" ca="1" si="17"/>
        <v>9.8918261087459367E-2</v>
      </c>
      <c r="Z64">
        <f t="shared" ca="1" si="18"/>
        <v>0.16814470708991103</v>
      </c>
    </row>
    <row r="65" spans="1:26" x14ac:dyDescent="0.25">
      <c r="A65" vm="187">
        <f ca="1"/>
        <v>45385</v>
      </c>
      <c r="B65" vm="188">
        <f ca="1"/>
        <v>89.89</v>
      </c>
      <c r="C65" vm="189">
        <f ca="1"/>
        <v>1404637</v>
      </c>
      <c r="D65">
        <f t="shared" ca="1" si="0"/>
        <v>126262819.93000001</v>
      </c>
      <c r="E65">
        <f ca="1">SUM($D$2:D65)/SUM($C$2:C65)</f>
        <v>89.621310165183758</v>
      </c>
      <c r="F65">
        <f ca="1">_xlfn.STDEV.P($B$2:B65)</f>
        <v>1.8763969795861426</v>
      </c>
      <c r="G65">
        <f t="shared" ca="1" si="1"/>
        <v>91.497707144769905</v>
      </c>
      <c r="H65">
        <f t="shared" ca="1" si="2"/>
        <v>87.744913185597611</v>
      </c>
      <c r="I65">
        <f t="shared" ca="1" si="11"/>
        <v>89.521999999999991</v>
      </c>
      <c r="J65">
        <f t="shared" ca="1" si="12"/>
        <v>0.88536403455539636</v>
      </c>
      <c r="K65">
        <f t="shared" ca="1" si="13"/>
        <v>91.29272806911078</v>
      </c>
      <c r="L65">
        <f t="shared" ca="1" si="14"/>
        <v>87.751271930889203</v>
      </c>
      <c r="M65">
        <f t="shared" ca="1" si="3"/>
        <v>-0.70999999999999375</v>
      </c>
      <c r="N65">
        <f t="shared" ca="1" si="4"/>
        <v>0</v>
      </c>
      <c r="O65">
        <f t="shared" ca="1" si="5"/>
        <v>0.70999999999999375</v>
      </c>
      <c r="P65">
        <f t="shared" ca="1" si="9"/>
        <v>0.35794896659117981</v>
      </c>
      <c r="Q65">
        <f t="shared" ca="1" si="10"/>
        <v>0.31581410196440213</v>
      </c>
      <c r="R65">
        <f t="shared" ca="1" si="7"/>
        <v>1.1334166662118432</v>
      </c>
      <c r="S65">
        <f t="shared" ca="1" si="8"/>
        <v>53.126830973171828</v>
      </c>
      <c r="T65">
        <f>70</f>
        <v>70</v>
      </c>
      <c r="U65">
        <f>30</f>
        <v>30</v>
      </c>
      <c r="V65">
        <f t="shared" ca="1" si="6"/>
        <v>89.617338709064114</v>
      </c>
      <c r="W65">
        <f t="shared" ca="1" si="16"/>
        <v>89.350275740886744</v>
      </c>
      <c r="X65">
        <f t="shared" ca="1" si="15"/>
        <v>0.29296290827308269</v>
      </c>
      <c r="Y65">
        <f t="shared" ca="1" si="17"/>
        <v>0.13772719052458404</v>
      </c>
      <c r="Z65">
        <f t="shared" ca="1" si="18"/>
        <v>0.15523571774849865</v>
      </c>
    </row>
    <row r="66" spans="1:26" x14ac:dyDescent="0.25">
      <c r="A66" vm="190">
        <f ca="1"/>
        <v>45386</v>
      </c>
      <c r="B66" vm="191">
        <f ca="1"/>
        <v>90.19</v>
      </c>
      <c r="C66" vm="192">
        <f ca="1"/>
        <v>1666995</v>
      </c>
      <c r="D66">
        <f t="shared" ca="1" si="0"/>
        <v>150346279.04999998</v>
      </c>
      <c r="E66">
        <f ca="1">SUM($D$2:D66)/SUM($C$2:C66)</f>
        <v>89.629551521797623</v>
      </c>
      <c r="F66">
        <f ca="1">_xlfn.STDEV.P($B$2:B66)</f>
        <v>1.8629137577029844</v>
      </c>
      <c r="G66">
        <f t="shared" ca="1" si="1"/>
        <v>91.492465279500607</v>
      </c>
      <c r="H66">
        <f t="shared" ca="1" si="2"/>
        <v>87.766637764094639</v>
      </c>
      <c r="I66">
        <f t="shared" ca="1" si="11"/>
        <v>89.539000000000001</v>
      </c>
      <c r="J66">
        <f t="shared" ca="1" si="12"/>
        <v>0.8952030054979877</v>
      </c>
      <c r="K66">
        <f t="shared" ca="1" si="13"/>
        <v>91.329406010995982</v>
      </c>
      <c r="L66">
        <f t="shared" ca="1" si="14"/>
        <v>87.748593989004021</v>
      </c>
      <c r="M66">
        <f t="shared" ca="1" si="3"/>
        <v>0.29999999999999716</v>
      </c>
      <c r="N66">
        <f t="shared" ca="1" si="4"/>
        <v>0.29999999999999716</v>
      </c>
      <c r="O66">
        <f t="shared" ca="1" si="5"/>
        <v>0</v>
      </c>
      <c r="P66">
        <f t="shared" ca="1" si="9"/>
        <v>0.35380975469180959</v>
      </c>
      <c r="Q66">
        <f t="shared" ca="1" si="10"/>
        <v>0.2932559518240877</v>
      </c>
      <c r="R66">
        <f t="shared" ca="1" si="7"/>
        <v>1.2064878904965777</v>
      </c>
      <c r="S66">
        <f t="shared" ca="1" si="8"/>
        <v>54.679107721051373</v>
      </c>
      <c r="T66">
        <f>70</f>
        <v>70</v>
      </c>
      <c r="U66">
        <f>30</f>
        <v>30</v>
      </c>
      <c r="V66">
        <f t="shared" ca="1" si="6"/>
        <v>89.705440446131178</v>
      </c>
      <c r="W66">
        <f t="shared" ca="1" si="16"/>
        <v>89.412477537858095</v>
      </c>
      <c r="X66">
        <f t="shared" ca="1" si="15"/>
        <v>0.26683935241334211</v>
      </c>
      <c r="Y66">
        <f t="shared" ca="1" si="17"/>
        <v>0.16354962290233566</v>
      </c>
      <c r="Z66">
        <f t="shared" ca="1" si="18"/>
        <v>0.10328972951100646</v>
      </c>
    </row>
    <row r="67" spans="1:26" x14ac:dyDescent="0.25">
      <c r="A67" vm="193">
        <f ca="1"/>
        <v>45387</v>
      </c>
      <c r="B67" vm="194">
        <f ca="1"/>
        <v>89.65</v>
      </c>
      <c r="C67" vm="195">
        <f ca="1"/>
        <v>1737921</v>
      </c>
      <c r="D67">
        <f t="shared" ref="D67:D130" ca="1" si="19">B67*C67</f>
        <v>155804617.65000001</v>
      </c>
      <c r="E67">
        <f ca="1">SUM($D$2:D67)/SUM($C$2:C67)</f>
        <v>89.629855867756291</v>
      </c>
      <c r="F67">
        <f ca="1">_xlfn.STDEV.P($B$2:B67)</f>
        <v>1.8487570589435416</v>
      </c>
      <c r="G67">
        <f t="shared" ref="G67:G130" ca="1" si="20">E67 + F67</f>
        <v>91.478612926699839</v>
      </c>
      <c r="H67">
        <f t="shared" ref="H67:H130" ca="1" si="21">E67 - F67</f>
        <v>87.781098808812743</v>
      </c>
      <c r="I67">
        <f t="shared" ca="1" si="11"/>
        <v>89.524500000000003</v>
      </c>
      <c r="J67">
        <f t="shared" ca="1" si="12"/>
        <v>0.8907032998822062</v>
      </c>
      <c r="K67">
        <f t="shared" ca="1" si="13"/>
        <v>91.305906599764413</v>
      </c>
      <c r="L67">
        <f t="shared" ca="1" si="14"/>
        <v>87.743093400235594</v>
      </c>
      <c r="M67">
        <f t="shared" ca="1" si="3"/>
        <v>-0.53999999999999204</v>
      </c>
      <c r="N67">
        <f t="shared" ca="1" si="4"/>
        <v>0</v>
      </c>
      <c r="O67">
        <f t="shared" ca="1" si="5"/>
        <v>0.53999999999999204</v>
      </c>
      <c r="P67">
        <f t="shared" ca="1" si="9"/>
        <v>0.32853762935668035</v>
      </c>
      <c r="Q67">
        <f t="shared" ca="1" si="10"/>
        <v>0.31088052669379518</v>
      </c>
      <c r="R67">
        <f t="shared" ca="1" si="7"/>
        <v>1.0567970687989625</v>
      </c>
      <c r="S67">
        <f t="shared" ca="1" si="8"/>
        <v>51.380716397853689</v>
      </c>
      <c r="T67">
        <f>70</f>
        <v>70</v>
      </c>
      <c r="U67">
        <f>30</f>
        <v>30</v>
      </c>
      <c r="V67">
        <f t="shared" ca="1" si="6"/>
        <v>89.696911146726393</v>
      </c>
      <c r="W67">
        <f t="shared" ca="1" si="16"/>
        <v>89.430071794313051</v>
      </c>
      <c r="X67">
        <f t="shared" ca="1" si="15"/>
        <v>0.31911475050141291</v>
      </c>
      <c r="Y67">
        <f t="shared" ca="1" si="17"/>
        <v>0.19466264842215114</v>
      </c>
      <c r="Z67">
        <f t="shared" ca="1" si="18"/>
        <v>0.12445210207926177</v>
      </c>
    </row>
    <row r="68" spans="1:26" x14ac:dyDescent="0.25">
      <c r="A68" vm="196">
        <f ca="1"/>
        <v>45390</v>
      </c>
      <c r="B68" vm="185">
        <f ca="1"/>
        <v>90.6</v>
      </c>
      <c r="C68" vm="197">
        <f ca="1"/>
        <v>1437861</v>
      </c>
      <c r="D68">
        <f t="shared" ca="1" si="19"/>
        <v>130270206.59999999</v>
      </c>
      <c r="E68">
        <f ca="1">SUM($D$2:D68)/SUM($C$2:C68)</f>
        <v>89.641656750836177</v>
      </c>
      <c r="F68">
        <f ca="1">_xlfn.STDEV.P($B$2:B68)</f>
        <v>1.8381551474724731</v>
      </c>
      <c r="G68">
        <f t="shared" ca="1" si="20"/>
        <v>91.479811898308654</v>
      </c>
      <c r="H68">
        <f t="shared" ca="1" si="21"/>
        <v>87.803501603363699</v>
      </c>
      <c r="I68">
        <f t="shared" ca="1" si="11"/>
        <v>89.54849999999999</v>
      </c>
      <c r="J68">
        <f t="shared" ca="1" si="12"/>
        <v>0.91376188882754461</v>
      </c>
      <c r="K68">
        <f t="shared" ca="1" si="13"/>
        <v>91.376023777655078</v>
      </c>
      <c r="L68">
        <f t="shared" ca="1" si="14"/>
        <v>87.720976222344902</v>
      </c>
      <c r="M68">
        <f t="shared" ref="M68:M131" ca="1" si="22">B68-B67</f>
        <v>0.94999999999998863</v>
      </c>
      <c r="N68">
        <f t="shared" ref="N68:N131" ca="1" si="23">MAX(M68,0)</f>
        <v>0.94999999999998863</v>
      </c>
      <c r="O68">
        <f t="shared" ref="O68:O131" ca="1" si="24">MAX(-M68,0)</f>
        <v>0</v>
      </c>
      <c r="P68">
        <f t="shared" ca="1" si="9"/>
        <v>0.37292779868834519</v>
      </c>
      <c r="Q68">
        <f t="shared" ca="1" si="10"/>
        <v>0.28867477478709552</v>
      </c>
      <c r="R68">
        <f t="shared" ca="1" si="7"/>
        <v>1.2918613999556707</v>
      </c>
      <c r="S68">
        <f t="shared" ca="1" si="8"/>
        <v>56.36734402790055</v>
      </c>
      <c r="T68">
        <f>70</f>
        <v>70</v>
      </c>
      <c r="U68">
        <f>30</f>
        <v>30</v>
      </c>
      <c r="V68">
        <f t="shared" ca="1" si="6"/>
        <v>89.835847893383871</v>
      </c>
      <c r="W68">
        <f t="shared" ca="1" si="16"/>
        <v>89.516733142882458</v>
      </c>
      <c r="X68">
        <f t="shared" ca="1" si="15"/>
        <v>0.39871382592083648</v>
      </c>
      <c r="Y68">
        <f t="shared" ca="1" si="17"/>
        <v>0.2354728839218882</v>
      </c>
      <c r="Z68">
        <f t="shared" ca="1" si="18"/>
        <v>0.16324094199894829</v>
      </c>
    </row>
    <row r="69" spans="1:26" x14ac:dyDescent="0.25">
      <c r="A69" vm="198">
        <f ca="1"/>
        <v>45391</v>
      </c>
      <c r="B69" vm="199">
        <f ca="1"/>
        <v>91.13</v>
      </c>
      <c r="C69" vm="200">
        <f ca="1"/>
        <v>1184146</v>
      </c>
      <c r="D69">
        <f t="shared" ca="1" si="19"/>
        <v>107911224.97999999</v>
      </c>
      <c r="E69">
        <f ca="1">SUM($D$2:D69)/SUM($C$2:C69)</f>
        <v>89.656418598720649</v>
      </c>
      <c r="F69">
        <f ca="1">_xlfn.STDEV.P($B$2:B69)</f>
        <v>1.8325463676115719</v>
      </c>
      <c r="G69">
        <f t="shared" ca="1" si="20"/>
        <v>91.488964966332219</v>
      </c>
      <c r="H69">
        <f t="shared" ca="1" si="21"/>
        <v>87.823872231109078</v>
      </c>
      <c r="I69">
        <f t="shared" ca="1" si="11"/>
        <v>89.565000000000012</v>
      </c>
      <c r="J69">
        <f t="shared" ca="1" si="12"/>
        <v>0.94014836455126516</v>
      </c>
      <c r="K69">
        <f t="shared" ca="1" si="13"/>
        <v>91.445296729102537</v>
      </c>
      <c r="L69">
        <f t="shared" ca="1" si="14"/>
        <v>87.684703270897487</v>
      </c>
      <c r="M69">
        <f t="shared" ca="1" si="22"/>
        <v>0.53000000000000114</v>
      </c>
      <c r="N69">
        <f t="shared" ca="1" si="23"/>
        <v>0.53000000000000114</v>
      </c>
      <c r="O69">
        <f t="shared" ca="1" si="24"/>
        <v>0</v>
      </c>
      <c r="P69">
        <f t="shared" ca="1" si="9"/>
        <v>0.38414724163917774</v>
      </c>
      <c r="Q69">
        <f t="shared" ca="1" si="10"/>
        <v>0.2680551480165887</v>
      </c>
      <c r="R69">
        <f t="shared" ca="1" si="7"/>
        <v>1.433090334140513</v>
      </c>
      <c r="S69">
        <f t="shared" ca="1" si="8"/>
        <v>58.900005233334291</v>
      </c>
      <c r="T69">
        <f>70</f>
        <v>70</v>
      </c>
      <c r="U69">
        <f>30</f>
        <v>30</v>
      </c>
      <c r="V69">
        <f t="shared" ca="1" si="6"/>
        <v>90.034948217478657</v>
      </c>
      <c r="W69">
        <f t="shared" ca="1" si="16"/>
        <v>89.636234391557821</v>
      </c>
      <c r="X69">
        <f t="shared" ca="1" si="15"/>
        <v>0.27784456790560341</v>
      </c>
      <c r="Y69">
        <f t="shared" ca="1" si="17"/>
        <v>0.24394722071863126</v>
      </c>
      <c r="Z69">
        <f t="shared" ca="1" si="18"/>
        <v>3.3897347186972154E-2</v>
      </c>
    </row>
    <row r="70" spans="1:26" x14ac:dyDescent="0.25">
      <c r="A70" vm="201">
        <f ca="1"/>
        <v>45392</v>
      </c>
      <c r="B70" vm="202">
        <f ca="1"/>
        <v>88.89</v>
      </c>
      <c r="C70" vm="203">
        <f ca="1"/>
        <v>1623462</v>
      </c>
      <c r="D70">
        <f t="shared" ca="1" si="19"/>
        <v>144309537.18000001</v>
      </c>
      <c r="E70">
        <f ca="1">SUM($D$2:D70)/SUM($C$2:C70)</f>
        <v>89.646136665077535</v>
      </c>
      <c r="F70">
        <f ca="1">_xlfn.STDEV.P($B$2:B70)</f>
        <v>1.8220105755132388</v>
      </c>
      <c r="G70">
        <f t="shared" ca="1" si="20"/>
        <v>91.468147240590767</v>
      </c>
      <c r="H70">
        <f t="shared" ca="1" si="21"/>
        <v>87.824126089564302</v>
      </c>
      <c r="I70">
        <f t="shared" ca="1" si="11"/>
        <v>89.513000000000005</v>
      </c>
      <c r="J70">
        <f t="shared" ca="1" si="12"/>
        <v>0.9476291746414186</v>
      </c>
      <c r="K70">
        <f t="shared" ca="1" si="13"/>
        <v>91.408258349282846</v>
      </c>
      <c r="L70">
        <f t="shared" ca="1" si="14"/>
        <v>87.617741650717164</v>
      </c>
      <c r="M70">
        <f t="shared" ca="1" si="22"/>
        <v>-2.2399999999999949</v>
      </c>
      <c r="N70">
        <f t="shared" ca="1" si="23"/>
        <v>0</v>
      </c>
      <c r="O70">
        <f t="shared" ca="1" si="24"/>
        <v>2.2399999999999949</v>
      </c>
      <c r="P70">
        <f t="shared" ca="1" si="9"/>
        <v>0.35670815295066499</v>
      </c>
      <c r="Q70">
        <f t="shared" ca="1" si="10"/>
        <v>0.40890835172968915</v>
      </c>
      <c r="R70">
        <f t="shared" ca="1" si="7"/>
        <v>0.8723425467877669</v>
      </c>
      <c r="S70">
        <f t="shared" ca="1" si="8"/>
        <v>46.590969600321124</v>
      </c>
      <c r="T70">
        <f>70</f>
        <v>70</v>
      </c>
      <c r="U70">
        <f>30</f>
        <v>30</v>
      </c>
      <c r="V70">
        <f t="shared" ca="1" si="6"/>
        <v>89.85880233786655</v>
      </c>
      <c r="W70">
        <f t="shared" ca="1" si="16"/>
        <v>89.580957769960946</v>
      </c>
      <c r="X70">
        <f t="shared" ca="1" si="15"/>
        <v>0.15285760429929951</v>
      </c>
      <c r="Y70">
        <f t="shared" ca="1" si="17"/>
        <v>0.22572929743476491</v>
      </c>
      <c r="Z70">
        <f t="shared" ca="1" si="18"/>
        <v>-7.2871693135465404E-2</v>
      </c>
    </row>
    <row r="71" spans="1:26" x14ac:dyDescent="0.25">
      <c r="A71" vm="204">
        <f ca="1"/>
        <v>45393</v>
      </c>
      <c r="B71" vm="205">
        <f ca="1"/>
        <v>88.55</v>
      </c>
      <c r="C71" vm="206">
        <f ca="1"/>
        <v>1325849</v>
      </c>
      <c r="D71">
        <f t="shared" ca="1" si="19"/>
        <v>117403928.95</v>
      </c>
      <c r="E71">
        <f ca="1">SUM($D$2:D71)/SUM($C$2:C71)</f>
        <v>89.63425730474242</v>
      </c>
      <c r="F71">
        <f ca="1">_xlfn.STDEV.P($B$2:B71)</f>
        <v>1.8142827952732421</v>
      </c>
      <c r="G71">
        <f t="shared" ca="1" si="20"/>
        <v>91.448540100015663</v>
      </c>
      <c r="H71">
        <f t="shared" ca="1" si="21"/>
        <v>87.819974509469176</v>
      </c>
      <c r="I71">
        <f t="shared" ca="1" si="11"/>
        <v>89.462000000000018</v>
      </c>
      <c r="J71">
        <f t="shared" ca="1" si="12"/>
        <v>0.97154570280125074</v>
      </c>
      <c r="K71">
        <f t="shared" ca="1" si="13"/>
        <v>91.405091405602519</v>
      </c>
      <c r="L71">
        <f t="shared" ca="1" si="14"/>
        <v>87.518908594397516</v>
      </c>
      <c r="M71">
        <f t="shared" ca="1" si="22"/>
        <v>-0.34000000000000341</v>
      </c>
      <c r="N71">
        <f t="shared" ca="1" si="23"/>
        <v>0</v>
      </c>
      <c r="O71">
        <f t="shared" ca="1" si="24"/>
        <v>0.34000000000000341</v>
      </c>
      <c r="P71">
        <f t="shared" ca="1" si="9"/>
        <v>0.33122899916847459</v>
      </c>
      <c r="Q71">
        <f t="shared" ca="1" si="10"/>
        <v>0.40398632660614014</v>
      </c>
      <c r="R71">
        <f t="shared" ca="1" si="7"/>
        <v>0.81990150991273747</v>
      </c>
      <c r="S71">
        <f t="shared" ca="1" si="8"/>
        <v>45.051971518615368</v>
      </c>
      <c r="T71">
        <f>70</f>
        <v>70</v>
      </c>
      <c r="U71">
        <f>30</f>
        <v>30</v>
      </c>
      <c r="V71">
        <f t="shared" ca="1" si="6"/>
        <v>89.657448132040926</v>
      </c>
      <c r="W71">
        <f t="shared" ca="1" si="16"/>
        <v>89.504590527741627</v>
      </c>
      <c r="X71">
        <f t="shared" ca="1" si="15"/>
        <v>5.9573144444797776E-2</v>
      </c>
      <c r="Y71">
        <f t="shared" ca="1" si="17"/>
        <v>0.19249806683677151</v>
      </c>
      <c r="Z71">
        <f t="shared" ca="1" si="18"/>
        <v>-0.13292492239197373</v>
      </c>
    </row>
    <row r="72" spans="1:26" x14ac:dyDescent="0.25">
      <c r="A72" vm="207">
        <f ca="1"/>
        <v>45394</v>
      </c>
      <c r="B72" vm="208">
        <f ca="1"/>
        <v>88.63</v>
      </c>
      <c r="C72" vm="209">
        <f ca="1"/>
        <v>1395978</v>
      </c>
      <c r="D72">
        <f t="shared" ca="1" si="19"/>
        <v>123725530.14</v>
      </c>
      <c r="E72">
        <f ca="1">SUM($D$2:D72)/SUM($C$2:C72)</f>
        <v>89.622927294335028</v>
      </c>
      <c r="F72">
        <f ca="1">_xlfn.STDEV.P($B$2:B72)</f>
        <v>1.805906924917227</v>
      </c>
      <c r="G72">
        <f t="shared" ca="1" si="20"/>
        <v>91.428834219252252</v>
      </c>
      <c r="H72">
        <f t="shared" ca="1" si="21"/>
        <v>87.817020369417804</v>
      </c>
      <c r="I72">
        <f t="shared" ca="1" si="11"/>
        <v>89.460000000000008</v>
      </c>
      <c r="J72">
        <f t="shared" ca="1" si="12"/>
        <v>0.97330148950552942</v>
      </c>
      <c r="K72">
        <f t="shared" ca="1" si="13"/>
        <v>91.406602979011069</v>
      </c>
      <c r="L72">
        <f t="shared" ca="1" si="14"/>
        <v>87.513397020988947</v>
      </c>
      <c r="M72">
        <f t="shared" ca="1" si="22"/>
        <v>7.9999999999998295E-2</v>
      </c>
      <c r="N72">
        <f t="shared" ca="1" si="23"/>
        <v>7.9999999999998295E-2</v>
      </c>
      <c r="O72">
        <f t="shared" ca="1" si="24"/>
        <v>0</v>
      </c>
      <c r="P72">
        <f t="shared" ca="1" si="9"/>
        <v>0.31328407065644059</v>
      </c>
      <c r="Q72">
        <f t="shared" ca="1" si="10"/>
        <v>0.37513016041998731</v>
      </c>
      <c r="R72">
        <f t="shared" ca="1" si="7"/>
        <v>0.83513431792766213</v>
      </c>
      <c r="S72">
        <f t="shared" ca="1" si="8"/>
        <v>45.508075881374346</v>
      </c>
      <c r="T72">
        <f>70</f>
        <v>70</v>
      </c>
      <c r="U72">
        <f>30</f>
        <v>30</v>
      </c>
      <c r="V72">
        <f t="shared" ca="1" si="6"/>
        <v>89.499379188650011</v>
      </c>
      <c r="W72">
        <f t="shared" ca="1" si="16"/>
        <v>89.439806044205213</v>
      </c>
      <c r="X72">
        <f t="shared" ca="1" si="15"/>
        <v>4.0850867983920125E-2</v>
      </c>
      <c r="Y72">
        <f t="shared" ca="1" si="17"/>
        <v>0.16216862706620122</v>
      </c>
      <c r="Z72">
        <f t="shared" ca="1" si="18"/>
        <v>-0.1213177590822811</v>
      </c>
    </row>
    <row r="73" spans="1:26" x14ac:dyDescent="0.25">
      <c r="A73" vm="210">
        <f ca="1"/>
        <v>45397</v>
      </c>
      <c r="B73" vm="211">
        <f ca="1"/>
        <v>89.32</v>
      </c>
      <c r="C73" vm="212">
        <f ca="1"/>
        <v>3517995</v>
      </c>
      <c r="D73">
        <f t="shared" ca="1" si="19"/>
        <v>314227313.39999998</v>
      </c>
      <c r="E73">
        <f ca="1">SUM($D$2:D73)/SUM($C$2:C73)</f>
        <v>89.614552677832592</v>
      </c>
      <c r="F73">
        <f ca="1">_xlfn.STDEV.P($B$2:B73)</f>
        <v>1.7938435526427676</v>
      </c>
      <c r="G73">
        <f t="shared" ca="1" si="20"/>
        <v>91.408396230475361</v>
      </c>
      <c r="H73">
        <f t="shared" ca="1" si="21"/>
        <v>87.820709125189822</v>
      </c>
      <c r="I73">
        <f t="shared" ca="1" si="11"/>
        <v>89.479000000000013</v>
      </c>
      <c r="J73">
        <f t="shared" ca="1" si="12"/>
        <v>0.96630005147142672</v>
      </c>
      <c r="K73">
        <f t="shared" ca="1" si="13"/>
        <v>91.41160010294287</v>
      </c>
      <c r="L73">
        <f t="shared" ca="1" si="14"/>
        <v>87.546399897057157</v>
      </c>
      <c r="M73">
        <f t="shared" ca="1" si="22"/>
        <v>0.68999999999999773</v>
      </c>
      <c r="N73">
        <f t="shared" ca="1" si="23"/>
        <v>0.68999999999999773</v>
      </c>
      <c r="O73">
        <f t="shared" ca="1" si="24"/>
        <v>0</v>
      </c>
      <c r="P73">
        <f t="shared" ca="1" si="9"/>
        <v>0.34019235132383752</v>
      </c>
      <c r="Q73">
        <f t="shared" ca="1" si="10"/>
        <v>0.34833514896141676</v>
      </c>
      <c r="R73">
        <f t="shared" ca="1" si="7"/>
        <v>0.97662366929706201</v>
      </c>
      <c r="S73">
        <f t="shared" ca="1" si="8"/>
        <v>49.408680289879072</v>
      </c>
      <c r="T73">
        <f>70</f>
        <v>70</v>
      </c>
      <c r="U73">
        <f>30</f>
        <v>30</v>
      </c>
      <c r="V73">
        <f t="shared" ca="1" si="6"/>
        <v>89.471782390396157</v>
      </c>
      <c r="W73">
        <f t="shared" ca="1" si="16"/>
        <v>89.430931522412237</v>
      </c>
      <c r="X73">
        <f t="shared" ca="1" si="15"/>
        <v>-0.12585007075874444</v>
      </c>
      <c r="Y73">
        <f t="shared" ca="1" si="17"/>
        <v>0.10456488750121209</v>
      </c>
      <c r="Z73">
        <f t="shared" ca="1" si="18"/>
        <v>-0.23041495825995653</v>
      </c>
    </row>
    <row r="74" spans="1:26" x14ac:dyDescent="0.25">
      <c r="A74" vm="213">
        <f ca="1"/>
        <v>45398</v>
      </c>
      <c r="B74" vm="214">
        <f ca="1"/>
        <v>87.42</v>
      </c>
      <c r="C74" vm="215">
        <f ca="1"/>
        <v>2098153</v>
      </c>
      <c r="D74">
        <f t="shared" ca="1" si="19"/>
        <v>183420535.25999999</v>
      </c>
      <c r="E74">
        <f ca="1">SUM($D$2:D74)/SUM($C$2:C74)</f>
        <v>89.578955775629055</v>
      </c>
      <c r="F74">
        <f ca="1">_xlfn.STDEV.P($B$2:B74)</f>
        <v>1.800853845566218</v>
      </c>
      <c r="G74">
        <f t="shared" ca="1" si="20"/>
        <v>91.379809621195278</v>
      </c>
      <c r="H74">
        <f t="shared" ca="1" si="21"/>
        <v>87.778101930062832</v>
      </c>
      <c r="I74">
        <f t="shared" ca="1" si="11"/>
        <v>89.400499999999994</v>
      </c>
      <c r="J74">
        <f t="shared" ca="1" si="12"/>
        <v>1.0666744928440952</v>
      </c>
      <c r="K74">
        <f t="shared" ca="1" si="13"/>
        <v>91.533848985688181</v>
      </c>
      <c r="L74">
        <f t="shared" ca="1" si="14"/>
        <v>87.267151014311807</v>
      </c>
      <c r="M74">
        <f t="shared" ca="1" si="22"/>
        <v>-1.8999999999999915</v>
      </c>
      <c r="N74">
        <f t="shared" ca="1" si="23"/>
        <v>0</v>
      </c>
      <c r="O74">
        <f t="shared" ca="1" si="24"/>
        <v>1.8999999999999915</v>
      </c>
      <c r="P74">
        <f t="shared" ca="1" si="9"/>
        <v>0.31589289765784911</v>
      </c>
      <c r="Q74">
        <f t="shared" ca="1" si="10"/>
        <v>0.45916835260702926</v>
      </c>
      <c r="R74">
        <f t="shared" ca="1" si="7"/>
        <v>0.68796748701058719</v>
      </c>
      <c r="S74">
        <f t="shared" ca="1" si="8"/>
        <v>40.757152747591526</v>
      </c>
      <c r="T74">
        <f>70</f>
        <v>70</v>
      </c>
      <c r="U74">
        <f>30</f>
        <v>30</v>
      </c>
      <c r="V74">
        <f t="shared" ca="1" si="6"/>
        <v>89.156123561104437</v>
      </c>
      <c r="W74">
        <f t="shared" ca="1" si="16"/>
        <v>89.281973631863181</v>
      </c>
      <c r="X74">
        <f t="shared" ca="1" si="15"/>
        <v>-2.2885278369003004E-2</v>
      </c>
      <c r="Y74">
        <f t="shared" ca="1" si="17"/>
        <v>7.9074854327169083E-2</v>
      </c>
      <c r="Z74">
        <f t="shared" ca="1" si="18"/>
        <v>-0.10196013269617209</v>
      </c>
    </row>
    <row r="75" spans="1:26" x14ac:dyDescent="0.25">
      <c r="A75" vm="216">
        <f ca="1"/>
        <v>45399</v>
      </c>
      <c r="B75" vm="182">
        <f ca="1"/>
        <v>90.33</v>
      </c>
      <c r="C75" vm="217">
        <f ca="1"/>
        <v>2923183</v>
      </c>
      <c r="D75">
        <f t="shared" ca="1" si="19"/>
        <v>264051120.38999999</v>
      </c>
      <c r="E75">
        <f ca="1">SUM($D$2:D75)/SUM($C$2:C75)</f>
        <v>89.595553375275273</v>
      </c>
      <c r="F75">
        <f ca="1">_xlfn.STDEV.P($B$2:B75)</f>
        <v>1.7903495512622372</v>
      </c>
      <c r="G75">
        <f t="shared" ca="1" si="20"/>
        <v>91.385902926537511</v>
      </c>
      <c r="H75">
        <f t="shared" ca="1" si="21"/>
        <v>87.805203824013034</v>
      </c>
      <c r="I75">
        <f t="shared" ca="1" si="11"/>
        <v>89.4315</v>
      </c>
      <c r="J75">
        <f t="shared" ca="1" si="12"/>
        <v>1.0849946640664314</v>
      </c>
      <c r="K75">
        <f t="shared" ca="1" si="13"/>
        <v>91.601489328132857</v>
      </c>
      <c r="L75">
        <f t="shared" ca="1" si="14"/>
        <v>87.261510671867143</v>
      </c>
      <c r="M75">
        <f t="shared" ca="1" si="22"/>
        <v>2.9099999999999966</v>
      </c>
      <c r="N75">
        <f t="shared" ca="1" si="23"/>
        <v>2.9099999999999966</v>
      </c>
      <c r="O75">
        <f t="shared" ca="1" si="24"/>
        <v>0</v>
      </c>
      <c r="P75">
        <f t="shared" ca="1" si="9"/>
        <v>0.50118626211085959</v>
      </c>
      <c r="Q75">
        <f t="shared" ca="1" si="10"/>
        <v>0.42637061313509861</v>
      </c>
      <c r="R75">
        <f t="shared" ca="1" si="7"/>
        <v>1.1754709322615888</v>
      </c>
      <c r="S75">
        <f t="shared" ca="1" si="8"/>
        <v>54.032941319955299</v>
      </c>
      <c r="T75">
        <f>70</f>
        <v>70</v>
      </c>
      <c r="U75">
        <f>30</f>
        <v>30</v>
      </c>
      <c r="V75">
        <f t="shared" ca="1" si="6"/>
        <v>89.336719936319128</v>
      </c>
      <c r="W75">
        <f t="shared" ca="1" si="16"/>
        <v>89.359605214688131</v>
      </c>
      <c r="X75">
        <f t="shared" ca="1" si="15"/>
        <v>0.10351602938216331</v>
      </c>
      <c r="Y75">
        <f t="shared" ca="1" si="17"/>
        <v>8.3963089338167929E-2</v>
      </c>
      <c r="Z75">
        <f t="shared" ca="1" si="18"/>
        <v>1.9552940043995382E-2</v>
      </c>
    </row>
    <row r="76" spans="1:26" x14ac:dyDescent="0.25">
      <c r="A76" vm="218">
        <f ca="1"/>
        <v>45400</v>
      </c>
      <c r="B76" vm="62">
        <f ca="1"/>
        <v>90.9</v>
      </c>
      <c r="C76" vm="219">
        <f ca="1"/>
        <v>2528774</v>
      </c>
      <c r="D76">
        <f t="shared" ca="1" si="19"/>
        <v>229865556.60000002</v>
      </c>
      <c r="E76">
        <f ca="1">SUM($D$2:D76)/SUM($C$2:C76)</f>
        <v>89.620023477911047</v>
      </c>
      <c r="F76">
        <f ca="1">_xlfn.STDEV.P($B$2:B76)</f>
        <v>1.7840285299163674</v>
      </c>
      <c r="G76">
        <f t="shared" ca="1" si="20"/>
        <v>91.404052007827417</v>
      </c>
      <c r="H76">
        <f t="shared" ca="1" si="21"/>
        <v>87.835994947994678</v>
      </c>
      <c r="I76">
        <f t="shared" ca="1" si="11"/>
        <v>89.524500000000003</v>
      </c>
      <c r="J76">
        <f t="shared" ca="1" si="12"/>
        <v>1.1285131111800437</v>
      </c>
      <c r="K76">
        <f t="shared" ca="1" si="13"/>
        <v>91.781526222360085</v>
      </c>
      <c r="L76">
        <f t="shared" ca="1" si="14"/>
        <v>87.267473777639921</v>
      </c>
      <c r="M76">
        <f t="shared" ca="1" si="22"/>
        <v>0.57000000000000739</v>
      </c>
      <c r="N76">
        <f t="shared" ca="1" si="23"/>
        <v>0.57000000000000739</v>
      </c>
      <c r="O76">
        <f t="shared" ca="1" si="24"/>
        <v>0</v>
      </c>
      <c r="P76">
        <f t="shared" ca="1" si="9"/>
        <v>0.50610152910294159</v>
      </c>
      <c r="Q76">
        <f t="shared" ca="1" si="10"/>
        <v>0.39591556933973443</v>
      </c>
      <c r="R76">
        <f t="shared" ca="1" si="7"/>
        <v>1.2783067105619603</v>
      </c>
      <c r="S76">
        <f t="shared" ca="1" si="8"/>
        <v>56.107753387016842</v>
      </c>
      <c r="T76">
        <f>70</f>
        <v>70</v>
      </c>
      <c r="U76">
        <f>30</f>
        <v>30</v>
      </c>
      <c r="V76">
        <f t="shared" ca="1" si="6"/>
        <v>89.577224561500799</v>
      </c>
      <c r="W76">
        <f t="shared" ca="1" si="16"/>
        <v>89.473708532118636</v>
      </c>
      <c r="X76">
        <f t="shared" ca="1" si="15"/>
        <v>0.2707704325560627</v>
      </c>
      <c r="Y76">
        <f t="shared" ca="1" si="17"/>
        <v>0.12132455798174688</v>
      </c>
      <c r="Z76">
        <f t="shared" ca="1" si="18"/>
        <v>0.14944587457431582</v>
      </c>
    </row>
    <row r="77" spans="1:26" x14ac:dyDescent="0.25">
      <c r="A77" vm="220">
        <f ca="1"/>
        <v>45401</v>
      </c>
      <c r="B77" vm="221">
        <f ca="1"/>
        <v>91.77</v>
      </c>
      <c r="C77" vm="222">
        <f ca="1"/>
        <v>7398350</v>
      </c>
      <c r="D77">
        <f t="shared" ca="1" si="19"/>
        <v>678946579.5</v>
      </c>
      <c r="E77">
        <f ca="1">SUM($D$2:D77)/SUM($C$2:C77)</f>
        <v>89.73188067677556</v>
      </c>
      <c r="F77">
        <f ca="1">_xlfn.STDEV.P($B$2:B77)</f>
        <v>1.7881970872123356</v>
      </c>
      <c r="G77">
        <f t="shared" ca="1" si="20"/>
        <v>91.520077763987899</v>
      </c>
      <c r="H77">
        <f t="shared" ca="1" si="21"/>
        <v>87.943683589563221</v>
      </c>
      <c r="I77">
        <f t="shared" ca="1" si="11"/>
        <v>89.680500000000023</v>
      </c>
      <c r="J77">
        <f t="shared" ca="1" si="12"/>
        <v>1.2136958562914126</v>
      </c>
      <c r="K77">
        <f t="shared" ca="1" si="13"/>
        <v>92.107891712582855</v>
      </c>
      <c r="L77">
        <f t="shared" ca="1" si="14"/>
        <v>87.253108287417191</v>
      </c>
      <c r="M77">
        <f t="shared" ca="1" si="22"/>
        <v>0.86999999999999034</v>
      </c>
      <c r="N77">
        <f t="shared" ca="1" si="23"/>
        <v>0.86999999999999034</v>
      </c>
      <c r="O77">
        <f t="shared" ca="1" si="24"/>
        <v>0</v>
      </c>
      <c r="P77">
        <f t="shared" ca="1" si="9"/>
        <v>0.53209427702415935</v>
      </c>
      <c r="Q77">
        <f t="shared" ca="1" si="10"/>
        <v>0.36763588581546769</v>
      </c>
      <c r="R77">
        <f t="shared" ca="1" si="7"/>
        <v>1.4473404190232952</v>
      </c>
      <c r="S77">
        <f t="shared" ca="1" si="8"/>
        <v>59.139317430997679</v>
      </c>
      <c r="T77">
        <f>70</f>
        <v>70</v>
      </c>
      <c r="U77">
        <f>30</f>
        <v>30</v>
      </c>
      <c r="V77">
        <f t="shared" ca="1" si="6"/>
        <v>89.914574628962214</v>
      </c>
      <c r="W77">
        <f t="shared" ca="1" si="16"/>
        <v>89.643804196406151</v>
      </c>
      <c r="X77">
        <f t="shared" ca="1" si="15"/>
        <v>0.47530570076860101</v>
      </c>
      <c r="Y77">
        <f t="shared" ca="1" si="17"/>
        <v>0.19212078653911771</v>
      </c>
      <c r="Z77">
        <f t="shared" ca="1" si="18"/>
        <v>0.28318491422948333</v>
      </c>
    </row>
    <row r="78" spans="1:26" x14ac:dyDescent="0.25">
      <c r="A78" vm="223">
        <f ca="1"/>
        <v>45404</v>
      </c>
      <c r="B78" vm="224">
        <f ca="1"/>
        <v>92.73</v>
      </c>
      <c r="C78" vm="225">
        <f ca="1"/>
        <v>1818305</v>
      </c>
      <c r="D78">
        <f t="shared" ca="1" si="19"/>
        <v>168611422.65000001</v>
      </c>
      <c r="E78">
        <f ca="1">SUM($D$2:D78)/SUM($C$2:C78)</f>
        <v>89.769733036656888</v>
      </c>
      <c r="F78">
        <f ca="1">_xlfn.STDEV.P($B$2:B78)</f>
        <v>1.8092248111473161</v>
      </c>
      <c r="G78">
        <f t="shared" ca="1" si="20"/>
        <v>91.578957847804205</v>
      </c>
      <c r="H78">
        <f t="shared" ca="1" si="21"/>
        <v>87.960508225509571</v>
      </c>
      <c r="I78">
        <f t="shared" ca="1" si="11"/>
        <v>89.887</v>
      </c>
      <c r="J78">
        <f t="shared" ca="1" si="12"/>
        <v>1.3624131068380874</v>
      </c>
      <c r="K78">
        <f t="shared" ca="1" si="13"/>
        <v>92.611826213676181</v>
      </c>
      <c r="L78">
        <f t="shared" ca="1" si="14"/>
        <v>87.16217378632382</v>
      </c>
      <c r="M78">
        <f t="shared" ca="1" si="22"/>
        <v>0.96000000000000796</v>
      </c>
      <c r="N78">
        <f t="shared" ca="1" si="23"/>
        <v>0.96000000000000796</v>
      </c>
      <c r="O78">
        <f t="shared" ca="1" si="24"/>
        <v>0</v>
      </c>
      <c r="P78">
        <f t="shared" ca="1" si="9"/>
        <v>0.56265897152243427</v>
      </c>
      <c r="Q78">
        <f t="shared" ca="1" si="10"/>
        <v>0.34137617968579143</v>
      </c>
      <c r="R78">
        <f t="shared" ca="1" si="7"/>
        <v>1.6482080619693951</v>
      </c>
      <c r="S78">
        <f t="shared" ca="1" si="8"/>
        <v>62.238616581495897</v>
      </c>
      <c r="T78">
        <f>70</f>
        <v>70</v>
      </c>
      <c r="U78">
        <f>30</f>
        <v>30</v>
      </c>
      <c r="V78">
        <f t="shared" ca="1" si="6"/>
        <v>90.347716993737265</v>
      </c>
      <c r="W78">
        <f t="shared" ca="1" si="16"/>
        <v>89.872411292968664</v>
      </c>
      <c r="X78">
        <f t="shared" ca="1" si="15"/>
        <v>0.63891246987222416</v>
      </c>
      <c r="Y78">
        <f t="shared" ca="1" si="17"/>
        <v>0.28147912320573898</v>
      </c>
      <c r="Z78">
        <f t="shared" ca="1" si="18"/>
        <v>0.35743334666648519</v>
      </c>
    </row>
    <row r="79" spans="1:26" x14ac:dyDescent="0.25">
      <c r="A79" vm="226">
        <f ca="1"/>
        <v>45405</v>
      </c>
      <c r="B79" vm="227">
        <f ca="1"/>
        <v>92.84</v>
      </c>
      <c r="C79" vm="228">
        <f ca="1"/>
        <v>1843846</v>
      </c>
      <c r="D79">
        <f t="shared" ca="1" si="19"/>
        <v>171182662.64000002</v>
      </c>
      <c r="E79">
        <f ca="1">SUM($D$2:D79)/SUM($C$2:C79)</f>
        <v>89.808543894638277</v>
      </c>
      <c r="F79">
        <f ca="1">_xlfn.STDEV.P($B$2:B79)</f>
        <v>1.83098239529683</v>
      </c>
      <c r="G79">
        <f t="shared" ca="1" si="20"/>
        <v>91.639526289935105</v>
      </c>
      <c r="H79">
        <f t="shared" ca="1" si="21"/>
        <v>87.977561499341448</v>
      </c>
      <c r="I79">
        <f t="shared" ca="1" si="11"/>
        <v>90.103999999999999</v>
      </c>
      <c r="J79">
        <f t="shared" ca="1" si="12"/>
        <v>1.4711592278486416</v>
      </c>
      <c r="K79">
        <f t="shared" ca="1" si="13"/>
        <v>93.046318455697289</v>
      </c>
      <c r="L79">
        <f t="shared" ca="1" si="14"/>
        <v>87.161681544302709</v>
      </c>
      <c r="M79">
        <f t="shared" ca="1" si="22"/>
        <v>0.10999999999999943</v>
      </c>
      <c r="N79">
        <f t="shared" ca="1" si="23"/>
        <v>0.10999999999999943</v>
      </c>
      <c r="O79">
        <f t="shared" ca="1" si="24"/>
        <v>0</v>
      </c>
      <c r="P79">
        <f t="shared" ca="1" si="9"/>
        <v>0.53032618784226038</v>
      </c>
      <c r="Q79">
        <f t="shared" ca="1" si="10"/>
        <v>0.31699216685109205</v>
      </c>
      <c r="R79">
        <f t="shared" ca="1" si="7"/>
        <v>1.6729946140637051</v>
      </c>
      <c r="S79">
        <f t="shared" ca="1" si="8"/>
        <v>62.588776096345427</v>
      </c>
      <c r="T79">
        <f>70</f>
        <v>70</v>
      </c>
      <c r="U79">
        <f>30</f>
        <v>30</v>
      </c>
      <c r="V79">
        <f t="shared" ref="V79:V142" ca="1" si="25">B79*(2/(12+1)) + V78*(1-(2/(12+1)))</f>
        <v>90.731145148546915</v>
      </c>
      <c r="W79">
        <f t="shared" ca="1" si="16"/>
        <v>90.092232678674691</v>
      </c>
      <c r="X79">
        <f t="shared" ca="1" si="15"/>
        <v>0.80687888475544867</v>
      </c>
      <c r="Y79">
        <f t="shared" ca="1" si="17"/>
        <v>0.38655907551568092</v>
      </c>
      <c r="Z79">
        <f t="shared" ca="1" si="18"/>
        <v>0.42031980923976775</v>
      </c>
    </row>
    <row r="80" spans="1:26" x14ac:dyDescent="0.25">
      <c r="A80" vm="229">
        <f ca="1"/>
        <v>45406</v>
      </c>
      <c r="B80" vm="230">
        <f ca="1"/>
        <v>93.43</v>
      </c>
      <c r="C80" vm="231">
        <f ca="1"/>
        <v>2001652</v>
      </c>
      <c r="D80">
        <f t="shared" ca="1" si="19"/>
        <v>187014346.36000001</v>
      </c>
      <c r="E80">
        <f ca="1">SUM($D$2:D80)/SUM($C$2:C80)</f>
        <v>89.857567479688214</v>
      </c>
      <c r="F80">
        <f ca="1">_xlfn.STDEV.P($B$2:B80)</f>
        <v>1.8644199765778773</v>
      </c>
      <c r="G80">
        <f t="shared" ca="1" si="20"/>
        <v>91.721987456266092</v>
      </c>
      <c r="H80">
        <f t="shared" ca="1" si="21"/>
        <v>87.993147503110336</v>
      </c>
      <c r="I80">
        <f t="shared" ca="1" si="11"/>
        <v>90.402999999999992</v>
      </c>
      <c r="J80">
        <f t="shared" ca="1" si="12"/>
        <v>1.5105317989997689</v>
      </c>
      <c r="K80">
        <f t="shared" ca="1" si="13"/>
        <v>93.424063597999535</v>
      </c>
      <c r="L80">
        <f t="shared" ca="1" si="14"/>
        <v>87.381936402000449</v>
      </c>
      <c r="M80">
        <f t="shared" ca="1" si="22"/>
        <v>0.59000000000000341</v>
      </c>
      <c r="N80">
        <f t="shared" ca="1" si="23"/>
        <v>0.59000000000000341</v>
      </c>
      <c r="O80">
        <f t="shared" ca="1" si="24"/>
        <v>0</v>
      </c>
      <c r="P80">
        <f t="shared" ca="1" si="9"/>
        <v>0.53458860299638489</v>
      </c>
      <c r="Q80">
        <f t="shared" ca="1" si="10"/>
        <v>0.29434986921887119</v>
      </c>
      <c r="R80">
        <f t="shared" ref="R80:R143" ca="1" si="26">IF(Q80=0,NA(),P80/Q80)</f>
        <v>1.8161672856014697</v>
      </c>
      <c r="S80">
        <f t="shared" ref="S80:S143" ca="1" si="27">100-(100/(1+R80))</f>
        <v>64.490745805023352</v>
      </c>
      <c r="T80">
        <f>70</f>
        <v>70</v>
      </c>
      <c r="U80">
        <f>30</f>
        <v>30</v>
      </c>
      <c r="V80">
        <f t="shared" ca="1" si="25"/>
        <v>91.146353587232014</v>
      </c>
      <c r="W80">
        <f t="shared" ca="1" si="16"/>
        <v>90.339474702476565</v>
      </c>
      <c r="X80">
        <f t="shared" ca="1" si="15"/>
        <v>0.98352631653284561</v>
      </c>
      <c r="Y80">
        <f t="shared" ca="1" si="17"/>
        <v>0.50595252371911381</v>
      </c>
      <c r="Z80">
        <f t="shared" ca="1" si="18"/>
        <v>0.4775737928137318</v>
      </c>
    </row>
    <row r="81" spans="1:26" x14ac:dyDescent="0.25">
      <c r="A81" vm="232">
        <f ca="1"/>
        <v>45407</v>
      </c>
      <c r="B81" vm="233">
        <f ca="1"/>
        <v>94.11</v>
      </c>
      <c r="C81" vm="234">
        <f ca="1"/>
        <v>2191488</v>
      </c>
      <c r="D81">
        <f t="shared" ca="1" si="19"/>
        <v>206240935.68000001</v>
      </c>
      <c r="E81">
        <f ca="1">SUM($D$2:D81)/SUM($C$2:C81)</f>
        <v>89.919671601406606</v>
      </c>
      <c r="F81">
        <f ca="1">_xlfn.STDEV.P($B$2:B81)</f>
        <v>1.9127349488036762</v>
      </c>
      <c r="G81">
        <f t="shared" ca="1" si="20"/>
        <v>91.83240655021028</v>
      </c>
      <c r="H81">
        <f t="shared" ca="1" si="21"/>
        <v>88.006936652602931</v>
      </c>
      <c r="I81">
        <f t="shared" ca="1" si="11"/>
        <v>90.605999999999995</v>
      </c>
      <c r="J81">
        <f t="shared" ca="1" si="12"/>
        <v>1.719018691916379</v>
      </c>
      <c r="K81">
        <f t="shared" ca="1" si="13"/>
        <v>94.044037383832759</v>
      </c>
      <c r="L81">
        <f t="shared" ca="1" si="14"/>
        <v>87.16796261616723</v>
      </c>
      <c r="M81">
        <f t="shared" ca="1" si="22"/>
        <v>0.67999999999999261</v>
      </c>
      <c r="N81">
        <f t="shared" ca="1" si="23"/>
        <v>0.67999999999999261</v>
      </c>
      <c r="O81">
        <f t="shared" ca="1" si="24"/>
        <v>0</v>
      </c>
      <c r="P81">
        <f t="shared" ref="P81:P144" ca="1" si="28">(P80*13+N81)/14</f>
        <v>0.54497513135378539</v>
      </c>
      <c r="Q81">
        <f t="shared" ref="Q81:Q144" ca="1" si="29">(Q80*13+O81)/14</f>
        <v>0.2733248785603804</v>
      </c>
      <c r="R81">
        <f t="shared" ca="1" si="26"/>
        <v>1.9938731308478184</v>
      </c>
      <c r="S81">
        <f t="shared" ca="1" si="27"/>
        <v>66.598451026653379</v>
      </c>
      <c r="T81">
        <f>70</f>
        <v>70</v>
      </c>
      <c r="U81">
        <f>30</f>
        <v>30</v>
      </c>
      <c r="V81">
        <f t="shared" ca="1" si="25"/>
        <v>91.60229918919633</v>
      </c>
      <c r="W81">
        <f t="shared" ca="1" si="16"/>
        <v>90.618772872663484</v>
      </c>
      <c r="X81">
        <f t="shared" ca="1" si="15"/>
        <v>1.0165859703010796</v>
      </c>
      <c r="Y81">
        <f t="shared" ca="1" si="17"/>
        <v>0.60807921303550705</v>
      </c>
      <c r="Z81">
        <f t="shared" ca="1" si="18"/>
        <v>0.40850675726557251</v>
      </c>
    </row>
    <row r="82" spans="1:26" x14ac:dyDescent="0.25">
      <c r="A82" vm="235">
        <f ca="1"/>
        <v>45408</v>
      </c>
      <c r="B82" vm="236">
        <f ca="1"/>
        <v>92.93</v>
      </c>
      <c r="C82" vm="237">
        <f ca="1"/>
        <v>1418568</v>
      </c>
      <c r="D82">
        <f t="shared" ca="1" si="19"/>
        <v>131827524.24000001</v>
      </c>
      <c r="E82">
        <f ca="1">SUM($D$2:D82)/SUM($C$2:C82)</f>
        <v>89.947863323111108</v>
      </c>
      <c r="F82">
        <f ca="1">_xlfn.STDEV.P($B$2:B82)</f>
        <v>1.9303975234092052</v>
      </c>
      <c r="G82">
        <f t="shared" ca="1" si="20"/>
        <v>91.87826084652032</v>
      </c>
      <c r="H82">
        <f t="shared" ca="1" si="21"/>
        <v>88.017465799701895</v>
      </c>
      <c r="I82">
        <f t="shared" ca="1" si="11"/>
        <v>90.712000000000003</v>
      </c>
      <c r="J82">
        <f t="shared" ca="1" si="12"/>
        <v>1.7959035257174081</v>
      </c>
      <c r="K82">
        <f t="shared" ca="1" si="13"/>
        <v>94.303807051434816</v>
      </c>
      <c r="L82">
        <f t="shared" ca="1" si="14"/>
        <v>87.12019294856519</v>
      </c>
      <c r="M82">
        <f t="shared" ca="1" si="22"/>
        <v>-1.1799999999999926</v>
      </c>
      <c r="N82">
        <f t="shared" ca="1" si="23"/>
        <v>0</v>
      </c>
      <c r="O82">
        <f t="shared" ca="1" si="24"/>
        <v>1.1799999999999926</v>
      </c>
      <c r="P82">
        <f t="shared" ca="1" si="28"/>
        <v>0.50604833625708645</v>
      </c>
      <c r="Q82">
        <f t="shared" ca="1" si="29"/>
        <v>0.33808738723463844</v>
      </c>
      <c r="R82">
        <f t="shared" ca="1" si="26"/>
        <v>1.496797441620856</v>
      </c>
      <c r="S82">
        <f t="shared" ca="1" si="27"/>
        <v>59.948693340905301</v>
      </c>
      <c r="T82">
        <f>70</f>
        <v>70</v>
      </c>
      <c r="U82">
        <f>30</f>
        <v>30</v>
      </c>
      <c r="V82">
        <f t="shared" ca="1" si="25"/>
        <v>91.806560852396899</v>
      </c>
      <c r="W82">
        <f t="shared" ca="1" si="16"/>
        <v>90.789974882095819</v>
      </c>
      <c r="X82">
        <f t="shared" ca="1" si="15"/>
        <v>1.1138653460989474</v>
      </c>
      <c r="Y82">
        <f t="shared" ca="1" si="17"/>
        <v>0.70923643964819516</v>
      </c>
      <c r="Z82">
        <f t="shared" ca="1" si="18"/>
        <v>0.40462890645075222</v>
      </c>
    </row>
    <row r="83" spans="1:26" x14ac:dyDescent="0.25">
      <c r="A83" vm="238">
        <f ca="1"/>
        <v>45411</v>
      </c>
      <c r="B83" vm="239">
        <f ca="1"/>
        <v>93.97</v>
      </c>
      <c r="C83" vm="240">
        <f ca="1"/>
        <v>1146354</v>
      </c>
      <c r="D83">
        <f t="shared" ca="1" si="19"/>
        <v>107722885.38</v>
      </c>
      <c r="E83">
        <f ca="1">SUM($D$2:D83)/SUM($C$2:C83)</f>
        <v>89.978073885519493</v>
      </c>
      <c r="F83">
        <f ca="1">_xlfn.STDEV.P($B$2:B83)</f>
        <v>1.9693441633372353</v>
      </c>
      <c r="G83">
        <f t="shared" ca="1" si="20"/>
        <v>91.947418048856733</v>
      </c>
      <c r="H83">
        <f t="shared" ca="1" si="21"/>
        <v>88.008729722182252</v>
      </c>
      <c r="I83">
        <f t="shared" ca="1" si="11"/>
        <v>90.894000000000005</v>
      </c>
      <c r="J83">
        <f t="shared" ca="1" si="12"/>
        <v>1.9342655344845345</v>
      </c>
      <c r="K83">
        <f t="shared" ca="1" si="13"/>
        <v>94.762531068969068</v>
      </c>
      <c r="L83">
        <f t="shared" ca="1" si="14"/>
        <v>87.025468931030943</v>
      </c>
      <c r="M83">
        <f t="shared" ca="1" si="22"/>
        <v>1.039999999999992</v>
      </c>
      <c r="N83">
        <f t="shared" ca="1" si="23"/>
        <v>1.039999999999992</v>
      </c>
      <c r="O83">
        <f t="shared" ca="1" si="24"/>
        <v>0</v>
      </c>
      <c r="P83">
        <f t="shared" ca="1" si="28"/>
        <v>0.54418774081015109</v>
      </c>
      <c r="Q83">
        <f t="shared" ca="1" si="29"/>
        <v>0.31393828814644997</v>
      </c>
      <c r="R83">
        <f t="shared" ca="1" si="26"/>
        <v>1.7334226545705422</v>
      </c>
      <c r="S83">
        <f t="shared" ca="1" si="27"/>
        <v>63.41582966220372</v>
      </c>
      <c r="T83">
        <f>70</f>
        <v>70</v>
      </c>
      <c r="U83">
        <f>30</f>
        <v>30</v>
      </c>
      <c r="V83">
        <f t="shared" ca="1" si="25"/>
        <v>92.13939764433583</v>
      </c>
      <c r="W83">
        <f t="shared" ca="1" si="16"/>
        <v>91.025532298236882</v>
      </c>
      <c r="X83">
        <f t="shared" ca="1" si="15"/>
        <v>1.2116897533924771</v>
      </c>
      <c r="Y83">
        <f t="shared" ca="1" si="17"/>
        <v>0.80972710239705159</v>
      </c>
      <c r="Z83">
        <f t="shared" ca="1" si="18"/>
        <v>0.4019626509954255</v>
      </c>
    </row>
    <row r="84" spans="1:26" x14ac:dyDescent="0.25">
      <c r="A84" vm="241">
        <f ca="1"/>
        <v>45412</v>
      </c>
      <c r="B84" vm="242">
        <f ca="1"/>
        <v>94.4</v>
      </c>
      <c r="C84" vm="243">
        <f ca="1"/>
        <v>3731976</v>
      </c>
      <c r="D84">
        <f t="shared" ca="1" si="19"/>
        <v>352298534.40000004</v>
      </c>
      <c r="E84">
        <f ca="1">SUM($D$2:D84)/SUM($C$2:C84)</f>
        <v>90.083619881133217</v>
      </c>
      <c r="F84">
        <f ca="1">_xlfn.STDEV.P($B$2:B84)</f>
        <v>2.0161763293062909</v>
      </c>
      <c r="G84">
        <f t="shared" ca="1" si="20"/>
        <v>92.099796210439507</v>
      </c>
      <c r="H84">
        <f t="shared" ca="1" si="21"/>
        <v>88.067443551826926</v>
      </c>
      <c r="I84">
        <f t="shared" ca="1" si="11"/>
        <v>91.084000000000003</v>
      </c>
      <c r="J84">
        <f t="shared" ca="1" si="12"/>
        <v>2.0846542058324071</v>
      </c>
      <c r="K84">
        <f t="shared" ca="1" si="13"/>
        <v>95.253308411664818</v>
      </c>
      <c r="L84">
        <f t="shared" ca="1" si="14"/>
        <v>86.914691588335188</v>
      </c>
      <c r="M84">
        <f t="shared" ca="1" si="22"/>
        <v>0.43000000000000682</v>
      </c>
      <c r="N84">
        <f t="shared" ca="1" si="23"/>
        <v>0.43000000000000682</v>
      </c>
      <c r="O84">
        <f t="shared" ca="1" si="24"/>
        <v>0</v>
      </c>
      <c r="P84">
        <f t="shared" ca="1" si="28"/>
        <v>0.53603147360942649</v>
      </c>
      <c r="Q84">
        <f t="shared" ca="1" si="29"/>
        <v>0.29151412470741783</v>
      </c>
      <c r="R84">
        <f t="shared" ca="1" si="26"/>
        <v>1.8387838810466623</v>
      </c>
      <c r="S84">
        <f t="shared" ca="1" si="27"/>
        <v>64.773648086542636</v>
      </c>
      <c r="T84">
        <f>70</f>
        <v>70</v>
      </c>
      <c r="U84">
        <f>30</f>
        <v>30</v>
      </c>
      <c r="V84">
        <f t="shared" ca="1" si="25"/>
        <v>92.487182622130319</v>
      </c>
      <c r="W84">
        <f t="shared" ca="1" si="16"/>
        <v>91.275492868737842</v>
      </c>
      <c r="X84">
        <f t="shared" ca="1" si="15"/>
        <v>1.3064332092105673</v>
      </c>
      <c r="Y84">
        <f t="shared" ca="1" si="17"/>
        <v>0.90906832375975477</v>
      </c>
      <c r="Z84">
        <f t="shared" ca="1" si="18"/>
        <v>0.3973648854508125</v>
      </c>
    </row>
    <row r="85" spans="1:26" x14ac:dyDescent="0.25">
      <c r="A85" vm="244">
        <f ca="1"/>
        <v>45413</v>
      </c>
      <c r="B85" vm="245">
        <f ca="1"/>
        <v>94.8</v>
      </c>
      <c r="C85" vm="246">
        <f ca="1"/>
        <v>2372909</v>
      </c>
      <c r="D85">
        <f t="shared" ca="1" si="19"/>
        <v>224951773.19999999</v>
      </c>
      <c r="E85">
        <f ca="1">SUM($D$2:D85)/SUM($C$2:C85)</f>
        <v>90.154128101202971</v>
      </c>
      <c r="F85">
        <f ca="1">_xlfn.STDEV.P($B$2:B85)</f>
        <v>2.0699593688159088</v>
      </c>
      <c r="G85">
        <f t="shared" ca="1" si="20"/>
        <v>92.224087470018887</v>
      </c>
      <c r="H85">
        <f t="shared" ca="1" si="21"/>
        <v>88.084168732387056</v>
      </c>
      <c r="I85">
        <f t="shared" ca="1" si="11"/>
        <v>91.32950000000001</v>
      </c>
      <c r="J85">
        <f t="shared" ca="1" si="12"/>
        <v>2.2212786147195791</v>
      </c>
      <c r="K85">
        <f t="shared" ca="1" si="13"/>
        <v>95.77205722943917</v>
      </c>
      <c r="L85">
        <f t="shared" ca="1" si="14"/>
        <v>86.88694277056085</v>
      </c>
      <c r="M85">
        <f t="shared" ca="1" si="22"/>
        <v>0.39999999999999147</v>
      </c>
      <c r="N85">
        <f t="shared" ca="1" si="23"/>
        <v>0.39999999999999147</v>
      </c>
      <c r="O85">
        <f t="shared" ca="1" si="24"/>
        <v>0</v>
      </c>
      <c r="P85">
        <f t="shared" ca="1" si="28"/>
        <v>0.52631493978018118</v>
      </c>
      <c r="Q85">
        <f t="shared" ca="1" si="29"/>
        <v>0.27069168722831655</v>
      </c>
      <c r="R85">
        <f t="shared" ca="1" si="26"/>
        <v>1.944333589144382</v>
      </c>
      <c r="S85">
        <f t="shared" ca="1" si="27"/>
        <v>66.036457156656695</v>
      </c>
      <c r="T85">
        <f>70</f>
        <v>70</v>
      </c>
      <c r="U85">
        <f>30</f>
        <v>30</v>
      </c>
      <c r="V85">
        <f t="shared" ca="1" si="25"/>
        <v>92.843000680264126</v>
      </c>
      <c r="W85">
        <f t="shared" ca="1" si="16"/>
        <v>91.536567471053559</v>
      </c>
      <c r="X85">
        <f t="shared" ca="1" si="15"/>
        <v>1.4016717206439893</v>
      </c>
      <c r="Y85">
        <f t="shared" ca="1" si="17"/>
        <v>1.0075890031366017</v>
      </c>
      <c r="Z85">
        <f t="shared" ca="1" si="18"/>
        <v>0.39408271750738755</v>
      </c>
    </row>
    <row r="86" spans="1:26" x14ac:dyDescent="0.25">
      <c r="A86" vm="247">
        <f ca="1"/>
        <v>45414</v>
      </c>
      <c r="B86" vm="248">
        <f ca="1"/>
        <v>95.25</v>
      </c>
      <c r="C86" vm="249">
        <f ca="1"/>
        <v>1991646</v>
      </c>
      <c r="D86">
        <f t="shared" ca="1" si="19"/>
        <v>189704281.5</v>
      </c>
      <c r="E86">
        <f ca="1">SUM($D$2:D86)/SUM($C$2:C86)</f>
        <v>90.217276894041248</v>
      </c>
      <c r="F86">
        <f ca="1">_xlfn.STDEV.P($B$2:B86)</f>
        <v>2.1318558739108115</v>
      </c>
      <c r="G86">
        <f t="shared" ca="1" si="20"/>
        <v>92.349132767952057</v>
      </c>
      <c r="H86">
        <f t="shared" ca="1" si="21"/>
        <v>88.08542102013044</v>
      </c>
      <c r="I86">
        <f t="shared" ref="I86:I149" ca="1" si="30">AVERAGE(B67:B86)</f>
        <v>91.582499999999996</v>
      </c>
      <c r="J86">
        <f t="shared" ref="J86:J149" ca="1" si="31">_xlfn.STDEV.S(B67:B86)</f>
        <v>2.3679790961915197</v>
      </c>
      <c r="K86">
        <f t="shared" ref="K86:K149" ca="1" si="32">I86 + 2*J86</f>
        <v>96.318458192383034</v>
      </c>
      <c r="L86">
        <f t="shared" ref="L86:L149" ca="1" si="33">I86-2*J86</f>
        <v>86.846541807616958</v>
      </c>
      <c r="M86">
        <f t="shared" ca="1" si="22"/>
        <v>0.45000000000000284</v>
      </c>
      <c r="N86">
        <f t="shared" ca="1" si="23"/>
        <v>0.45000000000000284</v>
      </c>
      <c r="O86">
        <f t="shared" ca="1" si="24"/>
        <v>0</v>
      </c>
      <c r="P86">
        <f t="shared" ca="1" si="28"/>
        <v>0.52086387265302558</v>
      </c>
      <c r="Q86">
        <f t="shared" ca="1" si="29"/>
        <v>0.25135656671200823</v>
      </c>
      <c r="R86">
        <f t="shared" ca="1" si="26"/>
        <v>2.0722111201089302</v>
      </c>
      <c r="S86">
        <f t="shared" ca="1" si="27"/>
        <v>67.450153622107081</v>
      </c>
      <c r="T86">
        <f>70</f>
        <v>70</v>
      </c>
      <c r="U86">
        <f>30</f>
        <v>30</v>
      </c>
      <c r="V86">
        <f t="shared" ca="1" si="25"/>
        <v>93.213308267915806</v>
      </c>
      <c r="W86">
        <f t="shared" ca="1" si="16"/>
        <v>91.811636547271817</v>
      </c>
      <c r="X86">
        <f t="shared" ca="1" si="15"/>
        <v>1.4850446658337688</v>
      </c>
      <c r="Y86">
        <f t="shared" ca="1" si="17"/>
        <v>1.1030801356760351</v>
      </c>
      <c r="Z86">
        <f t="shared" ca="1" si="18"/>
        <v>0.38196453015773368</v>
      </c>
    </row>
    <row r="87" spans="1:26" x14ac:dyDescent="0.25">
      <c r="A87" vm="250">
        <f ca="1"/>
        <v>45415</v>
      </c>
      <c r="B87" vm="251">
        <f ca="1"/>
        <v>95.56</v>
      </c>
      <c r="C87" vm="252">
        <f ca="1"/>
        <v>2465195</v>
      </c>
      <c r="D87">
        <f t="shared" ca="1" si="19"/>
        <v>235574034.20000002</v>
      </c>
      <c r="E87">
        <f ca="1">SUM($D$2:D87)/SUM($C$2:C87)</f>
        <v>90.297988771775692</v>
      </c>
      <c r="F87">
        <f ca="1">_xlfn.STDEV.P($B$2:B87)</f>
        <v>2.1975431731451081</v>
      </c>
      <c r="G87">
        <f t="shared" ca="1" si="20"/>
        <v>92.495531944920799</v>
      </c>
      <c r="H87">
        <f t="shared" ca="1" si="21"/>
        <v>88.100445598630586</v>
      </c>
      <c r="I87">
        <f t="shared" ca="1" si="30"/>
        <v>91.878</v>
      </c>
      <c r="J87">
        <f t="shared" ca="1" si="31"/>
        <v>2.4802240985337143</v>
      </c>
      <c r="K87">
        <f t="shared" ca="1" si="32"/>
        <v>96.838448197067436</v>
      </c>
      <c r="L87">
        <f t="shared" ca="1" si="33"/>
        <v>86.917551802932564</v>
      </c>
      <c r="M87">
        <f t="shared" ca="1" si="22"/>
        <v>0.31000000000000227</v>
      </c>
      <c r="N87">
        <f t="shared" ca="1" si="23"/>
        <v>0.31000000000000227</v>
      </c>
      <c r="O87">
        <f t="shared" ca="1" si="24"/>
        <v>0</v>
      </c>
      <c r="P87">
        <f t="shared" ca="1" si="28"/>
        <v>0.50580216746352391</v>
      </c>
      <c r="Q87">
        <f t="shared" ca="1" si="29"/>
        <v>0.23340252623257909</v>
      </c>
      <c r="R87">
        <f t="shared" ca="1" si="26"/>
        <v>2.1670809464997229</v>
      </c>
      <c r="S87">
        <f t="shared" ca="1" si="27"/>
        <v>68.425183413603435</v>
      </c>
      <c r="T87">
        <f>70</f>
        <v>70</v>
      </c>
      <c r="U87">
        <f>30</f>
        <v>30</v>
      </c>
      <c r="V87">
        <f t="shared" ca="1" si="25"/>
        <v>93.574337765159527</v>
      </c>
      <c r="W87">
        <f t="shared" ca="1" si="16"/>
        <v>92.089293099325758</v>
      </c>
      <c r="X87">
        <f t="shared" ca="1" si="15"/>
        <v>1.5789118489216634</v>
      </c>
      <c r="Y87">
        <f t="shared" ca="1" si="17"/>
        <v>1.198246478325161</v>
      </c>
      <c r="Z87">
        <f t="shared" ca="1" si="18"/>
        <v>0.38066537059650241</v>
      </c>
    </row>
    <row r="88" spans="1:26" x14ac:dyDescent="0.25">
      <c r="A88" vm="253">
        <f ca="1"/>
        <v>45418</v>
      </c>
      <c r="B88" vm="254">
        <f ca="1"/>
        <v>96.13</v>
      </c>
      <c r="C88" vm="255">
        <f ca="1"/>
        <v>2071466</v>
      </c>
      <c r="D88">
        <f t="shared" ca="1" si="19"/>
        <v>199130026.57999998</v>
      </c>
      <c r="E88">
        <f ca="1">SUM($D$2:D88)/SUM($C$2:C88)</f>
        <v>90.371092814525639</v>
      </c>
      <c r="F88">
        <f ca="1">_xlfn.STDEV.P($B$2:B88)</f>
        <v>2.2742959257727486</v>
      </c>
      <c r="G88">
        <f t="shared" ca="1" si="20"/>
        <v>92.645388740298387</v>
      </c>
      <c r="H88">
        <f t="shared" ca="1" si="21"/>
        <v>88.096796888752891</v>
      </c>
      <c r="I88">
        <f t="shared" ca="1" si="30"/>
        <v>92.154500000000013</v>
      </c>
      <c r="J88">
        <f t="shared" ca="1" si="31"/>
        <v>2.6337475301614588</v>
      </c>
      <c r="K88">
        <f t="shared" ca="1" si="32"/>
        <v>97.421995060322928</v>
      </c>
      <c r="L88">
        <f t="shared" ca="1" si="33"/>
        <v>86.887004939677098</v>
      </c>
      <c r="M88">
        <f t="shared" ca="1" si="22"/>
        <v>0.56999999999999318</v>
      </c>
      <c r="N88">
        <f t="shared" ca="1" si="23"/>
        <v>0.56999999999999318</v>
      </c>
      <c r="O88">
        <f t="shared" ca="1" si="24"/>
        <v>0</v>
      </c>
      <c r="P88">
        <f t="shared" ca="1" si="28"/>
        <v>0.51038772693041456</v>
      </c>
      <c r="Q88">
        <f t="shared" ca="1" si="29"/>
        <v>0.21673091721596632</v>
      </c>
      <c r="R88">
        <f t="shared" ca="1" si="26"/>
        <v>2.3549373272933987</v>
      </c>
      <c r="S88">
        <f t="shared" ca="1" si="27"/>
        <v>70.193183882610654</v>
      </c>
      <c r="T88">
        <f>70</f>
        <v>70</v>
      </c>
      <c r="U88">
        <f>30</f>
        <v>30</v>
      </c>
      <c r="V88">
        <f t="shared" ca="1" si="25"/>
        <v>93.967516570519592</v>
      </c>
      <c r="W88">
        <f t="shared" ca="1" si="16"/>
        <v>92.388604721597929</v>
      </c>
      <c r="X88">
        <f t="shared" ca="1" si="15"/>
        <v>1.7437489655982716</v>
      </c>
      <c r="Y88">
        <f t="shared" ca="1" si="17"/>
        <v>1.3073469757797831</v>
      </c>
      <c r="Z88">
        <f t="shared" ca="1" si="18"/>
        <v>0.43640198981848854</v>
      </c>
    </row>
    <row r="89" spans="1:26" x14ac:dyDescent="0.25">
      <c r="A89" vm="256">
        <f ca="1"/>
        <v>45419</v>
      </c>
      <c r="B89" vm="257">
        <f ca="1"/>
        <v>97.5</v>
      </c>
      <c r="C89" vm="258">
        <f ca="1"/>
        <v>2029790</v>
      </c>
      <c r="D89">
        <f t="shared" ca="1" si="19"/>
        <v>197904525</v>
      </c>
      <c r="E89">
        <f ca="1">SUM($D$2:D89)/SUM($C$2:C89)</f>
        <v>90.457593083474109</v>
      </c>
      <c r="F89">
        <f ca="1">_xlfn.STDEV.P($B$2:B89)</f>
        <v>2.3875159744824934</v>
      </c>
      <c r="G89">
        <f t="shared" ca="1" si="20"/>
        <v>92.845109057956606</v>
      </c>
      <c r="H89">
        <f t="shared" ca="1" si="21"/>
        <v>88.070077108991612</v>
      </c>
      <c r="I89">
        <f t="shared" ca="1" si="30"/>
        <v>92.472999999999999</v>
      </c>
      <c r="J89">
        <f t="shared" ca="1" si="31"/>
        <v>2.8772411859462297</v>
      </c>
      <c r="K89">
        <f t="shared" ca="1" si="32"/>
        <v>98.227482371892464</v>
      </c>
      <c r="L89">
        <f t="shared" ca="1" si="33"/>
        <v>86.718517628107534</v>
      </c>
      <c r="M89">
        <f t="shared" ca="1" si="22"/>
        <v>1.3700000000000045</v>
      </c>
      <c r="N89">
        <f t="shared" ca="1" si="23"/>
        <v>1.3700000000000045</v>
      </c>
      <c r="O89">
        <f t="shared" ca="1" si="24"/>
        <v>0</v>
      </c>
      <c r="P89">
        <f t="shared" ca="1" si="28"/>
        <v>0.57178860357824235</v>
      </c>
      <c r="Q89">
        <f t="shared" ca="1" si="29"/>
        <v>0.20125013741482586</v>
      </c>
      <c r="R89">
        <f t="shared" ca="1" si="26"/>
        <v>2.8411836678632714</v>
      </c>
      <c r="S89">
        <f t="shared" ca="1" si="27"/>
        <v>73.966358121160397</v>
      </c>
      <c r="T89">
        <f>70</f>
        <v>70</v>
      </c>
      <c r="U89">
        <f>30</f>
        <v>30</v>
      </c>
      <c r="V89">
        <f t="shared" ca="1" si="25"/>
        <v>94.510975559670428</v>
      </c>
      <c r="W89">
        <f t="shared" ca="1" si="16"/>
        <v>92.767226594072156</v>
      </c>
      <c r="X89">
        <f t="shared" ca="1" si="15"/>
        <v>1.8586071172326655</v>
      </c>
      <c r="Y89">
        <f t="shared" ca="1" si="17"/>
        <v>1.4175990040703597</v>
      </c>
      <c r="Z89">
        <f t="shared" ca="1" si="18"/>
        <v>0.44100811316230581</v>
      </c>
    </row>
    <row r="90" spans="1:26" x14ac:dyDescent="0.25">
      <c r="A90" vm="259">
        <f ca="1"/>
        <v>45420</v>
      </c>
      <c r="B90" vm="260">
        <f ca="1"/>
        <v>97.57</v>
      </c>
      <c r="C90" vm="261">
        <f ca="1"/>
        <v>2179673</v>
      </c>
      <c r="D90">
        <f t="shared" ca="1" si="19"/>
        <v>212670694.60999998</v>
      </c>
      <c r="E90">
        <f ca="1">SUM($D$2:D90)/SUM($C$2:C90)</f>
        <v>90.549073713440336</v>
      </c>
      <c r="F90">
        <f ca="1">_xlfn.STDEV.P($B$2:B90)</f>
        <v>2.4928525982306877</v>
      </c>
      <c r="G90">
        <f t="shared" ca="1" si="20"/>
        <v>93.04192631167102</v>
      </c>
      <c r="H90">
        <f t="shared" ca="1" si="21"/>
        <v>88.056221115209652</v>
      </c>
      <c r="I90">
        <f t="shared" ca="1" si="30"/>
        <v>92.907000000000011</v>
      </c>
      <c r="J90">
        <f t="shared" ca="1" si="31"/>
        <v>2.9617404200553219</v>
      </c>
      <c r="K90">
        <f t="shared" ca="1" si="32"/>
        <v>98.830480840110653</v>
      </c>
      <c r="L90">
        <f t="shared" ca="1" si="33"/>
        <v>86.983519159889369</v>
      </c>
      <c r="M90">
        <f t="shared" ca="1" si="22"/>
        <v>6.9999999999993179E-2</v>
      </c>
      <c r="N90">
        <f t="shared" ca="1" si="23"/>
        <v>6.9999999999993179E-2</v>
      </c>
      <c r="O90">
        <f t="shared" ca="1" si="24"/>
        <v>0</v>
      </c>
      <c r="P90">
        <f t="shared" ca="1" si="28"/>
        <v>0.53594656046551026</v>
      </c>
      <c r="Q90">
        <f t="shared" ca="1" si="29"/>
        <v>0.18687512759948116</v>
      </c>
      <c r="R90">
        <f t="shared" ca="1" si="26"/>
        <v>2.867939502437018</v>
      </c>
      <c r="S90">
        <f t="shared" ca="1" si="27"/>
        <v>74.146441551892309</v>
      </c>
      <c r="T90">
        <f>70</f>
        <v>70</v>
      </c>
      <c r="U90">
        <f>30</f>
        <v>30</v>
      </c>
      <c r="V90">
        <f t="shared" ca="1" si="25"/>
        <v>94.981594704336516</v>
      </c>
      <c r="W90">
        <f t="shared" ca="1" si="16"/>
        <v>93.12298758710385</v>
      </c>
      <c r="X90">
        <f t="shared" ca="1" si="15"/>
        <v>1.9712896335589534</v>
      </c>
      <c r="Y90">
        <f t="shared" ca="1" si="17"/>
        <v>1.5283371299680786</v>
      </c>
      <c r="Z90">
        <f t="shared" ca="1" si="18"/>
        <v>0.44295250359087479</v>
      </c>
    </row>
    <row r="91" spans="1:26" x14ac:dyDescent="0.25">
      <c r="A91" vm="262">
        <f ca="1"/>
        <v>45421</v>
      </c>
      <c r="B91" vm="263">
        <f ca="1"/>
        <v>98.12</v>
      </c>
      <c r="C91" vm="264">
        <f ca="1"/>
        <v>1613152</v>
      </c>
      <c r="D91">
        <f t="shared" ca="1" si="19"/>
        <v>158282474.24000001</v>
      </c>
      <c r="E91">
        <f ca="1">SUM($D$2:D91)/SUM($C$2:C91)</f>
        <v>90.62046265931545</v>
      </c>
      <c r="F91">
        <f ca="1">_xlfn.STDEV.P($B$2:B91)</f>
        <v>2.6064918099920358</v>
      </c>
      <c r="G91">
        <f t="shared" ca="1" si="20"/>
        <v>93.226954469307486</v>
      </c>
      <c r="H91">
        <f t="shared" ca="1" si="21"/>
        <v>88.013970849323414</v>
      </c>
      <c r="I91">
        <f t="shared" ca="1" si="30"/>
        <v>93.385500000000008</v>
      </c>
      <c r="J91">
        <f t="shared" ca="1" si="31"/>
        <v>2.9936678348245587</v>
      </c>
      <c r="K91">
        <f t="shared" ca="1" si="32"/>
        <v>99.37283566964912</v>
      </c>
      <c r="L91">
        <f t="shared" ca="1" si="33"/>
        <v>87.398164330350895</v>
      </c>
      <c r="M91">
        <f t="shared" ca="1" si="22"/>
        <v>0.55000000000001137</v>
      </c>
      <c r="N91">
        <f t="shared" ca="1" si="23"/>
        <v>0.55000000000001137</v>
      </c>
      <c r="O91">
        <f t="shared" ca="1" si="24"/>
        <v>0</v>
      </c>
      <c r="P91">
        <f t="shared" ca="1" si="28"/>
        <v>0.53695037757511754</v>
      </c>
      <c r="Q91">
        <f t="shared" ca="1" si="29"/>
        <v>0.17352690419951822</v>
      </c>
      <c r="R91">
        <f t="shared" ca="1" si="26"/>
        <v>3.0943350257533631</v>
      </c>
      <c r="S91">
        <f t="shared" ca="1" si="27"/>
        <v>75.576009444512948</v>
      </c>
      <c r="T91">
        <f>70</f>
        <v>70</v>
      </c>
      <c r="U91">
        <f>30</f>
        <v>30</v>
      </c>
      <c r="V91">
        <f t="shared" ca="1" si="25"/>
        <v>95.464426288284741</v>
      </c>
      <c r="W91">
        <f t="shared" ca="1" si="16"/>
        <v>93.493136654725788</v>
      </c>
      <c r="X91">
        <f t="shared" ca="1" si="15"/>
        <v>2.0036045436885672</v>
      </c>
      <c r="Y91">
        <f t="shared" ca="1" si="17"/>
        <v>1.6233906127121764</v>
      </c>
      <c r="Z91">
        <f t="shared" ca="1" si="18"/>
        <v>0.38021393097639078</v>
      </c>
    </row>
    <row r="92" spans="1:26" x14ac:dyDescent="0.25">
      <c r="A92" vm="265">
        <f ca="1"/>
        <v>45422</v>
      </c>
      <c r="B92" vm="266">
        <f ca="1"/>
        <v>97.7</v>
      </c>
      <c r="C92" vm="267">
        <f ca="1"/>
        <v>1688630</v>
      </c>
      <c r="D92">
        <f t="shared" ca="1" si="19"/>
        <v>164979151</v>
      </c>
      <c r="E92">
        <f ca="1">SUM($D$2:D92)/SUM($C$2:C92)</f>
        <v>90.689658554542817</v>
      </c>
      <c r="F92">
        <f ca="1">_xlfn.STDEV.P($B$2:B92)</f>
        <v>2.6979641991600412</v>
      </c>
      <c r="G92">
        <f t="shared" ca="1" si="20"/>
        <v>93.387622753702857</v>
      </c>
      <c r="H92">
        <f t="shared" ca="1" si="21"/>
        <v>87.991694355382776</v>
      </c>
      <c r="I92">
        <f t="shared" ca="1" si="30"/>
        <v>93.838999999999999</v>
      </c>
      <c r="J92">
        <f t="shared" ca="1" si="31"/>
        <v>2.9214792576076212</v>
      </c>
      <c r="K92">
        <f t="shared" ca="1" si="32"/>
        <v>99.681958515215243</v>
      </c>
      <c r="L92">
        <f t="shared" ca="1" si="33"/>
        <v>87.996041484784755</v>
      </c>
      <c r="M92">
        <f t="shared" ca="1" si="22"/>
        <v>-0.42000000000000171</v>
      </c>
      <c r="N92">
        <f t="shared" ca="1" si="23"/>
        <v>0</v>
      </c>
      <c r="O92">
        <f t="shared" ca="1" si="24"/>
        <v>0.42000000000000171</v>
      </c>
      <c r="P92">
        <f t="shared" ca="1" si="28"/>
        <v>0.49859677917689488</v>
      </c>
      <c r="Q92">
        <f t="shared" ca="1" si="29"/>
        <v>0.19113212532812418</v>
      </c>
      <c r="R92">
        <f t="shared" ca="1" si="26"/>
        <v>2.6086497930211041</v>
      </c>
      <c r="S92">
        <f t="shared" ca="1" si="27"/>
        <v>72.288804473796944</v>
      </c>
      <c r="T92">
        <f>70</f>
        <v>70</v>
      </c>
      <c r="U92">
        <f>30</f>
        <v>30</v>
      </c>
      <c r="V92">
        <f t="shared" ca="1" si="25"/>
        <v>95.808360705471713</v>
      </c>
      <c r="W92">
        <f t="shared" ca="1" si="16"/>
        <v>93.804756161783146</v>
      </c>
      <c r="X92">
        <f t="shared" ref="X92:X155" ca="1" si="34">V93-W93</f>
        <v>2.00130306822102</v>
      </c>
      <c r="Y92">
        <f t="shared" ca="1" si="17"/>
        <v>1.6989731038139453</v>
      </c>
      <c r="Z92">
        <f t="shared" ca="1" si="18"/>
        <v>0.30232996440707471</v>
      </c>
    </row>
    <row r="93" spans="1:26" x14ac:dyDescent="0.25">
      <c r="A93" vm="268">
        <f ca="1"/>
        <v>45425</v>
      </c>
      <c r="B93" vm="269">
        <f ca="1"/>
        <v>97.64</v>
      </c>
      <c r="C93" vm="270">
        <f ca="1"/>
        <v>1557959</v>
      </c>
      <c r="D93">
        <f t="shared" ca="1" si="19"/>
        <v>152119116.75999999</v>
      </c>
      <c r="E93">
        <f ca="1">SUM($D$2:D93)/SUM($C$2:C93)</f>
        <v>90.751774675153683</v>
      </c>
      <c r="F93">
        <f ca="1">_xlfn.STDEV.P($B$2:B93)</f>
        <v>2.7807401419837987</v>
      </c>
      <c r="G93">
        <f t="shared" ca="1" si="20"/>
        <v>93.532514817137482</v>
      </c>
      <c r="H93">
        <f t="shared" ca="1" si="21"/>
        <v>87.971034533169885</v>
      </c>
      <c r="I93">
        <f t="shared" ca="1" si="30"/>
        <v>94.255000000000024</v>
      </c>
      <c r="J93">
        <f t="shared" ca="1" si="31"/>
        <v>2.8352192897644843</v>
      </c>
      <c r="K93">
        <f t="shared" ca="1" si="32"/>
        <v>99.925438579528986</v>
      </c>
      <c r="L93">
        <f t="shared" ca="1" si="33"/>
        <v>88.584561420471061</v>
      </c>
      <c r="M93">
        <f t="shared" ca="1" si="22"/>
        <v>-6.0000000000002274E-2</v>
      </c>
      <c r="N93">
        <f t="shared" ca="1" si="23"/>
        <v>0</v>
      </c>
      <c r="O93">
        <f t="shared" ca="1" si="24"/>
        <v>6.0000000000002274E-2</v>
      </c>
      <c r="P93">
        <f t="shared" ca="1" si="28"/>
        <v>0.46298272352140241</v>
      </c>
      <c r="Q93">
        <f t="shared" ca="1" si="29"/>
        <v>0.18176554494754407</v>
      </c>
      <c r="R93">
        <f t="shared" ca="1" si="26"/>
        <v>2.5471423841906624</v>
      </c>
      <c r="S93">
        <f t="shared" ca="1" si="27"/>
        <v>71.808292656733428</v>
      </c>
      <c r="T93">
        <f>70</f>
        <v>70</v>
      </c>
      <c r="U93">
        <f>30</f>
        <v>30</v>
      </c>
      <c r="V93">
        <f t="shared" ca="1" si="25"/>
        <v>96.090151366168385</v>
      </c>
      <c r="W93">
        <f t="shared" ref="W93:W156" ca="1" si="35">B93*(2/(26+1)) + W92*(1-(2/(26+1)))</f>
        <v>94.088848297947365</v>
      </c>
      <c r="X93">
        <f t="shared" ca="1" si="34"/>
        <v>1.8969209655815291</v>
      </c>
      <c r="Y93">
        <f t="shared" ca="1" si="17"/>
        <v>1.7385626761674622</v>
      </c>
      <c r="Z93">
        <f t="shared" ca="1" si="18"/>
        <v>0.15835828941406693</v>
      </c>
    </row>
    <row r="94" spans="1:26" x14ac:dyDescent="0.25">
      <c r="A94" vm="271">
        <f ca="1"/>
        <v>45426</v>
      </c>
      <c r="B94" vm="272">
        <f ca="1"/>
        <v>96.64</v>
      </c>
      <c r="C94" vm="273">
        <f ca="1"/>
        <v>1723445</v>
      </c>
      <c r="D94">
        <f t="shared" ca="1" si="19"/>
        <v>166553724.80000001</v>
      </c>
      <c r="E94">
        <f ca="1">SUM($D$2:D94)/SUM($C$2:C94)</f>
        <v>90.809418325006448</v>
      </c>
      <c r="F94">
        <f ca="1">_xlfn.STDEV.P($B$2:B94)</f>
        <v>2.8332779941954489</v>
      </c>
      <c r="G94">
        <f t="shared" ca="1" si="20"/>
        <v>93.642696319201903</v>
      </c>
      <c r="H94">
        <f t="shared" ca="1" si="21"/>
        <v>87.976140330810992</v>
      </c>
      <c r="I94">
        <f t="shared" ca="1" si="30"/>
        <v>94.716000000000022</v>
      </c>
      <c r="J94">
        <f t="shared" ca="1" si="31"/>
        <v>2.3780960982751678</v>
      </c>
      <c r="K94">
        <f t="shared" ca="1" si="32"/>
        <v>99.472192196550353</v>
      </c>
      <c r="L94">
        <f t="shared" ca="1" si="33"/>
        <v>89.959807803449692</v>
      </c>
      <c r="M94">
        <f t="shared" ca="1" si="22"/>
        <v>-1</v>
      </c>
      <c r="N94">
        <f t="shared" ca="1" si="23"/>
        <v>0</v>
      </c>
      <c r="O94">
        <f t="shared" ca="1" si="24"/>
        <v>1</v>
      </c>
      <c r="P94">
        <f t="shared" ca="1" si="28"/>
        <v>0.42991252898415938</v>
      </c>
      <c r="Q94">
        <f t="shared" ca="1" si="29"/>
        <v>0.24021086316557663</v>
      </c>
      <c r="R94">
        <f t="shared" ca="1" si="26"/>
        <v>1.7897297537614774</v>
      </c>
      <c r="S94">
        <f t="shared" ca="1" si="27"/>
        <v>64.154233984432736</v>
      </c>
      <c r="T94">
        <f>70</f>
        <v>70</v>
      </c>
      <c r="U94">
        <f>30</f>
        <v>30</v>
      </c>
      <c r="V94">
        <f t="shared" ca="1" si="25"/>
        <v>96.17474346368094</v>
      </c>
      <c r="W94">
        <f t="shared" ca="1" si="35"/>
        <v>94.277822498099411</v>
      </c>
      <c r="X94">
        <f t="shared" ca="1" si="34"/>
        <v>1.815061244532572</v>
      </c>
      <c r="Y94">
        <f t="shared" ca="1" si="17"/>
        <v>1.7538623898404841</v>
      </c>
      <c r="Z94">
        <f t="shared" ca="1" si="18"/>
        <v>6.1198854692087856E-2</v>
      </c>
    </row>
    <row r="95" spans="1:26" x14ac:dyDescent="0.25">
      <c r="A95" vm="274">
        <f ca="1"/>
        <v>45427</v>
      </c>
      <c r="B95" vm="275">
        <f ca="1"/>
        <v>96.91</v>
      </c>
      <c r="C95" vm="276">
        <f ca="1"/>
        <v>1749069</v>
      </c>
      <c r="D95">
        <f t="shared" ca="1" si="19"/>
        <v>169502276.78999999</v>
      </c>
      <c r="E95">
        <f ca="1">SUM($D$2:D95)/SUM($C$2:C95)</f>
        <v>90.869432563789232</v>
      </c>
      <c r="F95">
        <f ca="1">_xlfn.STDEV.P($B$2:B95)</f>
        <v>2.8883327865136348</v>
      </c>
      <c r="G95">
        <f t="shared" ca="1" si="20"/>
        <v>93.757765350302861</v>
      </c>
      <c r="H95">
        <f t="shared" ca="1" si="21"/>
        <v>87.981099777275602</v>
      </c>
      <c r="I95">
        <f t="shared" ca="1" si="30"/>
        <v>95.04500000000003</v>
      </c>
      <c r="J95">
        <f t="shared" ca="1" si="31"/>
        <v>2.1868422319336198</v>
      </c>
      <c r="K95">
        <f t="shared" ca="1" si="32"/>
        <v>99.418684463867265</v>
      </c>
      <c r="L95">
        <f t="shared" ca="1" si="33"/>
        <v>90.671315536132795</v>
      </c>
      <c r="M95">
        <f t="shared" ca="1" si="22"/>
        <v>0.26999999999999602</v>
      </c>
      <c r="N95">
        <f t="shared" ca="1" si="23"/>
        <v>0.26999999999999602</v>
      </c>
      <c r="O95">
        <f t="shared" ca="1" si="24"/>
        <v>0</v>
      </c>
      <c r="P95">
        <f t="shared" ca="1" si="28"/>
        <v>0.41849020548529053</v>
      </c>
      <c r="Q95">
        <f t="shared" ca="1" si="29"/>
        <v>0.22305294436803544</v>
      </c>
      <c r="R95">
        <f t="shared" ca="1" si="26"/>
        <v>1.8761922496516581</v>
      </c>
      <c r="S95">
        <f t="shared" ca="1" si="27"/>
        <v>65.231809517562255</v>
      </c>
      <c r="T95">
        <f>70</f>
        <v>70</v>
      </c>
      <c r="U95">
        <f>30</f>
        <v>30</v>
      </c>
      <c r="V95">
        <f t="shared" ca="1" si="25"/>
        <v>96.287859853883873</v>
      </c>
      <c r="W95">
        <f t="shared" ca="1" si="35"/>
        <v>94.472798609351301</v>
      </c>
      <c r="X95">
        <f t="shared" ca="1" si="34"/>
        <v>1.7302416768214783</v>
      </c>
      <c r="Y95">
        <f t="shared" ca="1" si="17"/>
        <v>1.749138247236683</v>
      </c>
      <c r="Z95">
        <f t="shared" ca="1" si="18"/>
        <v>-1.889657041520465E-2</v>
      </c>
    </row>
    <row r="96" spans="1:26" x14ac:dyDescent="0.25">
      <c r="A96" vm="277">
        <f ca="1"/>
        <v>45428</v>
      </c>
      <c r="B96" vm="275">
        <f ca="1"/>
        <v>96.91</v>
      </c>
      <c r="C96" vm="278">
        <f ca="1"/>
        <v>2388169</v>
      </c>
      <c r="D96">
        <f t="shared" ca="1" si="19"/>
        <v>231437457.78999999</v>
      </c>
      <c r="E96">
        <f ca="1">SUM($D$2:D96)/SUM($C$2:C96)</f>
        <v>90.949494167900752</v>
      </c>
      <c r="F96">
        <f ca="1">_xlfn.STDEV.P($B$2:B96)</f>
        <v>2.9398122389023413</v>
      </c>
      <c r="G96">
        <f t="shared" ca="1" si="20"/>
        <v>93.889306406803087</v>
      </c>
      <c r="H96">
        <f t="shared" ca="1" si="21"/>
        <v>88.009681928998418</v>
      </c>
      <c r="I96">
        <f t="shared" ca="1" si="30"/>
        <v>95.34550000000003</v>
      </c>
      <c r="J96">
        <f t="shared" ca="1" si="31"/>
        <v>1.9914884013299137</v>
      </c>
      <c r="K96">
        <f t="shared" ca="1" si="32"/>
        <v>99.32847680265985</v>
      </c>
      <c r="L96">
        <f t="shared" ca="1" si="33"/>
        <v>91.362523197340209</v>
      </c>
      <c r="M96">
        <f t="shared" ca="1" si="22"/>
        <v>0</v>
      </c>
      <c r="N96">
        <f t="shared" ca="1" si="23"/>
        <v>0</v>
      </c>
      <c r="O96">
        <f t="shared" ca="1" si="24"/>
        <v>0</v>
      </c>
      <c r="P96">
        <f t="shared" ca="1" si="28"/>
        <v>0.38859804795062691</v>
      </c>
      <c r="Q96">
        <f t="shared" ca="1" si="29"/>
        <v>0.20712059119889004</v>
      </c>
      <c r="R96">
        <f t="shared" ca="1" si="26"/>
        <v>1.8761922496516581</v>
      </c>
      <c r="S96">
        <f t="shared" ca="1" si="27"/>
        <v>65.231809517562255</v>
      </c>
      <c r="T96">
        <f>70</f>
        <v>70</v>
      </c>
      <c r="U96">
        <f>30</f>
        <v>30</v>
      </c>
      <c r="V96">
        <f t="shared" ca="1" si="25"/>
        <v>96.383573722517127</v>
      </c>
      <c r="W96">
        <f t="shared" ca="1" si="35"/>
        <v>94.653332045695649</v>
      </c>
      <c r="X96">
        <f t="shared" ca="1" si="34"/>
        <v>1.6592264408447335</v>
      </c>
      <c r="Y96">
        <f t="shared" ca="1" si="17"/>
        <v>1.7311558859582932</v>
      </c>
      <c r="Z96">
        <f t="shared" ca="1" si="18"/>
        <v>-7.1929445113559698E-2</v>
      </c>
    </row>
    <row r="97" spans="1:27" x14ac:dyDescent="0.25">
      <c r="A97" vm="279">
        <f ca="1"/>
        <v>45429</v>
      </c>
      <c r="B97" vm="280">
        <f ca="1"/>
        <v>97.1</v>
      </c>
      <c r="C97" vm="281">
        <f ca="1"/>
        <v>1570651</v>
      </c>
      <c r="D97">
        <f t="shared" ca="1" si="19"/>
        <v>152510212.09999999</v>
      </c>
      <c r="E97">
        <f ca="1">SUM($D$2:D97)/SUM($C$2:C97)</f>
        <v>91.002644102439177</v>
      </c>
      <c r="F97">
        <f ca="1">_xlfn.STDEV.P($B$2:B97)</f>
        <v>2.9920398951843881</v>
      </c>
      <c r="G97">
        <f t="shared" ca="1" si="20"/>
        <v>93.994683997623568</v>
      </c>
      <c r="H97">
        <f t="shared" ca="1" si="21"/>
        <v>88.010604207254787</v>
      </c>
      <c r="I97">
        <f t="shared" ca="1" si="30"/>
        <v>95.612000000000023</v>
      </c>
      <c r="J97">
        <f t="shared" ca="1" si="31"/>
        <v>1.8385938562991677</v>
      </c>
      <c r="K97">
        <f t="shared" ca="1" si="32"/>
        <v>99.289187712598363</v>
      </c>
      <c r="L97">
        <f t="shared" ca="1" si="33"/>
        <v>91.934812287401684</v>
      </c>
      <c r="M97">
        <f t="shared" ca="1" si="22"/>
        <v>0.18999999999999773</v>
      </c>
      <c r="N97">
        <f t="shared" ca="1" si="23"/>
        <v>0.18999999999999773</v>
      </c>
      <c r="O97">
        <f t="shared" ca="1" si="24"/>
        <v>0</v>
      </c>
      <c r="P97">
        <f t="shared" ca="1" si="28"/>
        <v>0.37441247309701053</v>
      </c>
      <c r="Q97">
        <f t="shared" ca="1" si="29"/>
        <v>0.19232626325611218</v>
      </c>
      <c r="R97">
        <f t="shared" ca="1" si="26"/>
        <v>1.9467568638736685</v>
      </c>
      <c r="S97">
        <f t="shared" ca="1" si="27"/>
        <v>66.064387182407472</v>
      </c>
      <c r="T97">
        <f>70</f>
        <v>70</v>
      </c>
      <c r="U97">
        <f>30</f>
        <v>30</v>
      </c>
      <c r="V97">
        <f t="shared" ca="1" si="25"/>
        <v>96.493793149822181</v>
      </c>
      <c r="W97">
        <f t="shared" ca="1" si="35"/>
        <v>94.834566708977448</v>
      </c>
      <c r="X97">
        <f t="shared" ca="1" si="34"/>
        <v>1.5376136327051881</v>
      </c>
      <c r="Y97">
        <f t="shared" ca="1" si="17"/>
        <v>1.6924474353076722</v>
      </c>
      <c r="Z97">
        <f t="shared" ca="1" si="18"/>
        <v>-0.15483380260248403</v>
      </c>
    </row>
    <row r="98" spans="1:27" x14ac:dyDescent="0.25">
      <c r="A98" vm="282">
        <f ca="1"/>
        <v>45432</v>
      </c>
      <c r="B98" vm="283">
        <f ca="1"/>
        <v>96.51</v>
      </c>
      <c r="C98" vm="284">
        <f ca="1"/>
        <v>1224455</v>
      </c>
      <c r="D98">
        <f t="shared" ca="1" si="19"/>
        <v>118172152.05000001</v>
      </c>
      <c r="E98">
        <f ca="1">SUM($D$2:D98)/SUM($C$2:C98)</f>
        <v>91.039497898003148</v>
      </c>
      <c r="F98">
        <f ca="1">_xlfn.STDEV.P($B$2:B98)</f>
        <v>3.0293420425491182</v>
      </c>
      <c r="G98">
        <f t="shared" ca="1" si="20"/>
        <v>94.068839940552266</v>
      </c>
      <c r="H98">
        <f t="shared" ca="1" si="21"/>
        <v>88.01015585545403</v>
      </c>
      <c r="I98">
        <f t="shared" ca="1" si="30"/>
        <v>95.801000000000016</v>
      </c>
      <c r="J98">
        <f t="shared" ca="1" si="31"/>
        <v>1.7170074946959606</v>
      </c>
      <c r="K98">
        <f t="shared" ca="1" si="32"/>
        <v>99.235014989391942</v>
      </c>
      <c r="L98">
        <f t="shared" ca="1" si="33"/>
        <v>92.36698501060809</v>
      </c>
      <c r="M98">
        <f t="shared" ca="1" si="22"/>
        <v>-0.5899999999999892</v>
      </c>
      <c r="N98">
        <f t="shared" ca="1" si="23"/>
        <v>0</v>
      </c>
      <c r="O98">
        <f t="shared" ca="1" si="24"/>
        <v>0.5899999999999892</v>
      </c>
      <c r="P98">
        <f t="shared" ca="1" si="28"/>
        <v>0.34766872501865265</v>
      </c>
      <c r="Q98">
        <f t="shared" ca="1" si="29"/>
        <v>0.22073153016638911</v>
      </c>
      <c r="R98">
        <f t="shared" ca="1" si="26"/>
        <v>1.5750750459464369</v>
      </c>
      <c r="S98">
        <f t="shared" ca="1" si="27"/>
        <v>61.16618031873854</v>
      </c>
      <c r="T98">
        <f>70</f>
        <v>70</v>
      </c>
      <c r="U98">
        <f>30</f>
        <v>30</v>
      </c>
      <c r="V98">
        <f t="shared" ca="1" si="25"/>
        <v>96.496286511388007</v>
      </c>
      <c r="W98">
        <f t="shared" ca="1" si="35"/>
        <v>94.958672878682819</v>
      </c>
      <c r="X98">
        <f t="shared" ca="1" si="34"/>
        <v>1.4112490265251409</v>
      </c>
      <c r="Y98">
        <f t="shared" ca="1" si="17"/>
        <v>1.6362077535511661</v>
      </c>
      <c r="Z98">
        <f t="shared" ca="1" si="18"/>
        <v>-0.22495872702602515</v>
      </c>
    </row>
    <row r="99" spans="1:27" x14ac:dyDescent="0.25">
      <c r="A99" vm="285">
        <f ca="1"/>
        <v>45433</v>
      </c>
      <c r="B99" vm="286">
        <f ca="1"/>
        <v>96.34</v>
      </c>
      <c r="C99" vm="287">
        <f ca="1"/>
        <v>1515950</v>
      </c>
      <c r="D99">
        <f t="shared" ca="1" si="19"/>
        <v>146046623</v>
      </c>
      <c r="E99">
        <f ca="1">SUM($D$2:D99)/SUM($C$2:C99)</f>
        <v>91.083050582239466</v>
      </c>
      <c r="F99">
        <f ca="1">_xlfn.STDEV.P($B$2:B99)</f>
        <v>3.0613542030341443</v>
      </c>
      <c r="G99">
        <f t="shared" ca="1" si="20"/>
        <v>94.144404785273608</v>
      </c>
      <c r="H99">
        <f t="shared" ca="1" si="21"/>
        <v>88.021696379205324</v>
      </c>
      <c r="I99">
        <f t="shared" ca="1" si="30"/>
        <v>95.976000000000013</v>
      </c>
      <c r="J99">
        <f t="shared" ca="1" si="31"/>
        <v>1.5715342821586793</v>
      </c>
      <c r="K99">
        <f t="shared" ca="1" si="32"/>
        <v>99.119068564317374</v>
      </c>
      <c r="L99">
        <f t="shared" ca="1" si="33"/>
        <v>92.832931435682653</v>
      </c>
      <c r="M99">
        <f t="shared" ca="1" si="22"/>
        <v>-0.17000000000000171</v>
      </c>
      <c r="N99">
        <f t="shared" ca="1" si="23"/>
        <v>0</v>
      </c>
      <c r="O99">
        <f t="shared" ca="1" si="24"/>
        <v>0.17000000000000171</v>
      </c>
      <c r="P99">
        <f t="shared" ca="1" si="28"/>
        <v>0.32283524466017743</v>
      </c>
      <c r="Q99">
        <f t="shared" ca="1" si="29"/>
        <v>0.21710784944021858</v>
      </c>
      <c r="R99">
        <f t="shared" ca="1" si="26"/>
        <v>1.4869809889074106</v>
      </c>
      <c r="S99">
        <f t="shared" ca="1" si="27"/>
        <v>59.790605378156769</v>
      </c>
      <c r="T99">
        <f>70</f>
        <v>70</v>
      </c>
      <c r="U99">
        <f>30</f>
        <v>30</v>
      </c>
      <c r="V99">
        <f t="shared" ca="1" si="25"/>
        <v>96.472242432712932</v>
      </c>
      <c r="W99">
        <f t="shared" ca="1" si="35"/>
        <v>95.060993406187791</v>
      </c>
      <c r="X99">
        <f t="shared" ca="1" si="34"/>
        <v>1.2794106709535811</v>
      </c>
      <c r="Y99">
        <f t="shared" ca="1" si="17"/>
        <v>1.5648483370316493</v>
      </c>
      <c r="Z99">
        <f t="shared" ca="1" si="18"/>
        <v>-0.2854376660780682</v>
      </c>
    </row>
    <row r="100" spans="1:27" x14ac:dyDescent="0.25">
      <c r="A100" vm="288">
        <f ca="1"/>
        <v>45434</v>
      </c>
      <c r="B100" vm="254">
        <f ca="1"/>
        <v>96.13</v>
      </c>
      <c r="C100" vm="289">
        <f ca="1"/>
        <v>3657513</v>
      </c>
      <c r="D100">
        <f t="shared" ca="1" si="19"/>
        <v>351596724.69</v>
      </c>
      <c r="E100">
        <f ca="1">SUM($D$2:D100)/SUM($C$2:C100)</f>
        <v>91.181158146202307</v>
      </c>
      <c r="F100">
        <f ca="1">_xlfn.STDEV.P($B$2:B100)</f>
        <v>3.0879403680711834</v>
      </c>
      <c r="G100">
        <f t="shared" ca="1" si="20"/>
        <v>94.269098514273495</v>
      </c>
      <c r="H100">
        <f t="shared" ca="1" si="21"/>
        <v>88.09321777813112</v>
      </c>
      <c r="I100">
        <f t="shared" ca="1" si="30"/>
        <v>96.111000000000018</v>
      </c>
      <c r="J100">
        <f t="shared" ca="1" si="31"/>
        <v>1.4527973017596079</v>
      </c>
      <c r="K100">
        <f t="shared" ca="1" si="32"/>
        <v>99.016594603519238</v>
      </c>
      <c r="L100">
        <f t="shared" ca="1" si="33"/>
        <v>93.205405396480799</v>
      </c>
      <c r="M100">
        <f t="shared" ca="1" si="22"/>
        <v>-0.21000000000000796</v>
      </c>
      <c r="N100">
        <f t="shared" ca="1" si="23"/>
        <v>0</v>
      </c>
      <c r="O100">
        <f t="shared" ca="1" si="24"/>
        <v>0.21000000000000796</v>
      </c>
      <c r="P100">
        <f t="shared" ca="1" si="28"/>
        <v>0.29977558432730766</v>
      </c>
      <c r="Q100">
        <f t="shared" ca="1" si="29"/>
        <v>0.21660014590877497</v>
      </c>
      <c r="R100">
        <f t="shared" ca="1" si="26"/>
        <v>1.3840045354981594</v>
      </c>
      <c r="S100">
        <f t="shared" ca="1" si="27"/>
        <v>58.053771076780237</v>
      </c>
      <c r="T100">
        <f>70</f>
        <v>70</v>
      </c>
      <c r="U100">
        <f>30</f>
        <v>30</v>
      </c>
      <c r="V100">
        <f t="shared" ca="1" si="25"/>
        <v>96.419589750757098</v>
      </c>
      <c r="W100">
        <f t="shared" ca="1" si="35"/>
        <v>95.140179079803517</v>
      </c>
      <c r="X100">
        <f t="shared" ca="1" si="34"/>
        <v>0.98125343315874147</v>
      </c>
      <c r="Y100">
        <f t="shared" ca="1" si="17"/>
        <v>1.4481293562570678</v>
      </c>
      <c r="Z100">
        <f t="shared" ca="1" si="18"/>
        <v>-0.46687592309832637</v>
      </c>
    </row>
    <row r="101" spans="1:27" x14ac:dyDescent="0.25">
      <c r="A101" vm="290">
        <f ca="1"/>
        <v>45435</v>
      </c>
      <c r="B101" vm="291">
        <f ca="1"/>
        <v>93.87</v>
      </c>
      <c r="C101" vm="292">
        <f ca="1"/>
        <v>2056720</v>
      </c>
      <c r="D101">
        <f t="shared" ca="1" si="19"/>
        <v>193064306.40000001</v>
      </c>
      <c r="E101">
        <f ca="1">SUM($D$2:D101)/SUM($C$2:C101)</f>
        <v>91.210232264051257</v>
      </c>
      <c r="F101">
        <f ca="1">_xlfn.STDEV.P($B$2:B101)</f>
        <v>3.0847970095291521</v>
      </c>
      <c r="G101">
        <f t="shared" ca="1" si="20"/>
        <v>94.295029273580411</v>
      </c>
      <c r="H101">
        <f t="shared" ca="1" si="21"/>
        <v>88.125435254522102</v>
      </c>
      <c r="I101">
        <f t="shared" ca="1" si="30"/>
        <v>96.099000000000004</v>
      </c>
      <c r="J101">
        <f t="shared" ca="1" si="31"/>
        <v>1.4710715750592709</v>
      </c>
      <c r="K101">
        <f t="shared" ca="1" si="32"/>
        <v>99.041143150118543</v>
      </c>
      <c r="L101">
        <f t="shared" ca="1" si="33"/>
        <v>93.156856849881464</v>
      </c>
      <c r="M101">
        <f t="shared" ca="1" si="22"/>
        <v>-2.2599999999999909</v>
      </c>
      <c r="N101">
        <f t="shared" ca="1" si="23"/>
        <v>0</v>
      </c>
      <c r="O101">
        <f t="shared" ca="1" si="24"/>
        <v>2.2599999999999909</v>
      </c>
      <c r="P101">
        <f t="shared" ca="1" si="28"/>
        <v>0.27836304258964284</v>
      </c>
      <c r="Q101">
        <f t="shared" ca="1" si="29"/>
        <v>0.36255727834386181</v>
      </c>
      <c r="R101">
        <f t="shared" ca="1" si="26"/>
        <v>0.76777673271706803</v>
      </c>
      <c r="S101">
        <f t="shared" ca="1" si="27"/>
        <v>43.43177045536725</v>
      </c>
      <c r="T101">
        <f>70</f>
        <v>70</v>
      </c>
      <c r="U101">
        <f>30</f>
        <v>30</v>
      </c>
      <c r="V101">
        <f t="shared" ca="1" si="25"/>
        <v>96.027345173717549</v>
      </c>
      <c r="W101">
        <f t="shared" ca="1" si="35"/>
        <v>95.046091740558808</v>
      </c>
      <c r="X101">
        <f t="shared" ca="1" si="34"/>
        <v>0.78114444704415575</v>
      </c>
      <c r="Y101">
        <f t="shared" ca="1" si="17"/>
        <v>1.3147323744144854</v>
      </c>
      <c r="Z101">
        <f t="shared" ca="1" si="18"/>
        <v>-0.53358792737032967</v>
      </c>
      <c r="AA101">
        <f ca="1">AVERAGE(B2:B101)</f>
        <v>91.127900000000011</v>
      </c>
    </row>
    <row r="102" spans="1:27" x14ac:dyDescent="0.25">
      <c r="A102" vm="293">
        <f ca="1"/>
        <v>45436</v>
      </c>
      <c r="B102" vm="294">
        <f ca="1"/>
        <v>94.43</v>
      </c>
      <c r="C102" vm="295">
        <f ca="1"/>
        <v>1639105</v>
      </c>
      <c r="D102">
        <f t="shared" ca="1" si="19"/>
        <v>154780685.15000001</v>
      </c>
      <c r="E102">
        <f ca="1">SUM($D$2:D102)/SUM($C$2:C102)</f>
        <v>91.237741023619193</v>
      </c>
      <c r="F102">
        <f ca="1">_xlfn.STDEV.P($B$2:B102)</f>
        <v>3.0868503675506984</v>
      </c>
      <c r="G102">
        <f t="shared" ca="1" si="20"/>
        <v>94.324591391169889</v>
      </c>
      <c r="H102">
        <f t="shared" ca="1" si="21"/>
        <v>88.150890656068498</v>
      </c>
      <c r="I102">
        <f t="shared" ca="1" si="30"/>
        <v>96.174000000000007</v>
      </c>
      <c r="J102">
        <f t="shared" ca="1" si="31"/>
        <v>1.332735216723387</v>
      </c>
      <c r="K102">
        <f t="shared" ca="1" si="32"/>
        <v>98.839470433446778</v>
      </c>
      <c r="L102">
        <f t="shared" ca="1" si="33"/>
        <v>93.508529566553236</v>
      </c>
      <c r="M102">
        <f t="shared" ca="1" si="22"/>
        <v>0.56000000000000227</v>
      </c>
      <c r="N102">
        <f t="shared" ca="1" si="23"/>
        <v>0.56000000000000227</v>
      </c>
      <c r="O102">
        <f t="shared" ca="1" si="24"/>
        <v>0</v>
      </c>
      <c r="P102">
        <f t="shared" ca="1" si="28"/>
        <v>0.29847996811895422</v>
      </c>
      <c r="Q102">
        <f t="shared" ca="1" si="29"/>
        <v>0.3366603298907288</v>
      </c>
      <c r="R102">
        <f t="shared" ca="1" si="26"/>
        <v>0.88659085023719031</v>
      </c>
      <c r="S102">
        <f t="shared" ca="1" si="27"/>
        <v>46.994336378008214</v>
      </c>
      <c r="T102">
        <f>70</f>
        <v>70</v>
      </c>
      <c r="U102">
        <f>30</f>
        <v>30</v>
      </c>
      <c r="V102">
        <f t="shared" ca="1" si="25"/>
        <v>95.781599762376388</v>
      </c>
      <c r="W102">
        <f t="shared" ca="1" si="35"/>
        <v>95.000455315332232</v>
      </c>
      <c r="X102">
        <f t="shared" ca="1" si="34"/>
        <v>0.51814003402510878</v>
      </c>
      <c r="Y102">
        <f t="shared" ref="Y102:Y165" ca="1" si="36">X102*(2/(9+1)) + Y101*(1-(2/(9+1)))</f>
        <v>1.15541390633661</v>
      </c>
      <c r="Z102">
        <f t="shared" ref="Z102:Z165" ca="1" si="37">X102-Y102</f>
        <v>-0.63727387231150123</v>
      </c>
      <c r="AA102">
        <f t="shared" ref="AA102:AA165" ca="1" si="38">AVERAGE(B3:B102)</f>
        <v>91.148100000000014</v>
      </c>
    </row>
    <row r="103" spans="1:27" x14ac:dyDescent="0.25">
      <c r="A103" vm="296">
        <f ca="1"/>
        <v>45440</v>
      </c>
      <c r="B103" vm="297">
        <f ca="1"/>
        <v>93.21</v>
      </c>
      <c r="C103" vm="298">
        <f ca="1"/>
        <v>2168958</v>
      </c>
      <c r="D103">
        <f t="shared" ca="1" si="19"/>
        <v>202168575.17999998</v>
      </c>
      <c r="E103">
        <f ca="1">SUM($D$2:D103)/SUM($C$2:C103)</f>
        <v>91.259789185606692</v>
      </c>
      <c r="F103">
        <f ca="1">_xlfn.STDEV.P($B$2:B103)</f>
        <v>3.078311308074519</v>
      </c>
      <c r="G103">
        <f t="shared" ca="1" si="20"/>
        <v>94.33810049368121</v>
      </c>
      <c r="H103">
        <f t="shared" ca="1" si="21"/>
        <v>88.181477877532174</v>
      </c>
      <c r="I103">
        <f t="shared" ca="1" si="30"/>
        <v>96.135999999999996</v>
      </c>
      <c r="J103">
        <f t="shared" ca="1" si="31"/>
        <v>1.407616125900359</v>
      </c>
      <c r="K103">
        <f t="shared" ca="1" si="32"/>
        <v>98.951232251800718</v>
      </c>
      <c r="L103">
        <f t="shared" ca="1" si="33"/>
        <v>93.320767748199273</v>
      </c>
      <c r="M103">
        <f t="shared" ca="1" si="22"/>
        <v>-1.2200000000000131</v>
      </c>
      <c r="N103">
        <f t="shared" ca="1" si="23"/>
        <v>0</v>
      </c>
      <c r="O103">
        <f t="shared" ca="1" si="24"/>
        <v>1.2200000000000131</v>
      </c>
      <c r="P103">
        <f t="shared" ca="1" si="28"/>
        <v>0.27715997039617174</v>
      </c>
      <c r="Q103">
        <f t="shared" ca="1" si="29"/>
        <v>0.39975602061282051</v>
      </c>
      <c r="R103">
        <f t="shared" ca="1" si="26"/>
        <v>0.69332281718056255</v>
      </c>
      <c r="S103">
        <f t="shared" ca="1" si="27"/>
        <v>40.944515135924732</v>
      </c>
      <c r="T103">
        <f>70</f>
        <v>70</v>
      </c>
      <c r="U103">
        <f>30</f>
        <v>30</v>
      </c>
      <c r="V103">
        <f t="shared" ca="1" si="25"/>
        <v>95.385969029703105</v>
      </c>
      <c r="W103">
        <f t="shared" ca="1" si="35"/>
        <v>94.867828995677996</v>
      </c>
      <c r="X103">
        <f t="shared" ca="1" si="34"/>
        <v>0.20247401204123605</v>
      </c>
      <c r="Y103">
        <f t="shared" ca="1" si="36"/>
        <v>0.96482592747753526</v>
      </c>
      <c r="Z103">
        <f t="shared" ca="1" si="37"/>
        <v>-0.76235191543629921</v>
      </c>
      <c r="AA103">
        <f t="shared" ca="1" si="38"/>
        <v>91.150199999999998</v>
      </c>
    </row>
    <row r="104" spans="1:27" x14ac:dyDescent="0.25">
      <c r="A104" vm="299">
        <f ca="1"/>
        <v>45441</v>
      </c>
      <c r="B104" vm="300">
        <f ca="1"/>
        <v>91.91</v>
      </c>
      <c r="C104" vm="301">
        <f ca="1"/>
        <v>2013488</v>
      </c>
      <c r="D104">
        <f t="shared" ca="1" si="19"/>
        <v>185059682.07999998</v>
      </c>
      <c r="E104">
        <f ca="1">SUM($D$2:D104)/SUM($C$2:C104)</f>
        <v>91.266467651850817</v>
      </c>
      <c r="F104">
        <f ca="1">_xlfn.STDEV.P($B$2:B104)</f>
        <v>3.0641661885647409</v>
      </c>
      <c r="G104">
        <f t="shared" ca="1" si="20"/>
        <v>94.330633840415558</v>
      </c>
      <c r="H104">
        <f t="shared" ca="1" si="21"/>
        <v>88.202301463286076</v>
      </c>
      <c r="I104">
        <f t="shared" ca="1" si="30"/>
        <v>96.011499999999998</v>
      </c>
      <c r="J104">
        <f t="shared" ca="1" si="31"/>
        <v>1.6572274722369416</v>
      </c>
      <c r="K104">
        <f t="shared" ca="1" si="32"/>
        <v>99.325954944473878</v>
      </c>
      <c r="L104">
        <f t="shared" ca="1" si="33"/>
        <v>92.697045055526118</v>
      </c>
      <c r="M104">
        <f t="shared" ca="1" si="22"/>
        <v>-1.2999999999999972</v>
      </c>
      <c r="N104">
        <f t="shared" ca="1" si="23"/>
        <v>0</v>
      </c>
      <c r="O104">
        <f t="shared" ca="1" si="24"/>
        <v>1.2999999999999972</v>
      </c>
      <c r="P104">
        <f t="shared" ca="1" si="28"/>
        <v>0.25736282965358803</v>
      </c>
      <c r="Q104">
        <f t="shared" ca="1" si="29"/>
        <v>0.46405916199761882</v>
      </c>
      <c r="R104">
        <f t="shared" ca="1" si="26"/>
        <v>0.55459055812135571</v>
      </c>
      <c r="S104">
        <f t="shared" ca="1" si="27"/>
        <v>35.674380963148934</v>
      </c>
      <c r="T104">
        <f>70</f>
        <v>70</v>
      </c>
      <c r="U104">
        <f>30</f>
        <v>30</v>
      </c>
      <c r="V104">
        <f t="shared" ca="1" si="25"/>
        <v>94.851204563594933</v>
      </c>
      <c r="W104">
        <f t="shared" ca="1" si="35"/>
        <v>94.648730551553697</v>
      </c>
      <c r="X104">
        <f t="shared" ca="1" si="34"/>
        <v>-4.0731449209658876E-3</v>
      </c>
      <c r="Y104">
        <f t="shared" ca="1" si="36"/>
        <v>0.7710461129978351</v>
      </c>
      <c r="Z104">
        <f t="shared" ca="1" si="37"/>
        <v>-0.77511925791880099</v>
      </c>
      <c r="AA104">
        <f t="shared" ca="1" si="38"/>
        <v>91.136800000000008</v>
      </c>
    </row>
    <row r="105" spans="1:27" x14ac:dyDescent="0.25">
      <c r="A105" vm="302">
        <f ca="1"/>
        <v>45442</v>
      </c>
      <c r="B105" vm="303">
        <f ca="1"/>
        <v>92.45</v>
      </c>
      <c r="C105" vm="304">
        <f ca="1"/>
        <v>1929613</v>
      </c>
      <c r="D105">
        <f t="shared" ca="1" si="19"/>
        <v>178392721.84999999</v>
      </c>
      <c r="E105">
        <f ca="1">SUM($D$2:D105)/SUM($C$2:C105)</f>
        <v>91.278004039272346</v>
      </c>
      <c r="F105">
        <f ca="1">_xlfn.STDEV.P($B$2:B105)</f>
        <v>3.0518857648220825</v>
      </c>
      <c r="G105">
        <f t="shared" ca="1" si="20"/>
        <v>94.329889804094435</v>
      </c>
      <c r="H105">
        <f t="shared" ca="1" si="21"/>
        <v>88.226118274450258</v>
      </c>
      <c r="I105">
        <f t="shared" ca="1" si="30"/>
        <v>95.893999999999991</v>
      </c>
      <c r="J105">
        <f t="shared" ca="1" si="31"/>
        <v>1.8226943618835563</v>
      </c>
      <c r="K105">
        <f t="shared" ca="1" si="32"/>
        <v>99.539388723767104</v>
      </c>
      <c r="L105">
        <f t="shared" ca="1" si="33"/>
        <v>92.248611276232879</v>
      </c>
      <c r="M105">
        <f t="shared" ca="1" si="22"/>
        <v>0.54000000000000625</v>
      </c>
      <c r="N105">
        <f t="shared" ca="1" si="23"/>
        <v>0.54000000000000625</v>
      </c>
      <c r="O105">
        <f t="shared" ca="1" si="24"/>
        <v>0</v>
      </c>
      <c r="P105">
        <f t="shared" ca="1" si="28"/>
        <v>0.27755119896404651</v>
      </c>
      <c r="Q105">
        <f t="shared" ca="1" si="29"/>
        <v>0.43091207899778888</v>
      </c>
      <c r="R105">
        <f t="shared" ca="1" si="26"/>
        <v>0.64410169148558649</v>
      </c>
      <c r="S105">
        <f t="shared" ca="1" si="27"/>
        <v>39.176511697618025</v>
      </c>
      <c r="T105">
        <f>70</f>
        <v>70</v>
      </c>
      <c r="U105">
        <f>30</f>
        <v>30</v>
      </c>
      <c r="V105">
        <f t="shared" ca="1" si="25"/>
        <v>94.481788476888028</v>
      </c>
      <c r="W105">
        <f t="shared" ca="1" si="35"/>
        <v>94.485861621808994</v>
      </c>
      <c r="X105">
        <f t="shared" ca="1" si="34"/>
        <v>1.6699445806835911E-3</v>
      </c>
      <c r="Y105">
        <f t="shared" ca="1" si="36"/>
        <v>0.61717087931440484</v>
      </c>
      <c r="Z105">
        <f t="shared" ca="1" si="37"/>
        <v>-0.61550093473372125</v>
      </c>
      <c r="AA105">
        <f t="shared" ca="1" si="38"/>
        <v>91.126100000000022</v>
      </c>
    </row>
    <row r="106" spans="1:27" x14ac:dyDescent="0.25">
      <c r="A106" vm="305">
        <f ca="1"/>
        <v>45443</v>
      </c>
      <c r="B106" vm="306">
        <f ca="1"/>
        <v>94.55</v>
      </c>
      <c r="C106" vm="307">
        <f ca="1"/>
        <v>7907625</v>
      </c>
      <c r="D106">
        <f t="shared" ca="1" si="19"/>
        <v>747665943.75</v>
      </c>
      <c r="E106">
        <f ca="1">SUM($D$2:D106)/SUM($C$2:C106)</f>
        <v>91.403684515288333</v>
      </c>
      <c r="F106">
        <f ca="1">_xlfn.STDEV.P($B$2:B106)</f>
        <v>3.0546965497963736</v>
      </c>
      <c r="G106">
        <f t="shared" ca="1" si="20"/>
        <v>94.458381065084708</v>
      </c>
      <c r="H106">
        <f t="shared" ca="1" si="21"/>
        <v>88.348987965491958</v>
      </c>
      <c r="I106">
        <f t="shared" ca="1" si="30"/>
        <v>95.858999999999995</v>
      </c>
      <c r="J106">
        <f t="shared" ca="1" si="31"/>
        <v>1.8423266182794658</v>
      </c>
      <c r="K106">
        <f t="shared" ca="1" si="32"/>
        <v>99.543653236558924</v>
      </c>
      <c r="L106">
        <f t="shared" ca="1" si="33"/>
        <v>92.174346763441065</v>
      </c>
      <c r="M106">
        <f t="shared" ca="1" si="22"/>
        <v>2.0999999999999943</v>
      </c>
      <c r="N106">
        <f t="shared" ca="1" si="23"/>
        <v>2.0999999999999943</v>
      </c>
      <c r="O106">
        <f t="shared" ca="1" si="24"/>
        <v>0</v>
      </c>
      <c r="P106">
        <f t="shared" ca="1" si="28"/>
        <v>0.40772611332375713</v>
      </c>
      <c r="Q106">
        <f t="shared" ca="1" si="29"/>
        <v>0.40013264478366112</v>
      </c>
      <c r="R106">
        <f t="shared" ca="1" si="26"/>
        <v>1.0189773782246674</v>
      </c>
      <c r="S106">
        <f t="shared" ca="1" si="27"/>
        <v>50.469975008866975</v>
      </c>
      <c r="T106">
        <f>70</f>
        <v>70</v>
      </c>
      <c r="U106">
        <f>30</f>
        <v>30</v>
      </c>
      <c r="V106">
        <f t="shared" ca="1" si="25"/>
        <v>94.492282557366792</v>
      </c>
      <c r="W106">
        <f t="shared" ca="1" si="35"/>
        <v>94.490612612786109</v>
      </c>
      <c r="X106">
        <f t="shared" ca="1" si="34"/>
        <v>-6.3251223981623639E-2</v>
      </c>
      <c r="Y106">
        <f t="shared" ca="1" si="36"/>
        <v>0.48108645865519917</v>
      </c>
      <c r="Z106">
        <f t="shared" ca="1" si="37"/>
        <v>-0.54433768263682281</v>
      </c>
      <c r="AA106">
        <f t="shared" ca="1" si="38"/>
        <v>91.133499999999998</v>
      </c>
    </row>
    <row r="107" spans="1:27" x14ac:dyDescent="0.25">
      <c r="A107" vm="308">
        <f ca="1"/>
        <v>45446</v>
      </c>
      <c r="B107" vm="309">
        <f ca="1"/>
        <v>93.68</v>
      </c>
      <c r="C107" vm="310">
        <f ca="1"/>
        <v>2211836</v>
      </c>
      <c r="D107">
        <f t="shared" ca="1" si="19"/>
        <v>207204796.48000002</v>
      </c>
      <c r="E107">
        <f ca="1">SUM($D$2:D107)/SUM($C$2:C107)</f>
        <v>91.42788105365446</v>
      </c>
      <c r="F107">
        <f ca="1">_xlfn.STDEV.P($B$2:B107)</f>
        <v>3.049451000785941</v>
      </c>
      <c r="G107">
        <f t="shared" ca="1" si="20"/>
        <v>94.477332054440396</v>
      </c>
      <c r="H107">
        <f t="shared" ca="1" si="21"/>
        <v>88.378430052868524</v>
      </c>
      <c r="I107">
        <f t="shared" ca="1" si="30"/>
        <v>95.765000000000001</v>
      </c>
      <c r="J107">
        <f t="shared" ca="1" si="31"/>
        <v>1.9052710816933216</v>
      </c>
      <c r="K107">
        <f t="shared" ca="1" si="32"/>
        <v>99.575542163386643</v>
      </c>
      <c r="L107">
        <f t="shared" ca="1" si="33"/>
        <v>91.954457836613358</v>
      </c>
      <c r="M107">
        <f t="shared" ca="1" si="22"/>
        <v>-0.86999999999999034</v>
      </c>
      <c r="N107">
        <f t="shared" ca="1" si="23"/>
        <v>0</v>
      </c>
      <c r="O107">
        <f t="shared" ca="1" si="24"/>
        <v>0.86999999999999034</v>
      </c>
      <c r="P107">
        <f t="shared" ca="1" si="28"/>
        <v>0.37860281951491731</v>
      </c>
      <c r="Q107">
        <f t="shared" ca="1" si="29"/>
        <v>0.43369459872768468</v>
      </c>
      <c r="R107">
        <f t="shared" ca="1" si="26"/>
        <v>0.87297102759778822</v>
      </c>
      <c r="S107">
        <f t="shared" ca="1" si="27"/>
        <v>46.608891153934856</v>
      </c>
      <c r="T107">
        <f>70</f>
        <v>70</v>
      </c>
      <c r="U107">
        <f>30</f>
        <v>30</v>
      </c>
      <c r="V107">
        <f t="shared" ca="1" si="25"/>
        <v>94.367316010079591</v>
      </c>
      <c r="W107">
        <f t="shared" ca="1" si="35"/>
        <v>94.430567234061215</v>
      </c>
      <c r="X107">
        <f t="shared" ca="1" si="34"/>
        <v>-0.11020369252494788</v>
      </c>
      <c r="Y107">
        <f t="shared" ca="1" si="36"/>
        <v>0.36282842841916979</v>
      </c>
      <c r="Z107">
        <f t="shared" ca="1" si="37"/>
        <v>-0.47303212094411767</v>
      </c>
      <c r="AA107">
        <f t="shared" ca="1" si="38"/>
        <v>91.13330000000002</v>
      </c>
    </row>
    <row r="108" spans="1:27" x14ac:dyDescent="0.25">
      <c r="A108" vm="311">
        <f ca="1"/>
        <v>45447</v>
      </c>
      <c r="B108" vm="312">
        <f ca="1"/>
        <v>93.72</v>
      </c>
      <c r="C108" vm="313">
        <f ca="1"/>
        <v>3445948</v>
      </c>
      <c r="D108">
        <f t="shared" ca="1" si="19"/>
        <v>322954246.56</v>
      </c>
      <c r="E108">
        <f ca="1">SUM($D$2:D108)/SUM($C$2:C108)</f>
        <v>91.465221581487612</v>
      </c>
      <c r="F108">
        <f ca="1">_xlfn.STDEV.P($B$2:B108)</f>
        <v>3.0444218143633623</v>
      </c>
      <c r="G108">
        <f t="shared" ca="1" si="20"/>
        <v>94.509643395850972</v>
      </c>
      <c r="H108">
        <f t="shared" ca="1" si="21"/>
        <v>88.420799767124251</v>
      </c>
      <c r="I108">
        <f t="shared" ca="1" si="30"/>
        <v>95.644499999999994</v>
      </c>
      <c r="J108">
        <f t="shared" ca="1" si="31"/>
        <v>1.9564938430505565</v>
      </c>
      <c r="K108">
        <f t="shared" ca="1" si="32"/>
        <v>99.557487686101112</v>
      </c>
      <c r="L108">
        <f t="shared" ca="1" si="33"/>
        <v>91.731512313898875</v>
      </c>
      <c r="M108">
        <f t="shared" ca="1" si="22"/>
        <v>3.9999999999992042E-2</v>
      </c>
      <c r="N108">
        <f t="shared" ca="1" si="23"/>
        <v>3.9999999999992042E-2</v>
      </c>
      <c r="O108">
        <f t="shared" ca="1" si="24"/>
        <v>0</v>
      </c>
      <c r="P108">
        <f t="shared" ca="1" si="28"/>
        <v>0.35441690383527974</v>
      </c>
      <c r="Q108">
        <f t="shared" ca="1" si="29"/>
        <v>0.40271641310427864</v>
      </c>
      <c r="R108">
        <f t="shared" ca="1" si="26"/>
        <v>0.88006570455698729</v>
      </c>
      <c r="S108">
        <f t="shared" ca="1" si="27"/>
        <v>46.810369575054992</v>
      </c>
      <c r="T108">
        <f>70</f>
        <v>70</v>
      </c>
      <c r="U108">
        <f>30</f>
        <v>30</v>
      </c>
      <c r="V108">
        <f t="shared" ca="1" si="25"/>
        <v>94.267728931605816</v>
      </c>
      <c r="W108">
        <f t="shared" ca="1" si="35"/>
        <v>94.377932624130764</v>
      </c>
      <c r="X108">
        <f t="shared" ca="1" si="34"/>
        <v>-0.23507866141189027</v>
      </c>
      <c r="Y108">
        <f t="shared" ca="1" si="36"/>
        <v>0.24324701045295782</v>
      </c>
      <c r="Z108">
        <f t="shared" ca="1" si="37"/>
        <v>-0.47832567186484809</v>
      </c>
      <c r="AA108">
        <f t="shared" ca="1" si="38"/>
        <v>91.12730000000002</v>
      </c>
    </row>
    <row r="109" spans="1:27" x14ac:dyDescent="0.25">
      <c r="A109" vm="314">
        <f ca="1"/>
        <v>45448</v>
      </c>
      <c r="B109" vm="315">
        <f ca="1"/>
        <v>92.6</v>
      </c>
      <c r="C109" vm="316">
        <f ca="1"/>
        <v>2129688</v>
      </c>
      <c r="D109">
        <f t="shared" ca="1" si="19"/>
        <v>197209108.79999998</v>
      </c>
      <c r="E109">
        <f ca="1">SUM($D$2:D109)/SUM($C$2:C109)</f>
        <v>91.476532840515532</v>
      </c>
      <c r="F109">
        <f ca="1">_xlfn.STDEV.P($B$2:B109)</f>
        <v>3.0329389186439228</v>
      </c>
      <c r="G109">
        <f t="shared" ca="1" si="20"/>
        <v>94.509471759159453</v>
      </c>
      <c r="H109">
        <f t="shared" ca="1" si="21"/>
        <v>88.44359392187161</v>
      </c>
      <c r="I109">
        <f t="shared" ca="1" si="30"/>
        <v>95.399500000000018</v>
      </c>
      <c r="J109">
        <f t="shared" ca="1" si="31"/>
        <v>2.0177514191479795</v>
      </c>
      <c r="K109">
        <f t="shared" ca="1" si="32"/>
        <v>99.435002838295972</v>
      </c>
      <c r="L109">
        <f t="shared" ca="1" si="33"/>
        <v>91.363997161704063</v>
      </c>
      <c r="M109">
        <f t="shared" ca="1" si="22"/>
        <v>-1.1200000000000045</v>
      </c>
      <c r="N109">
        <f t="shared" ca="1" si="23"/>
        <v>0</v>
      </c>
      <c r="O109">
        <f t="shared" ca="1" si="24"/>
        <v>1.1200000000000045</v>
      </c>
      <c r="P109">
        <f t="shared" ca="1" si="28"/>
        <v>0.32910141070418836</v>
      </c>
      <c r="Q109">
        <f t="shared" ca="1" si="29"/>
        <v>0.45395095502540189</v>
      </c>
      <c r="R109">
        <f t="shared" ca="1" si="26"/>
        <v>0.72497129273750005</v>
      </c>
      <c r="S109">
        <f t="shared" ca="1" si="27"/>
        <v>42.0280207438689</v>
      </c>
      <c r="T109">
        <f>70</f>
        <v>70</v>
      </c>
      <c r="U109">
        <f>30</f>
        <v>30</v>
      </c>
      <c r="V109">
        <f t="shared" ca="1" si="25"/>
        <v>94.011155249820305</v>
      </c>
      <c r="W109">
        <f t="shared" ca="1" si="35"/>
        <v>94.246233911232196</v>
      </c>
      <c r="X109">
        <f t="shared" ca="1" si="34"/>
        <v>-0.38687439303086535</v>
      </c>
      <c r="Y109">
        <f t="shared" ca="1" si="36"/>
        <v>0.1172227297561932</v>
      </c>
      <c r="Z109">
        <f t="shared" ca="1" si="37"/>
        <v>-0.50409712278705854</v>
      </c>
      <c r="AA109">
        <f t="shared" ca="1" si="38"/>
        <v>91.140800000000013</v>
      </c>
    </row>
    <row r="110" spans="1:27" x14ac:dyDescent="0.25">
      <c r="A110" vm="317">
        <f ca="1"/>
        <v>45449</v>
      </c>
      <c r="B110" vm="318">
        <f ca="1"/>
        <v>91.89</v>
      </c>
      <c r="C110" vm="319">
        <f ca="1"/>
        <v>1416883</v>
      </c>
      <c r="D110">
        <f t="shared" ca="1" si="19"/>
        <v>130197378.87</v>
      </c>
      <c r="E110">
        <f ca="1">SUM($D$2:D110)/SUM($C$2:C110)</f>
        <v>91.479256722891535</v>
      </c>
      <c r="F110">
        <f ca="1">_xlfn.STDEV.P($B$2:B110)</f>
        <v>3.0195358920899129</v>
      </c>
      <c r="G110">
        <f t="shared" ca="1" si="20"/>
        <v>94.498792614981454</v>
      </c>
      <c r="H110">
        <f t="shared" ca="1" si="21"/>
        <v>88.459720830801615</v>
      </c>
      <c r="I110">
        <f t="shared" ca="1" si="30"/>
        <v>95.115500000000011</v>
      </c>
      <c r="J110">
        <f t="shared" ca="1" si="31"/>
        <v>2.094447483981849</v>
      </c>
      <c r="K110">
        <f t="shared" ca="1" si="32"/>
        <v>99.304394967963702</v>
      </c>
      <c r="L110">
        <f t="shared" ca="1" si="33"/>
        <v>90.926605032036321</v>
      </c>
      <c r="M110">
        <f t="shared" ca="1" si="22"/>
        <v>-0.70999999999999375</v>
      </c>
      <c r="N110">
        <f t="shared" ca="1" si="23"/>
        <v>0</v>
      </c>
      <c r="O110">
        <f t="shared" ca="1" si="24"/>
        <v>0.70999999999999375</v>
      </c>
      <c r="P110">
        <f t="shared" ca="1" si="28"/>
        <v>0.30559416708246062</v>
      </c>
      <c r="Q110">
        <f t="shared" ca="1" si="29"/>
        <v>0.47224017252358702</v>
      </c>
      <c r="R110">
        <f t="shared" ca="1" si="26"/>
        <v>0.64711599068204451</v>
      </c>
      <c r="S110">
        <f t="shared" ca="1" si="27"/>
        <v>39.287821522155468</v>
      </c>
      <c r="T110">
        <f>70</f>
        <v>70</v>
      </c>
      <c r="U110">
        <f>30</f>
        <v>30</v>
      </c>
      <c r="V110">
        <f t="shared" ca="1" si="25"/>
        <v>93.684823672924878</v>
      </c>
      <c r="W110">
        <f t="shared" ca="1" si="35"/>
        <v>94.071698065955744</v>
      </c>
      <c r="X110">
        <f t="shared" ca="1" si="34"/>
        <v>-0.52373003013369157</v>
      </c>
      <c r="Y110">
        <f t="shared" ca="1" si="36"/>
        <v>-1.096782222178376E-2</v>
      </c>
      <c r="Z110">
        <f t="shared" ca="1" si="37"/>
        <v>-0.51276220791190785</v>
      </c>
      <c r="AA110">
        <f t="shared" ca="1" si="38"/>
        <v>91.143500000000017</v>
      </c>
    </row>
    <row r="111" spans="1:27" x14ac:dyDescent="0.25">
      <c r="A111" vm="320">
        <f ca="1"/>
        <v>45450</v>
      </c>
      <c r="B111" vm="321">
        <f ca="1"/>
        <v>91.61</v>
      </c>
      <c r="C111" vm="322">
        <f ca="1"/>
        <v>1312297</v>
      </c>
      <c r="D111">
        <f t="shared" ca="1" si="19"/>
        <v>120219528.17</v>
      </c>
      <c r="E111">
        <f ca="1">SUM($D$2:D111)/SUM($C$2:C111)</f>
        <v>91.48004963124248</v>
      </c>
      <c r="F111">
        <f ca="1">_xlfn.STDEV.P($B$2:B111)</f>
        <v>3.005927428012749</v>
      </c>
      <c r="G111">
        <f t="shared" ca="1" si="20"/>
        <v>94.485977059255234</v>
      </c>
      <c r="H111">
        <f t="shared" ca="1" si="21"/>
        <v>88.474122203229726</v>
      </c>
      <c r="I111">
        <f t="shared" ca="1" si="30"/>
        <v>94.79</v>
      </c>
      <c r="J111">
        <f t="shared" ca="1" si="31"/>
        <v>2.1087536852992472</v>
      </c>
      <c r="K111">
        <f t="shared" ca="1" si="32"/>
        <v>99.007507370598503</v>
      </c>
      <c r="L111">
        <f t="shared" ca="1" si="33"/>
        <v>90.572492629401509</v>
      </c>
      <c r="M111">
        <f t="shared" ca="1" si="22"/>
        <v>-0.28000000000000114</v>
      </c>
      <c r="N111">
        <f t="shared" ca="1" si="23"/>
        <v>0</v>
      </c>
      <c r="O111">
        <f t="shared" ca="1" si="24"/>
        <v>0.28000000000000114</v>
      </c>
      <c r="P111">
        <f t="shared" ca="1" si="28"/>
        <v>0.2837660122908563</v>
      </c>
      <c r="Q111">
        <f t="shared" ca="1" si="29"/>
        <v>0.45850873162904515</v>
      </c>
      <c r="R111">
        <f t="shared" ca="1" si="26"/>
        <v>0.618889004103931</v>
      </c>
      <c r="S111">
        <f t="shared" ca="1" si="27"/>
        <v>38.229242556779944</v>
      </c>
      <c r="T111">
        <f>70</f>
        <v>70</v>
      </c>
      <c r="U111">
        <f>30</f>
        <v>30</v>
      </c>
      <c r="V111">
        <f t="shared" ca="1" si="25"/>
        <v>93.365620030936441</v>
      </c>
      <c r="W111">
        <f t="shared" ca="1" si="35"/>
        <v>93.889350061070132</v>
      </c>
      <c r="X111">
        <f t="shared" ca="1" si="34"/>
        <v>-0.56834649760588718</v>
      </c>
      <c r="Y111">
        <f t="shared" ca="1" si="36"/>
        <v>-0.12244355729860444</v>
      </c>
      <c r="Z111">
        <f t="shared" ca="1" si="37"/>
        <v>-0.44590294030728272</v>
      </c>
      <c r="AA111">
        <f t="shared" ca="1" si="38"/>
        <v>91.14400000000002</v>
      </c>
    </row>
    <row r="112" spans="1:27" x14ac:dyDescent="0.25">
      <c r="A112" vm="323">
        <f ca="1"/>
        <v>45453</v>
      </c>
      <c r="B112" vm="324">
        <f ca="1"/>
        <v>92.32</v>
      </c>
      <c r="C112" vm="325">
        <f ca="1"/>
        <v>1803642</v>
      </c>
      <c r="D112">
        <f t="shared" ca="1" si="19"/>
        <v>166512229.44</v>
      </c>
      <c r="E112">
        <f ca="1">SUM($D$2:D112)/SUM($C$2:C112)</f>
        <v>91.486993003951781</v>
      </c>
      <c r="F112">
        <f ca="1">_xlfn.STDEV.P($B$2:B112)</f>
        <v>2.9939126482544229</v>
      </c>
      <c r="G112">
        <f t="shared" ca="1" si="20"/>
        <v>94.480905652206204</v>
      </c>
      <c r="H112">
        <f t="shared" ca="1" si="21"/>
        <v>88.493080355697359</v>
      </c>
      <c r="I112">
        <f t="shared" ca="1" si="30"/>
        <v>94.521000000000001</v>
      </c>
      <c r="J112">
        <f t="shared" ca="1" si="31"/>
        <v>2.06060262008344</v>
      </c>
      <c r="K112">
        <f t="shared" ca="1" si="32"/>
        <v>98.642205240166874</v>
      </c>
      <c r="L112">
        <f t="shared" ca="1" si="33"/>
        <v>90.399794759833128</v>
      </c>
      <c r="M112">
        <f t="shared" ca="1" si="22"/>
        <v>0.70999999999999375</v>
      </c>
      <c r="N112">
        <f t="shared" ca="1" si="23"/>
        <v>0.70999999999999375</v>
      </c>
      <c r="O112">
        <f t="shared" ca="1" si="24"/>
        <v>0</v>
      </c>
      <c r="P112">
        <f t="shared" ca="1" si="28"/>
        <v>0.31421129712722323</v>
      </c>
      <c r="Q112">
        <f t="shared" ca="1" si="29"/>
        <v>0.42575810794125618</v>
      </c>
      <c r="R112">
        <f t="shared" ca="1" si="26"/>
        <v>0.73800425938236369</v>
      </c>
      <c r="S112">
        <f t="shared" ca="1" si="27"/>
        <v>42.462741699184846</v>
      </c>
      <c r="T112">
        <f>70</f>
        <v>70</v>
      </c>
      <c r="U112">
        <f>30</f>
        <v>30</v>
      </c>
      <c r="V112">
        <f t="shared" ca="1" si="25"/>
        <v>93.204755410792373</v>
      </c>
      <c r="W112">
        <f t="shared" ca="1" si="35"/>
        <v>93.77310190839826</v>
      </c>
      <c r="X112">
        <f t="shared" ca="1" si="34"/>
        <v>-0.64229562172107535</v>
      </c>
      <c r="Y112">
        <f t="shared" ca="1" si="36"/>
        <v>-0.22641397018309864</v>
      </c>
      <c r="Z112">
        <f t="shared" ca="1" si="37"/>
        <v>-0.41588165153797674</v>
      </c>
      <c r="AA112">
        <f t="shared" ca="1" si="38"/>
        <v>91.161700000000025</v>
      </c>
    </row>
    <row r="113" spans="1:27" x14ac:dyDescent="0.25">
      <c r="A113" vm="326">
        <f ca="1"/>
        <v>45454</v>
      </c>
      <c r="B113" vm="327">
        <f ca="1"/>
        <v>91.75</v>
      </c>
      <c r="C113" vm="328">
        <f ca="1"/>
        <v>1315681</v>
      </c>
      <c r="D113">
        <f t="shared" ca="1" si="19"/>
        <v>120713731.75</v>
      </c>
      <c r="E113">
        <f ca="1">SUM($D$2:D113)/SUM($C$2:C113)</f>
        <v>91.48856942958021</v>
      </c>
      <c r="F113">
        <f ca="1">_xlfn.STDEV.P($B$2:B113)</f>
        <v>2.9808073236459829</v>
      </c>
      <c r="G113">
        <f t="shared" ca="1" si="20"/>
        <v>94.469376753226186</v>
      </c>
      <c r="H113">
        <f t="shared" ca="1" si="21"/>
        <v>88.507762105934233</v>
      </c>
      <c r="I113">
        <f t="shared" ca="1" si="30"/>
        <v>94.226500000000016</v>
      </c>
      <c r="J113">
        <f t="shared" ca="1" si="31"/>
        <v>2.0116928587373217</v>
      </c>
      <c r="K113">
        <f t="shared" ca="1" si="32"/>
        <v>98.249885717474655</v>
      </c>
      <c r="L113">
        <f t="shared" ca="1" si="33"/>
        <v>90.203114282525377</v>
      </c>
      <c r="M113">
        <f t="shared" ca="1" si="22"/>
        <v>-0.56999999999999318</v>
      </c>
      <c r="N113">
        <f t="shared" ca="1" si="23"/>
        <v>0</v>
      </c>
      <c r="O113">
        <f t="shared" ca="1" si="24"/>
        <v>0.56999999999999318</v>
      </c>
      <c r="P113">
        <f t="shared" ca="1" si="28"/>
        <v>0.29176763304670728</v>
      </c>
      <c r="Q113">
        <f t="shared" ca="1" si="29"/>
        <v>0.43606110023116595</v>
      </c>
      <c r="R113">
        <f t="shared" ca="1" si="26"/>
        <v>0.66909805275461298</v>
      </c>
      <c r="S113">
        <f t="shared" ca="1" si="27"/>
        <v>40.087402393787485</v>
      </c>
      <c r="T113">
        <f>70</f>
        <v>70</v>
      </c>
      <c r="U113">
        <f>30</f>
        <v>30</v>
      </c>
      <c r="V113">
        <f t="shared" ca="1" si="25"/>
        <v>92.980946886055079</v>
      </c>
      <c r="W113">
        <f t="shared" ca="1" si="35"/>
        <v>93.623242507776155</v>
      </c>
      <c r="X113">
        <f t="shared" ca="1" si="34"/>
        <v>-0.74157433011080798</v>
      </c>
      <c r="Y113">
        <f t="shared" ca="1" si="36"/>
        <v>-0.32944604216864048</v>
      </c>
      <c r="Z113">
        <f t="shared" ca="1" si="37"/>
        <v>-0.41212828794216749</v>
      </c>
      <c r="AA113">
        <f t="shared" ca="1" si="38"/>
        <v>91.185200000000023</v>
      </c>
    </row>
    <row r="114" spans="1:27" x14ac:dyDescent="0.25">
      <c r="A114" vm="329">
        <f ca="1"/>
        <v>45455</v>
      </c>
      <c r="B114" vm="330">
        <f ca="1"/>
        <v>91.14</v>
      </c>
      <c r="C114" vm="331">
        <f ca="1"/>
        <v>1333420</v>
      </c>
      <c r="D114">
        <f t="shared" ca="1" si="19"/>
        <v>121527898.8</v>
      </c>
      <c r="E114">
        <f ca="1">SUM($D$2:D114)/SUM($C$2:C114)</f>
        <v>91.486464771120907</v>
      </c>
      <c r="F114">
        <f ca="1">_xlfn.STDEV.P($B$2:B114)</f>
        <v>2.967632166667348</v>
      </c>
      <c r="G114">
        <f t="shared" ca="1" si="20"/>
        <v>94.45409693778825</v>
      </c>
      <c r="H114">
        <f t="shared" ca="1" si="21"/>
        <v>88.518832604453564</v>
      </c>
      <c r="I114">
        <f t="shared" ca="1" si="30"/>
        <v>93.951499999999996</v>
      </c>
      <c r="J114">
        <f t="shared" ca="1" si="31"/>
        <v>2.04012712452203</v>
      </c>
      <c r="K114">
        <f t="shared" ca="1" si="32"/>
        <v>98.031754249044056</v>
      </c>
      <c r="L114">
        <f t="shared" ca="1" si="33"/>
        <v>89.871245750955936</v>
      </c>
      <c r="M114">
        <f t="shared" ca="1" si="22"/>
        <v>-0.60999999999999943</v>
      </c>
      <c r="N114">
        <f t="shared" ca="1" si="23"/>
        <v>0</v>
      </c>
      <c r="O114">
        <f t="shared" ca="1" si="24"/>
        <v>0.60999999999999943</v>
      </c>
      <c r="P114">
        <f t="shared" ca="1" si="28"/>
        <v>0.27092708782908531</v>
      </c>
      <c r="Q114">
        <f t="shared" ca="1" si="29"/>
        <v>0.44848530735751119</v>
      </c>
      <c r="R114">
        <f t="shared" ca="1" si="26"/>
        <v>0.60409356423601879</v>
      </c>
      <c r="S114">
        <f t="shared" ca="1" si="27"/>
        <v>37.659496784012738</v>
      </c>
      <c r="T114">
        <f>70</f>
        <v>70</v>
      </c>
      <c r="U114">
        <f>30</f>
        <v>30</v>
      </c>
      <c r="V114">
        <f t="shared" ca="1" si="25"/>
        <v>92.697724288200448</v>
      </c>
      <c r="W114">
        <f t="shared" ca="1" si="35"/>
        <v>93.439298618311255</v>
      </c>
      <c r="X114">
        <f t="shared" ca="1" si="34"/>
        <v>-0.85318500671118613</v>
      </c>
      <c r="Y114">
        <f t="shared" ca="1" si="36"/>
        <v>-0.43419383507714965</v>
      </c>
      <c r="Z114">
        <f t="shared" ca="1" si="37"/>
        <v>-0.41899117163403649</v>
      </c>
      <c r="AA114">
        <f t="shared" ca="1" si="38"/>
        <v>91.198000000000008</v>
      </c>
    </row>
    <row r="115" spans="1:27" x14ac:dyDescent="0.25">
      <c r="A115" vm="332">
        <f ca="1"/>
        <v>45456</v>
      </c>
      <c r="B115" vm="333">
        <f ca="1"/>
        <v>90.61</v>
      </c>
      <c r="C115" vm="334">
        <f ca="1"/>
        <v>1598015</v>
      </c>
      <c r="D115">
        <f t="shared" ca="1" si="19"/>
        <v>144796139.15000001</v>
      </c>
      <c r="E115">
        <f ca="1">SUM($D$2:D115)/SUM($C$2:C115)</f>
        <v>91.480168123491111</v>
      </c>
      <c r="F115">
        <f ca="1">_xlfn.STDEV.P($B$2:B115)</f>
        <v>2.9553088476052323</v>
      </c>
      <c r="G115">
        <f t="shared" ca="1" si="20"/>
        <v>94.43547697109635</v>
      </c>
      <c r="H115">
        <f t="shared" ca="1" si="21"/>
        <v>88.524859275885873</v>
      </c>
      <c r="I115">
        <f t="shared" ca="1" si="30"/>
        <v>93.636499999999998</v>
      </c>
      <c r="J115">
        <f t="shared" ca="1" si="31"/>
        <v>2.0456456322226435</v>
      </c>
      <c r="K115">
        <f t="shared" ca="1" si="32"/>
        <v>97.727791264445287</v>
      </c>
      <c r="L115">
        <f t="shared" ca="1" si="33"/>
        <v>89.545208735554709</v>
      </c>
      <c r="M115">
        <f t="shared" ca="1" si="22"/>
        <v>-0.53000000000000114</v>
      </c>
      <c r="N115">
        <f t="shared" ca="1" si="23"/>
        <v>0</v>
      </c>
      <c r="O115">
        <f t="shared" ca="1" si="24"/>
        <v>0.53000000000000114</v>
      </c>
      <c r="P115">
        <f t="shared" ca="1" si="28"/>
        <v>0.25157515298415067</v>
      </c>
      <c r="Q115">
        <f t="shared" ca="1" si="29"/>
        <v>0.45430778540340333</v>
      </c>
      <c r="R115">
        <f t="shared" ca="1" si="26"/>
        <v>0.55375487954881542</v>
      </c>
      <c r="S115">
        <f t="shared" ca="1" si="27"/>
        <v>35.639783780413069</v>
      </c>
      <c r="T115">
        <f>70</f>
        <v>70</v>
      </c>
      <c r="U115">
        <f>30</f>
        <v>30</v>
      </c>
      <c r="V115">
        <f t="shared" ca="1" si="25"/>
        <v>92.376535936169603</v>
      </c>
      <c r="W115">
        <f t="shared" ca="1" si="35"/>
        <v>93.229720942880789</v>
      </c>
      <c r="X115">
        <f t="shared" ca="1" si="34"/>
        <v>-0.91016562220480068</v>
      </c>
      <c r="Y115">
        <f t="shared" ca="1" si="36"/>
        <v>-0.52938819250267988</v>
      </c>
      <c r="Z115">
        <f t="shared" ca="1" si="37"/>
        <v>-0.38077742970212081</v>
      </c>
      <c r="AA115">
        <f t="shared" ca="1" si="38"/>
        <v>91.212100000000007</v>
      </c>
    </row>
    <row r="116" spans="1:27" x14ac:dyDescent="0.25">
      <c r="A116" vm="335">
        <f ca="1"/>
        <v>45457</v>
      </c>
      <c r="B116" vm="336">
        <f ca="1"/>
        <v>90.87</v>
      </c>
      <c r="C116" vm="337">
        <f ca="1"/>
        <v>1258477</v>
      </c>
      <c r="D116">
        <f t="shared" ca="1" si="19"/>
        <v>114357804.99000001</v>
      </c>
      <c r="E116">
        <f ca="1">SUM($D$2:D116)/SUM($C$2:C116)</f>
        <v>91.476735401026943</v>
      </c>
      <c r="F116">
        <f ca="1">_xlfn.STDEV.P($B$2:B116)</f>
        <v>2.9427075556422566</v>
      </c>
      <c r="G116">
        <f t="shared" ca="1" si="20"/>
        <v>94.419442956669201</v>
      </c>
      <c r="H116">
        <f t="shared" ca="1" si="21"/>
        <v>88.534027845384685</v>
      </c>
      <c r="I116">
        <f t="shared" ca="1" si="30"/>
        <v>93.334500000000006</v>
      </c>
      <c r="J116">
        <f t="shared" ca="1" si="31"/>
        <v>1.9817893961080517</v>
      </c>
      <c r="K116">
        <f t="shared" ca="1" si="32"/>
        <v>97.298078792216103</v>
      </c>
      <c r="L116">
        <f t="shared" ca="1" si="33"/>
        <v>89.370921207783908</v>
      </c>
      <c r="M116">
        <f t="shared" ca="1" si="22"/>
        <v>0.26000000000000512</v>
      </c>
      <c r="N116">
        <f t="shared" ca="1" si="23"/>
        <v>0.26000000000000512</v>
      </c>
      <c r="O116">
        <f t="shared" ca="1" si="24"/>
        <v>0</v>
      </c>
      <c r="P116">
        <f t="shared" ca="1" si="28"/>
        <v>0.25217692777099743</v>
      </c>
      <c r="Q116">
        <f t="shared" ca="1" si="29"/>
        <v>0.42185722930316022</v>
      </c>
      <c r="R116">
        <f t="shared" ca="1" si="26"/>
        <v>0.59777789795745073</v>
      </c>
      <c r="S116">
        <f t="shared" ca="1" si="27"/>
        <v>37.413078421076634</v>
      </c>
      <c r="T116">
        <f>70</f>
        <v>70</v>
      </c>
      <c r="U116">
        <f>30</f>
        <v>30</v>
      </c>
      <c r="V116">
        <f t="shared" ca="1" si="25"/>
        <v>92.144761176758891</v>
      </c>
      <c r="W116">
        <f t="shared" ca="1" si="35"/>
        <v>93.054926798963692</v>
      </c>
      <c r="X116">
        <f t="shared" ca="1" si="34"/>
        <v>-0.96198615431855217</v>
      </c>
      <c r="Y116">
        <f t="shared" ca="1" si="36"/>
        <v>-0.6159077848658544</v>
      </c>
      <c r="Z116">
        <f t="shared" ca="1" si="37"/>
        <v>-0.34607836945269776</v>
      </c>
      <c r="AA116">
        <f t="shared" ca="1" si="38"/>
        <v>91.229600000000033</v>
      </c>
    </row>
    <row r="117" spans="1:27" x14ac:dyDescent="0.25">
      <c r="A117" vm="338">
        <f ca="1"/>
        <v>45460</v>
      </c>
      <c r="B117" vm="339">
        <f ca="1"/>
        <v>90.65</v>
      </c>
      <c r="C117" vm="340">
        <f ca="1"/>
        <v>1401222</v>
      </c>
      <c r="D117">
        <f t="shared" ca="1" si="19"/>
        <v>127020774.30000001</v>
      </c>
      <c r="E117">
        <f ca="1">SUM($D$2:D117)/SUM($C$2:C117)</f>
        <v>91.471588978422901</v>
      </c>
      <c r="F117">
        <f ca="1">_xlfn.STDEV.P($B$2:B117)</f>
        <v>2.9306126319142414</v>
      </c>
      <c r="G117">
        <f t="shared" ca="1" si="20"/>
        <v>94.402201610337144</v>
      </c>
      <c r="H117">
        <f t="shared" ca="1" si="21"/>
        <v>88.540976346508657</v>
      </c>
      <c r="I117">
        <f t="shared" ca="1" si="30"/>
        <v>93.011999999999986</v>
      </c>
      <c r="J117">
        <f t="shared" ca="1" si="31"/>
        <v>1.8576969329621136</v>
      </c>
      <c r="K117">
        <f t="shared" ca="1" si="32"/>
        <v>96.727393865924213</v>
      </c>
      <c r="L117">
        <f t="shared" ca="1" si="33"/>
        <v>89.296606134075759</v>
      </c>
      <c r="M117">
        <f t="shared" ca="1" si="22"/>
        <v>-0.21999999999999886</v>
      </c>
      <c r="N117">
        <f t="shared" ca="1" si="23"/>
        <v>0</v>
      </c>
      <c r="O117">
        <f t="shared" ca="1" si="24"/>
        <v>0.21999999999999886</v>
      </c>
      <c r="P117">
        <f t="shared" ca="1" si="28"/>
        <v>0.23416429007306902</v>
      </c>
      <c r="Q117">
        <f t="shared" ca="1" si="29"/>
        <v>0.40743885578150579</v>
      </c>
      <c r="R117">
        <f t="shared" ca="1" si="26"/>
        <v>0.57472253014239405</v>
      </c>
      <c r="S117">
        <f t="shared" ca="1" si="27"/>
        <v>36.496749055239896</v>
      </c>
      <c r="T117">
        <f>70</f>
        <v>70</v>
      </c>
      <c r="U117">
        <f>30</f>
        <v>30</v>
      </c>
      <c r="V117">
        <f t="shared" ca="1" si="25"/>
        <v>91.914797918795983</v>
      </c>
      <c r="W117">
        <f t="shared" ca="1" si="35"/>
        <v>92.876784073114536</v>
      </c>
      <c r="X117">
        <f t="shared" ca="1" si="34"/>
        <v>-1.012364221879821</v>
      </c>
      <c r="Y117">
        <f t="shared" ca="1" si="36"/>
        <v>-0.69519907226864774</v>
      </c>
      <c r="Z117">
        <f t="shared" ca="1" si="37"/>
        <v>-0.31716514961117326</v>
      </c>
      <c r="AA117">
        <f t="shared" ca="1" si="38"/>
        <v>91.252900000000011</v>
      </c>
    </row>
    <row r="118" spans="1:27" x14ac:dyDescent="0.25">
      <c r="A118" vm="341">
        <f ca="1"/>
        <v>45461</v>
      </c>
      <c r="B118" vm="342">
        <f ca="1"/>
        <v>90.39</v>
      </c>
      <c r="C118" vm="343">
        <f ca="1"/>
        <v>1336404</v>
      </c>
      <c r="D118">
        <f t="shared" ca="1" si="19"/>
        <v>120797557.56</v>
      </c>
      <c r="E118">
        <f ca="1">SUM($D$2:D118)/SUM($C$2:C118)</f>
        <v>91.465205444281182</v>
      </c>
      <c r="F118">
        <f ca="1">_xlfn.STDEV.P($B$2:B118)</f>
        <v>2.9192498338397552</v>
      </c>
      <c r="G118">
        <f t="shared" ca="1" si="20"/>
        <v>94.384455278120939</v>
      </c>
      <c r="H118">
        <f t="shared" ca="1" si="21"/>
        <v>88.545955610441425</v>
      </c>
      <c r="I118">
        <f t="shared" ca="1" si="30"/>
        <v>92.706000000000003</v>
      </c>
      <c r="J118">
        <f t="shared" ca="1" si="31"/>
        <v>1.7522298575484354</v>
      </c>
      <c r="K118">
        <f t="shared" ca="1" si="32"/>
        <v>96.210459715096874</v>
      </c>
      <c r="L118">
        <f t="shared" ca="1" si="33"/>
        <v>89.201540284903132</v>
      </c>
      <c r="M118">
        <f t="shared" ca="1" si="22"/>
        <v>-0.26000000000000512</v>
      </c>
      <c r="N118">
        <f t="shared" ca="1" si="23"/>
        <v>0</v>
      </c>
      <c r="O118">
        <f t="shared" ca="1" si="24"/>
        <v>0.26000000000000512</v>
      </c>
      <c r="P118">
        <f t="shared" ca="1" si="28"/>
        <v>0.21743826935356408</v>
      </c>
      <c r="Q118">
        <f t="shared" ca="1" si="29"/>
        <v>0.39690750893997001</v>
      </c>
      <c r="R118">
        <f t="shared" ca="1" si="26"/>
        <v>0.54783108017855708</v>
      </c>
      <c r="S118">
        <f t="shared" ca="1" si="27"/>
        <v>35.393466844932433</v>
      </c>
      <c r="T118">
        <f>70</f>
        <v>70</v>
      </c>
      <c r="U118">
        <f>30</f>
        <v>30</v>
      </c>
      <c r="V118">
        <f t="shared" ca="1" si="25"/>
        <v>91.6802136235966</v>
      </c>
      <c r="W118">
        <f t="shared" ca="1" si="35"/>
        <v>92.692577845476421</v>
      </c>
      <c r="X118">
        <f t="shared" ca="1" si="34"/>
        <v>-1.0291292124548335</v>
      </c>
      <c r="Y118">
        <f t="shared" ca="1" si="36"/>
        <v>-0.76198510030588495</v>
      </c>
      <c r="Z118">
        <f t="shared" ca="1" si="37"/>
        <v>-0.26714411214894851</v>
      </c>
      <c r="AA118">
        <f t="shared" ca="1" si="38"/>
        <v>91.260100000000023</v>
      </c>
    </row>
    <row r="119" spans="1:27" x14ac:dyDescent="0.25">
      <c r="A119" vm="344">
        <f ca="1"/>
        <v>45463</v>
      </c>
      <c r="B119" vm="345">
        <f ca="1"/>
        <v>90.53</v>
      </c>
      <c r="C119" vm="346">
        <f ca="1"/>
        <v>1383835</v>
      </c>
      <c r="D119">
        <f t="shared" ca="1" si="19"/>
        <v>125278582.55</v>
      </c>
      <c r="E119">
        <f ca="1">SUM($D$2:D119)/SUM($C$2:C119)</f>
        <v>91.45952468477762</v>
      </c>
      <c r="F119">
        <f ca="1">_xlfn.STDEV.P($B$2:B119)</f>
        <v>2.9076817743308228</v>
      </c>
      <c r="G119">
        <f t="shared" ca="1" si="20"/>
        <v>94.367206459108445</v>
      </c>
      <c r="H119">
        <f t="shared" ca="1" si="21"/>
        <v>88.551842910446794</v>
      </c>
      <c r="I119">
        <f t="shared" ca="1" si="30"/>
        <v>92.415499999999994</v>
      </c>
      <c r="J119">
        <f t="shared" ca="1" si="31"/>
        <v>1.5923682296966888</v>
      </c>
      <c r="K119">
        <f t="shared" ca="1" si="32"/>
        <v>95.600236459393372</v>
      </c>
      <c r="L119">
        <f t="shared" ca="1" si="33"/>
        <v>89.230763540606617</v>
      </c>
      <c r="M119">
        <f t="shared" ca="1" si="22"/>
        <v>0.14000000000000057</v>
      </c>
      <c r="N119">
        <f t="shared" ca="1" si="23"/>
        <v>0.14000000000000057</v>
      </c>
      <c r="O119">
        <f t="shared" ca="1" si="24"/>
        <v>0</v>
      </c>
      <c r="P119">
        <f t="shared" ca="1" si="28"/>
        <v>0.21190696439973813</v>
      </c>
      <c r="Q119">
        <f t="shared" ca="1" si="29"/>
        <v>0.36855697258711501</v>
      </c>
      <c r="R119">
        <f t="shared" ca="1" si="26"/>
        <v>0.57496392731967683</v>
      </c>
      <c r="S119">
        <f t="shared" ca="1" si="27"/>
        <v>36.50648229754497</v>
      </c>
      <c r="T119">
        <f>70</f>
        <v>70</v>
      </c>
      <c r="U119">
        <f>30</f>
        <v>30</v>
      </c>
      <c r="V119">
        <f t="shared" ca="1" si="25"/>
        <v>91.50325768150482</v>
      </c>
      <c r="W119">
        <f t="shared" ca="1" si="35"/>
        <v>92.532386893959654</v>
      </c>
      <c r="X119">
        <f t="shared" ca="1" si="34"/>
        <v>-1.0456929035041611</v>
      </c>
      <c r="Y119">
        <f t="shared" ca="1" si="36"/>
        <v>-0.81872666094554025</v>
      </c>
      <c r="Z119">
        <f t="shared" ca="1" si="37"/>
        <v>-0.22696624255862086</v>
      </c>
      <c r="AA119">
        <f t="shared" ca="1" si="38"/>
        <v>91.265200000000021</v>
      </c>
    </row>
    <row r="120" spans="1:27" x14ac:dyDescent="0.25">
      <c r="A120" vm="347">
        <f ca="1"/>
        <v>45464</v>
      </c>
      <c r="B120" vm="348">
        <f ca="1"/>
        <v>90.34</v>
      </c>
      <c r="C120" vm="349">
        <f ca="1"/>
        <v>3202328</v>
      </c>
      <c r="D120">
        <f t="shared" ca="1" si="19"/>
        <v>289298311.52000004</v>
      </c>
      <c r="E120">
        <f ca="1">SUM($D$2:D120)/SUM($C$2:C120)</f>
        <v>91.444006091567474</v>
      </c>
      <c r="F120">
        <f ca="1">_xlfn.STDEV.P($B$2:B120)</f>
        <v>2.8967113959169435</v>
      </c>
      <c r="G120">
        <f t="shared" ca="1" si="20"/>
        <v>94.340717487484412</v>
      </c>
      <c r="H120">
        <f t="shared" ca="1" si="21"/>
        <v>88.547294695650535</v>
      </c>
      <c r="I120">
        <f t="shared" ca="1" si="30"/>
        <v>92.126000000000005</v>
      </c>
      <c r="J120">
        <f t="shared" ca="1" si="31"/>
        <v>1.3956903592657535</v>
      </c>
      <c r="K120">
        <f t="shared" ca="1" si="32"/>
        <v>94.917380718531518</v>
      </c>
      <c r="L120">
        <f t="shared" ca="1" si="33"/>
        <v>89.334619281468491</v>
      </c>
      <c r="M120">
        <f t="shared" ca="1" si="22"/>
        <v>-0.18999999999999773</v>
      </c>
      <c r="N120">
        <f t="shared" ca="1" si="23"/>
        <v>0</v>
      </c>
      <c r="O120">
        <f t="shared" ca="1" si="24"/>
        <v>0.18999999999999773</v>
      </c>
      <c r="P120">
        <f t="shared" ca="1" si="28"/>
        <v>0.19677075265689972</v>
      </c>
      <c r="Q120">
        <f t="shared" ca="1" si="29"/>
        <v>0.35580290311660662</v>
      </c>
      <c r="R120">
        <f t="shared" ca="1" si="26"/>
        <v>0.55303301612581957</v>
      </c>
      <c r="S120">
        <f t="shared" ca="1" si="27"/>
        <v>35.609868585112892</v>
      </c>
      <c r="T120">
        <f>70</f>
        <v>70</v>
      </c>
      <c r="U120">
        <f>30</f>
        <v>30</v>
      </c>
      <c r="V120">
        <f t="shared" ca="1" si="25"/>
        <v>91.324294961273296</v>
      </c>
      <c r="W120">
        <f t="shared" ca="1" si="35"/>
        <v>92.369987864777457</v>
      </c>
      <c r="X120">
        <f t="shared" ca="1" si="34"/>
        <v>-0.97256539189316982</v>
      </c>
      <c r="Y120">
        <f t="shared" ca="1" si="36"/>
        <v>-0.84949440713506619</v>
      </c>
      <c r="Z120">
        <f t="shared" ca="1" si="37"/>
        <v>-0.12307098475810363</v>
      </c>
      <c r="AA120">
        <f t="shared" ca="1" si="38"/>
        <v>91.262700000000038</v>
      </c>
    </row>
    <row r="121" spans="1:27" x14ac:dyDescent="0.25">
      <c r="A121" vm="350">
        <f ca="1"/>
        <v>45467</v>
      </c>
      <c r="B121" vm="351">
        <f ca="1"/>
        <v>91.27</v>
      </c>
      <c r="C121" vm="352">
        <f ca="1"/>
        <v>1441194</v>
      </c>
      <c r="D121">
        <f t="shared" ca="1" si="19"/>
        <v>131537776.38</v>
      </c>
      <c r="E121">
        <f ca="1">SUM($D$2:D121)/SUM($C$2:C121)</f>
        <v>91.44292729672793</v>
      </c>
      <c r="F121">
        <f ca="1">_xlfn.STDEV.P($B$2:B121)</f>
        <v>2.8846165244370972</v>
      </c>
      <c r="G121">
        <f t="shared" ca="1" si="20"/>
        <v>94.327543821165023</v>
      </c>
      <c r="H121">
        <f t="shared" ca="1" si="21"/>
        <v>88.558310772290838</v>
      </c>
      <c r="I121">
        <f t="shared" ca="1" si="30"/>
        <v>91.996000000000009</v>
      </c>
      <c r="J121">
        <f t="shared" ca="1" si="31"/>
        <v>1.3448592178326595</v>
      </c>
      <c r="K121">
        <f t="shared" ca="1" si="32"/>
        <v>94.685718435665322</v>
      </c>
      <c r="L121">
        <f t="shared" ca="1" si="33"/>
        <v>89.306281564334697</v>
      </c>
      <c r="M121">
        <f t="shared" ca="1" si="22"/>
        <v>0.92999999999999261</v>
      </c>
      <c r="N121">
        <f t="shared" ca="1" si="23"/>
        <v>0.92999999999999261</v>
      </c>
      <c r="O121">
        <f t="shared" ca="1" si="24"/>
        <v>0</v>
      </c>
      <c r="P121">
        <f t="shared" ca="1" si="28"/>
        <v>0.24914427032426351</v>
      </c>
      <c r="Q121">
        <f t="shared" ca="1" si="29"/>
        <v>0.33038841003684899</v>
      </c>
      <c r="R121">
        <f t="shared" ca="1" si="26"/>
        <v>0.75409506736775622</v>
      </c>
      <c r="S121">
        <f t="shared" ca="1" si="27"/>
        <v>42.990547171389757</v>
      </c>
      <c r="T121">
        <f>70</f>
        <v>70</v>
      </c>
      <c r="U121">
        <f>30</f>
        <v>30</v>
      </c>
      <c r="V121">
        <f t="shared" ca="1" si="25"/>
        <v>91.315941890308181</v>
      </c>
      <c r="W121">
        <f t="shared" ca="1" si="35"/>
        <v>92.288507282201351</v>
      </c>
      <c r="X121">
        <f t="shared" ca="1" si="34"/>
        <v>-1.0541599011222473</v>
      </c>
      <c r="Y121">
        <f t="shared" ca="1" si="36"/>
        <v>-0.89042750593250253</v>
      </c>
      <c r="Z121">
        <f t="shared" ca="1" si="37"/>
        <v>-0.16373239518974481</v>
      </c>
      <c r="AA121">
        <f t="shared" ca="1" si="38"/>
        <v>91.268600000000049</v>
      </c>
    </row>
    <row r="122" spans="1:27" x14ac:dyDescent="0.25">
      <c r="A122" vm="353">
        <f ca="1"/>
        <v>45468</v>
      </c>
      <c r="B122" vm="354">
        <f ca="1"/>
        <v>89.39</v>
      </c>
      <c r="C122" vm="355">
        <f ca="1"/>
        <v>1531285</v>
      </c>
      <c r="D122">
        <f t="shared" ca="1" si="19"/>
        <v>136881566.15000001</v>
      </c>
      <c r="E122">
        <f ca="1">SUM($D$2:D122)/SUM($C$2:C122)</f>
        <v>91.429492530615931</v>
      </c>
      <c r="F122">
        <f ca="1">_xlfn.STDEV.P($B$2:B122)</f>
        <v>2.877723401335142</v>
      </c>
      <c r="G122">
        <f t="shared" ca="1" si="20"/>
        <v>94.307215931951077</v>
      </c>
      <c r="H122">
        <f t="shared" ca="1" si="21"/>
        <v>88.551769129280785</v>
      </c>
      <c r="I122">
        <f t="shared" ca="1" si="30"/>
        <v>91.744</v>
      </c>
      <c r="J122">
        <f t="shared" ca="1" si="31"/>
        <v>1.3369462454257057</v>
      </c>
      <c r="K122">
        <f t="shared" ca="1" si="32"/>
        <v>94.417892490851415</v>
      </c>
      <c r="L122">
        <f t="shared" ca="1" si="33"/>
        <v>89.070107509148585</v>
      </c>
      <c r="M122">
        <f t="shared" ca="1" si="22"/>
        <v>-1.8799999999999955</v>
      </c>
      <c r="N122">
        <f t="shared" ca="1" si="23"/>
        <v>0</v>
      </c>
      <c r="O122">
        <f t="shared" ca="1" si="24"/>
        <v>1.8799999999999955</v>
      </c>
      <c r="P122">
        <f t="shared" ca="1" si="28"/>
        <v>0.23134825101538753</v>
      </c>
      <c r="Q122">
        <f t="shared" ca="1" si="29"/>
        <v>0.44107495217707371</v>
      </c>
      <c r="R122">
        <f t="shared" ca="1" si="26"/>
        <v>0.52451006313890747</v>
      </c>
      <c r="S122">
        <f t="shared" ca="1" si="27"/>
        <v>34.405155847837534</v>
      </c>
      <c r="T122">
        <f>70</f>
        <v>70</v>
      </c>
      <c r="U122">
        <f>30</f>
        <v>30</v>
      </c>
      <c r="V122">
        <f t="shared" ca="1" si="25"/>
        <v>91.019643137953082</v>
      </c>
      <c r="W122">
        <f t="shared" ca="1" si="35"/>
        <v>92.073803039075329</v>
      </c>
      <c r="X122">
        <f t="shared" ca="1" si="34"/>
        <v>-1.0837378225852348</v>
      </c>
      <c r="Y122">
        <f t="shared" ca="1" si="36"/>
        <v>-0.92908956926304898</v>
      </c>
      <c r="Z122">
        <f t="shared" ca="1" si="37"/>
        <v>-0.15464825332218579</v>
      </c>
      <c r="AA122">
        <f t="shared" ca="1" si="38"/>
        <v>91.253500000000017</v>
      </c>
    </row>
    <row r="123" spans="1:27" x14ac:dyDescent="0.25">
      <c r="A123" vm="356">
        <f ca="1"/>
        <v>45469</v>
      </c>
      <c r="B123" vm="50">
        <f ca="1"/>
        <v>89.67</v>
      </c>
      <c r="C123" vm="357">
        <f ca="1"/>
        <v>1838729</v>
      </c>
      <c r="D123">
        <f t="shared" ca="1" si="19"/>
        <v>164878829.43000001</v>
      </c>
      <c r="E123">
        <f ca="1">SUM($D$2:D123)/SUM($C$2:C123)</f>
        <v>91.415774041917686</v>
      </c>
      <c r="F123">
        <f ca="1">_xlfn.STDEV.P($B$2:B123)</f>
        <v>2.8694752075848942</v>
      </c>
      <c r="G123">
        <f t="shared" ca="1" si="20"/>
        <v>94.285249249502584</v>
      </c>
      <c r="H123">
        <f t="shared" ca="1" si="21"/>
        <v>88.546298834332788</v>
      </c>
      <c r="I123">
        <f t="shared" ca="1" si="30"/>
        <v>91.567000000000007</v>
      </c>
      <c r="J123">
        <f t="shared" ca="1" si="31"/>
        <v>1.366648224094646</v>
      </c>
      <c r="K123">
        <f t="shared" ca="1" si="32"/>
        <v>94.3002964481893</v>
      </c>
      <c r="L123">
        <f t="shared" ca="1" si="33"/>
        <v>88.833703551810714</v>
      </c>
      <c r="M123">
        <f t="shared" ca="1" si="22"/>
        <v>0.28000000000000114</v>
      </c>
      <c r="N123">
        <f t="shared" ca="1" si="23"/>
        <v>0.28000000000000114</v>
      </c>
      <c r="O123">
        <f t="shared" ca="1" si="24"/>
        <v>0</v>
      </c>
      <c r="P123">
        <f t="shared" ca="1" si="28"/>
        <v>0.23482337594285993</v>
      </c>
      <c r="Q123">
        <f t="shared" ca="1" si="29"/>
        <v>0.4095695984501399</v>
      </c>
      <c r="R123">
        <f t="shared" ca="1" si="26"/>
        <v>0.5733418125550811</v>
      </c>
      <c r="S123">
        <f t="shared" ca="1" si="27"/>
        <v>36.441020506788888</v>
      </c>
      <c r="T123">
        <f>70</f>
        <v>70</v>
      </c>
      <c r="U123">
        <f>30</f>
        <v>30</v>
      </c>
      <c r="V123">
        <f t="shared" ca="1" si="25"/>
        <v>90.812005732114145</v>
      </c>
      <c r="W123">
        <f t="shared" ca="1" si="35"/>
        <v>91.895743554699379</v>
      </c>
      <c r="X123">
        <f t="shared" ca="1" si="34"/>
        <v>-1.0937633984028423</v>
      </c>
      <c r="Y123">
        <f t="shared" ca="1" si="36"/>
        <v>-0.96202433509100771</v>
      </c>
      <c r="Z123">
        <f t="shared" ca="1" si="37"/>
        <v>-0.1317390633118346</v>
      </c>
      <c r="AA123">
        <f t="shared" ca="1" si="38"/>
        <v>91.222400000000022</v>
      </c>
    </row>
    <row r="124" spans="1:27" x14ac:dyDescent="0.25">
      <c r="A124" vm="358">
        <f ca="1"/>
        <v>45470</v>
      </c>
      <c r="B124" vm="359">
        <f ca="1"/>
        <v>89.68</v>
      </c>
      <c r="C124" vm="360">
        <f ca="1"/>
        <v>1258140</v>
      </c>
      <c r="D124">
        <f t="shared" ca="1" si="19"/>
        <v>112829995.2</v>
      </c>
      <c r="E124">
        <f ca="1">SUM($D$2:D124)/SUM($C$2:C124)</f>
        <v>91.406562920723218</v>
      </c>
      <c r="F124">
        <f ca="1">_xlfn.STDEV.P($B$2:B124)</f>
        <v>2.8612360054034736</v>
      </c>
      <c r="G124">
        <f t="shared" ca="1" si="20"/>
        <v>94.267798926126687</v>
      </c>
      <c r="H124">
        <f t="shared" ca="1" si="21"/>
        <v>88.545326915319748</v>
      </c>
      <c r="I124">
        <f t="shared" ca="1" si="30"/>
        <v>91.455500000000015</v>
      </c>
      <c r="J124">
        <f t="shared" ca="1" si="31"/>
        <v>1.4268348298170126</v>
      </c>
      <c r="K124">
        <f t="shared" ca="1" si="32"/>
        <v>94.309169659634037</v>
      </c>
      <c r="L124">
        <f t="shared" ca="1" si="33"/>
        <v>88.601830340365993</v>
      </c>
      <c r="M124">
        <f t="shared" ca="1" si="22"/>
        <v>1.0000000000005116E-2</v>
      </c>
      <c r="N124">
        <f t="shared" ca="1" si="23"/>
        <v>1.0000000000005116E-2</v>
      </c>
      <c r="O124">
        <f t="shared" ca="1" si="24"/>
        <v>0</v>
      </c>
      <c r="P124">
        <f t="shared" ca="1" si="28"/>
        <v>0.21876456337551314</v>
      </c>
      <c r="Q124">
        <f t="shared" ca="1" si="29"/>
        <v>0.38031462713227276</v>
      </c>
      <c r="R124">
        <f t="shared" ca="1" si="26"/>
        <v>0.57521995676339632</v>
      </c>
      <c r="S124">
        <f t="shared" ca="1" si="27"/>
        <v>36.516802259495265</v>
      </c>
      <c r="T124">
        <f>70</f>
        <v>70</v>
      </c>
      <c r="U124">
        <f>30</f>
        <v>30</v>
      </c>
      <c r="V124">
        <f t="shared" ca="1" si="25"/>
        <v>90.637851004096589</v>
      </c>
      <c r="W124">
        <f t="shared" ca="1" si="35"/>
        <v>91.731614402499432</v>
      </c>
      <c r="X124">
        <f t="shared" ca="1" si="34"/>
        <v>-1.1098943948593387</v>
      </c>
      <c r="Y124">
        <f t="shared" ca="1" si="36"/>
        <v>-0.99159834704467398</v>
      </c>
      <c r="Z124">
        <f t="shared" ca="1" si="37"/>
        <v>-0.11829604781466474</v>
      </c>
      <c r="AA124">
        <f t="shared" ca="1" si="38"/>
        <v>91.208200000000033</v>
      </c>
    </row>
    <row r="125" spans="1:27" x14ac:dyDescent="0.25">
      <c r="A125" vm="361">
        <f ca="1"/>
        <v>45471</v>
      </c>
      <c r="B125" vm="362">
        <f ca="1"/>
        <v>89.42</v>
      </c>
      <c r="C125" vm="363">
        <f ca="1"/>
        <v>2647348</v>
      </c>
      <c r="D125">
        <f t="shared" ca="1" si="19"/>
        <v>236725858.16</v>
      </c>
      <c r="E125">
        <f ca="1">SUM($D$2:D125)/SUM($C$2:C125)</f>
        <v>91.384625720623177</v>
      </c>
      <c r="F125">
        <f ca="1">_xlfn.STDEV.P($B$2:B125)</f>
        <v>2.8542765655309266</v>
      </c>
      <c r="G125">
        <f t="shared" ca="1" si="20"/>
        <v>94.238902286154101</v>
      </c>
      <c r="H125">
        <f t="shared" ca="1" si="21"/>
        <v>88.530349155092253</v>
      </c>
      <c r="I125">
        <f t="shared" ca="1" si="30"/>
        <v>91.304000000000016</v>
      </c>
      <c r="J125">
        <f t="shared" ca="1" si="31"/>
        <v>1.4757064320806514</v>
      </c>
      <c r="K125">
        <f t="shared" ca="1" si="32"/>
        <v>94.255412864161315</v>
      </c>
      <c r="L125">
        <f t="shared" ca="1" si="33"/>
        <v>88.352587135838718</v>
      </c>
      <c r="M125">
        <f t="shared" ca="1" si="22"/>
        <v>-0.26000000000000512</v>
      </c>
      <c r="N125">
        <f t="shared" ca="1" si="23"/>
        <v>0</v>
      </c>
      <c r="O125">
        <f t="shared" ca="1" si="24"/>
        <v>0.26000000000000512</v>
      </c>
      <c r="P125">
        <f t="shared" ca="1" si="28"/>
        <v>0.20313852313440509</v>
      </c>
      <c r="Q125">
        <f t="shared" ca="1" si="29"/>
        <v>0.37172072519425364</v>
      </c>
      <c r="R125">
        <f t="shared" ca="1" si="26"/>
        <v>0.54648156362077749</v>
      </c>
      <c r="S125">
        <f t="shared" ca="1" si="27"/>
        <v>35.337088813480591</v>
      </c>
      <c r="T125">
        <f>70</f>
        <v>70</v>
      </c>
      <c r="U125">
        <f>30</f>
        <v>30</v>
      </c>
      <c r="V125">
        <f t="shared" ca="1" si="25"/>
        <v>90.450489311158648</v>
      </c>
      <c r="W125">
        <f t="shared" ca="1" si="35"/>
        <v>91.560383706017987</v>
      </c>
      <c r="X125">
        <f t="shared" ca="1" si="34"/>
        <v>-1.1585452394351137</v>
      </c>
      <c r="Y125">
        <f t="shared" ca="1" si="36"/>
        <v>-1.024987725522762</v>
      </c>
      <c r="Z125">
        <f t="shared" ca="1" si="37"/>
        <v>-0.13355751391235171</v>
      </c>
      <c r="AA125">
        <f t="shared" ca="1" si="38"/>
        <v>91.205700000000036</v>
      </c>
    </row>
    <row r="126" spans="1:27" x14ac:dyDescent="0.25">
      <c r="A126" vm="364">
        <f ca="1"/>
        <v>45474</v>
      </c>
      <c r="B126" vm="365">
        <f ca="1"/>
        <v>88.81</v>
      </c>
      <c r="C126" vm="366">
        <f ca="1"/>
        <v>1145188</v>
      </c>
      <c r="D126">
        <f t="shared" ca="1" si="19"/>
        <v>101704146.28</v>
      </c>
      <c r="E126">
        <f ca="1">SUM($D$2:D126)/SUM($C$2:C126)</f>
        <v>91.372385504253103</v>
      </c>
      <c r="F126">
        <f ca="1">_xlfn.STDEV.P($B$2:B126)</f>
        <v>2.8509097225973328</v>
      </c>
      <c r="G126">
        <f t="shared" ca="1" si="20"/>
        <v>94.223295226850439</v>
      </c>
      <c r="H126">
        <f t="shared" ca="1" si="21"/>
        <v>88.521475781655766</v>
      </c>
      <c r="I126">
        <f t="shared" ca="1" si="30"/>
        <v>91.01700000000001</v>
      </c>
      <c r="J126">
        <f t="shared" ca="1" si="31"/>
        <v>1.365218702356203</v>
      </c>
      <c r="K126">
        <f t="shared" ca="1" si="32"/>
        <v>93.747437404712414</v>
      </c>
      <c r="L126">
        <f t="shared" ca="1" si="33"/>
        <v>88.286562595287606</v>
      </c>
      <c r="M126">
        <f t="shared" ca="1" si="22"/>
        <v>-0.60999999999999943</v>
      </c>
      <c r="N126">
        <f t="shared" ca="1" si="23"/>
        <v>0</v>
      </c>
      <c r="O126">
        <f t="shared" ca="1" si="24"/>
        <v>0.60999999999999943</v>
      </c>
      <c r="P126">
        <f t="shared" ca="1" si="28"/>
        <v>0.18862862862480473</v>
      </c>
      <c r="Q126">
        <f t="shared" ca="1" si="29"/>
        <v>0.38874067339466406</v>
      </c>
      <c r="R126">
        <f t="shared" ca="1" si="26"/>
        <v>0.48522997858086719</v>
      </c>
      <c r="S126">
        <f t="shared" ca="1" si="27"/>
        <v>32.670359848547022</v>
      </c>
      <c r="T126">
        <f>70</f>
        <v>70</v>
      </c>
      <c r="U126">
        <f>30</f>
        <v>30</v>
      </c>
      <c r="V126">
        <f t="shared" ca="1" si="25"/>
        <v>90.198106340211169</v>
      </c>
      <c r="W126">
        <f t="shared" ca="1" si="35"/>
        <v>91.356651579646282</v>
      </c>
      <c r="X126">
        <f t="shared" ca="1" si="34"/>
        <v>-1.1706956704909288</v>
      </c>
      <c r="Y126">
        <f t="shared" ca="1" si="36"/>
        <v>-1.0541293145163952</v>
      </c>
      <c r="Z126">
        <f t="shared" ca="1" si="37"/>
        <v>-0.11656635597453358</v>
      </c>
      <c r="AA126">
        <f t="shared" ca="1" si="38"/>
        <v>91.19610000000003</v>
      </c>
    </row>
    <row r="127" spans="1:27" x14ac:dyDescent="0.25">
      <c r="A127" vm="367">
        <f ca="1"/>
        <v>45475</v>
      </c>
      <c r="B127" vm="368">
        <f ca="1"/>
        <v>88.97</v>
      </c>
      <c r="C127" vm="369">
        <f ca="1"/>
        <v>1128198</v>
      </c>
      <c r="D127">
        <f t="shared" ca="1" si="19"/>
        <v>100375776.06</v>
      </c>
      <c r="E127">
        <f ca="1">SUM($D$2:D127)/SUM($C$2:C127)</f>
        <v>91.361186049061743</v>
      </c>
      <c r="F127">
        <f ca="1">_xlfn.STDEV.P($B$2:B127)</f>
        <v>2.8464443049892783</v>
      </c>
      <c r="G127">
        <f t="shared" ca="1" si="20"/>
        <v>94.20763035405102</v>
      </c>
      <c r="H127">
        <f t="shared" ca="1" si="21"/>
        <v>88.514741744072467</v>
      </c>
      <c r="I127">
        <f t="shared" ca="1" si="30"/>
        <v>90.781500000000008</v>
      </c>
      <c r="J127">
        <f t="shared" ca="1" si="31"/>
        <v>1.2855892566609681</v>
      </c>
      <c r="K127">
        <f t="shared" ca="1" si="32"/>
        <v>93.352678513321948</v>
      </c>
      <c r="L127">
        <f t="shared" ca="1" si="33"/>
        <v>88.210321486678069</v>
      </c>
      <c r="M127">
        <f t="shared" ca="1" si="22"/>
        <v>0.15999999999999659</v>
      </c>
      <c r="N127">
        <f t="shared" ca="1" si="23"/>
        <v>0.15999999999999659</v>
      </c>
      <c r="O127">
        <f t="shared" ca="1" si="24"/>
        <v>0</v>
      </c>
      <c r="P127">
        <f t="shared" ca="1" si="28"/>
        <v>0.18658372658017558</v>
      </c>
      <c r="Q127">
        <f t="shared" ca="1" si="29"/>
        <v>0.36097348243790234</v>
      </c>
      <c r="R127">
        <f t="shared" ca="1" si="26"/>
        <v>0.51689039682374249</v>
      </c>
      <c r="S127">
        <f t="shared" ca="1" si="27"/>
        <v>34.075658854856826</v>
      </c>
      <c r="T127">
        <f>70</f>
        <v>70</v>
      </c>
      <c r="U127">
        <f>30</f>
        <v>30</v>
      </c>
      <c r="V127">
        <f t="shared" ca="1" si="25"/>
        <v>90.009166903255618</v>
      </c>
      <c r="W127">
        <f t="shared" ca="1" si="35"/>
        <v>91.179862573746547</v>
      </c>
      <c r="X127">
        <f t="shared" ca="1" si="34"/>
        <v>-1.1876147185205355</v>
      </c>
      <c r="Y127">
        <f t="shared" ca="1" si="36"/>
        <v>-1.0808263953172235</v>
      </c>
      <c r="Z127">
        <f t="shared" ca="1" si="37"/>
        <v>-0.106788323203312</v>
      </c>
      <c r="AA127">
        <f t="shared" ca="1" si="38"/>
        <v>91.191100000000006</v>
      </c>
    </row>
    <row r="128" spans="1:27" x14ac:dyDescent="0.25">
      <c r="A128" vm="370">
        <f ca="1"/>
        <v>45476</v>
      </c>
      <c r="B128" vm="371">
        <f ca="1"/>
        <v>88.71</v>
      </c>
      <c r="C128" vm="372">
        <f ca="1"/>
        <v>922354</v>
      </c>
      <c r="D128">
        <f t="shared" ca="1" si="19"/>
        <v>81822023.339999989</v>
      </c>
      <c r="E128">
        <f ca="1">SUM($D$2:D128)/SUM($C$2:C128)</f>
        <v>91.351120101619614</v>
      </c>
      <c r="F128">
        <f ca="1">_xlfn.STDEV.P($B$2:B128)</f>
        <v>2.8436067086357464</v>
      </c>
      <c r="G128">
        <f t="shared" ca="1" si="20"/>
        <v>94.194726810255361</v>
      </c>
      <c r="H128">
        <f t="shared" ca="1" si="21"/>
        <v>88.507513392983867</v>
      </c>
      <c r="I128">
        <f t="shared" ca="1" si="30"/>
        <v>90.53100000000002</v>
      </c>
      <c r="J128">
        <f t="shared" ca="1" si="31"/>
        <v>1.1653637335952001</v>
      </c>
      <c r="K128">
        <f t="shared" ca="1" si="32"/>
        <v>92.86172746719042</v>
      </c>
      <c r="L128">
        <f t="shared" ca="1" si="33"/>
        <v>88.20027253280962</v>
      </c>
      <c r="M128">
        <f t="shared" ca="1" si="22"/>
        <v>-0.26000000000000512</v>
      </c>
      <c r="N128">
        <f t="shared" ca="1" si="23"/>
        <v>0</v>
      </c>
      <c r="O128">
        <f t="shared" ca="1" si="24"/>
        <v>0.26000000000000512</v>
      </c>
      <c r="P128">
        <f t="shared" ca="1" si="28"/>
        <v>0.17325631753873447</v>
      </c>
      <c r="Q128">
        <f t="shared" ca="1" si="29"/>
        <v>0.35376109083519541</v>
      </c>
      <c r="R128">
        <f t="shared" ca="1" si="26"/>
        <v>0.48975515404956832</v>
      </c>
      <c r="S128">
        <f t="shared" ca="1" si="27"/>
        <v>32.874875627600801</v>
      </c>
      <c r="T128">
        <f>70</f>
        <v>70</v>
      </c>
      <c r="U128">
        <f>30</f>
        <v>30</v>
      </c>
      <c r="V128">
        <f t="shared" ca="1" si="25"/>
        <v>89.809295071985531</v>
      </c>
      <c r="W128">
        <f t="shared" ca="1" si="35"/>
        <v>90.996909790506066</v>
      </c>
      <c r="X128">
        <f t="shared" ca="1" si="34"/>
        <v>-1.1426639473925064</v>
      </c>
      <c r="Y128">
        <f t="shared" ca="1" si="36"/>
        <v>-1.0931939057322801</v>
      </c>
      <c r="Z128">
        <f t="shared" ca="1" si="37"/>
        <v>-4.9470041660226283E-2</v>
      </c>
      <c r="AA128">
        <f t="shared" ca="1" si="38"/>
        <v>91.191499999999991</v>
      </c>
    </row>
    <row r="129" spans="1:27" x14ac:dyDescent="0.25">
      <c r="A129" vm="373">
        <f ca="1"/>
        <v>45478</v>
      </c>
      <c r="B129" vm="374">
        <f ca="1"/>
        <v>89.27</v>
      </c>
      <c r="C129" vm="375">
        <f ca="1"/>
        <v>1551140</v>
      </c>
      <c r="D129">
        <f t="shared" ca="1" si="19"/>
        <v>138470267.79999998</v>
      </c>
      <c r="E129">
        <f ca="1">SUM($D$2:D129)/SUM($C$2:C129)</f>
        <v>91.3379162462153</v>
      </c>
      <c r="F129">
        <f ca="1">_xlfn.STDEV.P($B$2:B129)</f>
        <v>2.8373622787595756</v>
      </c>
      <c r="G129">
        <f t="shared" ca="1" si="20"/>
        <v>94.175278524974871</v>
      </c>
      <c r="H129">
        <f t="shared" ca="1" si="21"/>
        <v>88.50055396745573</v>
      </c>
      <c r="I129">
        <f t="shared" ca="1" si="30"/>
        <v>90.364500000000007</v>
      </c>
      <c r="J129">
        <f t="shared" ca="1" si="31"/>
        <v>1.0896231845048661</v>
      </c>
      <c r="K129">
        <f t="shared" ca="1" si="32"/>
        <v>92.543746369009739</v>
      </c>
      <c r="L129">
        <f t="shared" ca="1" si="33"/>
        <v>88.185253630990275</v>
      </c>
      <c r="M129">
        <f t="shared" ca="1" si="22"/>
        <v>0.56000000000000227</v>
      </c>
      <c r="N129">
        <f t="shared" ca="1" si="23"/>
        <v>0.56000000000000227</v>
      </c>
      <c r="O129">
        <f t="shared" ca="1" si="24"/>
        <v>0</v>
      </c>
      <c r="P129">
        <f t="shared" ca="1" si="28"/>
        <v>0.20088086628596788</v>
      </c>
      <c r="Q129">
        <f t="shared" ca="1" si="29"/>
        <v>0.32849244148982432</v>
      </c>
      <c r="R129">
        <f t="shared" ca="1" si="26"/>
        <v>0.61152355705630612</v>
      </c>
      <c r="S129">
        <f t="shared" ca="1" si="27"/>
        <v>37.946920129008056</v>
      </c>
      <c r="T129">
        <f>70</f>
        <v>70</v>
      </c>
      <c r="U129">
        <f>30</f>
        <v>30</v>
      </c>
      <c r="V129">
        <f t="shared" ca="1" si="25"/>
        <v>89.726326599372371</v>
      </c>
      <c r="W129">
        <f t="shared" ca="1" si="35"/>
        <v>90.868990546764877</v>
      </c>
      <c r="X129">
        <f t="shared" ca="1" si="34"/>
        <v>-1.1622305632050995</v>
      </c>
      <c r="Y129">
        <f t="shared" ca="1" si="36"/>
        <v>-1.1070012372268441</v>
      </c>
      <c r="Z129">
        <f t="shared" ca="1" si="37"/>
        <v>-5.5229325978255472E-2</v>
      </c>
      <c r="AA129">
        <f t="shared" ca="1" si="38"/>
        <v>91.193600000000004</v>
      </c>
    </row>
    <row r="130" spans="1:27" x14ac:dyDescent="0.25">
      <c r="A130" vm="376">
        <f ca="1"/>
        <v>45481</v>
      </c>
      <c r="B130" vm="377">
        <f ca="1"/>
        <v>88.42</v>
      </c>
      <c r="C130" vm="378">
        <f ca="1"/>
        <v>1169376</v>
      </c>
      <c r="D130">
        <f t="shared" ca="1" si="19"/>
        <v>103396225.92</v>
      </c>
      <c r="E130">
        <f ca="1">SUM($D$2:D130)/SUM($C$2:C130)</f>
        <v>91.324026084326846</v>
      </c>
      <c r="F130">
        <f ca="1">_xlfn.STDEV.P($B$2:B130)</f>
        <v>2.8364337547217962</v>
      </c>
      <c r="G130">
        <f t="shared" ca="1" si="20"/>
        <v>94.160459839048642</v>
      </c>
      <c r="H130">
        <f t="shared" ca="1" si="21"/>
        <v>88.48759232960505</v>
      </c>
      <c r="I130">
        <f t="shared" ca="1" si="30"/>
        <v>90.191000000000003</v>
      </c>
      <c r="J130">
        <f t="shared" ca="1" si="31"/>
        <v>1.1100066381973148</v>
      </c>
      <c r="K130">
        <f t="shared" ca="1" si="32"/>
        <v>92.411013276394627</v>
      </c>
      <c r="L130">
        <f t="shared" ca="1" si="33"/>
        <v>87.970986723605378</v>
      </c>
      <c r="M130">
        <f t="shared" ca="1" si="22"/>
        <v>-0.84999999999999432</v>
      </c>
      <c r="N130">
        <f t="shared" ca="1" si="23"/>
        <v>0</v>
      </c>
      <c r="O130">
        <f t="shared" ca="1" si="24"/>
        <v>0.84999999999999432</v>
      </c>
      <c r="P130">
        <f t="shared" ca="1" si="28"/>
        <v>0.18653223297982732</v>
      </c>
      <c r="Q130">
        <f t="shared" ca="1" si="29"/>
        <v>0.36574298138340788</v>
      </c>
      <c r="R130">
        <f t="shared" ca="1" si="26"/>
        <v>0.51000905683624265</v>
      </c>
      <c r="S130">
        <f t="shared" ca="1" si="27"/>
        <v>33.775231646941833</v>
      </c>
      <c r="T130">
        <f>70</f>
        <v>70</v>
      </c>
      <c r="U130">
        <f>30</f>
        <v>30</v>
      </c>
      <c r="V130">
        <f t="shared" ca="1" si="25"/>
        <v>89.525353276392011</v>
      </c>
      <c r="W130">
        <f t="shared" ca="1" si="35"/>
        <v>90.68758383959711</v>
      </c>
      <c r="X130">
        <f t="shared" ca="1" si="34"/>
        <v>-1.1300137458137698</v>
      </c>
      <c r="Y130">
        <f t="shared" ca="1" si="36"/>
        <v>-1.1116037389442293</v>
      </c>
      <c r="Z130">
        <f t="shared" ca="1" si="37"/>
        <v>-1.8410006869540529E-2</v>
      </c>
      <c r="AA130">
        <f t="shared" ca="1" si="38"/>
        <v>91.183300000000003</v>
      </c>
    </row>
    <row r="131" spans="1:27" x14ac:dyDescent="0.25">
      <c r="A131" vm="379">
        <f ca="1"/>
        <v>45482</v>
      </c>
      <c r="B131" vm="380">
        <f ca="1"/>
        <v>88.85</v>
      </c>
      <c r="C131" vm="381">
        <f ca="1"/>
        <v>1589236</v>
      </c>
      <c r="D131">
        <f t="shared" ref="D131:D194" ca="1" si="39">B131*C131</f>
        <v>141203618.59999999</v>
      </c>
      <c r="E131">
        <f ca="1">SUM($D$2:D131)/SUM($C$2:C131)</f>
        <v>91.308123329187694</v>
      </c>
      <c r="F131">
        <f ca="1">_xlfn.STDEV.P($B$2:B131)</f>
        <v>2.8324821531527777</v>
      </c>
      <c r="G131">
        <f t="shared" ref="G131:G194" ca="1" si="40">E131 + F131</f>
        <v>94.140605482340476</v>
      </c>
      <c r="H131">
        <f t="shared" ref="H131:H194" ca="1" si="41">E131 - F131</f>
        <v>88.475641176034912</v>
      </c>
      <c r="I131">
        <f t="shared" ca="1" si="30"/>
        <v>90.053000000000011</v>
      </c>
      <c r="J131">
        <f t="shared" ca="1" si="31"/>
        <v>1.095781864577454</v>
      </c>
      <c r="K131">
        <f t="shared" ca="1" si="32"/>
        <v>92.244563729154919</v>
      </c>
      <c r="L131">
        <f t="shared" ca="1" si="33"/>
        <v>87.861436270845104</v>
      </c>
      <c r="M131">
        <f t="shared" ca="1" si="22"/>
        <v>0.42999999999999261</v>
      </c>
      <c r="N131">
        <f t="shared" ca="1" si="23"/>
        <v>0.42999999999999261</v>
      </c>
      <c r="O131">
        <f t="shared" ca="1" si="24"/>
        <v>0</v>
      </c>
      <c r="P131">
        <f t="shared" ca="1" si="28"/>
        <v>0.203922787766982</v>
      </c>
      <c r="Q131">
        <f t="shared" ca="1" si="29"/>
        <v>0.33961848271316442</v>
      </c>
      <c r="R131">
        <f t="shared" ca="1" si="26"/>
        <v>0.60044667221251169</v>
      </c>
      <c r="S131">
        <f t="shared" ca="1" si="27"/>
        <v>37.517443263663004</v>
      </c>
      <c r="T131">
        <f>70</f>
        <v>70</v>
      </c>
      <c r="U131">
        <f>30</f>
        <v>30</v>
      </c>
      <c r="V131">
        <f t="shared" ca="1" si="25"/>
        <v>89.421452772331691</v>
      </c>
      <c r="W131">
        <f t="shared" ca="1" si="35"/>
        <v>90.55146651814546</v>
      </c>
      <c r="X131">
        <f t="shared" ca="1" si="34"/>
        <v>-1.0105274786745468</v>
      </c>
      <c r="Y131">
        <f t="shared" ca="1" si="36"/>
        <v>-1.0913884868902928</v>
      </c>
      <c r="Z131">
        <f t="shared" ca="1" si="37"/>
        <v>8.0861008215745933E-2</v>
      </c>
      <c r="AA131">
        <f t="shared" ca="1" si="38"/>
        <v>91.205100000000002</v>
      </c>
    </row>
    <row r="132" spans="1:27" x14ac:dyDescent="0.25">
      <c r="A132" vm="382">
        <f ca="1"/>
        <v>45483</v>
      </c>
      <c r="B132" vm="383">
        <f ca="1"/>
        <v>89.87</v>
      </c>
      <c r="C132" vm="384">
        <f ca="1"/>
        <v>1188425</v>
      </c>
      <c r="D132">
        <f t="shared" ca="1" si="39"/>
        <v>106803754.75</v>
      </c>
      <c r="E132">
        <f ca="1">SUM($D$2:D132)/SUM($C$2:C132)</f>
        <v>91.301243699364747</v>
      </c>
      <c r="F132">
        <f ca="1">_xlfn.STDEV.P($B$2:B132)</f>
        <v>2.8237034702326205</v>
      </c>
      <c r="G132">
        <f t="shared" ca="1" si="40"/>
        <v>94.124947169597363</v>
      </c>
      <c r="H132">
        <f t="shared" ca="1" si="41"/>
        <v>88.477540229132131</v>
      </c>
      <c r="I132">
        <f t="shared" ca="1" si="30"/>
        <v>89.930500000000009</v>
      </c>
      <c r="J132">
        <f t="shared" ca="1" si="31"/>
        <v>0.95719147839697727</v>
      </c>
      <c r="K132">
        <f t="shared" ca="1" si="32"/>
        <v>91.844882956793967</v>
      </c>
      <c r="L132">
        <f t="shared" ca="1" si="33"/>
        <v>88.016117043206052</v>
      </c>
      <c r="M132">
        <f t="shared" ref="M132:M195" ca="1" si="42">B132-B131</f>
        <v>1.0200000000000102</v>
      </c>
      <c r="N132">
        <f t="shared" ref="N132:N195" ca="1" si="43">MAX(M132,0)</f>
        <v>1.0200000000000102</v>
      </c>
      <c r="O132">
        <f t="shared" ref="O132:O195" ca="1" si="44">MAX(-M132,0)</f>
        <v>0</v>
      </c>
      <c r="P132">
        <f t="shared" ca="1" si="28"/>
        <v>0.26221401721219834</v>
      </c>
      <c r="Q132">
        <f t="shared" ca="1" si="29"/>
        <v>0.3153600196622241</v>
      </c>
      <c r="R132">
        <f t="shared" ca="1" si="26"/>
        <v>0.83147514226137664</v>
      </c>
      <c r="S132">
        <f t="shared" ca="1" si="27"/>
        <v>45.39920433944463</v>
      </c>
      <c r="T132">
        <f>70</f>
        <v>70</v>
      </c>
      <c r="U132">
        <f>30</f>
        <v>30</v>
      </c>
      <c r="V132">
        <f t="shared" ca="1" si="25"/>
        <v>89.490460038126812</v>
      </c>
      <c r="W132">
        <f t="shared" ca="1" si="35"/>
        <v>90.500987516801359</v>
      </c>
      <c r="X132">
        <f t="shared" ca="1" si="34"/>
        <v>-0.77855929241248134</v>
      </c>
      <c r="Y132">
        <f t="shared" ca="1" si="36"/>
        <v>-1.0288226479947307</v>
      </c>
      <c r="Z132">
        <f t="shared" ca="1" si="37"/>
        <v>0.25026335558224932</v>
      </c>
      <c r="AA132">
        <f t="shared" ca="1" si="38"/>
        <v>91.235400000000027</v>
      </c>
    </row>
    <row r="133" spans="1:27" x14ac:dyDescent="0.25">
      <c r="A133" vm="385">
        <f ca="1"/>
        <v>45484</v>
      </c>
      <c r="B133" vm="386">
        <f ca="1"/>
        <v>91.46</v>
      </c>
      <c r="C133" vm="387">
        <f ca="1"/>
        <v>1345746</v>
      </c>
      <c r="D133">
        <f t="shared" ca="1" si="39"/>
        <v>123081929.16</v>
      </c>
      <c r="E133">
        <f ca="1">SUM($D$2:D133)/SUM($C$2:C133)</f>
        <v>91.302099051602696</v>
      </c>
      <c r="F133">
        <f ca="1">_xlfn.STDEV.P($B$2:B133)</f>
        <v>2.8131629093260337</v>
      </c>
      <c r="G133">
        <f t="shared" ca="1" si="40"/>
        <v>94.115261960928734</v>
      </c>
      <c r="H133">
        <f t="shared" ca="1" si="41"/>
        <v>88.488936142276657</v>
      </c>
      <c r="I133">
        <f t="shared" ca="1" si="30"/>
        <v>89.916000000000011</v>
      </c>
      <c r="J133">
        <f t="shared" ca="1" si="31"/>
        <v>0.92998811537397752</v>
      </c>
      <c r="K133">
        <f t="shared" ca="1" si="32"/>
        <v>91.775976230747972</v>
      </c>
      <c r="L133">
        <f t="shared" ca="1" si="33"/>
        <v>88.05602376925205</v>
      </c>
      <c r="M133">
        <f t="shared" ca="1" si="42"/>
        <v>1.5899999999999892</v>
      </c>
      <c r="N133">
        <f t="shared" ca="1" si="43"/>
        <v>1.5899999999999892</v>
      </c>
      <c r="O133">
        <f t="shared" ca="1" si="44"/>
        <v>0</v>
      </c>
      <c r="P133">
        <f t="shared" ca="1" si="28"/>
        <v>0.35705587312561199</v>
      </c>
      <c r="Q133">
        <f t="shared" ca="1" si="29"/>
        <v>0.29283430397206522</v>
      </c>
      <c r="R133">
        <f t="shared" ca="1" si="26"/>
        <v>1.2193102661895552</v>
      </c>
      <c r="S133">
        <f t="shared" ca="1" si="27"/>
        <v>54.940955519619607</v>
      </c>
      <c r="T133">
        <f>70</f>
        <v>70</v>
      </c>
      <c r="U133">
        <f>30</f>
        <v>30</v>
      </c>
      <c r="V133">
        <f t="shared" ca="1" si="25"/>
        <v>89.793466186107295</v>
      </c>
      <c r="W133">
        <f t="shared" ca="1" si="35"/>
        <v>90.572025478519777</v>
      </c>
      <c r="X133">
        <f t="shared" ca="1" si="34"/>
        <v>-0.52971174713692903</v>
      </c>
      <c r="Y133">
        <f t="shared" ca="1" si="36"/>
        <v>-0.92900046782317036</v>
      </c>
      <c r="Z133">
        <f t="shared" ca="1" si="37"/>
        <v>0.39928872068624133</v>
      </c>
      <c r="AA133">
        <f t="shared" ca="1" si="38"/>
        <v>91.267800000000008</v>
      </c>
    </row>
    <row r="134" spans="1:27" x14ac:dyDescent="0.25">
      <c r="A134" vm="388">
        <f ca="1"/>
        <v>45485</v>
      </c>
      <c r="B134" vm="389">
        <f ca="1"/>
        <v>92.19</v>
      </c>
      <c r="C134" vm="390">
        <f ca="1"/>
        <v>1222858</v>
      </c>
      <c r="D134">
        <f t="shared" ca="1" si="39"/>
        <v>112735279.02</v>
      </c>
      <c r="E134">
        <f ca="1">SUM($D$2:D134)/SUM($C$2:C134)</f>
        <v>91.306424891380999</v>
      </c>
      <c r="F134">
        <f ca="1">_xlfn.STDEV.P($B$2:B134)</f>
        <v>2.8041477984133194</v>
      </c>
      <c r="G134">
        <f t="shared" ca="1" si="40"/>
        <v>94.110572689794324</v>
      </c>
      <c r="H134">
        <f t="shared" ca="1" si="41"/>
        <v>88.502277092967674</v>
      </c>
      <c r="I134">
        <f t="shared" ca="1" si="30"/>
        <v>89.968499999999992</v>
      </c>
      <c r="J134">
        <f t="shared" ca="1" si="31"/>
        <v>1.0272716803568362</v>
      </c>
      <c r="K134">
        <f t="shared" ca="1" si="32"/>
        <v>92.023043360713658</v>
      </c>
      <c r="L134">
        <f t="shared" ca="1" si="33"/>
        <v>87.913956639286326</v>
      </c>
      <c r="M134">
        <f t="shared" ca="1" si="42"/>
        <v>0.73000000000000398</v>
      </c>
      <c r="N134">
        <f t="shared" ca="1" si="43"/>
        <v>0.73000000000000398</v>
      </c>
      <c r="O134">
        <f t="shared" ca="1" si="44"/>
        <v>0</v>
      </c>
      <c r="P134">
        <f t="shared" ca="1" si="28"/>
        <v>0.38369473933092568</v>
      </c>
      <c r="Q134">
        <f t="shared" ca="1" si="29"/>
        <v>0.27191756797406058</v>
      </c>
      <c r="R134">
        <f t="shared" ca="1" si="26"/>
        <v>1.4110700613780425</v>
      </c>
      <c r="S134">
        <f t="shared" ca="1" si="27"/>
        <v>58.524639494364102</v>
      </c>
      <c r="T134">
        <f>70</f>
        <v>70</v>
      </c>
      <c r="U134">
        <f>30</f>
        <v>30</v>
      </c>
      <c r="V134">
        <f t="shared" ca="1" si="25"/>
        <v>90.16216369593694</v>
      </c>
      <c r="W134">
        <f t="shared" ca="1" si="35"/>
        <v>90.691875443073869</v>
      </c>
      <c r="X134">
        <f t="shared" ca="1" si="34"/>
        <v>-0.48266923448927912</v>
      </c>
      <c r="Y134">
        <f t="shared" ca="1" si="36"/>
        <v>-0.83973422115639218</v>
      </c>
      <c r="Z134">
        <f t="shared" ca="1" si="37"/>
        <v>0.35706498666711306</v>
      </c>
      <c r="AA134">
        <f t="shared" ca="1" si="38"/>
        <v>91.316500000000019</v>
      </c>
    </row>
    <row r="135" spans="1:27" x14ac:dyDescent="0.25">
      <c r="A135" vm="391">
        <f ca="1"/>
        <v>45488</v>
      </c>
      <c r="B135" vm="392">
        <f ca="1"/>
        <v>90.26</v>
      </c>
      <c r="C135" vm="393">
        <f ca="1"/>
        <v>1490241</v>
      </c>
      <c r="D135">
        <f t="shared" ca="1" si="39"/>
        <v>134509152.66</v>
      </c>
      <c r="E135">
        <f ca="1">SUM($D$2:D135)/SUM($C$2:C135)</f>
        <v>91.300248660056994</v>
      </c>
      <c r="F135">
        <f ca="1">_xlfn.STDEV.P($B$2:B135)</f>
        <v>2.7946190498476606</v>
      </c>
      <c r="G135">
        <f t="shared" ca="1" si="40"/>
        <v>94.094867709904648</v>
      </c>
      <c r="H135">
        <f t="shared" ca="1" si="41"/>
        <v>88.50562961020934</v>
      </c>
      <c r="I135">
        <f t="shared" ca="1" si="30"/>
        <v>89.951000000000008</v>
      </c>
      <c r="J135">
        <f t="shared" ca="1" si="31"/>
        <v>1.0187138434010026</v>
      </c>
      <c r="K135">
        <f t="shared" ca="1" si="32"/>
        <v>91.988427686802012</v>
      </c>
      <c r="L135">
        <f t="shared" ca="1" si="33"/>
        <v>87.913572313198003</v>
      </c>
      <c r="M135">
        <f t="shared" ca="1" si="42"/>
        <v>-1.9299999999999926</v>
      </c>
      <c r="N135">
        <f t="shared" ca="1" si="43"/>
        <v>0</v>
      </c>
      <c r="O135">
        <f t="shared" ca="1" si="44"/>
        <v>1.9299999999999926</v>
      </c>
      <c r="P135">
        <f t="shared" ca="1" si="28"/>
        <v>0.35628797223585956</v>
      </c>
      <c r="Q135">
        <f t="shared" ca="1" si="29"/>
        <v>0.39035202740448433</v>
      </c>
      <c r="R135">
        <f t="shared" ca="1" si="26"/>
        <v>0.91273503715320159</v>
      </c>
      <c r="S135">
        <f t="shared" ca="1" si="27"/>
        <v>47.718843406123874</v>
      </c>
      <c r="T135">
        <f>70</f>
        <v>70</v>
      </c>
      <c r="U135">
        <f>30</f>
        <v>30</v>
      </c>
      <c r="V135">
        <f t="shared" ca="1" si="25"/>
        <v>90.17721543502357</v>
      </c>
      <c r="W135">
        <f t="shared" ca="1" si="35"/>
        <v>90.659884669512849</v>
      </c>
      <c r="X135">
        <f t="shared" ca="1" si="34"/>
        <v>-0.33740607803325418</v>
      </c>
      <c r="Y135">
        <f t="shared" ca="1" si="36"/>
        <v>-0.73926859253176469</v>
      </c>
      <c r="Z135">
        <f t="shared" ca="1" si="37"/>
        <v>0.40186251449851051</v>
      </c>
      <c r="AA135">
        <f t="shared" ca="1" si="38"/>
        <v>91.343300000000013</v>
      </c>
    </row>
    <row r="136" spans="1:27" x14ac:dyDescent="0.25">
      <c r="A136" vm="394">
        <f ca="1"/>
        <v>45489</v>
      </c>
      <c r="B136" vm="395">
        <f ca="1"/>
        <v>91.55</v>
      </c>
      <c r="C136" vm="396">
        <f ca="1"/>
        <v>1526591</v>
      </c>
      <c r="D136">
        <f t="shared" ca="1" si="39"/>
        <v>139759406.04999998</v>
      </c>
      <c r="E136">
        <f ca="1">SUM($D$2:D136)/SUM($C$2:C136)</f>
        <v>91.301749628594422</v>
      </c>
      <c r="F136">
        <f ca="1">_xlfn.STDEV.P($B$2:B136)</f>
        <v>2.7845142572509878</v>
      </c>
      <c r="G136">
        <f t="shared" ca="1" si="40"/>
        <v>94.086263885845412</v>
      </c>
      <c r="H136">
        <f t="shared" ca="1" si="41"/>
        <v>88.517235371343432</v>
      </c>
      <c r="I136">
        <f t="shared" ca="1" si="30"/>
        <v>89.985000000000014</v>
      </c>
      <c r="J136">
        <f t="shared" ca="1" si="31"/>
        <v>1.0614513400850838</v>
      </c>
      <c r="K136">
        <f t="shared" ca="1" si="32"/>
        <v>92.107902680170184</v>
      </c>
      <c r="L136">
        <f t="shared" ca="1" si="33"/>
        <v>87.862097319829843</v>
      </c>
      <c r="M136">
        <f t="shared" ca="1" si="42"/>
        <v>1.289999999999992</v>
      </c>
      <c r="N136">
        <f t="shared" ca="1" si="43"/>
        <v>1.289999999999992</v>
      </c>
      <c r="O136">
        <f t="shared" ca="1" si="44"/>
        <v>0</v>
      </c>
      <c r="P136">
        <f t="shared" ca="1" si="28"/>
        <v>0.42298168850472617</v>
      </c>
      <c r="Q136">
        <f t="shared" ca="1" si="29"/>
        <v>0.36246973973273544</v>
      </c>
      <c r="R136">
        <f t="shared" ca="1" si="26"/>
        <v>1.1669434497252344</v>
      </c>
      <c r="S136">
        <f t="shared" ca="1" si="27"/>
        <v>53.852049063541621</v>
      </c>
      <c r="T136">
        <f>70</f>
        <v>70</v>
      </c>
      <c r="U136">
        <f>30</f>
        <v>30</v>
      </c>
      <c r="V136">
        <f t="shared" ca="1" si="25"/>
        <v>90.388413060404559</v>
      </c>
      <c r="W136">
        <f t="shared" ca="1" si="35"/>
        <v>90.725819138437814</v>
      </c>
      <c r="X136">
        <f t="shared" ca="1" si="34"/>
        <v>-4.3454532912079458E-2</v>
      </c>
      <c r="Y136">
        <f t="shared" ca="1" si="36"/>
        <v>-0.60010578060782771</v>
      </c>
      <c r="Z136">
        <f t="shared" ca="1" si="37"/>
        <v>0.55665124769574825</v>
      </c>
      <c r="AA136">
        <f t="shared" ca="1" si="38"/>
        <v>91.372700000000023</v>
      </c>
    </row>
    <row r="137" spans="1:27" x14ac:dyDescent="0.25">
      <c r="A137" vm="397">
        <f ca="1"/>
        <v>45490</v>
      </c>
      <c r="B137" vm="398">
        <f ca="1"/>
        <v>93.76</v>
      </c>
      <c r="C137" vm="399">
        <f ca="1"/>
        <v>2039333</v>
      </c>
      <c r="D137">
        <f t="shared" ca="1" si="39"/>
        <v>191207862.08000001</v>
      </c>
      <c r="E137">
        <f ca="1">SUM($D$2:D137)/SUM($C$2:C137)</f>
        <v>91.321328270129584</v>
      </c>
      <c r="F137">
        <f ca="1">_xlfn.STDEV.P($B$2:B137)</f>
        <v>2.7835126444211191</v>
      </c>
      <c r="G137">
        <f t="shared" ca="1" si="40"/>
        <v>94.104840914550707</v>
      </c>
      <c r="H137">
        <f t="shared" ca="1" si="41"/>
        <v>88.537815625708461</v>
      </c>
      <c r="I137">
        <f t="shared" ca="1" si="30"/>
        <v>90.140500000000003</v>
      </c>
      <c r="J137">
        <f t="shared" ca="1" si="31"/>
        <v>1.3520295660111956</v>
      </c>
      <c r="K137">
        <f t="shared" ca="1" si="32"/>
        <v>92.844559132022397</v>
      </c>
      <c r="L137">
        <f t="shared" ca="1" si="33"/>
        <v>87.436440867977609</v>
      </c>
      <c r="M137">
        <f t="shared" ca="1" si="42"/>
        <v>2.210000000000008</v>
      </c>
      <c r="N137">
        <f t="shared" ca="1" si="43"/>
        <v>2.210000000000008</v>
      </c>
      <c r="O137">
        <f t="shared" ca="1" si="44"/>
        <v>0</v>
      </c>
      <c r="P137">
        <f t="shared" ca="1" si="28"/>
        <v>0.55062585361153205</v>
      </c>
      <c r="Q137">
        <f t="shared" ca="1" si="29"/>
        <v>0.33657904403754008</v>
      </c>
      <c r="R137">
        <f t="shared" ca="1" si="26"/>
        <v>1.6359481178813926</v>
      </c>
      <c r="S137">
        <f t="shared" ca="1" si="27"/>
        <v>62.062986247098962</v>
      </c>
      <c r="T137">
        <f>70</f>
        <v>70</v>
      </c>
      <c r="U137">
        <f>30</f>
        <v>30</v>
      </c>
      <c r="V137">
        <f t="shared" ca="1" si="25"/>
        <v>90.907118743419232</v>
      </c>
      <c r="W137">
        <f t="shared" ca="1" si="35"/>
        <v>90.950573276331312</v>
      </c>
      <c r="X137">
        <f t="shared" ca="1" si="34"/>
        <v>0.21526482047815421</v>
      </c>
      <c r="Y137">
        <f t="shared" ca="1" si="36"/>
        <v>-0.43703166039063135</v>
      </c>
      <c r="Z137">
        <f t="shared" ca="1" si="37"/>
        <v>0.65229648086878556</v>
      </c>
      <c r="AA137">
        <f t="shared" ca="1" si="38"/>
        <v>91.431200000000032</v>
      </c>
    </row>
    <row r="138" spans="1:27" x14ac:dyDescent="0.25">
      <c r="A138" vm="400">
        <f ca="1"/>
        <v>45491</v>
      </c>
      <c r="B138" vm="233">
        <f ca="1"/>
        <v>94.11</v>
      </c>
      <c r="C138" vm="401">
        <f ca="1"/>
        <v>2135657</v>
      </c>
      <c r="D138">
        <f t="shared" ca="1" si="39"/>
        <v>200986680.27000001</v>
      </c>
      <c r="E138">
        <f ca="1">SUM($D$2:D138)/SUM($C$2:C138)</f>
        <v>91.344395206486539</v>
      </c>
      <c r="F138">
        <f ca="1">_xlfn.STDEV.P($B$2:B138)</f>
        <v>2.7849515084402423</v>
      </c>
      <c r="G138">
        <f t="shared" ca="1" si="40"/>
        <v>94.129346714926783</v>
      </c>
      <c r="H138">
        <f t="shared" ca="1" si="41"/>
        <v>88.559443698046294</v>
      </c>
      <c r="I138">
        <f t="shared" ca="1" si="30"/>
        <v>90.326499999999982</v>
      </c>
      <c r="J138">
        <f t="shared" ca="1" si="31"/>
        <v>1.6179007678893174</v>
      </c>
      <c r="K138">
        <f t="shared" ca="1" si="32"/>
        <v>93.562301535778616</v>
      </c>
      <c r="L138">
        <f t="shared" ca="1" si="33"/>
        <v>87.090698464221347</v>
      </c>
      <c r="M138">
        <f t="shared" ca="1" si="42"/>
        <v>0.34999999999999432</v>
      </c>
      <c r="N138">
        <f t="shared" ca="1" si="43"/>
        <v>0.34999999999999432</v>
      </c>
      <c r="O138">
        <f t="shared" ca="1" si="44"/>
        <v>0</v>
      </c>
      <c r="P138">
        <f t="shared" ca="1" si="28"/>
        <v>0.53629543549642222</v>
      </c>
      <c r="Q138">
        <f t="shared" ca="1" si="29"/>
        <v>0.31253768374914437</v>
      </c>
      <c r="R138">
        <f t="shared" ca="1" si="26"/>
        <v>1.7159384720047872</v>
      </c>
      <c r="S138">
        <f t="shared" ca="1" si="27"/>
        <v>63.180314638650721</v>
      </c>
      <c r="T138">
        <f>70</f>
        <v>70</v>
      </c>
      <c r="U138">
        <f>30</f>
        <v>30</v>
      </c>
      <c r="V138">
        <f t="shared" ca="1" si="25"/>
        <v>91.399869705970119</v>
      </c>
      <c r="W138">
        <f t="shared" ca="1" si="35"/>
        <v>91.184604885491964</v>
      </c>
      <c r="X138">
        <f t="shared" ca="1" si="34"/>
        <v>0.40992796264453091</v>
      </c>
      <c r="Y138">
        <f t="shared" ca="1" si="36"/>
        <v>-0.2676397357835989</v>
      </c>
      <c r="Z138">
        <f t="shared" ca="1" si="37"/>
        <v>0.67756769842812981</v>
      </c>
      <c r="AA138">
        <f t="shared" ca="1" si="38"/>
        <v>91.493000000000052</v>
      </c>
    </row>
    <row r="139" spans="1:27" x14ac:dyDescent="0.25">
      <c r="A139" vm="402">
        <f ca="1"/>
        <v>45492</v>
      </c>
      <c r="B139" vm="403">
        <f ca="1"/>
        <v>94.04</v>
      </c>
      <c r="C139" vm="404">
        <f ca="1"/>
        <v>1809737</v>
      </c>
      <c r="D139">
        <f t="shared" ca="1" si="39"/>
        <v>170187667.48000002</v>
      </c>
      <c r="E139">
        <f ca="1">SUM($D$2:D139)/SUM($C$2:C139)</f>
        <v>91.363158073967995</v>
      </c>
      <c r="F139">
        <f ca="1">_xlfn.STDEV.P($B$2:B139)</f>
        <v>2.7856727883669201</v>
      </c>
      <c r="G139">
        <f t="shared" ca="1" si="40"/>
        <v>94.148830862334918</v>
      </c>
      <c r="H139">
        <f t="shared" ca="1" si="41"/>
        <v>88.577485285601071</v>
      </c>
      <c r="I139">
        <f t="shared" ca="1" si="30"/>
        <v>90.501999999999995</v>
      </c>
      <c r="J139">
        <f t="shared" ca="1" si="31"/>
        <v>1.8190095627768665</v>
      </c>
      <c r="K139">
        <f t="shared" ca="1" si="32"/>
        <v>94.140019125553735</v>
      </c>
      <c r="L139">
        <f t="shared" ca="1" si="33"/>
        <v>86.863980874446256</v>
      </c>
      <c r="M139">
        <f t="shared" ca="1" si="42"/>
        <v>-6.9999999999993179E-2</v>
      </c>
      <c r="N139">
        <f t="shared" ca="1" si="43"/>
        <v>0</v>
      </c>
      <c r="O139">
        <f t="shared" ca="1" si="44"/>
        <v>6.9999999999993179E-2</v>
      </c>
      <c r="P139">
        <f t="shared" ca="1" si="28"/>
        <v>0.49798861867524918</v>
      </c>
      <c r="Q139">
        <f t="shared" ca="1" si="29"/>
        <v>0.29521356348134786</v>
      </c>
      <c r="R139">
        <f t="shared" ca="1" si="26"/>
        <v>1.6868758088302167</v>
      </c>
      <c r="S139">
        <f t="shared" ca="1" si="27"/>
        <v>62.782053539148528</v>
      </c>
      <c r="T139">
        <f>70</f>
        <v>70</v>
      </c>
      <c r="U139">
        <f>30</f>
        <v>30</v>
      </c>
      <c r="V139">
        <f t="shared" ca="1" si="25"/>
        <v>91.80604359735932</v>
      </c>
      <c r="W139">
        <f t="shared" ca="1" si="35"/>
        <v>91.396115634714789</v>
      </c>
      <c r="X139">
        <f t="shared" ca="1" si="34"/>
        <v>0.60563352459661246</v>
      </c>
      <c r="Y139">
        <f t="shared" ca="1" si="36"/>
        <v>-9.2985083707556634E-2</v>
      </c>
      <c r="Z139">
        <f t="shared" ca="1" si="37"/>
        <v>0.69861860830416911</v>
      </c>
      <c r="AA139">
        <f t="shared" ca="1" si="38"/>
        <v>91.571300000000065</v>
      </c>
    </row>
    <row r="140" spans="1:27" x14ac:dyDescent="0.25">
      <c r="A140" vm="405">
        <f ca="1"/>
        <v>45495</v>
      </c>
      <c r="B140" vm="406">
        <f ca="1"/>
        <v>94.64</v>
      </c>
      <c r="C140" vm="407">
        <f ca="1"/>
        <v>1547938</v>
      </c>
      <c r="D140">
        <f t="shared" ca="1" si="39"/>
        <v>146496852.31999999</v>
      </c>
      <c r="E140">
        <f ca="1">SUM($D$2:D140)/SUM($C$2:C140)</f>
        <v>91.382551682340306</v>
      </c>
      <c r="F140">
        <f ca="1">_xlfn.STDEV.P($B$2:B140)</f>
        <v>2.7911042077676149</v>
      </c>
      <c r="G140">
        <f t="shared" ca="1" si="40"/>
        <v>94.173655890107923</v>
      </c>
      <c r="H140">
        <f t="shared" ca="1" si="41"/>
        <v>88.591447474572689</v>
      </c>
      <c r="I140">
        <f t="shared" ca="1" si="30"/>
        <v>90.716999999999999</v>
      </c>
      <c r="J140">
        <f t="shared" ca="1" si="31"/>
        <v>2.0396003220445453</v>
      </c>
      <c r="K140">
        <f t="shared" ca="1" si="32"/>
        <v>94.796200644089083</v>
      </c>
      <c r="L140">
        <f t="shared" ca="1" si="33"/>
        <v>86.637799355910914</v>
      </c>
      <c r="M140">
        <f t="shared" ca="1" si="42"/>
        <v>0.59999999999999432</v>
      </c>
      <c r="N140">
        <f t="shared" ca="1" si="43"/>
        <v>0.59999999999999432</v>
      </c>
      <c r="O140">
        <f t="shared" ca="1" si="44"/>
        <v>0</v>
      </c>
      <c r="P140">
        <f t="shared" ca="1" si="28"/>
        <v>0.50527514591273104</v>
      </c>
      <c r="Q140">
        <f t="shared" ca="1" si="29"/>
        <v>0.27412688037553729</v>
      </c>
      <c r="R140">
        <f t="shared" ca="1" si="26"/>
        <v>1.8432163428137167</v>
      </c>
      <c r="S140">
        <f t="shared" ca="1" si="27"/>
        <v>64.828564575203046</v>
      </c>
      <c r="T140">
        <f>70</f>
        <v>70</v>
      </c>
      <c r="U140">
        <f>30</f>
        <v>30</v>
      </c>
      <c r="V140">
        <f t="shared" ca="1" si="25"/>
        <v>92.242036890073265</v>
      </c>
      <c r="W140">
        <f t="shared" ca="1" si="35"/>
        <v>91.636403365476653</v>
      </c>
      <c r="X140">
        <f t="shared" ca="1" si="34"/>
        <v>0.64117909564627951</v>
      </c>
      <c r="Y140">
        <f t="shared" ca="1" si="36"/>
        <v>5.3847752163210597E-2</v>
      </c>
      <c r="Z140">
        <f t="shared" ca="1" si="37"/>
        <v>0.58733134348306892</v>
      </c>
      <c r="AA140">
        <f t="shared" ca="1" si="38"/>
        <v>91.648900000000054</v>
      </c>
    </row>
    <row r="141" spans="1:27" x14ac:dyDescent="0.25">
      <c r="A141" vm="408">
        <f ca="1"/>
        <v>45496</v>
      </c>
      <c r="B141" vm="8">
        <f ca="1"/>
        <v>93.25</v>
      </c>
      <c r="C141" vm="409">
        <f ca="1"/>
        <v>1245714</v>
      </c>
      <c r="D141">
        <f t="shared" ca="1" si="39"/>
        <v>116162830.5</v>
      </c>
      <c r="E141">
        <f ca="1">SUM($D$2:D141)/SUM($C$2:C141)</f>
        <v>91.391403917261499</v>
      </c>
      <c r="F141">
        <f ca="1">_xlfn.STDEV.P($B$2:B141)</f>
        <v>2.7865094936431256</v>
      </c>
      <c r="G141">
        <f t="shared" ca="1" si="40"/>
        <v>94.177913410904623</v>
      </c>
      <c r="H141">
        <f t="shared" ca="1" si="41"/>
        <v>88.604894423618376</v>
      </c>
      <c r="I141">
        <f t="shared" ca="1" si="30"/>
        <v>90.816000000000003</v>
      </c>
      <c r="J141">
        <f t="shared" ca="1" si="31"/>
        <v>2.1145321742147778</v>
      </c>
      <c r="K141">
        <f t="shared" ca="1" si="32"/>
        <v>95.045064348429563</v>
      </c>
      <c r="L141">
        <f t="shared" ca="1" si="33"/>
        <v>86.586935651570442</v>
      </c>
      <c r="M141">
        <f t="shared" ca="1" si="42"/>
        <v>-1.3900000000000006</v>
      </c>
      <c r="N141">
        <f t="shared" ca="1" si="43"/>
        <v>0</v>
      </c>
      <c r="O141">
        <f t="shared" ca="1" si="44"/>
        <v>1.3900000000000006</v>
      </c>
      <c r="P141">
        <f t="shared" ca="1" si="28"/>
        <v>0.46918406406182173</v>
      </c>
      <c r="Q141">
        <f t="shared" ca="1" si="29"/>
        <v>0.35383210320585612</v>
      </c>
      <c r="R141">
        <f t="shared" ca="1" si="26"/>
        <v>1.3260076172027131</v>
      </c>
      <c r="S141">
        <f t="shared" ca="1" si="27"/>
        <v>57.007879397978371</v>
      </c>
      <c r="T141">
        <f>70</f>
        <v>70</v>
      </c>
      <c r="U141">
        <f>30</f>
        <v>30</v>
      </c>
      <c r="V141">
        <f t="shared" ca="1" si="25"/>
        <v>92.397108137754287</v>
      </c>
      <c r="W141">
        <f t="shared" ca="1" si="35"/>
        <v>91.755929042108008</v>
      </c>
      <c r="X141">
        <f t="shared" ca="1" si="34"/>
        <v>0.87152187529322589</v>
      </c>
      <c r="Y141">
        <f t="shared" ca="1" si="36"/>
        <v>0.21738257678921366</v>
      </c>
      <c r="Z141">
        <f t="shared" ca="1" si="37"/>
        <v>0.6541392985040122</v>
      </c>
      <c r="AA141">
        <f t="shared" ca="1" si="38"/>
        <v>91.714900000000057</v>
      </c>
    </row>
    <row r="142" spans="1:27" x14ac:dyDescent="0.25">
      <c r="A142" vm="410">
        <f ca="1"/>
        <v>45497</v>
      </c>
      <c r="B142" vm="411">
        <f ca="1"/>
        <v>95.88</v>
      </c>
      <c r="C142" vm="412">
        <f ca="1"/>
        <v>2179846</v>
      </c>
      <c r="D142">
        <f t="shared" ca="1" si="39"/>
        <v>209003634.47999999</v>
      </c>
      <c r="E142">
        <f ca="1">SUM($D$2:D142)/SUM($C$2:C142)</f>
        <v>91.428330129138658</v>
      </c>
      <c r="F142">
        <f ca="1">_xlfn.STDEV.P($B$2:B142)</f>
        <v>2.8041606185827019</v>
      </c>
      <c r="G142">
        <f t="shared" ca="1" si="40"/>
        <v>94.232490747721357</v>
      </c>
      <c r="H142">
        <f t="shared" ca="1" si="41"/>
        <v>88.624169510555959</v>
      </c>
      <c r="I142">
        <f t="shared" ca="1" si="30"/>
        <v>91.140500000000003</v>
      </c>
      <c r="J142">
        <f t="shared" ca="1" si="31"/>
        <v>2.3670800911449397</v>
      </c>
      <c r="K142">
        <f t="shared" ca="1" si="32"/>
        <v>95.874660182289887</v>
      </c>
      <c r="L142">
        <f t="shared" ca="1" si="33"/>
        <v>86.406339817710119</v>
      </c>
      <c r="M142">
        <f t="shared" ca="1" si="42"/>
        <v>2.6299999999999955</v>
      </c>
      <c r="N142">
        <f t="shared" ca="1" si="43"/>
        <v>2.6299999999999955</v>
      </c>
      <c r="O142">
        <f t="shared" ca="1" si="44"/>
        <v>0</v>
      </c>
      <c r="P142">
        <f t="shared" ca="1" si="28"/>
        <v>0.62352805948597712</v>
      </c>
      <c r="Q142">
        <f t="shared" ca="1" si="29"/>
        <v>0.32855838154829498</v>
      </c>
      <c r="R142">
        <f t="shared" ca="1" si="26"/>
        <v>1.8977694513458163</v>
      </c>
      <c r="S142">
        <f t="shared" ca="1" si="27"/>
        <v>65.49069838749358</v>
      </c>
      <c r="T142">
        <f>70</f>
        <v>70</v>
      </c>
      <c r="U142">
        <f>30</f>
        <v>30</v>
      </c>
      <c r="V142">
        <f t="shared" ca="1" si="25"/>
        <v>92.932937655022869</v>
      </c>
      <c r="W142">
        <f t="shared" ca="1" si="35"/>
        <v>92.061415779729643</v>
      </c>
      <c r="X142">
        <f t="shared" ca="1" si="34"/>
        <v>1.0452488750132716</v>
      </c>
      <c r="Y142">
        <f t="shared" ca="1" si="36"/>
        <v>0.38295583643402525</v>
      </c>
      <c r="Z142">
        <f t="shared" ca="1" si="37"/>
        <v>0.66229303857924626</v>
      </c>
      <c r="AA142">
        <f t="shared" ca="1" si="38"/>
        <v>91.801600000000036</v>
      </c>
    </row>
    <row r="143" spans="1:27" x14ac:dyDescent="0.25">
      <c r="A143" vm="413">
        <f ca="1"/>
        <v>45498</v>
      </c>
      <c r="B143" vm="414">
        <f ca="1"/>
        <v>95.92</v>
      </c>
      <c r="C143" vm="415">
        <f ca="1"/>
        <v>1920793</v>
      </c>
      <c r="D143">
        <f t="shared" ca="1" si="39"/>
        <v>184242464.56</v>
      </c>
      <c r="E143">
        <f ca="1">SUM($D$2:D143)/SUM($C$2:C143)</f>
        <v>91.460655979648081</v>
      </c>
      <c r="F143">
        <f ca="1">_xlfn.STDEV.P($B$2:B143)</f>
        <v>2.8215359032278382</v>
      </c>
      <c r="G143">
        <f t="shared" ca="1" si="40"/>
        <v>94.282191882875921</v>
      </c>
      <c r="H143">
        <f t="shared" ca="1" si="41"/>
        <v>88.639120076420241</v>
      </c>
      <c r="I143">
        <f t="shared" ca="1" si="30"/>
        <v>91.453000000000003</v>
      </c>
      <c r="J143">
        <f t="shared" ca="1" si="31"/>
        <v>2.5668577964835571</v>
      </c>
      <c r="K143">
        <f t="shared" ca="1" si="32"/>
        <v>96.586715592967124</v>
      </c>
      <c r="L143">
        <f t="shared" ca="1" si="33"/>
        <v>86.319284407032882</v>
      </c>
      <c r="M143">
        <f t="shared" ca="1" si="42"/>
        <v>4.0000000000006253E-2</v>
      </c>
      <c r="N143">
        <f t="shared" ca="1" si="43"/>
        <v>4.0000000000006253E-2</v>
      </c>
      <c r="O143">
        <f t="shared" ca="1" si="44"/>
        <v>0</v>
      </c>
      <c r="P143">
        <f t="shared" ca="1" si="28"/>
        <v>0.58184748380840767</v>
      </c>
      <c r="Q143">
        <f t="shared" ca="1" si="29"/>
        <v>0.30508992572341675</v>
      </c>
      <c r="R143">
        <f t="shared" ca="1" si="26"/>
        <v>1.9071343717061608</v>
      </c>
      <c r="S143">
        <f t="shared" ca="1" si="27"/>
        <v>65.601865199883676</v>
      </c>
      <c r="T143">
        <f>70</f>
        <v>70</v>
      </c>
      <c r="U143">
        <f>30</f>
        <v>30</v>
      </c>
      <c r="V143">
        <f t="shared" ref="V143:V206" ca="1" si="45">B143*(2/(12+1)) + V142*(1-(2/(12+1)))</f>
        <v>93.392485708096274</v>
      </c>
      <c r="W143">
        <f t="shared" ca="1" si="35"/>
        <v>92.347236833083002</v>
      </c>
      <c r="X143">
        <f t="shared" ca="1" si="34"/>
        <v>1.2109295856199793</v>
      </c>
      <c r="Y143">
        <f t="shared" ca="1" si="36"/>
        <v>0.54855058627121611</v>
      </c>
      <c r="Z143">
        <f t="shared" ca="1" si="37"/>
        <v>0.66237899934876321</v>
      </c>
      <c r="AA143">
        <f t="shared" ca="1" si="38"/>
        <v>91.890700000000038</v>
      </c>
    </row>
    <row r="144" spans="1:27" x14ac:dyDescent="0.25">
      <c r="A144" vm="416">
        <f ca="1"/>
        <v>45499</v>
      </c>
      <c r="B144" vm="417">
        <f ca="1"/>
        <v>96.44</v>
      </c>
      <c r="C144" vm="418">
        <f ca="1"/>
        <v>1438755</v>
      </c>
      <c r="D144">
        <f t="shared" ca="1" si="39"/>
        <v>138753532.19999999</v>
      </c>
      <c r="E144">
        <f ca="1">SUM($D$2:D144)/SUM($C$2:C144)</f>
        <v>91.487354406010667</v>
      </c>
      <c r="F144">
        <f ca="1">_xlfn.STDEV.P($B$2:B144)</f>
        <v>2.8444250157292101</v>
      </c>
      <c r="G144">
        <f t="shared" ca="1" si="40"/>
        <v>94.331779421739881</v>
      </c>
      <c r="H144">
        <f t="shared" ca="1" si="41"/>
        <v>88.642929390281452</v>
      </c>
      <c r="I144">
        <f t="shared" ca="1" si="30"/>
        <v>91.791000000000011</v>
      </c>
      <c r="J144">
        <f t="shared" ca="1" si="31"/>
        <v>2.7589870376071386</v>
      </c>
      <c r="K144">
        <f t="shared" ca="1" si="32"/>
        <v>97.308974075214294</v>
      </c>
      <c r="L144">
        <f t="shared" ca="1" si="33"/>
        <v>86.273025924785728</v>
      </c>
      <c r="M144">
        <f t="shared" ca="1" si="42"/>
        <v>0.51999999999999602</v>
      </c>
      <c r="N144">
        <f t="shared" ca="1" si="43"/>
        <v>0.51999999999999602</v>
      </c>
      <c r="O144">
        <f t="shared" ca="1" si="44"/>
        <v>0</v>
      </c>
      <c r="P144">
        <f t="shared" ca="1" si="28"/>
        <v>0.57742980639352115</v>
      </c>
      <c r="Q144">
        <f t="shared" ca="1" si="29"/>
        <v>0.28329778817174411</v>
      </c>
      <c r="R144">
        <f t="shared" ref="R144:R207" ca="1" si="46">IF(Q144=0,NA(),P144/Q144)</f>
        <v>2.0382432567509663</v>
      </c>
      <c r="S144">
        <f t="shared" ref="S144:S207" ca="1" si="47">100-(100/(1+R144))</f>
        <v>67.086243085440799</v>
      </c>
      <c r="T144">
        <f>70</f>
        <v>70</v>
      </c>
      <c r="U144">
        <f>30</f>
        <v>30</v>
      </c>
      <c r="V144">
        <f t="shared" ca="1" si="45"/>
        <v>93.861334060696834</v>
      </c>
      <c r="W144">
        <f t="shared" ca="1" si="35"/>
        <v>92.650404475076854</v>
      </c>
      <c r="X144">
        <f t="shared" ca="1" si="34"/>
        <v>1.3612386371138996</v>
      </c>
      <c r="Y144">
        <f t="shared" ca="1" si="36"/>
        <v>0.71108819643975285</v>
      </c>
      <c r="Z144">
        <f t="shared" ca="1" si="37"/>
        <v>0.65015044067414673</v>
      </c>
      <c r="AA144">
        <f t="shared" ca="1" si="38"/>
        <v>91.963800000000049</v>
      </c>
    </row>
    <row r="145" spans="1:27" x14ac:dyDescent="0.25">
      <c r="A145" vm="419">
        <f ca="1"/>
        <v>45502</v>
      </c>
      <c r="B145" vm="420">
        <f ca="1"/>
        <v>96.87</v>
      </c>
      <c r="C145" vm="421">
        <f ca="1"/>
        <v>1320213</v>
      </c>
      <c r="D145">
        <f t="shared" ca="1" si="39"/>
        <v>127889033.31</v>
      </c>
      <c r="E145">
        <f ca="1">SUM($D$2:D145)/SUM($C$2:C145)</f>
        <v>91.51370770319204</v>
      </c>
      <c r="F145">
        <f ca="1">_xlfn.STDEV.P($B$2:B145)</f>
        <v>2.871896066668659</v>
      </c>
      <c r="G145">
        <f t="shared" ca="1" si="40"/>
        <v>94.385603769860694</v>
      </c>
      <c r="H145">
        <f t="shared" ca="1" si="41"/>
        <v>88.641811636523386</v>
      </c>
      <c r="I145">
        <f t="shared" ca="1" si="30"/>
        <v>92.163499999999999</v>
      </c>
      <c r="J145">
        <f t="shared" ca="1" si="31"/>
        <v>2.9202348049068725</v>
      </c>
      <c r="K145">
        <f t="shared" ca="1" si="32"/>
        <v>98.003969609813737</v>
      </c>
      <c r="L145">
        <f t="shared" ca="1" si="33"/>
        <v>86.323030390186261</v>
      </c>
      <c r="M145">
        <f t="shared" ca="1" si="42"/>
        <v>0.43000000000000682</v>
      </c>
      <c r="N145">
        <f t="shared" ca="1" si="43"/>
        <v>0.43000000000000682</v>
      </c>
      <c r="O145">
        <f t="shared" ca="1" si="44"/>
        <v>0</v>
      </c>
      <c r="P145">
        <f t="shared" ref="P145:P208" ca="1" si="48">(P144*13+N145)/14</f>
        <v>0.56689910593684156</v>
      </c>
      <c r="Q145">
        <f t="shared" ref="Q145:Q208" ca="1" si="49">(Q144*13+O145)/14</f>
        <v>0.26306223187376238</v>
      </c>
      <c r="R145">
        <f t="shared" ca="1" si="46"/>
        <v>2.1549999857405742</v>
      </c>
      <c r="S145">
        <f t="shared" ca="1" si="47"/>
        <v>68.304278779092613</v>
      </c>
      <c r="T145">
        <f>70</f>
        <v>70</v>
      </c>
      <c r="U145">
        <f>30</f>
        <v>30</v>
      </c>
      <c r="V145">
        <f t="shared" ca="1" si="45"/>
        <v>94.324205743666553</v>
      </c>
      <c r="W145">
        <f t="shared" ca="1" si="35"/>
        <v>92.962967106552654</v>
      </c>
      <c r="X145">
        <f t="shared" ca="1" si="34"/>
        <v>1.5663954308813572</v>
      </c>
      <c r="Y145">
        <f t="shared" ca="1" si="36"/>
        <v>0.88214964332807377</v>
      </c>
      <c r="Z145">
        <f t="shared" ca="1" si="37"/>
        <v>0.68424578755328347</v>
      </c>
      <c r="AA145">
        <f t="shared" ca="1" si="38"/>
        <v>92.04260000000005</v>
      </c>
    </row>
    <row r="146" spans="1:27" x14ac:dyDescent="0.25">
      <c r="A146" vm="422">
        <f ca="1"/>
        <v>45503</v>
      </c>
      <c r="B146" vm="423">
        <f ca="1"/>
        <v>98.16</v>
      </c>
      <c r="C146" vm="424">
        <f ca="1"/>
        <v>1127031</v>
      </c>
      <c r="D146">
        <f t="shared" ca="1" si="39"/>
        <v>110629362.95999999</v>
      </c>
      <c r="E146">
        <f ca="1">SUM($D$2:D146)/SUM($C$2:C146)</f>
        <v>91.541370691223065</v>
      </c>
      <c r="F146">
        <f ca="1">_xlfn.STDEV.P($B$2:B146)</f>
        <v>2.916968219052642</v>
      </c>
      <c r="G146">
        <f t="shared" ca="1" si="40"/>
        <v>94.458338910275714</v>
      </c>
      <c r="H146">
        <f t="shared" ca="1" si="41"/>
        <v>88.624402472170416</v>
      </c>
      <c r="I146">
        <f t="shared" ca="1" si="30"/>
        <v>92.631</v>
      </c>
      <c r="J146">
        <f t="shared" ca="1" si="31"/>
        <v>3.098119803330639</v>
      </c>
      <c r="K146">
        <f t="shared" ca="1" si="32"/>
        <v>98.82723960666128</v>
      </c>
      <c r="L146">
        <f t="shared" ca="1" si="33"/>
        <v>86.434760393338721</v>
      </c>
      <c r="M146">
        <f t="shared" ca="1" si="42"/>
        <v>1.289999999999992</v>
      </c>
      <c r="N146">
        <f t="shared" ca="1" si="43"/>
        <v>1.289999999999992</v>
      </c>
      <c r="O146">
        <f t="shared" ca="1" si="44"/>
        <v>0</v>
      </c>
      <c r="P146">
        <f t="shared" ca="1" si="48"/>
        <v>0.61854916979849517</v>
      </c>
      <c r="Q146">
        <f t="shared" ca="1" si="49"/>
        <v>0.24427207245420793</v>
      </c>
      <c r="R146">
        <f t="shared" ca="1" si="46"/>
        <v>2.5322140332454524</v>
      </c>
      <c r="S146">
        <f t="shared" ca="1" si="47"/>
        <v>71.689144808668772</v>
      </c>
      <c r="T146">
        <f>70</f>
        <v>70</v>
      </c>
      <c r="U146">
        <f>30</f>
        <v>30</v>
      </c>
      <c r="V146">
        <f t="shared" ca="1" si="45"/>
        <v>94.914327936948624</v>
      </c>
      <c r="W146">
        <f t="shared" ca="1" si="35"/>
        <v>93.347932506067266</v>
      </c>
      <c r="X146">
        <f t="shared" ca="1" si="34"/>
        <v>1.6582260193785601</v>
      </c>
      <c r="Y146">
        <f t="shared" ca="1" si="36"/>
        <v>1.037364918538171</v>
      </c>
      <c r="Z146">
        <f t="shared" ca="1" si="37"/>
        <v>0.62086110084038904</v>
      </c>
      <c r="AA146">
        <f t="shared" ca="1" si="38"/>
        <v>92.125700000000052</v>
      </c>
    </row>
    <row r="147" spans="1:27" x14ac:dyDescent="0.25">
      <c r="A147" vm="425">
        <f ca="1"/>
        <v>45504</v>
      </c>
      <c r="B147" vm="426">
        <f ca="1"/>
        <v>97.52</v>
      </c>
      <c r="C147" vm="427">
        <f ca="1"/>
        <v>1623371</v>
      </c>
      <c r="D147">
        <f t="shared" ca="1" si="39"/>
        <v>158311139.91999999</v>
      </c>
      <c r="E147">
        <f ca="1">SUM($D$2:D147)/SUM($C$2:C147)</f>
        <v>91.576999992378973</v>
      </c>
      <c r="F147">
        <f ca="1">_xlfn.STDEV.P($B$2:B147)</f>
        <v>2.9505265280995743</v>
      </c>
      <c r="G147">
        <f t="shared" ca="1" si="40"/>
        <v>94.527526520478546</v>
      </c>
      <c r="H147">
        <f t="shared" ca="1" si="41"/>
        <v>88.6264734642794</v>
      </c>
      <c r="I147">
        <f t="shared" ca="1" si="30"/>
        <v>93.058500000000009</v>
      </c>
      <c r="J147">
        <f t="shared" ca="1" si="31"/>
        <v>3.1557204115367186</v>
      </c>
      <c r="K147">
        <f t="shared" ca="1" si="32"/>
        <v>99.369940823073449</v>
      </c>
      <c r="L147">
        <f t="shared" ca="1" si="33"/>
        <v>86.74705917692657</v>
      </c>
      <c r="M147">
        <f t="shared" ca="1" si="42"/>
        <v>-0.64000000000000057</v>
      </c>
      <c r="N147">
        <f t="shared" ca="1" si="43"/>
        <v>0</v>
      </c>
      <c r="O147">
        <f t="shared" ca="1" si="44"/>
        <v>0.64000000000000057</v>
      </c>
      <c r="P147">
        <f t="shared" ca="1" si="48"/>
        <v>0.57436708624145982</v>
      </c>
      <c r="Q147">
        <f t="shared" ca="1" si="49"/>
        <v>0.27253835299319312</v>
      </c>
      <c r="R147">
        <f t="shared" ca="1" si="46"/>
        <v>2.1074725077530836</v>
      </c>
      <c r="S147">
        <f t="shared" ca="1" si="47"/>
        <v>67.819506125797744</v>
      </c>
      <c r="T147">
        <f>70</f>
        <v>70</v>
      </c>
      <c r="U147">
        <f>30</f>
        <v>30</v>
      </c>
      <c r="V147">
        <f t="shared" ca="1" si="45"/>
        <v>95.315200562033439</v>
      </c>
      <c r="W147">
        <f t="shared" ca="1" si="35"/>
        <v>93.656974542654879</v>
      </c>
      <c r="X147">
        <f t="shared" ca="1" si="34"/>
        <v>1.9258627936213486</v>
      </c>
      <c r="Y147">
        <f t="shared" ca="1" si="36"/>
        <v>1.2150644935548067</v>
      </c>
      <c r="Z147">
        <f t="shared" ca="1" si="37"/>
        <v>0.71079830006654188</v>
      </c>
      <c r="AA147">
        <f t="shared" ca="1" si="38"/>
        <v>92.201500000000067</v>
      </c>
    </row>
    <row r="148" spans="1:27" x14ac:dyDescent="0.25">
      <c r="A148" vm="428">
        <f ca="1"/>
        <v>45505</v>
      </c>
      <c r="B148" vm="429">
        <f ca="1"/>
        <v>100.21</v>
      </c>
      <c r="C148" vm="430">
        <f ca="1"/>
        <v>2409332</v>
      </c>
      <c r="D148">
        <f t="shared" ca="1" si="39"/>
        <v>241439159.72</v>
      </c>
      <c r="E148">
        <f ca="1">SUM($D$2:D148)/SUM($C$2:C148)</f>
        <v>91.652687107939485</v>
      </c>
      <c r="F148">
        <f ca="1">_xlfn.STDEV.P($B$2:B148)</f>
        <v>3.0276036158913837</v>
      </c>
      <c r="G148">
        <f t="shared" ca="1" si="40"/>
        <v>94.680290723830865</v>
      </c>
      <c r="H148">
        <f t="shared" ca="1" si="41"/>
        <v>88.625083492048105</v>
      </c>
      <c r="I148">
        <f t="shared" ca="1" si="30"/>
        <v>93.633499999999998</v>
      </c>
      <c r="J148">
        <f t="shared" ca="1" si="31"/>
        <v>3.3626028060981183</v>
      </c>
      <c r="K148">
        <f t="shared" ca="1" si="32"/>
        <v>100.35870561219623</v>
      </c>
      <c r="L148">
        <f t="shared" ca="1" si="33"/>
        <v>86.908294387803764</v>
      </c>
      <c r="M148">
        <f t="shared" ca="1" si="42"/>
        <v>2.6899999999999977</v>
      </c>
      <c r="N148">
        <f t="shared" ca="1" si="43"/>
        <v>2.6899999999999977</v>
      </c>
      <c r="O148">
        <f t="shared" ca="1" si="44"/>
        <v>0</v>
      </c>
      <c r="P148">
        <f t="shared" ca="1" si="48"/>
        <v>0.72548372293849817</v>
      </c>
      <c r="Q148">
        <f t="shared" ca="1" si="49"/>
        <v>0.25307132777939362</v>
      </c>
      <c r="R148">
        <f t="shared" ca="1" si="46"/>
        <v>2.8667163890289227</v>
      </c>
      <c r="S148">
        <f t="shared" ca="1" si="47"/>
        <v>74.138263596541208</v>
      </c>
      <c r="T148">
        <f>70</f>
        <v>70</v>
      </c>
      <c r="U148">
        <f>30</f>
        <v>30</v>
      </c>
      <c r="V148">
        <f t="shared" ca="1" si="45"/>
        <v>96.068246629412897</v>
      </c>
      <c r="W148">
        <f t="shared" ca="1" si="35"/>
        <v>94.142383835791549</v>
      </c>
      <c r="X148">
        <f t="shared" ca="1" si="34"/>
        <v>2.2428333398956681</v>
      </c>
      <c r="Y148">
        <f t="shared" ca="1" si="36"/>
        <v>1.4206182628229791</v>
      </c>
      <c r="Z148">
        <f t="shared" ca="1" si="37"/>
        <v>0.82221507707268904</v>
      </c>
      <c r="AA148">
        <f t="shared" ca="1" si="38"/>
        <v>92.302400000000048</v>
      </c>
    </row>
    <row r="149" spans="1:27" x14ac:dyDescent="0.25">
      <c r="A149" vm="431">
        <f ca="1"/>
        <v>45506</v>
      </c>
      <c r="B149" vm="432">
        <f ca="1"/>
        <v>101.83</v>
      </c>
      <c r="C149" vm="433">
        <f ca="1"/>
        <v>4425804</v>
      </c>
      <c r="D149">
        <f t="shared" ca="1" si="39"/>
        <v>450679621.31999999</v>
      </c>
      <c r="E149">
        <f ca="1">SUM($D$2:D149)/SUM($C$2:C149)</f>
        <v>91.813993047349982</v>
      </c>
      <c r="F149">
        <f ca="1">_xlfn.STDEV.P($B$2:B149)</f>
        <v>3.1338516915127581</v>
      </c>
      <c r="G149">
        <f t="shared" ca="1" si="40"/>
        <v>94.947844738862742</v>
      </c>
      <c r="H149">
        <f t="shared" ca="1" si="41"/>
        <v>88.680141355837222</v>
      </c>
      <c r="I149">
        <f t="shared" ca="1" si="30"/>
        <v>94.261499999999984</v>
      </c>
      <c r="J149">
        <f t="shared" ca="1" si="31"/>
        <v>3.6641194461684057</v>
      </c>
      <c r="K149">
        <f t="shared" ca="1" si="32"/>
        <v>101.5897388923368</v>
      </c>
      <c r="L149">
        <f t="shared" ca="1" si="33"/>
        <v>86.933261107663171</v>
      </c>
      <c r="M149">
        <f t="shared" ca="1" si="42"/>
        <v>1.6200000000000045</v>
      </c>
      <c r="N149">
        <f t="shared" ca="1" si="43"/>
        <v>1.6200000000000045</v>
      </c>
      <c r="O149">
        <f t="shared" ca="1" si="44"/>
        <v>0</v>
      </c>
      <c r="P149">
        <f t="shared" ca="1" si="48"/>
        <v>0.78937774272860572</v>
      </c>
      <c r="Q149">
        <f t="shared" ca="1" si="49"/>
        <v>0.23499480436657977</v>
      </c>
      <c r="R149">
        <f t="shared" ca="1" si="46"/>
        <v>3.3591284916121684</v>
      </c>
      <c r="S149">
        <f t="shared" ca="1" si="47"/>
        <v>77.059634697068475</v>
      </c>
      <c r="T149">
        <f>70</f>
        <v>70</v>
      </c>
      <c r="U149">
        <f>30</f>
        <v>30</v>
      </c>
      <c r="V149">
        <f t="shared" ca="1" si="45"/>
        <v>96.954670224887835</v>
      </c>
      <c r="W149">
        <f t="shared" ca="1" si="35"/>
        <v>94.711836884992167</v>
      </c>
      <c r="X149">
        <f t="shared" ca="1" si="34"/>
        <v>2.3754702825334277</v>
      </c>
      <c r="Y149">
        <f t="shared" ca="1" si="36"/>
        <v>1.6115886667650687</v>
      </c>
      <c r="Z149">
        <f t="shared" ca="1" si="37"/>
        <v>0.763881615768359</v>
      </c>
      <c r="AA149">
        <f t="shared" ca="1" si="38"/>
        <v>92.412700000000044</v>
      </c>
    </row>
    <row r="150" spans="1:27" x14ac:dyDescent="0.25">
      <c r="A150" vm="434">
        <f ca="1"/>
        <v>45509</v>
      </c>
      <c r="B150" vm="435">
        <f ca="1"/>
        <v>100.7</v>
      </c>
      <c r="C150" vm="436">
        <f ca="1"/>
        <v>2846485</v>
      </c>
      <c r="D150">
        <f t="shared" ca="1" si="39"/>
        <v>286641039.5</v>
      </c>
      <c r="E150">
        <f ca="1">SUM($D$2:D150)/SUM($C$2:C150)</f>
        <v>91.903660725923899</v>
      </c>
      <c r="F150">
        <f ca="1">_xlfn.STDEV.P($B$2:B150)</f>
        <v>3.2111076671282213</v>
      </c>
      <c r="G150">
        <f t="shared" ca="1" si="40"/>
        <v>95.114768393052117</v>
      </c>
      <c r="H150">
        <f t="shared" ca="1" si="41"/>
        <v>88.692553058795681</v>
      </c>
      <c r="I150">
        <f t="shared" ref="I150:I213" ca="1" si="50">AVERAGE(B131:B150)</f>
        <v>94.875500000000017</v>
      </c>
      <c r="J150">
        <f t="shared" ref="J150:J213" ca="1" si="51">_xlfn.STDEV.S(B131:B150)</f>
        <v>3.6626198202063529</v>
      </c>
      <c r="K150">
        <f t="shared" ref="K150:K213" ca="1" si="52">I150 + 2*J150</f>
        <v>102.20073964041272</v>
      </c>
      <c r="L150">
        <f t="shared" ref="L150:L213" ca="1" si="53">I150-2*J150</f>
        <v>87.550260359587313</v>
      </c>
      <c r="M150">
        <f t="shared" ca="1" si="42"/>
        <v>-1.1299999999999955</v>
      </c>
      <c r="N150">
        <f t="shared" ca="1" si="43"/>
        <v>0</v>
      </c>
      <c r="O150">
        <f t="shared" ca="1" si="44"/>
        <v>1.1299999999999955</v>
      </c>
      <c r="P150">
        <f t="shared" ca="1" si="48"/>
        <v>0.73299361824799103</v>
      </c>
      <c r="Q150">
        <f t="shared" ca="1" si="49"/>
        <v>0.29892374691182372</v>
      </c>
      <c r="R150">
        <f t="shared" ca="1" si="46"/>
        <v>2.4521090272035457</v>
      </c>
      <c r="S150">
        <f t="shared" ca="1" si="47"/>
        <v>71.032201123436963</v>
      </c>
      <c r="T150">
        <f>70</f>
        <v>70</v>
      </c>
      <c r="U150">
        <f>30</f>
        <v>30</v>
      </c>
      <c r="V150">
        <f t="shared" ca="1" si="45"/>
        <v>97.530874805674316</v>
      </c>
      <c r="W150">
        <f t="shared" ca="1" si="35"/>
        <v>95.155404523140888</v>
      </c>
      <c r="X150">
        <f t="shared" ca="1" si="34"/>
        <v>2.4674739238304397</v>
      </c>
      <c r="Y150">
        <f t="shared" ca="1" si="36"/>
        <v>1.7827657181781431</v>
      </c>
      <c r="Z150">
        <f t="shared" ca="1" si="37"/>
        <v>0.68470820565229662</v>
      </c>
      <c r="AA150">
        <f t="shared" ca="1" si="38"/>
        <v>92.520400000000052</v>
      </c>
    </row>
    <row r="151" spans="1:27" x14ac:dyDescent="0.25">
      <c r="A151" vm="437">
        <f ca="1"/>
        <v>45510</v>
      </c>
      <c r="B151" vm="438">
        <f ca="1"/>
        <v>100.89</v>
      </c>
      <c r="C151" vm="439">
        <f ca="1"/>
        <v>1956382</v>
      </c>
      <c r="D151">
        <f t="shared" ca="1" si="39"/>
        <v>197379379.97999999</v>
      </c>
      <c r="E151">
        <f ca="1">SUM($D$2:D151)/SUM($C$2:C151)</f>
        <v>91.965555676563085</v>
      </c>
      <c r="F151">
        <f ca="1">_xlfn.STDEV.P($B$2:B151)</f>
        <v>3.2879425008489567</v>
      </c>
      <c r="G151">
        <f t="shared" ca="1" si="40"/>
        <v>95.253498177412041</v>
      </c>
      <c r="H151">
        <f t="shared" ca="1" si="41"/>
        <v>88.677613175714129</v>
      </c>
      <c r="I151">
        <f t="shared" ca="1" si="50"/>
        <v>95.47750000000002</v>
      </c>
      <c r="J151">
        <f t="shared" ca="1" si="51"/>
        <v>3.6092015081338675</v>
      </c>
      <c r="K151">
        <f t="shared" ca="1" si="52"/>
        <v>102.69590301626775</v>
      </c>
      <c r="L151">
        <f t="shared" ca="1" si="53"/>
        <v>88.259096983732292</v>
      </c>
      <c r="M151">
        <f t="shared" ca="1" si="42"/>
        <v>0.18999999999999773</v>
      </c>
      <c r="N151">
        <f t="shared" ca="1" si="43"/>
        <v>0.18999999999999773</v>
      </c>
      <c r="O151">
        <f t="shared" ca="1" si="44"/>
        <v>0</v>
      </c>
      <c r="P151">
        <f t="shared" ca="1" si="48"/>
        <v>0.69420835980170581</v>
      </c>
      <c r="Q151">
        <f t="shared" ca="1" si="49"/>
        <v>0.27757205070383628</v>
      </c>
      <c r="R151">
        <f t="shared" ca="1" si="46"/>
        <v>2.5010023813327371</v>
      </c>
      <c r="S151">
        <f t="shared" ca="1" si="47"/>
        <v>71.436751790516439</v>
      </c>
      <c r="T151">
        <f>70</f>
        <v>70</v>
      </c>
      <c r="U151">
        <f>30</f>
        <v>30</v>
      </c>
      <c r="V151">
        <f t="shared" ca="1" si="45"/>
        <v>98.04766329710904</v>
      </c>
      <c r="W151">
        <f t="shared" ca="1" si="35"/>
        <v>95.5801893732786</v>
      </c>
      <c r="X151">
        <f t="shared" ca="1" si="34"/>
        <v>2.5353688117545374</v>
      </c>
      <c r="Y151">
        <f t="shared" ca="1" si="36"/>
        <v>1.9332863368934219</v>
      </c>
      <c r="Z151">
        <f t="shared" ca="1" si="37"/>
        <v>0.60208247486111555</v>
      </c>
      <c r="AA151">
        <f t="shared" ca="1" si="38"/>
        <v>92.633600000000044</v>
      </c>
    </row>
    <row r="152" spans="1:27" x14ac:dyDescent="0.25">
      <c r="A152" vm="440">
        <f ca="1"/>
        <v>45511</v>
      </c>
      <c r="B152" vm="441">
        <f ca="1"/>
        <v>101.19</v>
      </c>
      <c r="C152" vm="442">
        <f ca="1"/>
        <v>2139807</v>
      </c>
      <c r="D152">
        <f t="shared" ca="1" si="39"/>
        <v>216527070.32999998</v>
      </c>
      <c r="E152">
        <f ca="1">SUM($D$2:D152)/SUM($C$2:C152)</f>
        <v>92.034527879892309</v>
      </c>
      <c r="F152">
        <f ca="1">_xlfn.STDEV.P($B$2:B152)</f>
        <v>3.3664132786026921</v>
      </c>
      <c r="G152">
        <f t="shared" ca="1" si="40"/>
        <v>95.400941158495002</v>
      </c>
      <c r="H152">
        <f t="shared" ca="1" si="41"/>
        <v>88.668114601289616</v>
      </c>
      <c r="I152">
        <f t="shared" ca="1" si="50"/>
        <v>96.043500000000009</v>
      </c>
      <c r="J152">
        <f t="shared" ca="1" si="51"/>
        <v>3.5709489745650753</v>
      </c>
      <c r="K152">
        <f t="shared" ca="1" si="52"/>
        <v>103.18539794913016</v>
      </c>
      <c r="L152">
        <f t="shared" ca="1" si="53"/>
        <v>88.901602050869855</v>
      </c>
      <c r="M152">
        <f t="shared" ca="1" si="42"/>
        <v>0.29999999999999716</v>
      </c>
      <c r="N152">
        <f t="shared" ca="1" si="43"/>
        <v>0.29999999999999716</v>
      </c>
      <c r="O152">
        <f t="shared" ca="1" si="44"/>
        <v>0</v>
      </c>
      <c r="P152">
        <f t="shared" ca="1" si="48"/>
        <v>0.66605061981586944</v>
      </c>
      <c r="Q152">
        <f t="shared" ca="1" si="49"/>
        <v>0.25774547565356226</v>
      </c>
      <c r="R152">
        <f t="shared" ca="1" si="46"/>
        <v>2.5841408782325761</v>
      </c>
      <c r="S152">
        <f t="shared" ca="1" si="47"/>
        <v>72.099310993235193</v>
      </c>
      <c r="T152">
        <f>70</f>
        <v>70</v>
      </c>
      <c r="U152">
        <f>30</f>
        <v>30</v>
      </c>
      <c r="V152">
        <f t="shared" ca="1" si="45"/>
        <v>98.531099712938428</v>
      </c>
      <c r="W152">
        <f t="shared" ca="1" si="35"/>
        <v>95.99573090118389</v>
      </c>
      <c r="X152">
        <f t="shared" ca="1" si="34"/>
        <v>2.5046269853502849</v>
      </c>
      <c r="Y152">
        <f t="shared" ca="1" si="36"/>
        <v>2.0475544665847947</v>
      </c>
      <c r="Z152">
        <f t="shared" ca="1" si="37"/>
        <v>0.45707251876549027</v>
      </c>
      <c r="AA152">
        <f t="shared" ca="1" si="38"/>
        <v>92.758800000000051</v>
      </c>
    </row>
    <row r="153" spans="1:27" x14ac:dyDescent="0.25">
      <c r="A153" vm="443">
        <f ca="1"/>
        <v>45512</v>
      </c>
      <c r="B153" vm="444">
        <f ca="1"/>
        <v>100.5</v>
      </c>
      <c r="C153" vm="445">
        <f ca="1"/>
        <v>1784635</v>
      </c>
      <c r="D153">
        <f t="shared" ca="1" si="39"/>
        <v>179355817.5</v>
      </c>
      <c r="E153">
        <f ca="1">SUM($D$2:D153)/SUM($C$2:C153)</f>
        <v>92.086991711436596</v>
      </c>
      <c r="F153">
        <f ca="1">_xlfn.STDEV.P($B$2:B153)</f>
        <v>3.4290337343205062</v>
      </c>
      <c r="G153">
        <f t="shared" ca="1" si="40"/>
        <v>95.516025445757109</v>
      </c>
      <c r="H153">
        <f t="shared" ca="1" si="41"/>
        <v>88.657957977116084</v>
      </c>
      <c r="I153">
        <f t="shared" ca="1" si="50"/>
        <v>96.495500000000007</v>
      </c>
      <c r="J153">
        <f t="shared" ca="1" si="51"/>
        <v>3.532165691708729</v>
      </c>
      <c r="K153">
        <f t="shared" ca="1" si="52"/>
        <v>103.55983138341746</v>
      </c>
      <c r="L153">
        <f t="shared" ca="1" si="53"/>
        <v>89.431168616582553</v>
      </c>
      <c r="M153">
        <f t="shared" ca="1" si="42"/>
        <v>-0.68999999999999773</v>
      </c>
      <c r="N153">
        <f t="shared" ca="1" si="43"/>
        <v>0</v>
      </c>
      <c r="O153">
        <f t="shared" ca="1" si="44"/>
        <v>0.68999999999999773</v>
      </c>
      <c r="P153">
        <f t="shared" ca="1" si="48"/>
        <v>0.61847557554330734</v>
      </c>
      <c r="Q153">
        <f t="shared" ca="1" si="49"/>
        <v>0.28862079882116476</v>
      </c>
      <c r="R153">
        <f t="shared" ca="1" si="46"/>
        <v>2.1428655802679253</v>
      </c>
      <c r="S153">
        <f t="shared" ca="1" si="47"/>
        <v>68.1819036016567</v>
      </c>
      <c r="T153">
        <f>70</f>
        <v>70</v>
      </c>
      <c r="U153">
        <f>30</f>
        <v>30</v>
      </c>
      <c r="V153">
        <f t="shared" ca="1" si="45"/>
        <v>98.834007449409441</v>
      </c>
      <c r="W153">
        <f t="shared" ca="1" si="35"/>
        <v>96.329380464059156</v>
      </c>
      <c r="X153">
        <f t="shared" ca="1" si="34"/>
        <v>2.4934802326364149</v>
      </c>
      <c r="Y153">
        <f t="shared" ca="1" si="36"/>
        <v>2.1367396197951187</v>
      </c>
      <c r="Z153">
        <f t="shared" ca="1" si="37"/>
        <v>0.35674061284129621</v>
      </c>
      <c r="AA153">
        <f t="shared" ca="1" si="38"/>
        <v>92.874400000000037</v>
      </c>
    </row>
    <row r="154" spans="1:27" x14ac:dyDescent="0.25">
      <c r="A154" vm="446">
        <f ca="1"/>
        <v>45513</v>
      </c>
      <c r="B154" vm="447">
        <f ca="1"/>
        <v>101.02</v>
      </c>
      <c r="C154" vm="448">
        <f ca="1"/>
        <v>1512920</v>
      </c>
      <c r="D154">
        <f t="shared" ca="1" si="39"/>
        <v>152835178.40000001</v>
      </c>
      <c r="E154">
        <f ca="1">SUM($D$2:D154)/SUM($C$2:C154)</f>
        <v>92.133678863539004</v>
      </c>
      <c r="F154">
        <f ca="1">_xlfn.STDEV.P($B$2:B154)</f>
        <v>3.4974544278521784</v>
      </c>
      <c r="G154">
        <f t="shared" ca="1" si="40"/>
        <v>95.63113329139118</v>
      </c>
      <c r="H154">
        <f t="shared" ca="1" si="41"/>
        <v>88.636224435686827</v>
      </c>
      <c r="I154">
        <f t="shared" ca="1" si="50"/>
        <v>96.936999999999998</v>
      </c>
      <c r="J154">
        <f t="shared" ca="1" si="51"/>
        <v>3.5174977649340131</v>
      </c>
      <c r="K154">
        <f t="shared" ca="1" si="52"/>
        <v>103.97199552986802</v>
      </c>
      <c r="L154">
        <f t="shared" ca="1" si="53"/>
        <v>89.90200447013197</v>
      </c>
      <c r="M154">
        <f t="shared" ca="1" si="42"/>
        <v>0.51999999999999602</v>
      </c>
      <c r="N154">
        <f t="shared" ca="1" si="43"/>
        <v>0.51999999999999602</v>
      </c>
      <c r="O154">
        <f t="shared" ca="1" si="44"/>
        <v>0</v>
      </c>
      <c r="P154">
        <f t="shared" ca="1" si="48"/>
        <v>0.6114416058616422</v>
      </c>
      <c r="Q154">
        <f t="shared" ca="1" si="49"/>
        <v>0.26800502747679583</v>
      </c>
      <c r="R154">
        <f t="shared" ca="1" si="46"/>
        <v>2.2814557309548289</v>
      </c>
      <c r="S154">
        <f t="shared" ca="1" si="47"/>
        <v>69.52572022938665</v>
      </c>
      <c r="T154">
        <f>70</f>
        <v>70</v>
      </c>
      <c r="U154">
        <f>30</f>
        <v>30</v>
      </c>
      <c r="V154">
        <f t="shared" ca="1" si="45"/>
        <v>99.170313995654141</v>
      </c>
      <c r="W154">
        <f t="shared" ca="1" si="35"/>
        <v>96.676833763017726</v>
      </c>
      <c r="X154">
        <f t="shared" ca="1" si="34"/>
        <v>2.5297216060641574</v>
      </c>
      <c r="Y154">
        <f t="shared" ca="1" si="36"/>
        <v>2.2153360170489265</v>
      </c>
      <c r="Z154">
        <f t="shared" ca="1" si="37"/>
        <v>0.31438558901523095</v>
      </c>
      <c r="AA154">
        <f t="shared" ca="1" si="38"/>
        <v>92.994700000000051</v>
      </c>
    </row>
    <row r="155" spans="1:27" x14ac:dyDescent="0.25">
      <c r="A155" vm="449">
        <f ca="1"/>
        <v>45516</v>
      </c>
      <c r="B155" vm="450">
        <f ca="1"/>
        <v>101.94</v>
      </c>
      <c r="C155" vm="451">
        <f ca="1"/>
        <v>1238505</v>
      </c>
      <c r="D155">
        <f t="shared" ca="1" si="39"/>
        <v>126253199.7</v>
      </c>
      <c r="E155">
        <f ca="1">SUM($D$2:D155)/SUM($C$2:C155)</f>
        <v>92.175455496570095</v>
      </c>
      <c r="F155">
        <f ca="1">_xlfn.STDEV.P($B$2:B155)</f>
        <v>3.5786747269742509</v>
      </c>
      <c r="G155">
        <f t="shared" ca="1" si="40"/>
        <v>95.754130223544351</v>
      </c>
      <c r="H155">
        <f t="shared" ca="1" si="41"/>
        <v>88.596780769595838</v>
      </c>
      <c r="I155">
        <f t="shared" ca="1" si="50"/>
        <v>97.521000000000001</v>
      </c>
      <c r="J155">
        <f t="shared" ca="1" si="51"/>
        <v>3.3143196491651339</v>
      </c>
      <c r="K155">
        <f t="shared" ca="1" si="52"/>
        <v>104.14963929833027</v>
      </c>
      <c r="L155">
        <f t="shared" ca="1" si="53"/>
        <v>90.89236070166973</v>
      </c>
      <c r="M155">
        <f t="shared" ca="1" si="42"/>
        <v>0.92000000000000171</v>
      </c>
      <c r="N155">
        <f t="shared" ca="1" si="43"/>
        <v>0.92000000000000171</v>
      </c>
      <c r="O155">
        <f t="shared" ca="1" si="44"/>
        <v>0</v>
      </c>
      <c r="P155">
        <f t="shared" ca="1" si="48"/>
        <v>0.63348149115723928</v>
      </c>
      <c r="Q155">
        <f t="shared" ca="1" si="49"/>
        <v>0.24886181122845327</v>
      </c>
      <c r="R155">
        <f t="shared" ca="1" si="46"/>
        <v>2.5455150713168604</v>
      </c>
      <c r="S155">
        <f t="shared" ca="1" si="47"/>
        <v>71.79535328759485</v>
      </c>
      <c r="T155">
        <f>70</f>
        <v>70</v>
      </c>
      <c r="U155">
        <f>30</f>
        <v>30</v>
      </c>
      <c r="V155">
        <f t="shared" ca="1" si="45"/>
        <v>99.596419534784275</v>
      </c>
      <c r="W155">
        <f t="shared" ca="1" si="35"/>
        <v>97.066697928720117</v>
      </c>
      <c r="X155">
        <f t="shared" ca="1" si="34"/>
        <v>2.5021646011307297</v>
      </c>
      <c r="Y155">
        <f t="shared" ca="1" si="36"/>
        <v>2.2727017338652873</v>
      </c>
      <c r="Z155">
        <f t="shared" ca="1" si="37"/>
        <v>0.22946286726544241</v>
      </c>
      <c r="AA155">
        <f t="shared" ca="1" si="38"/>
        <v>93.117000000000047</v>
      </c>
    </row>
    <row r="156" spans="1:27" x14ac:dyDescent="0.25">
      <c r="A156" vm="452">
        <f ca="1"/>
        <v>45517</v>
      </c>
      <c r="B156" vm="453">
        <f ca="1"/>
        <v>101.6</v>
      </c>
      <c r="C156" vm="454">
        <f ca="1"/>
        <v>1505744</v>
      </c>
      <c r="D156">
        <f t="shared" ca="1" si="39"/>
        <v>152983590.40000001</v>
      </c>
      <c r="E156">
        <f ca="1">SUM($D$2:D156)/SUM($C$2:C156)</f>
        <v>92.224017599423647</v>
      </c>
      <c r="F156">
        <f ca="1">_xlfn.STDEV.P($B$2:B156)</f>
        <v>3.6500644442873282</v>
      </c>
      <c r="G156">
        <f t="shared" ca="1" si="40"/>
        <v>95.87408204371097</v>
      </c>
      <c r="H156">
        <f t="shared" ca="1" si="41"/>
        <v>88.573953155136323</v>
      </c>
      <c r="I156">
        <f t="shared" ca="1" si="50"/>
        <v>98.023499999999999</v>
      </c>
      <c r="J156">
        <f t="shared" ca="1" si="51"/>
        <v>3.1173947878249049</v>
      </c>
      <c r="K156">
        <f t="shared" ca="1" si="52"/>
        <v>104.25828957564981</v>
      </c>
      <c r="L156">
        <f t="shared" ca="1" si="53"/>
        <v>91.788710424350185</v>
      </c>
      <c r="M156">
        <f t="shared" ca="1" si="42"/>
        <v>-0.34000000000000341</v>
      </c>
      <c r="N156">
        <f t="shared" ca="1" si="43"/>
        <v>0</v>
      </c>
      <c r="O156">
        <f t="shared" ca="1" si="44"/>
        <v>0.34000000000000341</v>
      </c>
      <c r="P156">
        <f t="shared" ca="1" si="48"/>
        <v>0.58823281321743648</v>
      </c>
      <c r="Q156">
        <f t="shared" ca="1" si="49"/>
        <v>0.25537168185499259</v>
      </c>
      <c r="R156">
        <f t="shared" ca="1" si="46"/>
        <v>2.303437910360993</v>
      </c>
      <c r="S156">
        <f t="shared" ca="1" si="47"/>
        <v>69.72850626725652</v>
      </c>
      <c r="T156">
        <f>70</f>
        <v>70</v>
      </c>
      <c r="U156">
        <f>30</f>
        <v>30</v>
      </c>
      <c r="V156">
        <f t="shared" ca="1" si="45"/>
        <v>99.904662683279</v>
      </c>
      <c r="W156">
        <f t="shared" ca="1" si="35"/>
        <v>97.40249808214827</v>
      </c>
      <c r="X156">
        <f t="shared" ref="X156:X219" ca="1" si="54">V157-W157</f>
        <v>2.3930283197597504</v>
      </c>
      <c r="Y156">
        <f t="shared" ca="1" si="36"/>
        <v>2.29676705104418</v>
      </c>
      <c r="Z156">
        <f t="shared" ca="1" si="37"/>
        <v>9.6261268715570392E-2</v>
      </c>
      <c r="AA156">
        <f t="shared" ca="1" si="38"/>
        <v>93.242600000000039</v>
      </c>
    </row>
    <row r="157" spans="1:27" x14ac:dyDescent="0.25">
      <c r="A157" vm="455">
        <f ca="1"/>
        <v>45518</v>
      </c>
      <c r="B157" vm="456">
        <f ca="1"/>
        <v>100.86</v>
      </c>
      <c r="C157" vm="457">
        <f ca="1"/>
        <v>1639219</v>
      </c>
      <c r="D157">
        <f t="shared" ca="1" si="39"/>
        <v>165331628.34</v>
      </c>
      <c r="E157">
        <f ca="1">SUM($D$2:D157)/SUM($C$2:C157)</f>
        <v>92.272190782181923</v>
      </c>
      <c r="F157">
        <f ca="1">_xlfn.STDEV.P($B$2:B157)</f>
        <v>3.7064487266183268</v>
      </c>
      <c r="G157">
        <f t="shared" ca="1" si="40"/>
        <v>95.978639508800256</v>
      </c>
      <c r="H157">
        <f t="shared" ca="1" si="41"/>
        <v>88.565742055563589</v>
      </c>
      <c r="I157">
        <f t="shared" ca="1" si="50"/>
        <v>98.378500000000003</v>
      </c>
      <c r="J157">
        <f t="shared" ca="1" si="51"/>
        <v>3.008694899786283</v>
      </c>
      <c r="K157">
        <f t="shared" ca="1" si="52"/>
        <v>104.39588979957257</v>
      </c>
      <c r="L157">
        <f t="shared" ca="1" si="53"/>
        <v>92.361110200427433</v>
      </c>
      <c r="M157">
        <f t="shared" ca="1" si="42"/>
        <v>-0.73999999999999488</v>
      </c>
      <c r="N157">
        <f t="shared" ca="1" si="43"/>
        <v>0</v>
      </c>
      <c r="O157">
        <f t="shared" ca="1" si="44"/>
        <v>0.73999999999999488</v>
      </c>
      <c r="P157">
        <f t="shared" ca="1" si="48"/>
        <v>0.54621618370190528</v>
      </c>
      <c r="Q157">
        <f t="shared" ca="1" si="49"/>
        <v>0.28998799029392136</v>
      </c>
      <c r="R157">
        <f t="shared" ca="1" si="46"/>
        <v>1.8835820861004633</v>
      </c>
      <c r="S157">
        <f t="shared" ca="1" si="47"/>
        <v>65.320910931572485</v>
      </c>
      <c r="T157">
        <f>70</f>
        <v>70</v>
      </c>
      <c r="U157">
        <f>30</f>
        <v>30</v>
      </c>
      <c r="V157">
        <f t="shared" ca="1" si="45"/>
        <v>100.05163765508223</v>
      </c>
      <c r="W157">
        <f t="shared" ref="W157:W220" ca="1" si="55">B157*(2/(26+1)) + W156*(1-(2/(26+1)))</f>
        <v>97.658609335322481</v>
      </c>
      <c r="X157">
        <f t="shared" ca="1" si="54"/>
        <v>2.1502232181755545</v>
      </c>
      <c r="Y157">
        <f t="shared" ca="1" si="36"/>
        <v>2.2674582844704552</v>
      </c>
      <c r="Z157">
        <f t="shared" ca="1" si="37"/>
        <v>-0.11723506629490066</v>
      </c>
      <c r="AA157">
        <f t="shared" ca="1" si="38"/>
        <v>93.364700000000042</v>
      </c>
    </row>
    <row r="158" spans="1:27" x14ac:dyDescent="0.25">
      <c r="A158" vm="458">
        <f ca="1"/>
        <v>45519</v>
      </c>
      <c r="B158" vm="459">
        <f ca="1"/>
        <v>99.23</v>
      </c>
      <c r="C158" vm="460">
        <f ca="1"/>
        <v>2757442</v>
      </c>
      <c r="D158">
        <f t="shared" ca="1" si="39"/>
        <v>273620969.66000003</v>
      </c>
      <c r="E158">
        <f ca="1">SUM($D$2:D158)/SUM($C$2:C158)</f>
        <v>92.336872170264911</v>
      </c>
      <c r="F158">
        <f ca="1">_xlfn.STDEV.P($B$2:B158)</f>
        <v>3.7384603326299204</v>
      </c>
      <c r="G158">
        <f t="shared" ca="1" si="40"/>
        <v>96.075332502894838</v>
      </c>
      <c r="H158">
        <f t="shared" ca="1" si="41"/>
        <v>88.598411837634984</v>
      </c>
      <c r="I158">
        <f t="shared" ca="1" si="50"/>
        <v>98.634500000000003</v>
      </c>
      <c r="J158">
        <f t="shared" ca="1" si="51"/>
        <v>2.8394485658125119</v>
      </c>
      <c r="K158">
        <f t="shared" ca="1" si="52"/>
        <v>104.31339713162502</v>
      </c>
      <c r="L158">
        <f t="shared" ca="1" si="53"/>
        <v>92.955602868374982</v>
      </c>
      <c r="M158">
        <f t="shared" ca="1" si="42"/>
        <v>-1.6299999999999955</v>
      </c>
      <c r="N158">
        <f t="shared" ca="1" si="43"/>
        <v>0</v>
      </c>
      <c r="O158">
        <f t="shared" ca="1" si="44"/>
        <v>1.6299999999999955</v>
      </c>
      <c r="P158">
        <f t="shared" ca="1" si="48"/>
        <v>0.50720074200891208</v>
      </c>
      <c r="Q158">
        <f t="shared" ca="1" si="49"/>
        <v>0.38570313384435523</v>
      </c>
      <c r="R158">
        <f t="shared" ca="1" si="46"/>
        <v>1.3150029063896209</v>
      </c>
      <c r="S158">
        <f t="shared" ca="1" si="47"/>
        <v>56.803509955002298</v>
      </c>
      <c r="T158">
        <f>70</f>
        <v>70</v>
      </c>
      <c r="U158">
        <f>30</f>
        <v>30</v>
      </c>
      <c r="V158">
        <f t="shared" ca="1" si="45"/>
        <v>99.925231861992671</v>
      </c>
      <c r="W158">
        <f t="shared" ca="1" si="55"/>
        <v>97.775008643817117</v>
      </c>
      <c r="X158">
        <f t="shared" ca="1" si="54"/>
        <v>2.0048890420833629</v>
      </c>
      <c r="Y158">
        <f t="shared" ca="1" si="36"/>
        <v>2.2149444359930368</v>
      </c>
      <c r="Z158">
        <f t="shared" ca="1" si="37"/>
        <v>-0.21005539390967387</v>
      </c>
      <c r="AA158">
        <f t="shared" ca="1" si="38"/>
        <v>93.471000000000018</v>
      </c>
    </row>
    <row r="159" spans="1:27" x14ac:dyDescent="0.25">
      <c r="A159" vm="461">
        <f ca="1"/>
        <v>45520</v>
      </c>
      <c r="B159" vm="462">
        <f ca="1"/>
        <v>100.1</v>
      </c>
      <c r="C159" vm="463">
        <f ca="1"/>
        <v>1684765</v>
      </c>
      <c r="D159">
        <f t="shared" ca="1" si="39"/>
        <v>168644976.5</v>
      </c>
      <c r="E159">
        <f ca="1">SUM($D$2:D159)/SUM($C$2:C159)</f>
        <v>92.380716832936926</v>
      </c>
      <c r="F159">
        <f ca="1">_xlfn.STDEV.P($B$2:B159)</f>
        <v>3.7802210700867445</v>
      </c>
      <c r="G159">
        <f t="shared" ca="1" si="40"/>
        <v>96.160937903023665</v>
      </c>
      <c r="H159">
        <f t="shared" ca="1" si="41"/>
        <v>88.600495762850187</v>
      </c>
      <c r="I159">
        <f t="shared" ca="1" si="50"/>
        <v>98.9375</v>
      </c>
      <c r="J159">
        <f t="shared" ca="1" si="51"/>
        <v>2.6396667951606467</v>
      </c>
      <c r="K159">
        <f t="shared" ca="1" si="52"/>
        <v>104.2168335903213</v>
      </c>
      <c r="L159">
        <f t="shared" ca="1" si="53"/>
        <v>93.658166409678699</v>
      </c>
      <c r="M159">
        <f t="shared" ca="1" si="42"/>
        <v>0.86999999999999034</v>
      </c>
      <c r="N159">
        <f t="shared" ca="1" si="43"/>
        <v>0.86999999999999034</v>
      </c>
      <c r="O159">
        <f t="shared" ca="1" si="44"/>
        <v>0</v>
      </c>
      <c r="P159">
        <f t="shared" ca="1" si="48"/>
        <v>0.53311497472256053</v>
      </c>
      <c r="Q159">
        <f t="shared" ca="1" si="49"/>
        <v>0.35815290999832988</v>
      </c>
      <c r="R159">
        <f t="shared" ca="1" si="46"/>
        <v>1.4885121964387962</v>
      </c>
      <c r="S159">
        <f t="shared" ca="1" si="47"/>
        <v>59.815346638402758</v>
      </c>
      <c r="T159">
        <f>70</f>
        <v>70</v>
      </c>
      <c r="U159">
        <f>30</f>
        <v>30</v>
      </c>
      <c r="V159">
        <f t="shared" ca="1" si="45"/>
        <v>99.952119267839961</v>
      </c>
      <c r="W159">
        <f t="shared" ca="1" si="55"/>
        <v>97.947230225756599</v>
      </c>
      <c r="X159">
        <f t="shared" ca="1" si="54"/>
        <v>1.8929048409617337</v>
      </c>
      <c r="Y159">
        <f t="shared" ca="1" si="36"/>
        <v>2.1505365169867763</v>
      </c>
      <c r="Z159">
        <f t="shared" ca="1" si="37"/>
        <v>-0.25763167602504256</v>
      </c>
      <c r="AA159">
        <f t="shared" ca="1" si="38"/>
        <v>93.587000000000046</v>
      </c>
    </row>
    <row r="160" spans="1:27" x14ac:dyDescent="0.25">
      <c r="A160" vm="464">
        <f ca="1"/>
        <v>45523</v>
      </c>
      <c r="B160" vm="465">
        <f ca="1"/>
        <v>100.41</v>
      </c>
      <c r="C160" vm="466">
        <f ca="1"/>
        <v>1837783</v>
      </c>
      <c r="D160">
        <f t="shared" ca="1" si="39"/>
        <v>184531791.03</v>
      </c>
      <c r="E160">
        <f ca="1">SUM($D$2:D160)/SUM($C$2:C160)</f>
        <v>92.42988050221345</v>
      </c>
      <c r="F160">
        <f ca="1">_xlfn.STDEV.P($B$2:B160)</f>
        <v>3.8244578911873419</v>
      </c>
      <c r="G160">
        <f t="shared" ca="1" si="40"/>
        <v>96.254338393400786</v>
      </c>
      <c r="H160">
        <f t="shared" ca="1" si="41"/>
        <v>88.605422611026114</v>
      </c>
      <c r="I160">
        <f t="shared" ca="1" si="50"/>
        <v>99.225999999999999</v>
      </c>
      <c r="J160">
        <f t="shared" ca="1" si="51"/>
        <v>2.4540415644401778</v>
      </c>
      <c r="K160">
        <f t="shared" ca="1" si="52"/>
        <v>104.13408312888035</v>
      </c>
      <c r="L160">
        <f t="shared" ca="1" si="53"/>
        <v>94.31791687111965</v>
      </c>
      <c r="M160">
        <f t="shared" ca="1" si="42"/>
        <v>0.31000000000000227</v>
      </c>
      <c r="N160">
        <f t="shared" ca="1" si="43"/>
        <v>0.31000000000000227</v>
      </c>
      <c r="O160">
        <f t="shared" ca="1" si="44"/>
        <v>0</v>
      </c>
      <c r="P160">
        <f t="shared" ca="1" si="48"/>
        <v>0.51717819081380634</v>
      </c>
      <c r="Q160">
        <f t="shared" ca="1" si="49"/>
        <v>0.33257055928416346</v>
      </c>
      <c r="R160">
        <f t="shared" ca="1" si="46"/>
        <v>1.5550931264841927</v>
      </c>
      <c r="S160">
        <f t="shared" ca="1" si="47"/>
        <v>60.862483263927068</v>
      </c>
      <c r="T160">
        <f>70</f>
        <v>70</v>
      </c>
      <c r="U160">
        <f>30</f>
        <v>30</v>
      </c>
      <c r="V160">
        <f t="shared" ca="1" si="45"/>
        <v>100.02256245740304</v>
      </c>
      <c r="W160">
        <f t="shared" ca="1" si="55"/>
        <v>98.129657616441307</v>
      </c>
      <c r="X160">
        <f t="shared" ca="1" si="54"/>
        <v>1.7644510669666005</v>
      </c>
      <c r="Y160">
        <f t="shared" ca="1" si="36"/>
        <v>2.0733194269827413</v>
      </c>
      <c r="Z160">
        <f t="shared" ca="1" si="37"/>
        <v>-0.30886836001614082</v>
      </c>
      <c r="AA160">
        <f t="shared" ca="1" si="38"/>
        <v>93.716600000000057</v>
      </c>
    </row>
    <row r="161" spans="1:27" x14ac:dyDescent="0.25">
      <c r="A161" vm="467">
        <f ca="1"/>
        <v>45524</v>
      </c>
      <c r="B161" vm="468">
        <f ca="1"/>
        <v>100.17</v>
      </c>
      <c r="C161" vm="469">
        <f ca="1"/>
        <v>1460744</v>
      </c>
      <c r="D161">
        <f t="shared" ca="1" si="39"/>
        <v>146322726.47999999</v>
      </c>
      <c r="E161">
        <f ca="1">SUM($D$2:D161)/SUM($C$2:C161)</f>
        <v>92.46736800788976</v>
      </c>
      <c r="F161">
        <f ca="1">_xlfn.STDEV.P($B$2:B161)</f>
        <v>3.8638420964234226</v>
      </c>
      <c r="G161">
        <f t="shared" ca="1" si="40"/>
        <v>96.331210104313186</v>
      </c>
      <c r="H161">
        <f t="shared" ca="1" si="41"/>
        <v>88.603525911466335</v>
      </c>
      <c r="I161">
        <f t="shared" ca="1" si="50"/>
        <v>99.572000000000003</v>
      </c>
      <c r="J161">
        <f t="shared" ca="1" si="51"/>
        <v>2.0158362506596816</v>
      </c>
      <c r="K161">
        <f t="shared" ca="1" si="52"/>
        <v>103.60367250131937</v>
      </c>
      <c r="L161">
        <f t="shared" ca="1" si="53"/>
        <v>95.540327498680639</v>
      </c>
      <c r="M161">
        <f t="shared" ca="1" si="42"/>
        <v>-0.23999999999999488</v>
      </c>
      <c r="N161">
        <f t="shared" ca="1" si="43"/>
        <v>0</v>
      </c>
      <c r="O161">
        <f t="shared" ca="1" si="44"/>
        <v>0.23999999999999488</v>
      </c>
      <c r="P161">
        <f t="shared" ca="1" si="48"/>
        <v>0.48023689146996301</v>
      </c>
      <c r="Q161">
        <f t="shared" ca="1" si="49"/>
        <v>0.3259583764781514</v>
      </c>
      <c r="R161">
        <f t="shared" ca="1" si="46"/>
        <v>1.473307410163005</v>
      </c>
      <c r="S161">
        <f t="shared" ca="1" si="47"/>
        <v>59.568309386414107</v>
      </c>
      <c r="T161">
        <f>70</f>
        <v>70</v>
      </c>
      <c r="U161">
        <f>30</f>
        <v>30</v>
      </c>
      <c r="V161">
        <f t="shared" ca="1" si="45"/>
        <v>100.04524515626412</v>
      </c>
      <c r="W161">
        <f t="shared" ca="1" si="55"/>
        <v>98.280794089297515</v>
      </c>
      <c r="X161">
        <f t="shared" ca="1" si="54"/>
        <v>1.6636459612215049</v>
      </c>
      <c r="Y161">
        <f t="shared" ca="1" si="36"/>
        <v>1.9913847338304942</v>
      </c>
      <c r="Z161">
        <f t="shared" ca="1" si="37"/>
        <v>-0.32773877260898931</v>
      </c>
      <c r="AA161">
        <f t="shared" ca="1" si="38"/>
        <v>93.817800000000048</v>
      </c>
    </row>
    <row r="162" spans="1:27" x14ac:dyDescent="0.25">
      <c r="A162" vm="470">
        <f ca="1"/>
        <v>45525</v>
      </c>
      <c r="B162" vm="471">
        <f ca="1"/>
        <v>100.42</v>
      </c>
      <c r="C162" vm="472">
        <f ca="1"/>
        <v>1922499</v>
      </c>
      <c r="D162">
        <f t="shared" ca="1" si="39"/>
        <v>193057349.58000001</v>
      </c>
      <c r="E162">
        <f ca="1">SUM($D$2:D162)/SUM($C$2:C162)</f>
        <v>92.517739202277298</v>
      </c>
      <c r="F162">
        <f ca="1">_xlfn.STDEV.P($B$2:B162)</f>
        <v>3.904902745616301</v>
      </c>
      <c r="G162">
        <f t="shared" ca="1" si="40"/>
        <v>96.422641947893595</v>
      </c>
      <c r="H162">
        <f t="shared" ca="1" si="41"/>
        <v>88.612836456661</v>
      </c>
      <c r="I162">
        <f t="shared" ca="1" si="50"/>
        <v>99.799000000000007</v>
      </c>
      <c r="J162">
        <f t="shared" ca="1" si="51"/>
        <v>1.8247707858941156</v>
      </c>
      <c r="K162">
        <f t="shared" ca="1" si="52"/>
        <v>103.44854157178824</v>
      </c>
      <c r="L162">
        <f t="shared" ca="1" si="53"/>
        <v>96.149458428211773</v>
      </c>
      <c r="M162">
        <f t="shared" ca="1" si="42"/>
        <v>0.25</v>
      </c>
      <c r="N162">
        <f t="shared" ca="1" si="43"/>
        <v>0.25</v>
      </c>
      <c r="O162">
        <f t="shared" ca="1" si="44"/>
        <v>0</v>
      </c>
      <c r="P162">
        <f t="shared" ca="1" si="48"/>
        <v>0.46379139922210849</v>
      </c>
      <c r="Q162">
        <f t="shared" ca="1" si="49"/>
        <v>0.30267563530114056</v>
      </c>
      <c r="R162">
        <f t="shared" ca="1" si="46"/>
        <v>1.5323050326157548</v>
      </c>
      <c r="S162">
        <f t="shared" ca="1" si="47"/>
        <v>60.510286591854772</v>
      </c>
      <c r="T162">
        <f>70</f>
        <v>70</v>
      </c>
      <c r="U162">
        <f>30</f>
        <v>30</v>
      </c>
      <c r="V162">
        <f t="shared" ca="1" si="45"/>
        <v>100.10289974760809</v>
      </c>
      <c r="W162">
        <f t="shared" ca="1" si="55"/>
        <v>98.439253786386587</v>
      </c>
      <c r="X162">
        <f t="shared" ca="1" si="54"/>
        <v>1.5856516936295151</v>
      </c>
      <c r="Y162">
        <f t="shared" ca="1" si="36"/>
        <v>1.9102381257902985</v>
      </c>
      <c r="Z162">
        <f t="shared" ca="1" si="37"/>
        <v>-0.32458643216078342</v>
      </c>
      <c r="AA162">
        <f t="shared" ca="1" si="38"/>
        <v>93.913900000000055</v>
      </c>
    </row>
    <row r="163" spans="1:27" x14ac:dyDescent="0.25">
      <c r="A163" vm="473">
        <f ca="1"/>
        <v>45526</v>
      </c>
      <c r="B163" vm="474">
        <f ca="1"/>
        <v>100.67</v>
      </c>
      <c r="C163" vm="475">
        <f ca="1"/>
        <v>1844957</v>
      </c>
      <c r="D163">
        <f t="shared" ca="1" si="39"/>
        <v>185731821.19</v>
      </c>
      <c r="E163">
        <f ca="1">SUM($D$2:D163)/SUM($C$2:C163)</f>
        <v>92.56699277235542</v>
      </c>
      <c r="F163">
        <f ca="1">_xlfn.STDEV.P($B$2:B163)</f>
        <v>3.947599860399551</v>
      </c>
      <c r="G163">
        <f t="shared" ca="1" si="40"/>
        <v>96.514592632754969</v>
      </c>
      <c r="H163">
        <f t="shared" ca="1" si="41"/>
        <v>88.61939291195587</v>
      </c>
      <c r="I163">
        <f t="shared" ca="1" si="50"/>
        <v>100.0365</v>
      </c>
      <c r="J163">
        <f t="shared" ca="1" si="51"/>
        <v>1.5869509825614119</v>
      </c>
      <c r="K163">
        <f t="shared" ca="1" si="52"/>
        <v>103.21040196512283</v>
      </c>
      <c r="L163">
        <f t="shared" ca="1" si="53"/>
        <v>96.86259803487718</v>
      </c>
      <c r="M163">
        <f t="shared" ca="1" si="42"/>
        <v>0.25</v>
      </c>
      <c r="N163">
        <f t="shared" ca="1" si="43"/>
        <v>0.25</v>
      </c>
      <c r="O163">
        <f t="shared" ca="1" si="44"/>
        <v>0</v>
      </c>
      <c r="P163">
        <f t="shared" ca="1" si="48"/>
        <v>0.44852058499195785</v>
      </c>
      <c r="Q163">
        <f t="shared" ca="1" si="49"/>
        <v>0.28105594706534481</v>
      </c>
      <c r="R163">
        <f t="shared" ca="1" si="46"/>
        <v>1.5958409337187158</v>
      </c>
      <c r="S163">
        <f t="shared" ca="1" si="47"/>
        <v>61.476838314301752</v>
      </c>
      <c r="T163">
        <f>70</f>
        <v>70</v>
      </c>
      <c r="U163">
        <f>30</f>
        <v>30</v>
      </c>
      <c r="V163">
        <f t="shared" ca="1" si="45"/>
        <v>100.19014594028377</v>
      </c>
      <c r="W163">
        <f t="shared" ca="1" si="55"/>
        <v>98.604494246654255</v>
      </c>
      <c r="X163">
        <f t="shared" ca="1" si="54"/>
        <v>1.500890923366498</v>
      </c>
      <c r="Y163">
        <f t="shared" ca="1" si="36"/>
        <v>1.8283686853055385</v>
      </c>
      <c r="Z163">
        <f t="shared" ca="1" si="37"/>
        <v>-0.32747776193904055</v>
      </c>
      <c r="AA163">
        <f t="shared" ca="1" si="38"/>
        <v>94.017300000000048</v>
      </c>
    </row>
    <row r="164" spans="1:27" x14ac:dyDescent="0.25">
      <c r="A164" vm="476">
        <f ca="1"/>
        <v>45527</v>
      </c>
      <c r="B164" vm="477">
        <f ca="1"/>
        <v>100.6</v>
      </c>
      <c r="C164" vm="478">
        <f ca="1"/>
        <v>1620024</v>
      </c>
      <c r="D164">
        <f t="shared" ca="1" si="39"/>
        <v>162974414.39999998</v>
      </c>
      <c r="E164">
        <f ca="1">SUM($D$2:D164)/SUM($C$2:C164)</f>
        <v>92.609383914277302</v>
      </c>
      <c r="F164">
        <f ca="1">_xlfn.STDEV.P($B$2:B164)</f>
        <v>3.9877820657298044</v>
      </c>
      <c r="G164">
        <f t="shared" ca="1" si="40"/>
        <v>96.597165980007105</v>
      </c>
      <c r="H164">
        <f t="shared" ca="1" si="41"/>
        <v>88.621601848547499</v>
      </c>
      <c r="I164">
        <f t="shared" ca="1" si="50"/>
        <v>100.24449999999999</v>
      </c>
      <c r="J164">
        <f t="shared" ca="1" si="51"/>
        <v>1.3449182131267308</v>
      </c>
      <c r="K164">
        <f t="shared" ca="1" si="52"/>
        <v>102.93433642625345</v>
      </c>
      <c r="L164">
        <f t="shared" ca="1" si="53"/>
        <v>97.554663573746524</v>
      </c>
      <c r="M164">
        <f t="shared" ca="1" si="42"/>
        <v>-7.000000000000739E-2</v>
      </c>
      <c r="N164">
        <f t="shared" ca="1" si="43"/>
        <v>0</v>
      </c>
      <c r="O164">
        <f t="shared" ca="1" si="44"/>
        <v>7.000000000000739E-2</v>
      </c>
      <c r="P164">
        <f t="shared" ca="1" si="48"/>
        <v>0.41648340034967513</v>
      </c>
      <c r="Q164">
        <f t="shared" ca="1" si="49"/>
        <v>0.26598052227496355</v>
      </c>
      <c r="R164">
        <f t="shared" ca="1" si="46"/>
        <v>1.565841727008588</v>
      </c>
      <c r="S164">
        <f t="shared" ca="1" si="47"/>
        <v>61.026434737817603</v>
      </c>
      <c r="T164">
        <f>70</f>
        <v>70</v>
      </c>
      <c r="U164">
        <f>30</f>
        <v>30</v>
      </c>
      <c r="V164">
        <f t="shared" ca="1" si="45"/>
        <v>100.25320041100933</v>
      </c>
      <c r="W164">
        <f t="shared" ca="1" si="55"/>
        <v>98.752309487642833</v>
      </c>
      <c r="X164">
        <f t="shared" ca="1" si="54"/>
        <v>1.4413103663414688</v>
      </c>
      <c r="Y164">
        <f t="shared" ca="1" si="36"/>
        <v>1.7509570215127246</v>
      </c>
      <c r="Z164">
        <f t="shared" ca="1" si="37"/>
        <v>-0.30964665517125578</v>
      </c>
      <c r="AA164">
        <f t="shared" ca="1" si="38"/>
        <v>94.117300000000057</v>
      </c>
    </row>
    <row r="165" spans="1:27" x14ac:dyDescent="0.25">
      <c r="A165" vm="479">
        <f ca="1"/>
        <v>45530</v>
      </c>
      <c r="B165" vm="480">
        <f ca="1"/>
        <v>100.9</v>
      </c>
      <c r="C165" vm="481">
        <f ca="1"/>
        <v>1221535</v>
      </c>
      <c r="D165">
        <f t="shared" ca="1" si="39"/>
        <v>123252881.5</v>
      </c>
      <c r="E165">
        <f ca="1">SUM($D$2:D165)/SUM($C$2:C165)</f>
        <v>92.642242099294648</v>
      </c>
      <c r="F165">
        <f ca="1">_xlfn.STDEV.P($B$2:B165)</f>
        <v>4.0302228040995596</v>
      </c>
      <c r="G165">
        <f t="shared" ca="1" si="40"/>
        <v>96.672464903394214</v>
      </c>
      <c r="H165">
        <f t="shared" ca="1" si="41"/>
        <v>88.612019295195083</v>
      </c>
      <c r="I165">
        <f t="shared" ca="1" si="50"/>
        <v>100.446</v>
      </c>
      <c r="J165">
        <f t="shared" ca="1" si="51"/>
        <v>1.0905739676644446</v>
      </c>
      <c r="K165">
        <f t="shared" ca="1" si="52"/>
        <v>102.62714793532889</v>
      </c>
      <c r="L165">
        <f t="shared" ca="1" si="53"/>
        <v>98.264852064671103</v>
      </c>
      <c r="M165">
        <f t="shared" ca="1" si="42"/>
        <v>0.30000000000001137</v>
      </c>
      <c r="N165">
        <f t="shared" ca="1" si="43"/>
        <v>0.30000000000001137</v>
      </c>
      <c r="O165">
        <f t="shared" ca="1" si="44"/>
        <v>0</v>
      </c>
      <c r="P165">
        <f t="shared" ca="1" si="48"/>
        <v>0.40816315746755627</v>
      </c>
      <c r="Q165">
        <f t="shared" ca="1" si="49"/>
        <v>0.24698191354103757</v>
      </c>
      <c r="R165">
        <f t="shared" ca="1" si="46"/>
        <v>1.6526034300067785</v>
      </c>
      <c r="S165">
        <f t="shared" ca="1" si="47"/>
        <v>62.301187252953056</v>
      </c>
      <c r="T165">
        <f>70</f>
        <v>70</v>
      </c>
      <c r="U165">
        <f>30</f>
        <v>30</v>
      </c>
      <c r="V165">
        <f t="shared" ca="1" si="45"/>
        <v>100.35270804008482</v>
      </c>
      <c r="W165">
        <f t="shared" ca="1" si="55"/>
        <v>98.911397673743352</v>
      </c>
      <c r="X165">
        <f t="shared" ca="1" si="54"/>
        <v>1.273703828884905</v>
      </c>
      <c r="Y165">
        <f t="shared" ca="1" si="36"/>
        <v>1.6555063829871606</v>
      </c>
      <c r="Z165">
        <f t="shared" ca="1" si="37"/>
        <v>-0.38180255410225561</v>
      </c>
      <c r="AA165">
        <f t="shared" ca="1" si="38"/>
        <v>94.227400000000031</v>
      </c>
    </row>
    <row r="166" spans="1:27" x14ac:dyDescent="0.25">
      <c r="A166" vm="482">
        <f ca="1"/>
        <v>45531</v>
      </c>
      <c r="B166" vm="483">
        <f ca="1"/>
        <v>99.59</v>
      </c>
      <c r="C166" vm="484">
        <f ca="1"/>
        <v>927271</v>
      </c>
      <c r="D166">
        <f t="shared" ca="1" si="39"/>
        <v>92346918.890000001</v>
      </c>
      <c r="E166">
        <f ca="1">SUM($D$2:D166)/SUM($C$2:C166)</f>
        <v>92.663082092320124</v>
      </c>
      <c r="F166">
        <f ca="1">_xlfn.STDEV.P($B$2:B166)</f>
        <v>4.0559449548266828</v>
      </c>
      <c r="G166">
        <f t="shared" ca="1" si="40"/>
        <v>96.71902704714681</v>
      </c>
      <c r="H166">
        <f t="shared" ca="1" si="41"/>
        <v>88.607137137493439</v>
      </c>
      <c r="I166">
        <f t="shared" ca="1" si="50"/>
        <v>100.51750000000001</v>
      </c>
      <c r="J166">
        <f t="shared" ca="1" si="51"/>
        <v>0.97339273731245335</v>
      </c>
      <c r="K166">
        <f t="shared" ca="1" si="52"/>
        <v>102.46428547462492</v>
      </c>
      <c r="L166">
        <f t="shared" ca="1" si="53"/>
        <v>98.570714525375109</v>
      </c>
      <c r="M166">
        <f t="shared" ca="1" si="42"/>
        <v>-1.3100000000000023</v>
      </c>
      <c r="N166">
        <f t="shared" ca="1" si="43"/>
        <v>0</v>
      </c>
      <c r="O166">
        <f t="shared" ca="1" si="44"/>
        <v>1.3100000000000023</v>
      </c>
      <c r="P166">
        <f t="shared" ca="1" si="48"/>
        <v>0.37900864621987368</v>
      </c>
      <c r="Q166">
        <f t="shared" ca="1" si="49"/>
        <v>0.32291177685953504</v>
      </c>
      <c r="R166">
        <f t="shared" ca="1" si="46"/>
        <v>1.1737219679811817</v>
      </c>
      <c r="S166">
        <f t="shared" ca="1" si="47"/>
        <v>53.995956487078338</v>
      </c>
      <c r="T166">
        <f>70</f>
        <v>70</v>
      </c>
      <c r="U166">
        <f>30</f>
        <v>30</v>
      </c>
      <c r="V166">
        <f t="shared" ca="1" si="45"/>
        <v>100.23536834161024</v>
      </c>
      <c r="W166">
        <f t="shared" ca="1" si="55"/>
        <v>98.961664512725335</v>
      </c>
      <c r="X166">
        <f t="shared" ca="1" si="54"/>
        <v>1.1916906861040246</v>
      </c>
      <c r="Y166">
        <f t="shared" ref="Y166:Y229" ca="1" si="56">X166*(2/(9+1)) + Y165*(1-(2/(9+1)))</f>
        <v>1.5627432436105335</v>
      </c>
      <c r="Z166">
        <f t="shared" ref="Z166:Z229" ca="1" si="57">X166-Y166</f>
        <v>-0.3710525575065089</v>
      </c>
      <c r="AA166">
        <f t="shared" ref="AA166:AA229" ca="1" si="58">AVERAGE(B67:B166)</f>
        <v>94.321400000000011</v>
      </c>
    </row>
    <row r="167" spans="1:27" x14ac:dyDescent="0.25">
      <c r="A167" vm="485">
        <f ca="1"/>
        <v>45532</v>
      </c>
      <c r="B167" vm="486">
        <f ca="1"/>
        <v>100.39</v>
      </c>
      <c r="C167" vm="487">
        <f ca="1"/>
        <v>1019536</v>
      </c>
      <c r="D167">
        <f t="shared" ca="1" si="39"/>
        <v>102351219.04000001</v>
      </c>
      <c r="E167">
        <f ca="1">SUM($D$2:D167)/SUM($C$2:C167)</f>
        <v>92.688481590609356</v>
      </c>
      <c r="F167">
        <f ca="1">_xlfn.STDEV.P($B$2:B167)</f>
        <v>4.0895301176245598</v>
      </c>
      <c r="G167">
        <f t="shared" ca="1" si="40"/>
        <v>96.778011708233919</v>
      </c>
      <c r="H167">
        <f t="shared" ca="1" si="41"/>
        <v>88.598951472984794</v>
      </c>
      <c r="I167">
        <f t="shared" ca="1" si="50"/>
        <v>100.66100000000002</v>
      </c>
      <c r="J167">
        <f t="shared" ca="1" si="51"/>
        <v>0.67363038436284961</v>
      </c>
      <c r="K167">
        <f t="shared" ca="1" si="52"/>
        <v>102.00826076872572</v>
      </c>
      <c r="L167">
        <f t="shared" ca="1" si="53"/>
        <v>99.313739231274312</v>
      </c>
      <c r="M167">
        <f t="shared" ca="1" si="42"/>
        <v>0.79999999999999716</v>
      </c>
      <c r="N167">
        <f t="shared" ca="1" si="43"/>
        <v>0.79999999999999716</v>
      </c>
      <c r="O167">
        <f t="shared" ca="1" si="44"/>
        <v>0</v>
      </c>
      <c r="P167">
        <f t="shared" ca="1" si="48"/>
        <v>0.40907945720416822</v>
      </c>
      <c r="Q167">
        <f t="shared" ca="1" si="49"/>
        <v>0.2998466499409968</v>
      </c>
      <c r="R167">
        <f t="shared" ca="1" si="46"/>
        <v>1.3642955733694742</v>
      </c>
      <c r="S167">
        <f t="shared" ca="1" si="47"/>
        <v>57.704103866554604</v>
      </c>
      <c r="T167">
        <f>70</f>
        <v>70</v>
      </c>
      <c r="U167">
        <f>30</f>
        <v>30</v>
      </c>
      <c r="V167">
        <f t="shared" ca="1" si="45"/>
        <v>100.25915782751636</v>
      </c>
      <c r="W167">
        <f t="shared" ca="1" si="55"/>
        <v>99.067467141412337</v>
      </c>
      <c r="X167">
        <f t="shared" ca="1" si="54"/>
        <v>1.1473591276733686</v>
      </c>
      <c r="Y167">
        <f t="shared" ca="1" si="56"/>
        <v>1.4796664204231007</v>
      </c>
      <c r="Z167">
        <f t="shared" ca="1" si="57"/>
        <v>-0.33230729274973214</v>
      </c>
      <c r="AA167">
        <f t="shared" ca="1" si="58"/>
        <v>94.42880000000001</v>
      </c>
    </row>
    <row r="168" spans="1:27" x14ac:dyDescent="0.25">
      <c r="A168" vm="488">
        <f ca="1"/>
        <v>45533</v>
      </c>
      <c r="B168" vm="489">
        <f ca="1"/>
        <v>100.81</v>
      </c>
      <c r="C168" vm="490">
        <f ca="1"/>
        <v>1150898</v>
      </c>
      <c r="D168">
        <f t="shared" ca="1" si="39"/>
        <v>116022027.38</v>
      </c>
      <c r="E168">
        <f ca="1">SUM($D$2:D168)/SUM($C$2:C168)</f>
        <v>92.718506506476686</v>
      </c>
      <c r="F168">
        <f ca="1">_xlfn.STDEV.P($B$2:B168)</f>
        <v>4.1267865784257181</v>
      </c>
      <c r="G168">
        <f t="shared" ca="1" si="40"/>
        <v>96.845293084902409</v>
      </c>
      <c r="H168">
        <f t="shared" ca="1" si="41"/>
        <v>88.591719928050964</v>
      </c>
      <c r="I168">
        <f t="shared" ca="1" si="50"/>
        <v>100.691</v>
      </c>
      <c r="J168">
        <f t="shared" ca="1" si="51"/>
        <v>0.6658030370992043</v>
      </c>
      <c r="K168">
        <f t="shared" ca="1" si="52"/>
        <v>102.02260607419841</v>
      </c>
      <c r="L168">
        <f t="shared" ca="1" si="53"/>
        <v>99.359393925801598</v>
      </c>
      <c r="M168">
        <f t="shared" ca="1" si="42"/>
        <v>0.42000000000000171</v>
      </c>
      <c r="N168">
        <f t="shared" ca="1" si="43"/>
        <v>0.42000000000000171</v>
      </c>
      <c r="O168">
        <f t="shared" ca="1" si="44"/>
        <v>0</v>
      </c>
      <c r="P168">
        <f t="shared" ca="1" si="48"/>
        <v>0.40985949597529914</v>
      </c>
      <c r="Q168">
        <f t="shared" ca="1" si="49"/>
        <v>0.27842903208806846</v>
      </c>
      <c r="R168">
        <f t="shared" ca="1" si="46"/>
        <v>1.4720429579543939</v>
      </c>
      <c r="S168">
        <f t="shared" ca="1" si="47"/>
        <v>59.547628540100447</v>
      </c>
      <c r="T168">
        <f>70</f>
        <v>70</v>
      </c>
      <c r="U168">
        <f>30</f>
        <v>30</v>
      </c>
      <c r="V168">
        <f t="shared" ca="1" si="45"/>
        <v>100.34390277712923</v>
      </c>
      <c r="W168">
        <f t="shared" ca="1" si="55"/>
        <v>99.196543649455862</v>
      </c>
      <c r="X168">
        <f t="shared" ca="1" si="54"/>
        <v>1.1593801673339783</v>
      </c>
      <c r="Y168">
        <f t="shared" ca="1" si="56"/>
        <v>1.4156091698052764</v>
      </c>
      <c r="Z168">
        <f t="shared" ca="1" si="57"/>
        <v>-0.2562290024712981</v>
      </c>
      <c r="AA168">
        <f t="shared" ca="1" si="58"/>
        <v>94.530900000000003</v>
      </c>
    </row>
    <row r="169" spans="1:27" x14ac:dyDescent="0.25">
      <c r="A169" vm="491">
        <f ca="1"/>
        <v>45534</v>
      </c>
      <c r="B169" vm="492">
        <f ca="1"/>
        <v>101.56</v>
      </c>
      <c r="C169" vm="493">
        <f ca="1"/>
        <v>2366505</v>
      </c>
      <c r="D169">
        <f t="shared" ca="1" si="39"/>
        <v>240342247.80000001</v>
      </c>
      <c r="E169">
        <f ca="1">SUM($D$2:D169)/SUM($C$2:C169)</f>
        <v>92.78521050432532</v>
      </c>
      <c r="F169">
        <f ca="1">_xlfn.STDEV.P($B$2:B169)</f>
        <v>4.171839006889499</v>
      </c>
      <c r="G169">
        <f t="shared" ca="1" si="40"/>
        <v>96.957049511214819</v>
      </c>
      <c r="H169">
        <f t="shared" ca="1" si="41"/>
        <v>88.613371497435821</v>
      </c>
      <c r="I169">
        <f t="shared" ca="1" si="50"/>
        <v>100.67750000000001</v>
      </c>
      <c r="J169">
        <f t="shared" ca="1" si="51"/>
        <v>0.64386885719310616</v>
      </c>
      <c r="K169">
        <f t="shared" ca="1" si="52"/>
        <v>101.96523771438622</v>
      </c>
      <c r="L169">
        <f t="shared" ca="1" si="53"/>
        <v>99.389762285613799</v>
      </c>
      <c r="M169">
        <f t="shared" ca="1" si="42"/>
        <v>0.75</v>
      </c>
      <c r="N169">
        <f t="shared" ca="1" si="43"/>
        <v>0.75</v>
      </c>
      <c r="O169">
        <f t="shared" ca="1" si="44"/>
        <v>0</v>
      </c>
      <c r="P169">
        <f t="shared" ca="1" si="48"/>
        <v>0.43415524626277779</v>
      </c>
      <c r="Q169">
        <f t="shared" ca="1" si="49"/>
        <v>0.25854124408177787</v>
      </c>
      <c r="R169">
        <f t="shared" ca="1" si="46"/>
        <v>1.6792494667715467</v>
      </c>
      <c r="S169">
        <f t="shared" ca="1" si="47"/>
        <v>62.67611462082386</v>
      </c>
      <c r="T169">
        <f>70</f>
        <v>70</v>
      </c>
      <c r="U169">
        <f>30</f>
        <v>30</v>
      </c>
      <c r="V169">
        <f t="shared" ca="1" si="45"/>
        <v>100.53099465757089</v>
      </c>
      <c r="W169">
        <f t="shared" ca="1" si="55"/>
        <v>99.371614490236908</v>
      </c>
      <c r="X169">
        <f t="shared" ca="1" si="54"/>
        <v>1.2927940284090056</v>
      </c>
      <c r="Y169">
        <f t="shared" ca="1" si="56"/>
        <v>1.3910461415260222</v>
      </c>
      <c r="Z169">
        <f t="shared" ca="1" si="57"/>
        <v>-9.8252113117016648E-2</v>
      </c>
      <c r="AA169">
        <f t="shared" ca="1" si="58"/>
        <v>94.635199999999998</v>
      </c>
    </row>
    <row r="170" spans="1:27" x14ac:dyDescent="0.25">
      <c r="A170" vm="494">
        <f ca="1"/>
        <v>45538</v>
      </c>
      <c r="B170" vm="495">
        <f ca="1"/>
        <v>103.28</v>
      </c>
      <c r="C170" vm="496">
        <f ca="1"/>
        <v>2122586</v>
      </c>
      <c r="D170">
        <f t="shared" ca="1" si="39"/>
        <v>219220682.08000001</v>
      </c>
      <c r="E170">
        <f ca="1">SUM($D$2:D170)/SUM($C$2:C170)</f>
        <v>92.855749446492069</v>
      </c>
      <c r="F170">
        <f ca="1">_xlfn.STDEV.P($B$2:B170)</f>
        <v>4.238604144321414</v>
      </c>
      <c r="G170">
        <f t="shared" ca="1" si="40"/>
        <v>97.094353590813483</v>
      </c>
      <c r="H170">
        <f t="shared" ca="1" si="41"/>
        <v>88.617145302170655</v>
      </c>
      <c r="I170">
        <f t="shared" ca="1" si="50"/>
        <v>100.8065</v>
      </c>
      <c r="J170">
        <f t="shared" ca="1" si="51"/>
        <v>0.86804241346776734</v>
      </c>
      <c r="K170">
        <f t="shared" ca="1" si="52"/>
        <v>102.54258482693554</v>
      </c>
      <c r="L170">
        <f t="shared" ca="1" si="53"/>
        <v>99.070415173064461</v>
      </c>
      <c r="M170">
        <f t="shared" ca="1" si="42"/>
        <v>1.7199999999999989</v>
      </c>
      <c r="N170">
        <f t="shared" ca="1" si="43"/>
        <v>1.7199999999999989</v>
      </c>
      <c r="O170">
        <f t="shared" ca="1" si="44"/>
        <v>0</v>
      </c>
      <c r="P170">
        <f t="shared" ca="1" si="48"/>
        <v>0.52600130010115076</v>
      </c>
      <c r="Q170">
        <f t="shared" ca="1" si="49"/>
        <v>0.24007401236165088</v>
      </c>
      <c r="R170">
        <f t="shared" ca="1" si="46"/>
        <v>2.1909964136758582</v>
      </c>
      <c r="S170">
        <f t="shared" ca="1" si="47"/>
        <v>68.661826264854582</v>
      </c>
      <c r="T170">
        <f>70</f>
        <v>70</v>
      </c>
      <c r="U170">
        <f>30</f>
        <v>30</v>
      </c>
      <c r="V170">
        <f t="shared" ca="1" si="45"/>
        <v>100.95391855640614</v>
      </c>
      <c r="W170">
        <f t="shared" ca="1" si="55"/>
        <v>99.661124527997131</v>
      </c>
      <c r="X170">
        <f t="shared" ca="1" si="54"/>
        <v>1.4719325916055652</v>
      </c>
      <c r="Y170">
        <f t="shared" ca="1" si="56"/>
        <v>1.4072234315419307</v>
      </c>
      <c r="Z170">
        <f t="shared" ca="1" si="57"/>
        <v>6.4709160063634474E-2</v>
      </c>
      <c r="AA170">
        <f t="shared" ca="1" si="58"/>
        <v>94.779100000000014</v>
      </c>
    </row>
    <row r="171" spans="1:27" x14ac:dyDescent="0.25">
      <c r="A171" vm="497">
        <f ca="1"/>
        <v>45539</v>
      </c>
      <c r="B171" vm="498">
        <f ca="1"/>
        <v>104.4</v>
      </c>
      <c r="C171" vm="499">
        <f ca="1"/>
        <v>1501047</v>
      </c>
      <c r="D171">
        <f t="shared" ca="1" si="39"/>
        <v>156709306.80000001</v>
      </c>
      <c r="E171">
        <f ca="1">SUM($D$2:D171)/SUM($C$2:C171)</f>
        <v>92.910361758266944</v>
      </c>
      <c r="F171">
        <f ca="1">_xlfn.STDEV.P($B$2:B171)</f>
        <v>4.3195658058264428</v>
      </c>
      <c r="G171">
        <f t="shared" ca="1" si="40"/>
        <v>97.229927564093387</v>
      </c>
      <c r="H171">
        <f t="shared" ca="1" si="41"/>
        <v>88.590795952440502</v>
      </c>
      <c r="I171">
        <f t="shared" ca="1" si="50"/>
        <v>100.982</v>
      </c>
      <c r="J171">
        <f t="shared" ca="1" si="51"/>
        <v>1.1833654060392873</v>
      </c>
      <c r="K171">
        <f t="shared" ca="1" si="52"/>
        <v>103.34873081207857</v>
      </c>
      <c r="L171">
        <f t="shared" ca="1" si="53"/>
        <v>98.615269187921427</v>
      </c>
      <c r="M171">
        <f t="shared" ca="1" si="42"/>
        <v>1.1200000000000045</v>
      </c>
      <c r="N171">
        <f t="shared" ca="1" si="43"/>
        <v>1.1200000000000045</v>
      </c>
      <c r="O171">
        <f t="shared" ca="1" si="44"/>
        <v>0</v>
      </c>
      <c r="P171">
        <f t="shared" ca="1" si="48"/>
        <v>0.5684297786653546</v>
      </c>
      <c r="Q171">
        <f t="shared" ca="1" si="49"/>
        <v>0.22292586862153296</v>
      </c>
      <c r="R171">
        <f t="shared" ca="1" si="46"/>
        <v>2.5498601045282574</v>
      </c>
      <c r="S171">
        <f t="shared" ca="1" si="47"/>
        <v>71.829875810475343</v>
      </c>
      <c r="T171">
        <f>70</f>
        <v>70</v>
      </c>
      <c r="U171">
        <f>30</f>
        <v>30</v>
      </c>
      <c r="V171">
        <f t="shared" ca="1" si="45"/>
        <v>101.48408493234365</v>
      </c>
      <c r="W171">
        <f t="shared" ca="1" si="55"/>
        <v>100.01215234073808</v>
      </c>
      <c r="X171">
        <f t="shared" ca="1" si="54"/>
        <v>1.546848188507667</v>
      </c>
      <c r="Y171">
        <f t="shared" ca="1" si="56"/>
        <v>1.435148382935078</v>
      </c>
      <c r="Z171">
        <f t="shared" ca="1" si="57"/>
        <v>0.11169980557258907</v>
      </c>
      <c r="AA171">
        <f t="shared" ca="1" si="58"/>
        <v>94.937600000000003</v>
      </c>
    </row>
    <row r="172" spans="1:27" x14ac:dyDescent="0.25">
      <c r="A172" vm="500">
        <f ca="1"/>
        <v>45540</v>
      </c>
      <c r="B172" vm="501">
        <f ca="1"/>
        <v>103.79</v>
      </c>
      <c r="C172" vm="502">
        <f ca="1"/>
        <v>1538696</v>
      </c>
      <c r="D172">
        <f t="shared" ca="1" si="39"/>
        <v>159701257.84</v>
      </c>
      <c r="E172">
        <f ca="1">SUM($D$2:D172)/SUM($C$2:C172)</f>
        <v>92.962866297391287</v>
      </c>
      <c r="F172">
        <f ca="1">_xlfn.STDEV.P($B$2:B172)</f>
        <v>4.387927622444086</v>
      </c>
      <c r="G172">
        <f t="shared" ca="1" si="40"/>
        <v>97.350793919835368</v>
      </c>
      <c r="H172">
        <f t="shared" ca="1" si="41"/>
        <v>88.574938674947205</v>
      </c>
      <c r="I172">
        <f t="shared" ca="1" si="50"/>
        <v>101.11199999999999</v>
      </c>
      <c r="J172">
        <f t="shared" ca="1" si="51"/>
        <v>1.3398805916946492</v>
      </c>
      <c r="K172">
        <f t="shared" ca="1" si="52"/>
        <v>103.7917611833893</v>
      </c>
      <c r="L172">
        <f t="shared" ca="1" si="53"/>
        <v>98.432238816610692</v>
      </c>
      <c r="M172">
        <f t="shared" ca="1" si="42"/>
        <v>-0.60999999999999943</v>
      </c>
      <c r="N172">
        <f t="shared" ca="1" si="43"/>
        <v>0</v>
      </c>
      <c r="O172">
        <f t="shared" ca="1" si="44"/>
        <v>0.60999999999999943</v>
      </c>
      <c r="P172">
        <f t="shared" ca="1" si="48"/>
        <v>0.5278276516178293</v>
      </c>
      <c r="Q172">
        <f t="shared" ca="1" si="49"/>
        <v>0.25057402086285202</v>
      </c>
      <c r="R172">
        <f t="shared" ca="1" si="46"/>
        <v>2.1064739664561154</v>
      </c>
      <c r="S172">
        <f t="shared" ca="1" si="47"/>
        <v>67.809162066121985</v>
      </c>
      <c r="T172">
        <f>70</f>
        <v>70</v>
      </c>
      <c r="U172">
        <f>30</f>
        <v>30</v>
      </c>
      <c r="V172">
        <f t="shared" ca="1" si="45"/>
        <v>101.83884109659849</v>
      </c>
      <c r="W172">
        <f t="shared" ca="1" si="55"/>
        <v>100.29199290809082</v>
      </c>
      <c r="X172">
        <f t="shared" ca="1" si="54"/>
        <v>1.5472310842171879</v>
      </c>
      <c r="Y172">
        <f t="shared" ca="1" si="56"/>
        <v>1.4575649231915</v>
      </c>
      <c r="Z172">
        <f t="shared" ca="1" si="57"/>
        <v>8.9666161025687918E-2</v>
      </c>
      <c r="AA172">
        <f t="shared" ca="1" si="58"/>
        <v>95.089200000000019</v>
      </c>
    </row>
    <row r="173" spans="1:27" x14ac:dyDescent="0.25">
      <c r="A173" vm="503">
        <f ca="1"/>
        <v>45541</v>
      </c>
      <c r="B173" vm="495">
        <f ca="1"/>
        <v>103.28</v>
      </c>
      <c r="C173" vm="504">
        <f ca="1"/>
        <v>1760628</v>
      </c>
      <c r="D173">
        <f t="shared" ca="1" si="39"/>
        <v>181837659.84</v>
      </c>
      <c r="E173">
        <f ca="1">SUM($D$2:D173)/SUM($C$2:C173)</f>
        <v>93.019524742610898</v>
      </c>
      <c r="F173">
        <f ca="1">_xlfn.STDEV.P($B$2:B173)</f>
        <v>4.4464696255435694</v>
      </c>
      <c r="G173">
        <f t="shared" ca="1" si="40"/>
        <v>97.465994368154469</v>
      </c>
      <c r="H173">
        <f t="shared" ca="1" si="41"/>
        <v>88.573055117067327</v>
      </c>
      <c r="I173">
        <f t="shared" ca="1" si="50"/>
        <v>101.25099999999999</v>
      </c>
      <c r="J173">
        <f t="shared" ca="1" si="51"/>
        <v>1.4151358499042461</v>
      </c>
      <c r="K173">
        <f t="shared" ca="1" si="52"/>
        <v>104.08127169980848</v>
      </c>
      <c r="L173">
        <f t="shared" ca="1" si="53"/>
        <v>98.420728300191499</v>
      </c>
      <c r="M173">
        <f t="shared" ca="1" si="42"/>
        <v>-0.51000000000000512</v>
      </c>
      <c r="N173">
        <f t="shared" ca="1" si="43"/>
        <v>0</v>
      </c>
      <c r="O173">
        <f t="shared" ca="1" si="44"/>
        <v>0.51000000000000512</v>
      </c>
      <c r="P173">
        <f t="shared" ca="1" si="48"/>
        <v>0.49012567650227007</v>
      </c>
      <c r="Q173">
        <f t="shared" ca="1" si="49"/>
        <v>0.26910444794407723</v>
      </c>
      <c r="R173">
        <f t="shared" ca="1" si="46"/>
        <v>1.8213213503038175</v>
      </c>
      <c r="S173">
        <f t="shared" ca="1" si="47"/>
        <v>64.555615052772566</v>
      </c>
      <c r="T173">
        <f>70</f>
        <v>70</v>
      </c>
      <c r="U173">
        <f>30</f>
        <v>30</v>
      </c>
      <c r="V173">
        <f t="shared" ca="1" si="45"/>
        <v>102.06055785096794</v>
      </c>
      <c r="W173">
        <f t="shared" ca="1" si="55"/>
        <v>100.51332676675075</v>
      </c>
      <c r="X173">
        <f t="shared" ca="1" si="54"/>
        <v>1.6471637679301665</v>
      </c>
      <c r="Y173">
        <f t="shared" ca="1" si="56"/>
        <v>1.4954846921392333</v>
      </c>
      <c r="Z173">
        <f t="shared" ca="1" si="57"/>
        <v>0.1516790757909332</v>
      </c>
      <c r="AA173">
        <f t="shared" ca="1" si="58"/>
        <v>95.228800000000035</v>
      </c>
    </row>
    <row r="174" spans="1:27" x14ac:dyDescent="0.25">
      <c r="A174" vm="505">
        <f ca="1"/>
        <v>45544</v>
      </c>
      <c r="B174" vm="506">
        <f ca="1"/>
        <v>104.75</v>
      </c>
      <c r="C174" vm="507">
        <f ca="1"/>
        <v>1672940</v>
      </c>
      <c r="D174">
        <f t="shared" ca="1" si="39"/>
        <v>175240465</v>
      </c>
      <c r="E174">
        <f ca="1">SUM($D$2:D174)/SUM($C$2:C174)</f>
        <v>93.080418620489638</v>
      </c>
      <c r="F174">
        <f ca="1">_xlfn.STDEV.P($B$2:B174)</f>
        <v>4.5235749876895559</v>
      </c>
      <c r="G174">
        <f t="shared" ca="1" si="40"/>
        <v>97.603993608179195</v>
      </c>
      <c r="H174">
        <f t="shared" ca="1" si="41"/>
        <v>88.556843632800081</v>
      </c>
      <c r="I174">
        <f t="shared" ca="1" si="50"/>
        <v>101.43749999999999</v>
      </c>
      <c r="J174">
        <f t="shared" ca="1" si="51"/>
        <v>1.6147930452374912</v>
      </c>
      <c r="K174">
        <f t="shared" ca="1" si="52"/>
        <v>104.66708609047497</v>
      </c>
      <c r="L174">
        <f t="shared" ca="1" si="53"/>
        <v>98.207913909525004</v>
      </c>
      <c r="M174">
        <f t="shared" ca="1" si="42"/>
        <v>1.4699999999999989</v>
      </c>
      <c r="N174">
        <f t="shared" ca="1" si="43"/>
        <v>1.4699999999999989</v>
      </c>
      <c r="O174">
        <f t="shared" ca="1" si="44"/>
        <v>0</v>
      </c>
      <c r="P174">
        <f t="shared" ca="1" si="48"/>
        <v>0.5601166996092507</v>
      </c>
      <c r="Q174">
        <f t="shared" ca="1" si="49"/>
        <v>0.24988270166235743</v>
      </c>
      <c r="R174">
        <f t="shared" ca="1" si="46"/>
        <v>2.2415185040142664</v>
      </c>
      <c r="S174">
        <f t="shared" ca="1" si="47"/>
        <v>69.150260942160003</v>
      </c>
      <c r="T174">
        <f>70</f>
        <v>70</v>
      </c>
      <c r="U174">
        <f>30</f>
        <v>30</v>
      </c>
      <c r="V174">
        <f t="shared" ca="1" si="45"/>
        <v>102.47431818158826</v>
      </c>
      <c r="W174">
        <f t="shared" ca="1" si="55"/>
        <v>100.82715441365809</v>
      </c>
      <c r="X174">
        <f t="shared" ca="1" si="54"/>
        <v>1.7242373660764372</v>
      </c>
      <c r="Y174">
        <f t="shared" ca="1" si="56"/>
        <v>1.5412352269266743</v>
      </c>
      <c r="Z174">
        <f t="shared" ca="1" si="57"/>
        <v>0.18300213914976293</v>
      </c>
      <c r="AA174">
        <f t="shared" ca="1" si="58"/>
        <v>95.402100000000033</v>
      </c>
    </row>
    <row r="175" spans="1:27" x14ac:dyDescent="0.25">
      <c r="A175" vm="508">
        <f ca="1"/>
        <v>45545</v>
      </c>
      <c r="B175" vm="509">
        <f ca="1"/>
        <v>104.97</v>
      </c>
      <c r="C175" vm="510">
        <f ca="1"/>
        <v>1271138</v>
      </c>
      <c r="D175">
        <f t="shared" ca="1" si="39"/>
        <v>133431355.86</v>
      </c>
      <c r="E175">
        <f ca="1">SUM($D$2:D175)/SUM($C$2:C175)</f>
        <v>93.127130495976061</v>
      </c>
      <c r="F175">
        <f ca="1">_xlfn.STDEV.P($B$2:B175)</f>
        <v>4.6007702601186091</v>
      </c>
      <c r="G175">
        <f t="shared" ca="1" si="40"/>
        <v>97.72790075609467</v>
      </c>
      <c r="H175">
        <f t="shared" ca="1" si="41"/>
        <v>88.526360235857453</v>
      </c>
      <c r="I175">
        <f t="shared" ca="1" si="50"/>
        <v>101.58899999999998</v>
      </c>
      <c r="J175">
        <f t="shared" ca="1" si="51"/>
        <v>1.7963498076875086</v>
      </c>
      <c r="K175">
        <f t="shared" ca="1" si="52"/>
        <v>105.181699615375</v>
      </c>
      <c r="L175">
        <f t="shared" ca="1" si="53"/>
        <v>97.996300384624973</v>
      </c>
      <c r="M175">
        <f t="shared" ca="1" si="42"/>
        <v>0.21999999999999886</v>
      </c>
      <c r="N175">
        <f t="shared" ca="1" si="43"/>
        <v>0.21999999999999886</v>
      </c>
      <c r="O175">
        <f t="shared" ca="1" si="44"/>
        <v>0</v>
      </c>
      <c r="P175">
        <f t="shared" ca="1" si="48"/>
        <v>0.53582264963716131</v>
      </c>
      <c r="Q175">
        <f t="shared" ca="1" si="49"/>
        <v>0.23203393725790331</v>
      </c>
      <c r="R175">
        <f t="shared" ca="1" si="46"/>
        <v>2.3092425873961706</v>
      </c>
      <c r="S175">
        <f t="shared" ca="1" si="47"/>
        <v>69.781604896278225</v>
      </c>
      <c r="T175">
        <f>70</f>
        <v>70</v>
      </c>
      <c r="U175">
        <f>30</f>
        <v>30</v>
      </c>
      <c r="V175">
        <f t="shared" ca="1" si="45"/>
        <v>102.85826923057468</v>
      </c>
      <c r="W175">
        <f t="shared" ca="1" si="55"/>
        <v>101.13403186449824</v>
      </c>
      <c r="X175">
        <f t="shared" ca="1" si="54"/>
        <v>1.6732353433582574</v>
      </c>
      <c r="Y175">
        <f t="shared" ca="1" si="56"/>
        <v>1.5676352502129909</v>
      </c>
      <c r="Z175">
        <f t="shared" ca="1" si="57"/>
        <v>0.10560009314526653</v>
      </c>
      <c r="AA175">
        <f t="shared" ca="1" si="58"/>
        <v>95.548500000000018</v>
      </c>
    </row>
    <row r="176" spans="1:27" x14ac:dyDescent="0.25">
      <c r="A176" vm="511">
        <f ca="1"/>
        <v>45546</v>
      </c>
      <c r="B176" vm="512">
        <f ca="1"/>
        <v>103.82</v>
      </c>
      <c r="C176" vm="513">
        <f ca="1"/>
        <v>2685901</v>
      </c>
      <c r="D176">
        <f t="shared" ca="1" si="39"/>
        <v>278850241.81999999</v>
      </c>
      <c r="E176">
        <f ca="1">SUM($D$2:D176)/SUM($C$2:C176)</f>
        <v>93.215166816139487</v>
      </c>
      <c r="F176">
        <f ca="1">_xlfn.STDEV.P($B$2:B176)</f>
        <v>4.6589417384690464</v>
      </c>
      <c r="G176">
        <f t="shared" ca="1" si="40"/>
        <v>97.87410855460854</v>
      </c>
      <c r="H176">
        <f t="shared" ca="1" si="41"/>
        <v>88.556225077670433</v>
      </c>
      <c r="I176">
        <f t="shared" ca="1" si="50"/>
        <v>101.7</v>
      </c>
      <c r="J176">
        <f t="shared" ca="1" si="51"/>
        <v>1.8643666908349164</v>
      </c>
      <c r="K176">
        <f t="shared" ca="1" si="52"/>
        <v>105.42873338166983</v>
      </c>
      <c r="L176">
        <f t="shared" ca="1" si="53"/>
        <v>97.971266618330176</v>
      </c>
      <c r="M176">
        <f t="shared" ca="1" si="42"/>
        <v>-1.1500000000000057</v>
      </c>
      <c r="N176">
        <f t="shared" ca="1" si="43"/>
        <v>0</v>
      </c>
      <c r="O176">
        <f t="shared" ca="1" si="44"/>
        <v>1.1500000000000057</v>
      </c>
      <c r="P176">
        <f t="shared" ca="1" si="48"/>
        <v>0.49754960323450692</v>
      </c>
      <c r="Q176">
        <f t="shared" ca="1" si="49"/>
        <v>0.29760294173948204</v>
      </c>
      <c r="R176">
        <f t="shared" ca="1" si="46"/>
        <v>1.6718571406799323</v>
      </c>
      <c r="S176">
        <f t="shared" ca="1" si="47"/>
        <v>62.572849245019114</v>
      </c>
      <c r="T176">
        <f>70</f>
        <v>70</v>
      </c>
      <c r="U176">
        <f>30</f>
        <v>30</v>
      </c>
      <c r="V176">
        <f t="shared" ca="1" si="45"/>
        <v>103.00622781048627</v>
      </c>
      <c r="W176">
        <f t="shared" ca="1" si="55"/>
        <v>101.33299246712801</v>
      </c>
      <c r="X176">
        <f t="shared" ca="1" si="54"/>
        <v>1.5799062903071643</v>
      </c>
      <c r="Y176">
        <f t="shared" ca="1" si="56"/>
        <v>1.5700894582318257</v>
      </c>
      <c r="Z176">
        <f t="shared" ca="1" si="57"/>
        <v>9.8168320753386773E-3</v>
      </c>
      <c r="AA176">
        <f t="shared" ca="1" si="58"/>
        <v>95.677700000000016</v>
      </c>
    </row>
    <row r="177" spans="1:27" x14ac:dyDescent="0.25">
      <c r="A177" vm="514">
        <f ca="1"/>
        <v>45547</v>
      </c>
      <c r="B177" vm="515">
        <f ca="1"/>
        <v>103.39</v>
      </c>
      <c r="C177" vm="516">
        <f ca="1"/>
        <v>1528602</v>
      </c>
      <c r="D177">
        <f t="shared" ca="1" si="39"/>
        <v>158042160.78</v>
      </c>
      <c r="E177">
        <f ca="1">SUM($D$2:D177)/SUM($C$2:C177)</f>
        <v>93.26262041177965</v>
      </c>
      <c r="F177">
        <f ca="1">_xlfn.STDEV.P($B$2:B177)</f>
        <v>4.7095444588836237</v>
      </c>
      <c r="G177">
        <f t="shared" ca="1" si="40"/>
        <v>97.972164870663278</v>
      </c>
      <c r="H177">
        <f t="shared" ca="1" si="41"/>
        <v>88.553075952896023</v>
      </c>
      <c r="I177">
        <f t="shared" ca="1" si="50"/>
        <v>101.8265</v>
      </c>
      <c r="J177">
        <f t="shared" ca="1" si="51"/>
        <v>1.8900272206338304</v>
      </c>
      <c r="K177">
        <f t="shared" ca="1" si="52"/>
        <v>105.60655444126766</v>
      </c>
      <c r="L177">
        <f t="shared" ca="1" si="53"/>
        <v>98.04644555873233</v>
      </c>
      <c r="M177">
        <f t="shared" ca="1" si="42"/>
        <v>-0.42999999999999261</v>
      </c>
      <c r="N177">
        <f t="shared" ca="1" si="43"/>
        <v>0</v>
      </c>
      <c r="O177">
        <f t="shared" ca="1" si="44"/>
        <v>0.42999999999999261</v>
      </c>
      <c r="P177">
        <f t="shared" ca="1" si="48"/>
        <v>0.46201034586061357</v>
      </c>
      <c r="Q177">
        <f t="shared" ca="1" si="49"/>
        <v>0.30705987447237565</v>
      </c>
      <c r="R177">
        <f t="shared" ca="1" si="46"/>
        <v>1.5046262448146017</v>
      </c>
      <c r="S177">
        <f t="shared" ca="1" si="47"/>
        <v>60.073883196332055</v>
      </c>
      <c r="T177">
        <f>70</f>
        <v>70</v>
      </c>
      <c r="U177">
        <f>30</f>
        <v>30</v>
      </c>
      <c r="V177">
        <f t="shared" ca="1" si="45"/>
        <v>103.06526968579607</v>
      </c>
      <c r="W177">
        <f t="shared" ca="1" si="55"/>
        <v>101.4853633954889</v>
      </c>
      <c r="X177">
        <f t="shared" ca="1" si="54"/>
        <v>1.5821139405912845</v>
      </c>
      <c r="Y177">
        <f t="shared" ca="1" si="56"/>
        <v>1.5724943547037176</v>
      </c>
      <c r="Z177">
        <f t="shared" ca="1" si="57"/>
        <v>9.6195858875669504E-3</v>
      </c>
      <c r="AA177">
        <f t="shared" ca="1" si="58"/>
        <v>95.793900000000008</v>
      </c>
    </row>
    <row r="178" spans="1:27" x14ac:dyDescent="0.25">
      <c r="A178" vm="517">
        <f ca="1"/>
        <v>45548</v>
      </c>
      <c r="B178" vm="518">
        <f ca="1"/>
        <v>104.56</v>
      </c>
      <c r="C178" vm="519">
        <f ca="1"/>
        <v>1274726</v>
      </c>
      <c r="D178">
        <f t="shared" ca="1" si="39"/>
        <v>133285350.56</v>
      </c>
      <c r="E178">
        <f ca="1">SUM($D$2:D178)/SUM($C$2:C178)</f>
        <v>93.306388358368409</v>
      </c>
      <c r="F178">
        <f ca="1">_xlfn.STDEV.P($B$2:B178)</f>
        <v>4.7732496005863005</v>
      </c>
      <c r="G178">
        <f t="shared" ca="1" si="40"/>
        <v>98.079637958954706</v>
      </c>
      <c r="H178">
        <f t="shared" ca="1" si="41"/>
        <v>88.533138757782112</v>
      </c>
      <c r="I178">
        <f t="shared" ca="1" si="50"/>
        <v>102.09299999999999</v>
      </c>
      <c r="J178">
        <f t="shared" ca="1" si="51"/>
        <v>1.8803921763403788</v>
      </c>
      <c r="K178">
        <f t="shared" ca="1" si="52"/>
        <v>105.85378435268075</v>
      </c>
      <c r="L178">
        <f t="shared" ca="1" si="53"/>
        <v>98.332215647319231</v>
      </c>
      <c r="M178">
        <f t="shared" ca="1" si="42"/>
        <v>1.1700000000000017</v>
      </c>
      <c r="N178">
        <f t="shared" ca="1" si="43"/>
        <v>1.1700000000000017</v>
      </c>
      <c r="O178">
        <f t="shared" ca="1" si="44"/>
        <v>0</v>
      </c>
      <c r="P178">
        <f t="shared" ca="1" si="48"/>
        <v>0.5125810354419984</v>
      </c>
      <c r="Q178">
        <f t="shared" ca="1" si="49"/>
        <v>0.28512702629577741</v>
      </c>
      <c r="R178">
        <f t="shared" ca="1" si="46"/>
        <v>1.7977286899147571</v>
      </c>
      <c r="S178">
        <f t="shared" ca="1" si="47"/>
        <v>64.256719974142001</v>
      </c>
      <c r="T178">
        <f>70</f>
        <v>70</v>
      </c>
      <c r="U178">
        <f>30</f>
        <v>30</v>
      </c>
      <c r="V178">
        <f t="shared" ca="1" si="45"/>
        <v>103.2952281956736</v>
      </c>
      <c r="W178">
        <f t="shared" ca="1" si="55"/>
        <v>101.71311425508232</v>
      </c>
      <c r="X178">
        <f t="shared" ca="1" si="54"/>
        <v>1.5889476957644177</v>
      </c>
      <c r="Y178">
        <f t="shared" ca="1" si="56"/>
        <v>1.5757850229158576</v>
      </c>
      <c r="Z178">
        <f t="shared" ca="1" si="57"/>
        <v>1.3162672848560097E-2</v>
      </c>
      <c r="AA178">
        <f t="shared" ca="1" si="58"/>
        <v>95.912200000000013</v>
      </c>
    </row>
    <row r="179" spans="1:27" x14ac:dyDescent="0.25">
      <c r="A179" vm="520">
        <f ca="1"/>
        <v>45551</v>
      </c>
      <c r="B179" vm="521">
        <f ca="1"/>
        <v>104.85</v>
      </c>
      <c r="C179" vm="522">
        <f ca="1"/>
        <v>1467923</v>
      </c>
      <c r="D179">
        <f t="shared" ca="1" si="39"/>
        <v>153911726.54999998</v>
      </c>
      <c r="E179">
        <f ca="1">SUM($D$2:D179)/SUM($C$2:C179)</f>
        <v>93.357659544550216</v>
      </c>
      <c r="F179">
        <f ca="1">_xlfn.STDEV.P($B$2:B179)</f>
        <v>4.8384148958836715</v>
      </c>
      <c r="G179">
        <f t="shared" ca="1" si="40"/>
        <v>98.19607444043389</v>
      </c>
      <c r="H179">
        <f t="shared" ca="1" si="41"/>
        <v>88.519244648666543</v>
      </c>
      <c r="I179">
        <f t="shared" ca="1" si="50"/>
        <v>102.3305</v>
      </c>
      <c r="J179">
        <f t="shared" ca="1" si="51"/>
        <v>1.9150717315134969</v>
      </c>
      <c r="K179">
        <f t="shared" ca="1" si="52"/>
        <v>106.160643463027</v>
      </c>
      <c r="L179">
        <f t="shared" ca="1" si="53"/>
        <v>98.500356536973001</v>
      </c>
      <c r="M179">
        <f t="shared" ca="1" si="42"/>
        <v>0.28999999999999204</v>
      </c>
      <c r="N179">
        <f t="shared" ca="1" si="43"/>
        <v>0.28999999999999204</v>
      </c>
      <c r="O179">
        <f t="shared" ca="1" si="44"/>
        <v>0</v>
      </c>
      <c r="P179">
        <f t="shared" ca="1" si="48"/>
        <v>0.49668239005328368</v>
      </c>
      <c r="Q179">
        <f t="shared" ca="1" si="49"/>
        <v>0.26476081013179331</v>
      </c>
      <c r="R179">
        <f t="shared" ca="1" si="46"/>
        <v>1.8759664234523374</v>
      </c>
      <c r="S179">
        <f t="shared" ca="1" si="47"/>
        <v>65.229079454982283</v>
      </c>
      <c r="T179">
        <f>70</f>
        <v>70</v>
      </c>
      <c r="U179">
        <f>30</f>
        <v>30</v>
      </c>
      <c r="V179">
        <f t="shared" ca="1" si="45"/>
        <v>103.53442385787767</v>
      </c>
      <c r="W179">
        <f t="shared" ca="1" si="55"/>
        <v>101.94547616211325</v>
      </c>
      <c r="X179">
        <f t="shared" ca="1" si="54"/>
        <v>1.5514647666748118</v>
      </c>
      <c r="Y179">
        <f t="shared" ca="1" si="56"/>
        <v>1.5709209716676484</v>
      </c>
      <c r="Z179">
        <f t="shared" ca="1" si="57"/>
        <v>-1.9456204992836623E-2</v>
      </c>
      <c r="AA179">
        <f t="shared" ca="1" si="58"/>
        <v>96.032299999999992</v>
      </c>
    </row>
    <row r="180" spans="1:27" x14ac:dyDescent="0.25">
      <c r="A180" vm="523">
        <f ca="1"/>
        <v>45552</v>
      </c>
      <c r="B180" vm="524">
        <f ca="1"/>
        <v>104.54</v>
      </c>
      <c r="C180" vm="525">
        <f ca="1"/>
        <v>1391024</v>
      </c>
      <c r="D180">
        <f t="shared" ca="1" si="39"/>
        <v>145417648.96000001</v>
      </c>
      <c r="E180">
        <f ca="1">SUM($D$2:D180)/SUM($C$2:C180)</f>
        <v>93.404527032193414</v>
      </c>
      <c r="F180">
        <f ca="1">_xlfn.STDEV.P($B$2:B180)</f>
        <v>4.8971379773829673</v>
      </c>
      <c r="G180">
        <f t="shared" ca="1" si="40"/>
        <v>98.301665009576382</v>
      </c>
      <c r="H180">
        <f t="shared" ca="1" si="41"/>
        <v>88.507389054810446</v>
      </c>
      <c r="I180">
        <f t="shared" ca="1" si="50"/>
        <v>102.53699999999999</v>
      </c>
      <c r="J180">
        <f t="shared" ca="1" si="51"/>
        <v>1.9197480646113296</v>
      </c>
      <c r="K180">
        <f t="shared" ca="1" si="52"/>
        <v>106.37649612922264</v>
      </c>
      <c r="L180">
        <f t="shared" ca="1" si="53"/>
        <v>98.697503870777339</v>
      </c>
      <c r="M180">
        <f t="shared" ca="1" si="42"/>
        <v>-0.30999999999998806</v>
      </c>
      <c r="N180">
        <f t="shared" ca="1" si="43"/>
        <v>0</v>
      </c>
      <c r="O180">
        <f t="shared" ca="1" si="44"/>
        <v>0.30999999999998806</v>
      </c>
      <c r="P180">
        <f t="shared" ca="1" si="48"/>
        <v>0.46120507647804915</v>
      </c>
      <c r="Q180">
        <f t="shared" ca="1" si="49"/>
        <v>0.26799218083666437</v>
      </c>
      <c r="R180">
        <f t="shared" ca="1" si="46"/>
        <v>1.720964675305747</v>
      </c>
      <c r="S180">
        <f t="shared" ca="1" si="47"/>
        <v>63.248328466901803</v>
      </c>
      <c r="T180">
        <f>70</f>
        <v>70</v>
      </c>
      <c r="U180">
        <f>30</f>
        <v>30</v>
      </c>
      <c r="V180">
        <f t="shared" ca="1" si="45"/>
        <v>103.68912787974264</v>
      </c>
      <c r="W180">
        <f t="shared" ca="1" si="55"/>
        <v>102.13766311306783</v>
      </c>
      <c r="X180">
        <f t="shared" ca="1" si="54"/>
        <v>1.4142748391353877</v>
      </c>
      <c r="Y180">
        <f t="shared" ca="1" si="56"/>
        <v>1.5395917451611965</v>
      </c>
      <c r="Z180">
        <f t="shared" ca="1" si="57"/>
        <v>-0.12531690602580881</v>
      </c>
      <c r="AA180">
        <f t="shared" ca="1" si="58"/>
        <v>96.143400000000014</v>
      </c>
    </row>
    <row r="181" spans="1:27" x14ac:dyDescent="0.25">
      <c r="A181" vm="526">
        <f ca="1"/>
        <v>45553</v>
      </c>
      <c r="B181" vm="527">
        <f ca="1"/>
        <v>103.41</v>
      </c>
      <c r="C181" vm="528">
        <f ca="1"/>
        <v>1347037</v>
      </c>
      <c r="D181">
        <f t="shared" ca="1" si="39"/>
        <v>139297096.16999999</v>
      </c>
      <c r="E181">
        <f ca="1">SUM($D$2:D181)/SUM($C$2:C181)</f>
        <v>93.444971804671226</v>
      </c>
      <c r="F181">
        <f ca="1">_xlfn.STDEV.P($B$2:B181)</f>
        <v>4.9403424042254045</v>
      </c>
      <c r="G181">
        <f t="shared" ca="1" si="40"/>
        <v>98.385314208896631</v>
      </c>
      <c r="H181">
        <f t="shared" ca="1" si="41"/>
        <v>88.504629400445822</v>
      </c>
      <c r="I181">
        <f t="shared" ca="1" si="50"/>
        <v>102.699</v>
      </c>
      <c r="J181">
        <f t="shared" ca="1" si="51"/>
        <v>1.8447333283246057</v>
      </c>
      <c r="K181">
        <f t="shared" ca="1" si="52"/>
        <v>106.38846665664921</v>
      </c>
      <c r="L181">
        <f t="shared" ca="1" si="53"/>
        <v>99.009533343350782</v>
      </c>
      <c r="M181">
        <f t="shared" ca="1" si="42"/>
        <v>-1.1300000000000097</v>
      </c>
      <c r="N181">
        <f t="shared" ca="1" si="43"/>
        <v>0</v>
      </c>
      <c r="O181">
        <f t="shared" ca="1" si="44"/>
        <v>1.1300000000000097</v>
      </c>
      <c r="P181">
        <f t="shared" ca="1" si="48"/>
        <v>0.42826185672961709</v>
      </c>
      <c r="Q181">
        <f t="shared" ca="1" si="49"/>
        <v>0.32956416791976045</v>
      </c>
      <c r="R181">
        <f t="shared" ca="1" si="46"/>
        <v>1.2994794289465557</v>
      </c>
      <c r="S181">
        <f t="shared" ca="1" si="47"/>
        <v>56.511896240005804</v>
      </c>
      <c r="T181">
        <f>70</f>
        <v>70</v>
      </c>
      <c r="U181">
        <f>30</f>
        <v>30</v>
      </c>
      <c r="V181">
        <f t="shared" ca="1" si="45"/>
        <v>103.64618512901301</v>
      </c>
      <c r="W181">
        <f t="shared" ca="1" si="55"/>
        <v>102.23191028987762</v>
      </c>
      <c r="X181">
        <f t="shared" ca="1" si="54"/>
        <v>1.1877667780815813</v>
      </c>
      <c r="Y181">
        <f t="shared" ca="1" si="56"/>
        <v>1.4692267517452735</v>
      </c>
      <c r="Z181">
        <f t="shared" ca="1" si="57"/>
        <v>-0.28145997366369224</v>
      </c>
      <c r="AA181">
        <f t="shared" ca="1" si="58"/>
        <v>96.236400000000017</v>
      </c>
    </row>
    <row r="182" spans="1:27" x14ac:dyDescent="0.25">
      <c r="A182" vm="529">
        <f ca="1"/>
        <v>45554</v>
      </c>
      <c r="B182" vm="530">
        <f ca="1"/>
        <v>102.12</v>
      </c>
      <c r="C182" vm="531">
        <f ca="1"/>
        <v>1761679</v>
      </c>
      <c r="D182">
        <f t="shared" ca="1" si="39"/>
        <v>179902659.48000002</v>
      </c>
      <c r="E182">
        <f ca="1">SUM($D$2:D182)/SUM($C$2:C182)</f>
        <v>93.490591570401804</v>
      </c>
      <c r="F182">
        <f ca="1">_xlfn.STDEV.P($B$2:B182)</f>
        <v>4.9687639608536767</v>
      </c>
      <c r="G182">
        <f t="shared" ca="1" si="40"/>
        <v>98.459355531255483</v>
      </c>
      <c r="H182">
        <f t="shared" ca="1" si="41"/>
        <v>88.521827609548126</v>
      </c>
      <c r="I182">
        <f t="shared" ca="1" si="50"/>
        <v>102.78399999999999</v>
      </c>
      <c r="J182">
        <f t="shared" ca="1" si="51"/>
        <v>1.7719255063348456</v>
      </c>
      <c r="K182">
        <f t="shared" ca="1" si="52"/>
        <v>106.32785101266968</v>
      </c>
      <c r="L182">
        <f t="shared" ca="1" si="53"/>
        <v>99.240148987330301</v>
      </c>
      <c r="M182">
        <f t="shared" ca="1" si="42"/>
        <v>-1.289999999999992</v>
      </c>
      <c r="N182">
        <f t="shared" ca="1" si="43"/>
        <v>0</v>
      </c>
      <c r="O182">
        <f t="shared" ca="1" si="44"/>
        <v>1.289999999999992</v>
      </c>
      <c r="P182">
        <f t="shared" ca="1" si="48"/>
        <v>0.39767172410607304</v>
      </c>
      <c r="Q182">
        <f t="shared" ca="1" si="49"/>
        <v>0.39816672735406267</v>
      </c>
      <c r="R182">
        <f t="shared" ca="1" si="46"/>
        <v>0.99875679404133266</v>
      </c>
      <c r="S182">
        <f t="shared" ca="1" si="47"/>
        <v>49.968900519503585</v>
      </c>
      <c r="T182">
        <f>70</f>
        <v>70</v>
      </c>
      <c r="U182">
        <f>30</f>
        <v>30</v>
      </c>
      <c r="V182">
        <f t="shared" ca="1" si="45"/>
        <v>103.41138741685715</v>
      </c>
      <c r="W182">
        <f t="shared" ca="1" si="55"/>
        <v>102.22362063877557</v>
      </c>
      <c r="X182">
        <f t="shared" ca="1" si="54"/>
        <v>1.0948870518647169</v>
      </c>
      <c r="Y182">
        <f t="shared" ca="1" si="56"/>
        <v>1.3943588117691623</v>
      </c>
      <c r="Z182">
        <f t="shared" ca="1" si="57"/>
        <v>-0.29947175990444541</v>
      </c>
      <c r="AA182">
        <f t="shared" ca="1" si="58"/>
        <v>96.328300000000041</v>
      </c>
    </row>
    <row r="183" spans="1:27" x14ac:dyDescent="0.25">
      <c r="A183" vm="532">
        <f ca="1"/>
        <v>45555</v>
      </c>
      <c r="B183" vm="533">
        <f ca="1"/>
        <v>103.35</v>
      </c>
      <c r="C183" vm="534">
        <f ca="1"/>
        <v>3492651</v>
      </c>
      <c r="D183">
        <f t="shared" ca="1" si="39"/>
        <v>360965480.84999996</v>
      </c>
      <c r="E183">
        <f ca="1">SUM($D$2:D183)/SUM($C$2:C183)</f>
        <v>93.592323431217594</v>
      </c>
      <c r="F183">
        <f ca="1">_xlfn.STDEV.P($B$2:B183)</f>
        <v>5.0087178678167277</v>
      </c>
      <c r="G183">
        <f t="shared" ca="1" si="40"/>
        <v>98.601041299034321</v>
      </c>
      <c r="H183">
        <f t="shared" ca="1" si="41"/>
        <v>88.583605563400866</v>
      </c>
      <c r="I183">
        <f t="shared" ca="1" si="50"/>
        <v>102.91799999999998</v>
      </c>
      <c r="J183">
        <f t="shared" ca="1" si="51"/>
        <v>1.7036635447423911</v>
      </c>
      <c r="K183">
        <f t="shared" ca="1" si="52"/>
        <v>106.32532708948476</v>
      </c>
      <c r="L183">
        <f t="shared" ca="1" si="53"/>
        <v>99.510672910515197</v>
      </c>
      <c r="M183">
        <f t="shared" ca="1" si="42"/>
        <v>1.2299999999999898</v>
      </c>
      <c r="N183">
        <f t="shared" ca="1" si="43"/>
        <v>1.2299999999999898</v>
      </c>
      <c r="O183">
        <f t="shared" ca="1" si="44"/>
        <v>0</v>
      </c>
      <c r="P183">
        <f t="shared" ca="1" si="48"/>
        <v>0.45712374381278137</v>
      </c>
      <c r="Q183">
        <f t="shared" ca="1" si="49"/>
        <v>0.36972624682877248</v>
      </c>
      <c r="R183">
        <f t="shared" ca="1" si="46"/>
        <v>1.2363843458062214</v>
      </c>
      <c r="S183">
        <f t="shared" ca="1" si="47"/>
        <v>55.284966921037089</v>
      </c>
      <c r="T183">
        <f>70</f>
        <v>70</v>
      </c>
      <c r="U183">
        <f>30</f>
        <v>30</v>
      </c>
      <c r="V183">
        <f t="shared" ca="1" si="45"/>
        <v>103.40194319887914</v>
      </c>
      <c r="W183">
        <f t="shared" ca="1" si="55"/>
        <v>102.30705614701442</v>
      </c>
      <c r="X183">
        <f t="shared" ca="1" si="54"/>
        <v>1.0630879837248273</v>
      </c>
      <c r="Y183">
        <f t="shared" ca="1" si="56"/>
        <v>1.3281046461602954</v>
      </c>
      <c r="Z183">
        <f t="shared" ca="1" si="57"/>
        <v>-0.26501666243546818</v>
      </c>
      <c r="AA183">
        <f t="shared" ca="1" si="58"/>
        <v>96.422100000000029</v>
      </c>
    </row>
    <row r="184" spans="1:27" x14ac:dyDescent="0.25">
      <c r="A184" vm="535">
        <f ca="1"/>
        <v>45558</v>
      </c>
      <c r="B184" vm="536">
        <f ca="1"/>
        <v>104.02</v>
      </c>
      <c r="C184" vm="537">
        <f ca="1"/>
        <v>1053579</v>
      </c>
      <c r="D184">
        <f t="shared" ca="1" si="39"/>
        <v>109593287.58</v>
      </c>
      <c r="E184">
        <f ca="1">SUM($D$2:D184)/SUM($C$2:C184)</f>
        <v>93.624679513270351</v>
      </c>
      <c r="F184">
        <f ca="1">_xlfn.STDEV.P($B$2:B184)</f>
        <v>5.0546794481164294</v>
      </c>
      <c r="G184">
        <f t="shared" ca="1" si="40"/>
        <v>98.679358961386782</v>
      </c>
      <c r="H184">
        <f t="shared" ca="1" si="41"/>
        <v>88.57000006515392</v>
      </c>
      <c r="I184">
        <f t="shared" ca="1" si="50"/>
        <v>103.08899999999998</v>
      </c>
      <c r="J184">
        <f t="shared" ca="1" si="51"/>
        <v>1.6287447540005175</v>
      </c>
      <c r="K184">
        <f t="shared" ca="1" si="52"/>
        <v>106.34648950800101</v>
      </c>
      <c r="L184">
        <f t="shared" ca="1" si="53"/>
        <v>99.831510491998955</v>
      </c>
      <c r="M184">
        <f t="shared" ca="1" si="42"/>
        <v>0.67000000000000171</v>
      </c>
      <c r="N184">
        <f t="shared" ca="1" si="43"/>
        <v>0.67000000000000171</v>
      </c>
      <c r="O184">
        <f t="shared" ca="1" si="44"/>
        <v>0</v>
      </c>
      <c r="P184">
        <f t="shared" ca="1" si="48"/>
        <v>0.4723291906832971</v>
      </c>
      <c r="Q184">
        <f t="shared" ca="1" si="49"/>
        <v>0.34331722919814583</v>
      </c>
      <c r="R184">
        <f t="shared" ca="1" si="46"/>
        <v>1.3757806207001977</v>
      </c>
      <c r="S184">
        <f t="shared" ca="1" si="47"/>
        <v>57.90857155382988</v>
      </c>
      <c r="T184">
        <f>70</f>
        <v>70</v>
      </c>
      <c r="U184">
        <f>30</f>
        <v>30</v>
      </c>
      <c r="V184">
        <f t="shared" ca="1" si="45"/>
        <v>103.49702886059004</v>
      </c>
      <c r="W184">
        <f t="shared" ca="1" si="55"/>
        <v>102.43394087686521</v>
      </c>
      <c r="X184">
        <f t="shared" ca="1" si="54"/>
        <v>0.93033272539614131</v>
      </c>
      <c r="Y184">
        <f t="shared" ca="1" si="56"/>
        <v>1.2485502620074647</v>
      </c>
      <c r="Z184">
        <f t="shared" ca="1" si="57"/>
        <v>-0.31821753661132335</v>
      </c>
      <c r="AA184">
        <f t="shared" ca="1" si="58"/>
        <v>96.518300000000039</v>
      </c>
    </row>
    <row r="185" spans="1:27" x14ac:dyDescent="0.25">
      <c r="A185" vm="538">
        <f ca="1"/>
        <v>45559</v>
      </c>
      <c r="B185" vm="539">
        <f ca="1"/>
        <v>102.82</v>
      </c>
      <c r="C185" vm="540">
        <f ca="1"/>
        <v>1063139</v>
      </c>
      <c r="D185">
        <f t="shared" ca="1" si="39"/>
        <v>109311951.97999999</v>
      </c>
      <c r="E185">
        <f ca="1">SUM($D$2:D185)/SUM($C$2:C185)</f>
        <v>93.653380743538676</v>
      </c>
      <c r="F185">
        <f ca="1">_xlfn.STDEV.P($B$2:B185)</f>
        <v>5.0865576720264034</v>
      </c>
      <c r="G185">
        <f t="shared" ca="1" si="40"/>
        <v>98.739938415565078</v>
      </c>
      <c r="H185">
        <f t="shared" ca="1" si="41"/>
        <v>88.566823071512275</v>
      </c>
      <c r="I185">
        <f t="shared" ca="1" si="50"/>
        <v>103.18499999999999</v>
      </c>
      <c r="J185">
        <f t="shared" ca="1" si="51"/>
        <v>1.5474886276259272</v>
      </c>
      <c r="K185">
        <f t="shared" ca="1" si="52"/>
        <v>106.27997725525184</v>
      </c>
      <c r="L185">
        <f t="shared" ca="1" si="53"/>
        <v>100.09002274474814</v>
      </c>
      <c r="M185">
        <f t="shared" ca="1" si="42"/>
        <v>-1.2000000000000028</v>
      </c>
      <c r="N185">
        <f t="shared" ca="1" si="43"/>
        <v>0</v>
      </c>
      <c r="O185">
        <f t="shared" ca="1" si="44"/>
        <v>1.2000000000000028</v>
      </c>
      <c r="P185">
        <f t="shared" ca="1" si="48"/>
        <v>0.43859139134877584</v>
      </c>
      <c r="Q185">
        <f t="shared" ca="1" si="49"/>
        <v>0.40450885568399275</v>
      </c>
      <c r="R185">
        <f t="shared" ca="1" si="46"/>
        <v>1.0842565871818854</v>
      </c>
      <c r="S185">
        <f t="shared" ca="1" si="47"/>
        <v>52.021262346010097</v>
      </c>
      <c r="T185">
        <f>70</f>
        <v>70</v>
      </c>
      <c r="U185">
        <f>30</f>
        <v>30</v>
      </c>
      <c r="V185">
        <f t="shared" ca="1" si="45"/>
        <v>103.39287057434541</v>
      </c>
      <c r="W185">
        <f t="shared" ca="1" si="55"/>
        <v>102.46253784894927</v>
      </c>
      <c r="X185">
        <f t="shared" ca="1" si="54"/>
        <v>0.84284262014836031</v>
      </c>
      <c r="Y185">
        <f t="shared" ca="1" si="56"/>
        <v>1.1674087336356438</v>
      </c>
      <c r="Z185">
        <f t="shared" ca="1" si="57"/>
        <v>-0.32456611348728348</v>
      </c>
      <c r="AA185">
        <f t="shared" ca="1" si="58"/>
        <v>96.598500000000016</v>
      </c>
    </row>
    <row r="186" spans="1:27" x14ac:dyDescent="0.25">
      <c r="A186" vm="541">
        <f ca="1"/>
        <v>45560</v>
      </c>
      <c r="B186" vm="542">
        <f ca="1"/>
        <v>103.16</v>
      </c>
      <c r="C186" vm="543">
        <f ca="1"/>
        <v>1151089</v>
      </c>
      <c r="D186">
        <f t="shared" ca="1" si="39"/>
        <v>118746341.23999999</v>
      </c>
      <c r="E186">
        <f ca="1">SUM($D$2:D186)/SUM($C$2:C186)</f>
        <v>93.685400157066255</v>
      </c>
      <c r="F186">
        <f ca="1">_xlfn.STDEV.P($B$2:B186)</f>
        <v>5.1207549137581907</v>
      </c>
      <c r="G186">
        <f t="shared" ca="1" si="40"/>
        <v>98.806155070824445</v>
      </c>
      <c r="H186">
        <f t="shared" ca="1" si="41"/>
        <v>88.564645243308064</v>
      </c>
      <c r="I186">
        <f t="shared" ca="1" si="50"/>
        <v>103.3635</v>
      </c>
      <c r="J186">
        <f t="shared" ca="1" si="51"/>
        <v>1.2965349570053408</v>
      </c>
      <c r="K186">
        <f t="shared" ca="1" si="52"/>
        <v>105.95656991401069</v>
      </c>
      <c r="L186">
        <f t="shared" ca="1" si="53"/>
        <v>100.77043008598932</v>
      </c>
      <c r="M186">
        <f t="shared" ca="1" si="42"/>
        <v>0.34000000000000341</v>
      </c>
      <c r="N186">
        <f t="shared" ca="1" si="43"/>
        <v>0.34000000000000341</v>
      </c>
      <c r="O186">
        <f t="shared" ca="1" si="44"/>
        <v>0</v>
      </c>
      <c r="P186">
        <f t="shared" ca="1" si="48"/>
        <v>0.43154914910957781</v>
      </c>
      <c r="Q186">
        <f t="shared" ca="1" si="49"/>
        <v>0.37561536599227896</v>
      </c>
      <c r="R186">
        <f t="shared" ca="1" si="46"/>
        <v>1.1489123933189906</v>
      </c>
      <c r="S186">
        <f t="shared" ca="1" si="47"/>
        <v>53.46483164651017</v>
      </c>
      <c r="T186">
        <f>70</f>
        <v>70</v>
      </c>
      <c r="U186">
        <f>30</f>
        <v>30</v>
      </c>
      <c r="V186">
        <f t="shared" ca="1" si="45"/>
        <v>103.35704433213841</v>
      </c>
      <c r="W186">
        <f t="shared" ca="1" si="55"/>
        <v>102.51420171199005</v>
      </c>
      <c r="X186">
        <f t="shared" ca="1" si="54"/>
        <v>0.76150031409784447</v>
      </c>
      <c r="Y186">
        <f t="shared" ca="1" si="56"/>
        <v>1.0862270497280839</v>
      </c>
      <c r="Z186">
        <f t="shared" ca="1" si="57"/>
        <v>-0.32472673563023946</v>
      </c>
      <c r="AA186">
        <f t="shared" ca="1" si="58"/>
        <v>96.677600000000027</v>
      </c>
    </row>
    <row r="187" spans="1:27" x14ac:dyDescent="0.25">
      <c r="A187" vm="544">
        <f ca="1"/>
        <v>45561</v>
      </c>
      <c r="B187" vm="545">
        <f ca="1"/>
        <v>103.12</v>
      </c>
      <c r="C187" vm="546">
        <f ca="1"/>
        <v>1391590</v>
      </c>
      <c r="D187">
        <f t="shared" ca="1" si="39"/>
        <v>143500760.80000001</v>
      </c>
      <c r="E187">
        <f ca="1">SUM($D$2:D187)/SUM($C$2:C187)</f>
        <v>93.723660456962961</v>
      </c>
      <c r="F187">
        <f ca="1">_xlfn.STDEV.P($B$2:B187)</f>
        <v>5.153461127333296</v>
      </c>
      <c r="G187">
        <f t="shared" ca="1" si="40"/>
        <v>98.877121584296262</v>
      </c>
      <c r="H187">
        <f t="shared" ca="1" si="41"/>
        <v>88.570199329629659</v>
      </c>
      <c r="I187">
        <f t="shared" ca="1" si="50"/>
        <v>103.49999999999997</v>
      </c>
      <c r="J187">
        <f t="shared" ca="1" si="51"/>
        <v>1.0950606808468841</v>
      </c>
      <c r="K187">
        <f t="shared" ca="1" si="52"/>
        <v>105.69012136169374</v>
      </c>
      <c r="L187">
        <f t="shared" ca="1" si="53"/>
        <v>101.3098786383062</v>
      </c>
      <c r="M187">
        <f t="shared" ca="1" si="42"/>
        <v>-3.9999999999992042E-2</v>
      </c>
      <c r="N187">
        <f t="shared" ca="1" si="43"/>
        <v>0</v>
      </c>
      <c r="O187">
        <f t="shared" ca="1" si="44"/>
        <v>3.9999999999992042E-2</v>
      </c>
      <c r="P187">
        <f t="shared" ca="1" si="48"/>
        <v>0.4007242098874651</v>
      </c>
      <c r="Q187">
        <f t="shared" ca="1" si="49"/>
        <v>0.35164283984997274</v>
      </c>
      <c r="R187">
        <f t="shared" ca="1" si="46"/>
        <v>1.1395773338039039</v>
      </c>
      <c r="S187">
        <f t="shared" ca="1" si="47"/>
        <v>53.261796888541355</v>
      </c>
      <c r="T187">
        <f>70</f>
        <v>70</v>
      </c>
      <c r="U187">
        <f>30</f>
        <v>30</v>
      </c>
      <c r="V187">
        <f t="shared" ca="1" si="45"/>
        <v>103.3205759733479</v>
      </c>
      <c r="W187">
        <f t="shared" ca="1" si="55"/>
        <v>102.55907565925006</v>
      </c>
      <c r="X187">
        <f t="shared" ca="1" si="54"/>
        <v>0.76328055506569115</v>
      </c>
      <c r="Y187">
        <f t="shared" ca="1" si="56"/>
        <v>1.0216377507956054</v>
      </c>
      <c r="Z187">
        <f t="shared" ca="1" si="57"/>
        <v>-0.25835719572991422</v>
      </c>
      <c r="AA187">
        <f t="shared" ca="1" si="58"/>
        <v>96.753200000000021</v>
      </c>
    </row>
    <row r="188" spans="1:27" x14ac:dyDescent="0.25">
      <c r="A188" vm="547">
        <f ca="1"/>
        <v>45562</v>
      </c>
      <c r="B188" vm="548">
        <f ca="1"/>
        <v>104.05</v>
      </c>
      <c r="C188" vm="549">
        <f ca="1"/>
        <v>1366877</v>
      </c>
      <c r="D188">
        <f t="shared" ca="1" si="39"/>
        <v>142223551.84999999</v>
      </c>
      <c r="E188">
        <f ca="1">SUM($D$2:D188)/SUM($C$2:C188)</f>
        <v>93.764630171106347</v>
      </c>
      <c r="F188">
        <f ca="1">_xlfn.STDEV.P($B$2:B188)</f>
        <v>5.1945223190968379</v>
      </c>
      <c r="G188">
        <f t="shared" ca="1" si="40"/>
        <v>98.959152490203181</v>
      </c>
      <c r="H188">
        <f t="shared" ca="1" si="41"/>
        <v>88.570107852009514</v>
      </c>
      <c r="I188">
        <f t="shared" ca="1" si="50"/>
        <v>103.66200000000001</v>
      </c>
      <c r="J188">
        <f t="shared" ca="1" si="51"/>
        <v>0.89811264092510856</v>
      </c>
      <c r="K188">
        <f t="shared" ca="1" si="52"/>
        <v>105.45822528185022</v>
      </c>
      <c r="L188">
        <f t="shared" ca="1" si="53"/>
        <v>101.86577471814979</v>
      </c>
      <c r="M188">
        <f t="shared" ca="1" si="42"/>
        <v>0.92999999999999261</v>
      </c>
      <c r="N188">
        <f t="shared" ca="1" si="43"/>
        <v>0.92999999999999261</v>
      </c>
      <c r="O188">
        <f t="shared" ca="1" si="44"/>
        <v>0</v>
      </c>
      <c r="P188">
        <f t="shared" ca="1" si="48"/>
        <v>0.43852962346693136</v>
      </c>
      <c r="Q188">
        <f t="shared" ca="1" si="49"/>
        <v>0.32652549414640325</v>
      </c>
      <c r="R188">
        <f t="shared" ca="1" si="46"/>
        <v>1.3430180225691939</v>
      </c>
      <c r="S188">
        <f t="shared" ca="1" si="47"/>
        <v>57.3200039279481</v>
      </c>
      <c r="T188">
        <f>70</f>
        <v>70</v>
      </c>
      <c r="U188">
        <f>30</f>
        <v>30</v>
      </c>
      <c r="V188">
        <f t="shared" ca="1" si="45"/>
        <v>103.4327950543713</v>
      </c>
      <c r="W188">
        <f t="shared" ca="1" si="55"/>
        <v>102.66951449930561</v>
      </c>
      <c r="X188">
        <f t="shared" ca="1" si="54"/>
        <v>0.76235874323062092</v>
      </c>
      <c r="Y188">
        <f t="shared" ca="1" si="56"/>
        <v>0.96978194928260852</v>
      </c>
      <c r="Z188">
        <f t="shared" ca="1" si="57"/>
        <v>-0.20742320605198761</v>
      </c>
      <c r="AA188">
        <f t="shared" ca="1" si="58"/>
        <v>96.832399999999993</v>
      </c>
    </row>
    <row r="189" spans="1:27" x14ac:dyDescent="0.25">
      <c r="A189" vm="550">
        <f ca="1"/>
        <v>45565</v>
      </c>
      <c r="B189" vm="551">
        <f ca="1"/>
        <v>104.13</v>
      </c>
      <c r="C189" vm="552">
        <f ca="1"/>
        <v>1449539</v>
      </c>
      <c r="D189">
        <f t="shared" ca="1" si="39"/>
        <v>150940496.06999999</v>
      </c>
      <c r="E189">
        <f ca="1">SUM($D$2:D189)/SUM($C$2:C189)</f>
        <v>93.808059025438951</v>
      </c>
      <c r="F189">
        <f ca="1">_xlfn.STDEV.P($B$2:B189)</f>
        <v>5.2350902741799921</v>
      </c>
      <c r="G189">
        <f t="shared" ca="1" si="40"/>
        <v>99.043149299618946</v>
      </c>
      <c r="H189">
        <f t="shared" ca="1" si="41"/>
        <v>88.572968751258955</v>
      </c>
      <c r="I189">
        <f t="shared" ca="1" si="50"/>
        <v>103.79049999999998</v>
      </c>
      <c r="J189">
        <f t="shared" ca="1" si="51"/>
        <v>0.7537937383661395</v>
      </c>
      <c r="K189">
        <f t="shared" ca="1" si="52"/>
        <v>105.29808747673226</v>
      </c>
      <c r="L189">
        <f t="shared" ca="1" si="53"/>
        <v>102.2829125232677</v>
      </c>
      <c r="M189">
        <f t="shared" ca="1" si="42"/>
        <v>7.9999999999998295E-2</v>
      </c>
      <c r="N189">
        <f t="shared" ca="1" si="43"/>
        <v>7.9999999999998295E-2</v>
      </c>
      <c r="O189">
        <f t="shared" ca="1" si="44"/>
        <v>0</v>
      </c>
      <c r="P189">
        <f t="shared" ca="1" si="48"/>
        <v>0.41292036464786469</v>
      </c>
      <c r="Q189">
        <f t="shared" ca="1" si="49"/>
        <v>0.30320224456451728</v>
      </c>
      <c r="R189">
        <f t="shared" ca="1" si="46"/>
        <v>1.3618644718179218</v>
      </c>
      <c r="S189">
        <f t="shared" ca="1" si="47"/>
        <v>57.660568083726574</v>
      </c>
      <c r="T189">
        <f>70</f>
        <v>70</v>
      </c>
      <c r="U189">
        <f>30</f>
        <v>30</v>
      </c>
      <c r="V189">
        <f t="shared" ca="1" si="45"/>
        <v>103.54005735369878</v>
      </c>
      <c r="W189">
        <f t="shared" ca="1" si="55"/>
        <v>102.77769861046816</v>
      </c>
      <c r="X189">
        <f t="shared" ca="1" si="54"/>
        <v>0.83431619842274074</v>
      </c>
      <c r="Y189">
        <f t="shared" ca="1" si="56"/>
        <v>0.94268879911063508</v>
      </c>
      <c r="Z189">
        <f t="shared" ca="1" si="57"/>
        <v>-0.10837260068789434</v>
      </c>
      <c r="AA189">
        <f t="shared" ca="1" si="58"/>
        <v>96.898700000000005</v>
      </c>
    </row>
    <row r="190" spans="1:27" x14ac:dyDescent="0.25">
      <c r="A190" vm="553">
        <f ca="1"/>
        <v>45566</v>
      </c>
      <c r="B190" vm="554">
        <f ca="1"/>
        <v>105.15</v>
      </c>
      <c r="C190" vm="555">
        <f ca="1"/>
        <v>1834563</v>
      </c>
      <c r="D190">
        <f t="shared" ca="1" si="39"/>
        <v>192904299.45000002</v>
      </c>
      <c r="E190">
        <f ca="1">SUM($D$2:D190)/SUM($C$2:C190)</f>
        <v>93.867884593935713</v>
      </c>
      <c r="F190">
        <f ca="1">_xlfn.STDEV.P($B$2:B190)</f>
        <v>5.2853411539228663</v>
      </c>
      <c r="G190">
        <f t="shared" ca="1" si="40"/>
        <v>99.153225747858585</v>
      </c>
      <c r="H190">
        <f t="shared" ca="1" si="41"/>
        <v>88.582543440012842</v>
      </c>
      <c r="I190">
        <f t="shared" ca="1" si="50"/>
        <v>103.88399999999999</v>
      </c>
      <c r="J190">
        <f t="shared" ca="1" si="51"/>
        <v>0.80159971635671057</v>
      </c>
      <c r="K190">
        <f t="shared" ca="1" si="52"/>
        <v>105.48719943271341</v>
      </c>
      <c r="L190">
        <f t="shared" ca="1" si="53"/>
        <v>102.28080056728656</v>
      </c>
      <c r="M190">
        <f t="shared" ca="1" si="42"/>
        <v>1.0200000000000102</v>
      </c>
      <c r="N190">
        <f t="shared" ca="1" si="43"/>
        <v>1.0200000000000102</v>
      </c>
      <c r="O190">
        <f t="shared" ca="1" si="44"/>
        <v>0</v>
      </c>
      <c r="P190">
        <f t="shared" ca="1" si="48"/>
        <v>0.45628319574444648</v>
      </c>
      <c r="Q190">
        <f t="shared" ca="1" si="49"/>
        <v>0.28154494138133745</v>
      </c>
      <c r="R190">
        <f t="shared" ca="1" si="46"/>
        <v>1.6206407172716184</v>
      </c>
      <c r="S190">
        <f t="shared" ca="1" si="47"/>
        <v>61.841392701815593</v>
      </c>
      <c r="T190">
        <f>70</f>
        <v>70</v>
      </c>
      <c r="U190">
        <f>30</f>
        <v>30</v>
      </c>
      <c r="V190">
        <f t="shared" ca="1" si="45"/>
        <v>103.78774083774512</v>
      </c>
      <c r="W190">
        <f t="shared" ca="1" si="55"/>
        <v>102.95342463932238</v>
      </c>
      <c r="X190">
        <f t="shared" ca="1" si="54"/>
        <v>0.82534478926075394</v>
      </c>
      <c r="Y190">
        <f t="shared" ca="1" si="56"/>
        <v>0.91921999714065894</v>
      </c>
      <c r="Z190">
        <f t="shared" ca="1" si="57"/>
        <v>-9.3875207879904998E-2</v>
      </c>
      <c r="AA190">
        <f t="shared" ca="1" si="58"/>
        <v>96.974500000000006</v>
      </c>
    </row>
    <row r="191" spans="1:27" x14ac:dyDescent="0.25">
      <c r="A191" vm="556">
        <f ca="1"/>
        <v>45567</v>
      </c>
      <c r="B191" vm="557">
        <f ca="1"/>
        <v>104.45</v>
      </c>
      <c r="C191" vm="558">
        <f ca="1"/>
        <v>996739</v>
      </c>
      <c r="D191">
        <f t="shared" ca="1" si="39"/>
        <v>104109388.55</v>
      </c>
      <c r="E191">
        <f ca="1">SUM($D$2:D191)/SUM($C$2:C191)</f>
        <v>93.898124325954356</v>
      </c>
      <c r="F191">
        <f ca="1">_xlfn.STDEV.P($B$2:B191)</f>
        <v>5.3264389511452217</v>
      </c>
      <c r="G191">
        <f t="shared" ca="1" si="40"/>
        <v>99.224563277099577</v>
      </c>
      <c r="H191">
        <f t="shared" ca="1" si="41"/>
        <v>88.571685374809135</v>
      </c>
      <c r="I191">
        <f t="shared" ca="1" si="50"/>
        <v>103.88649999999998</v>
      </c>
      <c r="J191">
        <f t="shared" ca="1" si="51"/>
        <v>0.80336971235965993</v>
      </c>
      <c r="K191">
        <f t="shared" ca="1" si="52"/>
        <v>105.49323942471931</v>
      </c>
      <c r="L191">
        <f t="shared" ca="1" si="53"/>
        <v>102.27976057528066</v>
      </c>
      <c r="M191">
        <f t="shared" ca="1" si="42"/>
        <v>-0.70000000000000284</v>
      </c>
      <c r="N191">
        <f t="shared" ca="1" si="43"/>
        <v>0</v>
      </c>
      <c r="O191">
        <f t="shared" ca="1" si="44"/>
        <v>0.70000000000000284</v>
      </c>
      <c r="P191">
        <f t="shared" ca="1" si="48"/>
        <v>0.42369153890555744</v>
      </c>
      <c r="Q191">
        <f t="shared" ca="1" si="49"/>
        <v>0.31143458842552779</v>
      </c>
      <c r="R191">
        <f t="shared" ca="1" si="46"/>
        <v>1.3604511337277916</v>
      </c>
      <c r="S191">
        <f t="shared" ca="1" si="47"/>
        <v>57.635217026470315</v>
      </c>
      <c r="T191">
        <f>70</f>
        <v>70</v>
      </c>
      <c r="U191">
        <f>30</f>
        <v>30</v>
      </c>
      <c r="V191">
        <f t="shared" ca="1" si="45"/>
        <v>103.8896268627074</v>
      </c>
      <c r="W191">
        <f t="shared" ca="1" si="55"/>
        <v>103.06428207344665</v>
      </c>
      <c r="X191">
        <f t="shared" ca="1" si="54"/>
        <v>0.77460827451264436</v>
      </c>
      <c r="Y191">
        <f t="shared" ca="1" si="56"/>
        <v>0.890297652615056</v>
      </c>
      <c r="Z191">
        <f t="shared" ca="1" si="57"/>
        <v>-0.11568937810241164</v>
      </c>
      <c r="AA191">
        <f t="shared" ca="1" si="58"/>
        <v>97.037800000000004</v>
      </c>
    </row>
    <row r="192" spans="1:27" x14ac:dyDescent="0.25">
      <c r="A192" vm="559">
        <f ca="1"/>
        <v>45568</v>
      </c>
      <c r="B192" vm="536">
        <f ca="1"/>
        <v>104.02</v>
      </c>
      <c r="C192" vm="560">
        <f ca="1"/>
        <v>952060</v>
      </c>
      <c r="D192">
        <f t="shared" ca="1" si="39"/>
        <v>99033281.200000003</v>
      </c>
      <c r="E192">
        <f ca="1">SUM($D$2:D192)/SUM($C$2:C192)</f>
        <v>93.9256771110377</v>
      </c>
      <c r="F192">
        <f ca="1">_xlfn.STDEV.P($B$2:B192)</f>
        <v>5.361937362694718</v>
      </c>
      <c r="G192">
        <f t="shared" ca="1" si="40"/>
        <v>99.287614473732418</v>
      </c>
      <c r="H192">
        <f t="shared" ca="1" si="41"/>
        <v>88.563739748342982</v>
      </c>
      <c r="I192">
        <f t="shared" ca="1" si="50"/>
        <v>103.898</v>
      </c>
      <c r="J192">
        <f t="shared" ca="1" si="51"/>
        <v>0.80356180779537389</v>
      </c>
      <c r="K192">
        <f t="shared" ca="1" si="52"/>
        <v>105.50512361559075</v>
      </c>
      <c r="L192">
        <f t="shared" ca="1" si="53"/>
        <v>102.29087638440924</v>
      </c>
      <c r="M192">
        <f t="shared" ca="1" si="42"/>
        <v>-0.43000000000000682</v>
      </c>
      <c r="N192">
        <f t="shared" ca="1" si="43"/>
        <v>0</v>
      </c>
      <c r="O192">
        <f t="shared" ca="1" si="44"/>
        <v>0.43000000000000682</v>
      </c>
      <c r="P192">
        <f t="shared" ca="1" si="48"/>
        <v>0.39342785755516052</v>
      </c>
      <c r="Q192">
        <f t="shared" ca="1" si="49"/>
        <v>0.31990354639513346</v>
      </c>
      <c r="R192">
        <f t="shared" ca="1" si="46"/>
        <v>1.2298327479908975</v>
      </c>
      <c r="S192">
        <f t="shared" ca="1" si="47"/>
        <v>55.153587151278039</v>
      </c>
      <c r="T192">
        <f>70</f>
        <v>70</v>
      </c>
      <c r="U192">
        <f>30</f>
        <v>30</v>
      </c>
      <c r="V192">
        <f t="shared" ca="1" si="45"/>
        <v>103.90968426844472</v>
      </c>
      <c r="W192">
        <f t="shared" ca="1" si="55"/>
        <v>103.13507599393208</v>
      </c>
      <c r="X192">
        <f t="shared" ca="1" si="54"/>
        <v>0.65662828974404874</v>
      </c>
      <c r="Y192">
        <f t="shared" ca="1" si="56"/>
        <v>0.84356378004085464</v>
      </c>
      <c r="Z192">
        <f t="shared" ca="1" si="57"/>
        <v>-0.1869354902968059</v>
      </c>
      <c r="AA192">
        <f t="shared" ca="1" si="58"/>
        <v>97.101000000000028</v>
      </c>
    </row>
    <row r="193" spans="1:27" x14ac:dyDescent="0.25">
      <c r="A193" vm="561">
        <f ca="1"/>
        <v>45569</v>
      </c>
      <c r="B193" vm="562">
        <f ca="1"/>
        <v>103.15</v>
      </c>
      <c r="C193" vm="563">
        <f ca="1"/>
        <v>952852</v>
      </c>
      <c r="D193">
        <f t="shared" ca="1" si="39"/>
        <v>98286683.800000012</v>
      </c>
      <c r="E193">
        <f ca="1">SUM($D$2:D193)/SUM($C$2:C193)</f>
        <v>93.950739274871395</v>
      </c>
      <c r="F193">
        <f ca="1">_xlfn.STDEV.P($B$2:B193)</f>
        <v>5.3883204652770447</v>
      </c>
      <c r="G193">
        <f t="shared" ca="1" si="40"/>
        <v>99.339059740148443</v>
      </c>
      <c r="H193">
        <f t="shared" ca="1" si="41"/>
        <v>88.562418809594348</v>
      </c>
      <c r="I193">
        <f t="shared" ca="1" si="50"/>
        <v>103.89149999999999</v>
      </c>
      <c r="J193">
        <f t="shared" ca="1" si="51"/>
        <v>0.80932899432346561</v>
      </c>
      <c r="K193">
        <f t="shared" ca="1" si="52"/>
        <v>105.51015798864692</v>
      </c>
      <c r="L193">
        <f t="shared" ca="1" si="53"/>
        <v>102.27284201135306</v>
      </c>
      <c r="M193">
        <f t="shared" ca="1" si="42"/>
        <v>-0.86999999999999034</v>
      </c>
      <c r="N193">
        <f t="shared" ca="1" si="43"/>
        <v>0</v>
      </c>
      <c r="O193">
        <f t="shared" ca="1" si="44"/>
        <v>0.86999999999999034</v>
      </c>
      <c r="P193">
        <f t="shared" ca="1" si="48"/>
        <v>0.36532586772979192</v>
      </c>
      <c r="Q193">
        <f t="shared" ca="1" si="49"/>
        <v>0.35919615022405182</v>
      </c>
      <c r="R193">
        <f t="shared" ca="1" si="46"/>
        <v>1.0170650980026279</v>
      </c>
      <c r="S193">
        <f t="shared" ca="1" si="47"/>
        <v>50.423018028013239</v>
      </c>
      <c r="T193">
        <f>70</f>
        <v>70</v>
      </c>
      <c r="U193">
        <f>30</f>
        <v>30</v>
      </c>
      <c r="V193">
        <f t="shared" ca="1" si="45"/>
        <v>103.79280976560707</v>
      </c>
      <c r="W193">
        <f t="shared" ca="1" si="55"/>
        <v>103.13618147586303</v>
      </c>
      <c r="X193">
        <f t="shared" ca="1" si="54"/>
        <v>0.39636900492826044</v>
      </c>
      <c r="Y193">
        <f t="shared" ca="1" si="56"/>
        <v>0.75412482501833578</v>
      </c>
      <c r="Z193">
        <f t="shared" ca="1" si="57"/>
        <v>-0.35775582009007534</v>
      </c>
      <c r="AA193">
        <f t="shared" ca="1" si="58"/>
        <v>97.156100000000023</v>
      </c>
    </row>
    <row r="194" spans="1:27" x14ac:dyDescent="0.25">
      <c r="A194" vm="564">
        <f ca="1"/>
        <v>45572</v>
      </c>
      <c r="B194" vm="565">
        <f ca="1"/>
        <v>101.14</v>
      </c>
      <c r="C194" vm="566">
        <f ca="1"/>
        <v>1967334</v>
      </c>
      <c r="D194">
        <f t="shared" ca="1" si="39"/>
        <v>198976160.75999999</v>
      </c>
      <c r="E194">
        <f ca="1">SUM($D$2:D194)/SUM($C$2:C194)</f>
        <v>93.990843627678188</v>
      </c>
      <c r="F194">
        <f ca="1">_xlfn.STDEV.P($B$2:B194)</f>
        <v>5.3983813067847022</v>
      </c>
      <c r="G194">
        <f t="shared" ca="1" si="40"/>
        <v>99.389224934462888</v>
      </c>
      <c r="H194">
        <f t="shared" ca="1" si="41"/>
        <v>88.592462320893489</v>
      </c>
      <c r="I194">
        <f t="shared" ca="1" si="50"/>
        <v>103.71100000000001</v>
      </c>
      <c r="J194">
        <f t="shared" ca="1" si="51"/>
        <v>0.99014565648324271</v>
      </c>
      <c r="K194">
        <f t="shared" ca="1" si="52"/>
        <v>105.6912913129665</v>
      </c>
      <c r="L194">
        <f t="shared" ca="1" si="53"/>
        <v>101.73070868703353</v>
      </c>
      <c r="M194">
        <f t="shared" ca="1" si="42"/>
        <v>-2.0100000000000051</v>
      </c>
      <c r="N194">
        <f t="shared" ca="1" si="43"/>
        <v>0</v>
      </c>
      <c r="O194">
        <f t="shared" ca="1" si="44"/>
        <v>2.0100000000000051</v>
      </c>
      <c r="P194">
        <f t="shared" ca="1" si="48"/>
        <v>0.33923116289194966</v>
      </c>
      <c r="Q194">
        <f t="shared" ca="1" si="49"/>
        <v>0.4771107109223342</v>
      </c>
      <c r="R194">
        <f t="shared" ca="1" si="46"/>
        <v>0.71101141753065977</v>
      </c>
      <c r="S194">
        <f t="shared" ca="1" si="47"/>
        <v>41.555036409797609</v>
      </c>
      <c r="T194">
        <f>70</f>
        <v>70</v>
      </c>
      <c r="U194">
        <f>30</f>
        <v>30</v>
      </c>
      <c r="V194">
        <f t="shared" ca="1" si="45"/>
        <v>103.38468518628291</v>
      </c>
      <c r="W194">
        <f t="shared" ca="1" si="55"/>
        <v>102.98831618135465</v>
      </c>
      <c r="X194">
        <f t="shared" ca="1" si="54"/>
        <v>0.265324049532083</v>
      </c>
      <c r="Y194">
        <f t="shared" ca="1" si="56"/>
        <v>0.65636466992108522</v>
      </c>
      <c r="Z194">
        <f t="shared" ca="1" si="57"/>
        <v>-0.39104062038900222</v>
      </c>
      <c r="AA194">
        <f t="shared" ca="1" si="58"/>
        <v>97.201100000000025</v>
      </c>
    </row>
    <row r="195" spans="1:27" x14ac:dyDescent="0.25">
      <c r="A195" vm="567">
        <f ca="1"/>
        <v>45573</v>
      </c>
      <c r="B195" vm="568">
        <f ca="1"/>
        <v>102.11</v>
      </c>
      <c r="C195" vm="569">
        <f ca="1"/>
        <v>1328778</v>
      </c>
      <c r="D195">
        <f t="shared" ref="D195:D258" ca="1" si="59">B195*C195</f>
        <v>135681521.58000001</v>
      </c>
      <c r="E195">
        <f ca="1">SUM($D$2:D195)/SUM($C$2:C195)</f>
        <v>94.021319719904383</v>
      </c>
      <c r="F195">
        <f ca="1">_xlfn.STDEV.P($B$2:B195)</f>
        <v>5.415001688673879</v>
      </c>
      <c r="G195">
        <f t="shared" ref="G195:G258" ca="1" si="60">E195 + F195</f>
        <v>99.436321408578266</v>
      </c>
      <c r="H195">
        <f t="shared" ref="H195:H258" ca="1" si="61">E195 - F195</f>
        <v>88.606318031230501</v>
      </c>
      <c r="I195">
        <f t="shared" ca="1" si="50"/>
        <v>103.56800000000001</v>
      </c>
      <c r="J195">
        <f t="shared" ca="1" si="51"/>
        <v>1.0051582750466401</v>
      </c>
      <c r="K195">
        <f t="shared" ca="1" si="52"/>
        <v>105.57831655009329</v>
      </c>
      <c r="L195">
        <f t="shared" ca="1" si="53"/>
        <v>101.55768344990673</v>
      </c>
      <c r="M195">
        <f t="shared" ca="1" si="42"/>
        <v>0.96999999999999886</v>
      </c>
      <c r="N195">
        <f t="shared" ca="1" si="43"/>
        <v>0.96999999999999886</v>
      </c>
      <c r="O195">
        <f t="shared" ca="1" si="44"/>
        <v>0</v>
      </c>
      <c r="P195">
        <f t="shared" ca="1" si="48"/>
        <v>0.38428607982823892</v>
      </c>
      <c r="Q195">
        <f t="shared" ca="1" si="49"/>
        <v>0.44303137442788171</v>
      </c>
      <c r="R195">
        <f t="shared" ca="1" si="46"/>
        <v>0.8674015024883851</v>
      </c>
      <c r="S195">
        <f t="shared" ca="1" si="47"/>
        <v>46.449652168135181</v>
      </c>
      <c r="T195">
        <f>70</f>
        <v>70</v>
      </c>
      <c r="U195">
        <f>30</f>
        <v>30</v>
      </c>
      <c r="V195">
        <f t="shared" ca="1" si="45"/>
        <v>103.18857977300861</v>
      </c>
      <c r="W195">
        <f t="shared" ca="1" si="55"/>
        <v>102.92325572347653</v>
      </c>
      <c r="X195">
        <f t="shared" ca="1" si="54"/>
        <v>0.18037060528116911</v>
      </c>
      <c r="Y195">
        <f t="shared" ca="1" si="56"/>
        <v>0.56116585699310206</v>
      </c>
      <c r="Z195">
        <f t="shared" ca="1" si="57"/>
        <v>-0.38079525171193296</v>
      </c>
      <c r="AA195">
        <f t="shared" ca="1" si="58"/>
        <v>97.253100000000032</v>
      </c>
    </row>
    <row r="196" spans="1:27" x14ac:dyDescent="0.25">
      <c r="A196" vm="570">
        <f ca="1"/>
        <v>45574</v>
      </c>
      <c r="B196" vm="571">
        <f ca="1"/>
        <v>102.37</v>
      </c>
      <c r="C196" vm="572">
        <f ca="1"/>
        <v>1114658</v>
      </c>
      <c r="D196">
        <f t="shared" ca="1" si="59"/>
        <v>114107539.46000001</v>
      </c>
      <c r="E196">
        <f ca="1">SUM($D$2:D196)/SUM($C$2:C196)</f>
        <v>94.047525076678994</v>
      </c>
      <c r="F196">
        <f ca="1">_xlfn.STDEV.P($B$2:B196)</f>
        <v>5.4330720001042589</v>
      </c>
      <c r="G196">
        <f t="shared" ca="1" si="60"/>
        <v>99.480597076783255</v>
      </c>
      <c r="H196">
        <f t="shared" ca="1" si="61"/>
        <v>88.614453076574733</v>
      </c>
      <c r="I196">
        <f t="shared" ca="1" si="50"/>
        <v>103.49550000000002</v>
      </c>
      <c r="J196">
        <f t="shared" ca="1" si="51"/>
        <v>1.0377885141010181</v>
      </c>
      <c r="K196">
        <f t="shared" ca="1" si="52"/>
        <v>105.57107702820205</v>
      </c>
      <c r="L196">
        <f t="shared" ca="1" si="53"/>
        <v>101.41992297179799</v>
      </c>
      <c r="M196">
        <f t="shared" ref="M196:M259" ca="1" si="62">B196-B195</f>
        <v>0.26000000000000512</v>
      </c>
      <c r="N196">
        <f t="shared" ref="N196:N259" ca="1" si="63">MAX(M196,0)</f>
        <v>0.26000000000000512</v>
      </c>
      <c r="O196">
        <f t="shared" ref="O196:O259" ca="1" si="64">MAX(-M196,0)</f>
        <v>0</v>
      </c>
      <c r="P196">
        <f t="shared" ca="1" si="48"/>
        <v>0.3754085026976508</v>
      </c>
      <c r="Q196">
        <f t="shared" ca="1" si="49"/>
        <v>0.41138627625446161</v>
      </c>
      <c r="R196">
        <f t="shared" ca="1" si="46"/>
        <v>0.91254503216690463</v>
      </c>
      <c r="S196">
        <f t="shared" ca="1" si="47"/>
        <v>47.713649447145059</v>
      </c>
      <c r="T196">
        <f>70</f>
        <v>70</v>
      </c>
      <c r="U196">
        <f>30</f>
        <v>30</v>
      </c>
      <c r="V196">
        <f t="shared" ca="1" si="45"/>
        <v>103.06264442331499</v>
      </c>
      <c r="W196">
        <f t="shared" ca="1" si="55"/>
        <v>102.88227381803382</v>
      </c>
      <c r="X196">
        <f t="shared" ca="1" si="54"/>
        <v>4.8736190494480525E-2</v>
      </c>
      <c r="Y196">
        <f t="shared" ca="1" si="56"/>
        <v>0.45867992369337779</v>
      </c>
      <c r="Z196">
        <f t="shared" ca="1" si="57"/>
        <v>-0.40994373319889726</v>
      </c>
      <c r="AA196">
        <f t="shared" ca="1" si="58"/>
        <v>97.307700000000025</v>
      </c>
    </row>
    <row r="197" spans="1:27" x14ac:dyDescent="0.25">
      <c r="A197" vm="573">
        <f ca="1"/>
        <v>45575</v>
      </c>
      <c r="B197" vm="574">
        <f ca="1"/>
        <v>101.58</v>
      </c>
      <c r="C197" vm="575">
        <f ca="1"/>
        <v>1179589</v>
      </c>
      <c r="D197">
        <f t="shared" ca="1" si="59"/>
        <v>119822650.62</v>
      </c>
      <c r="E197">
        <f ca="1">SUM($D$2:D197)/SUM($C$2:C197)</f>
        <v>94.072462915283907</v>
      </c>
      <c r="F197">
        <f ca="1">_xlfn.STDEV.P($B$2:B197)</f>
        <v>5.444832831998518</v>
      </c>
      <c r="G197">
        <f t="shared" ca="1" si="60"/>
        <v>99.517295747282418</v>
      </c>
      <c r="H197">
        <f t="shared" ca="1" si="61"/>
        <v>88.627630083285396</v>
      </c>
      <c r="I197">
        <f t="shared" ca="1" si="50"/>
        <v>103.40500000000002</v>
      </c>
      <c r="J197">
        <f t="shared" ca="1" si="51"/>
        <v>1.1229027234430369</v>
      </c>
      <c r="K197">
        <f t="shared" ca="1" si="52"/>
        <v>105.6508054468861</v>
      </c>
      <c r="L197">
        <f t="shared" ca="1" si="53"/>
        <v>101.15919455311393</v>
      </c>
      <c r="M197">
        <f t="shared" ca="1" si="62"/>
        <v>-0.79000000000000625</v>
      </c>
      <c r="N197">
        <f t="shared" ca="1" si="63"/>
        <v>0</v>
      </c>
      <c r="O197">
        <f t="shared" ca="1" si="64"/>
        <v>0.79000000000000625</v>
      </c>
      <c r="P197">
        <f t="shared" ca="1" si="48"/>
        <v>0.3485936096478186</v>
      </c>
      <c r="Q197">
        <f t="shared" ca="1" si="49"/>
        <v>0.43843011366485768</v>
      </c>
      <c r="R197">
        <f t="shared" ca="1" si="46"/>
        <v>0.795095042021426</v>
      </c>
      <c r="S197">
        <f t="shared" ca="1" si="47"/>
        <v>44.292643197659494</v>
      </c>
      <c r="T197">
        <f>70</f>
        <v>70</v>
      </c>
      <c r="U197">
        <f>30</f>
        <v>30</v>
      </c>
      <c r="V197">
        <f t="shared" ca="1" si="45"/>
        <v>102.83454528126654</v>
      </c>
      <c r="W197">
        <f t="shared" ca="1" si="55"/>
        <v>102.78580909077206</v>
      </c>
      <c r="X197">
        <f t="shared" ca="1" si="54"/>
        <v>4.0797550861526588E-3</v>
      </c>
      <c r="Y197">
        <f t="shared" ca="1" si="56"/>
        <v>0.36775988997193276</v>
      </c>
      <c r="Z197">
        <f t="shared" ca="1" si="57"/>
        <v>-0.3636801348857801</v>
      </c>
      <c r="AA197">
        <f t="shared" ca="1" si="58"/>
        <v>97.35250000000002</v>
      </c>
    </row>
    <row r="198" spans="1:27" x14ac:dyDescent="0.25">
      <c r="A198" vm="576">
        <f ca="1"/>
        <v>45576</v>
      </c>
      <c r="B198" vm="577">
        <f ca="1"/>
        <v>102.32</v>
      </c>
      <c r="C198" vm="578">
        <f ca="1"/>
        <v>1317182</v>
      </c>
      <c r="D198">
        <f t="shared" ca="1" si="59"/>
        <v>134774062.23999998</v>
      </c>
      <c r="E198">
        <f ca="1">SUM($D$2:D198)/SUM($C$2:C198)</f>
        <v>94.102840825095655</v>
      </c>
      <c r="F198">
        <f ca="1">_xlfn.STDEV.P($B$2:B198)</f>
        <v>5.4614904051873303</v>
      </c>
      <c r="G198">
        <f t="shared" ca="1" si="60"/>
        <v>99.564331230282988</v>
      </c>
      <c r="H198">
        <f t="shared" ca="1" si="61"/>
        <v>88.641350419908321</v>
      </c>
      <c r="I198">
        <f t="shared" ca="1" si="50"/>
        <v>103.29300000000001</v>
      </c>
      <c r="J198">
        <f t="shared" ca="1" si="51"/>
        <v>1.1133075425103913</v>
      </c>
      <c r="K198">
        <f t="shared" ca="1" si="52"/>
        <v>105.51961508502079</v>
      </c>
      <c r="L198">
        <f t="shared" ca="1" si="53"/>
        <v>101.06638491497922</v>
      </c>
      <c r="M198">
        <f t="shared" ca="1" si="62"/>
        <v>0.73999999999999488</v>
      </c>
      <c r="N198">
        <f t="shared" ca="1" si="63"/>
        <v>0.73999999999999488</v>
      </c>
      <c r="O198">
        <f t="shared" ca="1" si="64"/>
        <v>0</v>
      </c>
      <c r="P198">
        <f t="shared" ca="1" si="48"/>
        <v>0.37655120895868832</v>
      </c>
      <c r="Q198">
        <f t="shared" ca="1" si="49"/>
        <v>0.40711367697451067</v>
      </c>
      <c r="R198">
        <f t="shared" ca="1" si="46"/>
        <v>0.9249289086946203</v>
      </c>
      <c r="S198">
        <f t="shared" ca="1" si="47"/>
        <v>48.050029511056366</v>
      </c>
      <c r="T198">
        <f>70</f>
        <v>70</v>
      </c>
      <c r="U198">
        <f>30</f>
        <v>30</v>
      </c>
      <c r="V198">
        <f t="shared" ca="1" si="45"/>
        <v>102.75538446876399</v>
      </c>
      <c r="W198">
        <f t="shared" ca="1" si="55"/>
        <v>102.75130471367784</v>
      </c>
      <c r="X198">
        <f t="shared" ca="1" si="54"/>
        <v>2.6481923867834212E-2</v>
      </c>
      <c r="Y198">
        <f t="shared" ca="1" si="56"/>
        <v>0.29950429675111306</v>
      </c>
      <c r="Z198">
        <f t="shared" ca="1" si="57"/>
        <v>-0.27302237288327885</v>
      </c>
      <c r="AA198">
        <f t="shared" ca="1" si="58"/>
        <v>97.410600000000017</v>
      </c>
    </row>
    <row r="199" spans="1:27" x14ac:dyDescent="0.25">
      <c r="A199" vm="579">
        <f ca="1"/>
        <v>45579</v>
      </c>
      <c r="B199" vm="580">
        <f ca="1"/>
        <v>103.04</v>
      </c>
      <c r="C199" vm="581">
        <f ca="1"/>
        <v>1976020</v>
      </c>
      <c r="D199">
        <f t="shared" ca="1" si="59"/>
        <v>203609100.80000001</v>
      </c>
      <c r="E199">
        <f ca="1">SUM($D$2:D199)/SUM($C$2:C199)</f>
        <v>94.151952587885475</v>
      </c>
      <c r="F199">
        <f ca="1">_xlfn.STDEV.P($B$2:B199)</f>
        <v>5.4831894846242033</v>
      </c>
      <c r="G199">
        <f t="shared" ca="1" si="60"/>
        <v>99.63514207250968</v>
      </c>
      <c r="H199">
        <f t="shared" ca="1" si="61"/>
        <v>88.66876310326127</v>
      </c>
      <c r="I199">
        <f t="shared" ca="1" si="50"/>
        <v>103.20250000000001</v>
      </c>
      <c r="J199">
        <f t="shared" ca="1" si="51"/>
        <v>1.0519549470040608</v>
      </c>
      <c r="K199">
        <f t="shared" ca="1" si="52"/>
        <v>105.30640989400814</v>
      </c>
      <c r="L199">
        <f t="shared" ca="1" si="53"/>
        <v>101.09859010599189</v>
      </c>
      <c r="M199">
        <f t="shared" ca="1" si="62"/>
        <v>0.72000000000001307</v>
      </c>
      <c r="N199">
        <f t="shared" ca="1" si="63"/>
        <v>0.72000000000001307</v>
      </c>
      <c r="O199">
        <f t="shared" ca="1" si="64"/>
        <v>0</v>
      </c>
      <c r="P199">
        <f t="shared" ca="1" si="48"/>
        <v>0.40108326546164008</v>
      </c>
      <c r="Q199">
        <f t="shared" ca="1" si="49"/>
        <v>0.3780341286191885</v>
      </c>
      <c r="R199">
        <f t="shared" ca="1" si="46"/>
        <v>1.0609710475788021</v>
      </c>
      <c r="S199">
        <f t="shared" ca="1" si="47"/>
        <v>51.479182535107178</v>
      </c>
      <c r="T199">
        <f>70</f>
        <v>70</v>
      </c>
      <c r="U199">
        <f>30</f>
        <v>30</v>
      </c>
      <c r="V199">
        <f t="shared" ca="1" si="45"/>
        <v>102.79917147356953</v>
      </c>
      <c r="W199">
        <f t="shared" ca="1" si="55"/>
        <v>102.7726895497017</v>
      </c>
      <c r="X199">
        <f t="shared" ca="1" si="54"/>
        <v>0.23598240455012842</v>
      </c>
      <c r="Y199">
        <f t="shared" ca="1" si="56"/>
        <v>0.28679991831091617</v>
      </c>
      <c r="Z199">
        <f t="shared" ca="1" si="57"/>
        <v>-5.0817513760787747E-2</v>
      </c>
      <c r="AA199">
        <f t="shared" ca="1" si="58"/>
        <v>97.477600000000024</v>
      </c>
    </row>
    <row r="200" spans="1:27" x14ac:dyDescent="0.25">
      <c r="A200" vm="582">
        <f ca="1"/>
        <v>45580</v>
      </c>
      <c r="B200" vm="583">
        <f ca="1"/>
        <v>105.45</v>
      </c>
      <c r="C200" vm="584">
        <f ca="1"/>
        <v>2748901</v>
      </c>
      <c r="D200">
        <f t="shared" ca="1" si="59"/>
        <v>289871610.44999999</v>
      </c>
      <c r="E200">
        <f ca="1">SUM($D$2:D200)/SUM($C$2:C200)</f>
        <v>94.237666202797428</v>
      </c>
      <c r="F200">
        <f ca="1">_xlfn.STDEV.P($B$2:B200)</f>
        <v>5.5259714280139649</v>
      </c>
      <c r="G200">
        <f t="shared" ca="1" si="60"/>
        <v>99.763637630811388</v>
      </c>
      <c r="H200">
        <f t="shared" ca="1" si="61"/>
        <v>88.711694774783467</v>
      </c>
      <c r="I200">
        <f t="shared" ca="1" si="50"/>
        <v>103.248</v>
      </c>
      <c r="J200">
        <f t="shared" ca="1" si="51"/>
        <v>1.1296604054223323</v>
      </c>
      <c r="K200">
        <f t="shared" ca="1" si="52"/>
        <v>105.50732081084467</v>
      </c>
      <c r="L200">
        <f t="shared" ca="1" si="53"/>
        <v>100.98867918915533</v>
      </c>
      <c r="M200">
        <f t="shared" ca="1" si="62"/>
        <v>2.4099999999999966</v>
      </c>
      <c r="N200">
        <f t="shared" ca="1" si="63"/>
        <v>2.4099999999999966</v>
      </c>
      <c r="O200">
        <f t="shared" ca="1" si="64"/>
        <v>0</v>
      </c>
      <c r="P200">
        <f t="shared" ca="1" si="48"/>
        <v>0.54457731792866559</v>
      </c>
      <c r="Q200">
        <f t="shared" ca="1" si="49"/>
        <v>0.35103169086067504</v>
      </c>
      <c r="R200">
        <f t="shared" ca="1" si="46"/>
        <v>1.5513622618899359</v>
      </c>
      <c r="S200">
        <f t="shared" ca="1" si="47"/>
        <v>60.805252357254652</v>
      </c>
      <c r="T200">
        <f>70</f>
        <v>70</v>
      </c>
      <c r="U200">
        <f>30</f>
        <v>30</v>
      </c>
      <c r="V200">
        <f t="shared" ca="1" si="45"/>
        <v>103.20699124686652</v>
      </c>
      <c r="W200">
        <f t="shared" ca="1" si="55"/>
        <v>102.97100884231639</v>
      </c>
      <c r="X200">
        <f t="shared" ca="1" si="54"/>
        <v>0.45247443466246295</v>
      </c>
      <c r="Y200">
        <f t="shared" ca="1" si="56"/>
        <v>0.31993482158122555</v>
      </c>
      <c r="Z200">
        <f t="shared" ca="1" si="57"/>
        <v>0.13253961308123741</v>
      </c>
      <c r="AA200">
        <f t="shared" ca="1" si="58"/>
        <v>97.570800000000048</v>
      </c>
    </row>
    <row r="201" spans="1:27" x14ac:dyDescent="0.25">
      <c r="A201" vm="585">
        <f ca="1"/>
        <v>45581</v>
      </c>
      <c r="B201" vm="586">
        <f ca="1"/>
        <v>106.14</v>
      </c>
      <c r="C201" vm="587">
        <f ca="1"/>
        <v>1869233</v>
      </c>
      <c r="D201">
        <f t="shared" ca="1" si="59"/>
        <v>198400390.62</v>
      </c>
      <c r="E201">
        <f ca="1">SUM($D$2:D201)/SUM($C$2:C201)</f>
        <v>94.29875311806174</v>
      </c>
      <c r="F201">
        <f ca="1">_xlfn.STDEV.P($B$2:B201)</f>
        <v>5.5744970634129869</v>
      </c>
      <c r="G201">
        <f t="shared" ca="1" si="60"/>
        <v>99.873250181474731</v>
      </c>
      <c r="H201">
        <f t="shared" ca="1" si="61"/>
        <v>88.724256054648748</v>
      </c>
      <c r="I201">
        <f t="shared" ca="1" si="50"/>
        <v>103.38449999999997</v>
      </c>
      <c r="J201">
        <f t="shared" ca="1" si="51"/>
        <v>1.3020488914743082</v>
      </c>
      <c r="K201">
        <f t="shared" ca="1" si="52"/>
        <v>105.98859778294859</v>
      </c>
      <c r="L201">
        <f t="shared" ca="1" si="53"/>
        <v>100.78040221705136</v>
      </c>
      <c r="M201">
        <f t="shared" ca="1" si="62"/>
        <v>0.68999999999999773</v>
      </c>
      <c r="N201">
        <f t="shared" ca="1" si="63"/>
        <v>0.68999999999999773</v>
      </c>
      <c r="O201">
        <f t="shared" ca="1" si="64"/>
        <v>0</v>
      </c>
      <c r="P201">
        <f t="shared" ca="1" si="48"/>
        <v>0.55496465236233217</v>
      </c>
      <c r="Q201">
        <f t="shared" ca="1" si="49"/>
        <v>0.32595799865634112</v>
      </c>
      <c r="R201">
        <f t="shared" ca="1" si="46"/>
        <v>1.7025649152651527</v>
      </c>
      <c r="S201">
        <f t="shared" ca="1" si="47"/>
        <v>62.998113593808405</v>
      </c>
      <c r="T201">
        <f>70</f>
        <v>70</v>
      </c>
      <c r="U201">
        <f>30</f>
        <v>30</v>
      </c>
      <c r="V201">
        <f t="shared" ca="1" si="45"/>
        <v>103.6582233627332</v>
      </c>
      <c r="W201">
        <f t="shared" ca="1" si="55"/>
        <v>103.20574892807073</v>
      </c>
      <c r="X201">
        <f t="shared" ca="1" si="54"/>
        <v>0.57864369546658168</v>
      </c>
      <c r="Y201">
        <f t="shared" ca="1" si="56"/>
        <v>0.37167659635829675</v>
      </c>
      <c r="Z201">
        <f t="shared" ca="1" si="57"/>
        <v>0.20696709910828492</v>
      </c>
      <c r="AA201">
        <f t="shared" ca="1" si="58"/>
        <v>97.693500000000043</v>
      </c>
    </row>
    <row r="202" spans="1:27" x14ac:dyDescent="0.25">
      <c r="A202" vm="588">
        <f ca="1"/>
        <v>45582</v>
      </c>
      <c r="B202" vm="589">
        <f ca="1"/>
        <v>105.66</v>
      </c>
      <c r="C202" vm="590">
        <f ca="1"/>
        <v>1727853</v>
      </c>
      <c r="D202">
        <f t="shared" ca="1" si="59"/>
        <v>182564947.97999999</v>
      </c>
      <c r="E202">
        <f ca="1">SUM($D$2:D202)/SUM($C$2:C202)</f>
        <v>94.352398201754852</v>
      </c>
      <c r="F202">
        <f ca="1">_xlfn.STDEV.P($B$2:B202)</f>
        <v>5.6166599495065919</v>
      </c>
      <c r="G202">
        <f t="shared" ca="1" si="60"/>
        <v>99.96905815126145</v>
      </c>
      <c r="H202">
        <f t="shared" ca="1" si="61"/>
        <v>88.735738252248254</v>
      </c>
      <c r="I202">
        <f t="shared" ca="1" si="50"/>
        <v>103.5615</v>
      </c>
      <c r="J202">
        <f t="shared" ca="1" si="51"/>
        <v>1.3604112187903066</v>
      </c>
      <c r="K202">
        <f t="shared" ca="1" si="52"/>
        <v>106.2823224375806</v>
      </c>
      <c r="L202">
        <f t="shared" ca="1" si="53"/>
        <v>100.84067756241939</v>
      </c>
      <c r="M202">
        <f t="shared" ca="1" si="62"/>
        <v>-0.48000000000000398</v>
      </c>
      <c r="N202">
        <f t="shared" ca="1" si="63"/>
        <v>0</v>
      </c>
      <c r="O202">
        <f t="shared" ca="1" si="64"/>
        <v>0.48000000000000398</v>
      </c>
      <c r="P202">
        <f t="shared" ca="1" si="48"/>
        <v>0.51532432005073703</v>
      </c>
      <c r="Q202">
        <f t="shared" ca="1" si="49"/>
        <v>0.33696099875231705</v>
      </c>
      <c r="R202">
        <f t="shared" ca="1" si="46"/>
        <v>1.5293292753726844</v>
      </c>
      <c r="S202">
        <f t="shared" ca="1" si="47"/>
        <v>60.463826922943639</v>
      </c>
      <c r="T202">
        <f>70</f>
        <v>70</v>
      </c>
      <c r="U202">
        <f>30</f>
        <v>30</v>
      </c>
      <c r="V202">
        <f t="shared" ca="1" si="45"/>
        <v>103.96618899923578</v>
      </c>
      <c r="W202">
        <f t="shared" ca="1" si="55"/>
        <v>103.3875453037692</v>
      </c>
      <c r="X202">
        <f t="shared" ca="1" si="54"/>
        <v>0.75864931352717235</v>
      </c>
      <c r="Y202">
        <f t="shared" ca="1" si="56"/>
        <v>0.44907113979207192</v>
      </c>
      <c r="Z202">
        <f t="shared" ca="1" si="57"/>
        <v>0.30957817373510044</v>
      </c>
      <c r="AA202">
        <f t="shared" ca="1" si="58"/>
        <v>97.805800000000019</v>
      </c>
    </row>
    <row r="203" spans="1:27" x14ac:dyDescent="0.25">
      <c r="A203" vm="591">
        <f ca="1"/>
        <v>45583</v>
      </c>
      <c r="B203" vm="592">
        <f ca="1"/>
        <v>106.76</v>
      </c>
      <c r="C203" vm="593">
        <f ca="1"/>
        <v>6365337</v>
      </c>
      <c r="D203">
        <f t="shared" ca="1" si="59"/>
        <v>679563378.12</v>
      </c>
      <c r="E203">
        <f ca="1">SUM($D$2:D203)/SUM($C$2:C203)</f>
        <v>94.564535429386424</v>
      </c>
      <c r="F203">
        <f ca="1">_xlfn.STDEV.P($B$2:B203)</f>
        <v>5.6687865895535499</v>
      </c>
      <c r="G203">
        <f t="shared" ca="1" si="60"/>
        <v>100.23332201893997</v>
      </c>
      <c r="H203">
        <f t="shared" ca="1" si="61"/>
        <v>88.895748839832876</v>
      </c>
      <c r="I203">
        <f t="shared" ca="1" si="50"/>
        <v>103.73200000000001</v>
      </c>
      <c r="J203">
        <f t="shared" ca="1" si="51"/>
        <v>1.5349939139258748</v>
      </c>
      <c r="K203">
        <f t="shared" ca="1" si="52"/>
        <v>106.80198782785176</v>
      </c>
      <c r="L203">
        <f t="shared" ca="1" si="53"/>
        <v>100.66201217214827</v>
      </c>
      <c r="M203">
        <f t="shared" ca="1" si="62"/>
        <v>1.1000000000000085</v>
      </c>
      <c r="N203">
        <f t="shared" ca="1" si="63"/>
        <v>1.1000000000000085</v>
      </c>
      <c r="O203">
        <f t="shared" ca="1" si="64"/>
        <v>0</v>
      </c>
      <c r="P203">
        <f t="shared" ca="1" si="48"/>
        <v>0.55708686861854217</v>
      </c>
      <c r="Q203">
        <f t="shared" ca="1" si="49"/>
        <v>0.31289235598429438</v>
      </c>
      <c r="R203">
        <f t="shared" ca="1" si="46"/>
        <v>1.7804425642360695</v>
      </c>
      <c r="S203">
        <f t="shared" ca="1" si="47"/>
        <v>64.034502533421275</v>
      </c>
      <c r="T203">
        <f>70</f>
        <v>70</v>
      </c>
      <c r="U203">
        <f>30</f>
        <v>30</v>
      </c>
      <c r="V203">
        <f t="shared" ca="1" si="45"/>
        <v>104.39600607627642</v>
      </c>
      <c r="W203">
        <f t="shared" ca="1" si="55"/>
        <v>103.63735676274925</v>
      </c>
      <c r="X203">
        <f t="shared" ca="1" si="54"/>
        <v>0.85114774005866423</v>
      </c>
      <c r="Y203">
        <f t="shared" ca="1" si="56"/>
        <v>0.52948645984539033</v>
      </c>
      <c r="Z203">
        <f t="shared" ca="1" si="57"/>
        <v>0.32166128021327389</v>
      </c>
      <c r="AA203">
        <f t="shared" ca="1" si="58"/>
        <v>97.941300000000027</v>
      </c>
    </row>
    <row r="204" spans="1:27" x14ac:dyDescent="0.25">
      <c r="A204" vm="594">
        <f ca="1"/>
        <v>45586</v>
      </c>
      <c r="B204" vm="595">
        <f ca="1"/>
        <v>106.26</v>
      </c>
      <c r="C204" vm="596">
        <f ca="1"/>
        <v>1405779</v>
      </c>
      <c r="D204">
        <f t="shared" ca="1" si="59"/>
        <v>149378076.54000002</v>
      </c>
      <c r="E204">
        <f ca="1">SUM($D$2:D204)/SUM($C$2:C204)</f>
        <v>94.60853063879911</v>
      </c>
      <c r="F204">
        <f ca="1">_xlfn.STDEV.P($B$2:B204)</f>
        <v>5.7141564135192802</v>
      </c>
      <c r="G204">
        <f t="shared" ca="1" si="60"/>
        <v>100.32268705231839</v>
      </c>
      <c r="H204">
        <f t="shared" ca="1" si="61"/>
        <v>88.894374225279833</v>
      </c>
      <c r="I204">
        <f t="shared" ca="1" si="50"/>
        <v>103.84400000000001</v>
      </c>
      <c r="J204">
        <f t="shared" ca="1" si="51"/>
        <v>1.6355407925852936</v>
      </c>
      <c r="K204">
        <f t="shared" ca="1" si="52"/>
        <v>107.1150815851706</v>
      </c>
      <c r="L204">
        <f t="shared" ca="1" si="53"/>
        <v>100.57291841482942</v>
      </c>
      <c r="M204">
        <f t="shared" ca="1" si="62"/>
        <v>-0.5</v>
      </c>
      <c r="N204">
        <f t="shared" ca="1" si="63"/>
        <v>0</v>
      </c>
      <c r="O204">
        <f t="shared" ca="1" si="64"/>
        <v>0.5</v>
      </c>
      <c r="P204">
        <f t="shared" ca="1" si="48"/>
        <v>0.51729494943150345</v>
      </c>
      <c r="Q204">
        <f t="shared" ca="1" si="49"/>
        <v>0.32625718769970191</v>
      </c>
      <c r="R204">
        <f t="shared" ca="1" si="46"/>
        <v>1.5855434575364487</v>
      </c>
      <c r="S204">
        <f t="shared" ca="1" si="47"/>
        <v>61.323411637690377</v>
      </c>
      <c r="T204">
        <f>70</f>
        <v>70</v>
      </c>
      <c r="U204">
        <f>30</f>
        <v>30</v>
      </c>
      <c r="V204">
        <f t="shared" ca="1" si="45"/>
        <v>104.68277437223389</v>
      </c>
      <c r="W204">
        <f t="shared" ca="1" si="55"/>
        <v>103.83162663217523</v>
      </c>
      <c r="X204">
        <f t="shared" ca="1" si="54"/>
        <v>0.8692459632379439</v>
      </c>
      <c r="Y204">
        <f t="shared" ca="1" si="56"/>
        <v>0.59743836052390109</v>
      </c>
      <c r="Z204">
        <f t="shared" ca="1" si="57"/>
        <v>0.27180760271404281</v>
      </c>
      <c r="AA204">
        <f t="shared" ca="1" si="58"/>
        <v>98.084800000000044</v>
      </c>
    </row>
    <row r="205" spans="1:27" x14ac:dyDescent="0.25">
      <c r="A205" vm="597">
        <f ca="1"/>
        <v>45587</v>
      </c>
      <c r="B205" vm="598">
        <f ca="1"/>
        <v>105.7</v>
      </c>
      <c r="C205" vm="599">
        <f ca="1"/>
        <v>1207216</v>
      </c>
      <c r="D205">
        <f t="shared" ca="1" si="59"/>
        <v>127602731.2</v>
      </c>
      <c r="E205">
        <f ca="1">SUM($D$2:D205)/SUM($C$2:C205)</f>
        <v>94.644245111674991</v>
      </c>
      <c r="F205">
        <f ca="1">_xlfn.STDEV.P($B$2:B205)</f>
        <v>5.7527495523908945</v>
      </c>
      <c r="G205">
        <f t="shared" ca="1" si="60"/>
        <v>100.39699466406589</v>
      </c>
      <c r="H205">
        <f t="shared" ca="1" si="61"/>
        <v>88.891495559284095</v>
      </c>
      <c r="I205">
        <f t="shared" ca="1" si="50"/>
        <v>103.98799999999999</v>
      </c>
      <c r="J205">
        <f t="shared" ca="1" si="51"/>
        <v>1.667117272419671</v>
      </c>
      <c r="K205">
        <f t="shared" ca="1" si="52"/>
        <v>107.32223454483933</v>
      </c>
      <c r="L205">
        <f t="shared" ca="1" si="53"/>
        <v>100.65376545516064</v>
      </c>
      <c r="M205">
        <f t="shared" ca="1" si="62"/>
        <v>-0.56000000000000227</v>
      </c>
      <c r="N205">
        <f t="shared" ca="1" si="63"/>
        <v>0</v>
      </c>
      <c r="O205">
        <f t="shared" ca="1" si="64"/>
        <v>0.56000000000000227</v>
      </c>
      <c r="P205">
        <f t="shared" ca="1" si="48"/>
        <v>0.48034531018639604</v>
      </c>
      <c r="Q205">
        <f t="shared" ca="1" si="49"/>
        <v>0.34295310286400904</v>
      </c>
      <c r="R205">
        <f t="shared" ca="1" si="46"/>
        <v>1.4006151458465359</v>
      </c>
      <c r="S205">
        <f t="shared" ca="1" si="47"/>
        <v>58.344010212125561</v>
      </c>
      <c r="T205">
        <f>70</f>
        <v>70</v>
      </c>
      <c r="U205">
        <f>30</f>
        <v>30</v>
      </c>
      <c r="V205">
        <f t="shared" ca="1" si="45"/>
        <v>104.83927062265946</v>
      </c>
      <c r="W205">
        <f t="shared" ca="1" si="55"/>
        <v>103.97002465942151</v>
      </c>
      <c r="X205">
        <f t="shared" ca="1" si="54"/>
        <v>1.0091320815323854</v>
      </c>
      <c r="Y205">
        <f t="shared" ca="1" si="56"/>
        <v>0.67977710472559805</v>
      </c>
      <c r="Z205">
        <f t="shared" ca="1" si="57"/>
        <v>0.32935497680678738</v>
      </c>
      <c r="AA205">
        <f t="shared" ca="1" si="58"/>
        <v>98.217300000000051</v>
      </c>
    </row>
    <row r="206" spans="1:27" x14ac:dyDescent="0.25">
      <c r="A206" vm="600">
        <f ca="1"/>
        <v>45588</v>
      </c>
      <c r="B206" vm="601">
        <f ca="1"/>
        <v>107.4</v>
      </c>
      <c r="C206" vm="602">
        <f ca="1"/>
        <v>1663173</v>
      </c>
      <c r="D206">
        <f t="shared" ca="1" si="59"/>
        <v>178624780.20000002</v>
      </c>
      <c r="E206">
        <f ca="1">SUM($D$2:D206)/SUM($C$2:C206)</f>
        <v>94.700581814852029</v>
      </c>
      <c r="F206">
        <f ca="1">_xlfn.STDEV.P($B$2:B206)</f>
        <v>5.8071572070066049</v>
      </c>
      <c r="G206">
        <f t="shared" ca="1" si="60"/>
        <v>100.50773902185864</v>
      </c>
      <c r="H206">
        <f t="shared" ca="1" si="61"/>
        <v>88.893424607845418</v>
      </c>
      <c r="I206">
        <f t="shared" ca="1" si="50"/>
        <v>104.2</v>
      </c>
      <c r="J206">
        <f t="shared" ca="1" si="51"/>
        <v>1.8189586378793208</v>
      </c>
      <c r="K206">
        <f t="shared" ca="1" si="52"/>
        <v>107.83791727575864</v>
      </c>
      <c r="L206">
        <f t="shared" ca="1" si="53"/>
        <v>100.56208272424136</v>
      </c>
      <c r="M206">
        <f t="shared" ca="1" si="62"/>
        <v>1.7000000000000028</v>
      </c>
      <c r="N206">
        <f t="shared" ca="1" si="63"/>
        <v>1.7000000000000028</v>
      </c>
      <c r="O206">
        <f t="shared" ca="1" si="64"/>
        <v>0</v>
      </c>
      <c r="P206">
        <f t="shared" ca="1" si="48"/>
        <v>0.56746350231593934</v>
      </c>
      <c r="Q206">
        <f t="shared" ca="1" si="49"/>
        <v>0.31845645265943695</v>
      </c>
      <c r="R206">
        <f t="shared" ca="1" si="46"/>
        <v>1.7819186817445178</v>
      </c>
      <c r="S206">
        <f t="shared" ca="1" si="47"/>
        <v>64.053586233048748</v>
      </c>
      <c r="T206">
        <f>70</f>
        <v>70</v>
      </c>
      <c r="U206">
        <f>30</f>
        <v>30</v>
      </c>
      <c r="V206">
        <f t="shared" ca="1" si="45"/>
        <v>105.23322898840416</v>
      </c>
      <c r="W206">
        <f t="shared" ca="1" si="55"/>
        <v>104.22409690687178</v>
      </c>
      <c r="X206">
        <f t="shared" ca="1" si="54"/>
        <v>1.0753205550504532</v>
      </c>
      <c r="Y206">
        <f t="shared" ca="1" si="56"/>
        <v>0.75888579479056917</v>
      </c>
      <c r="Z206">
        <f t="shared" ca="1" si="57"/>
        <v>0.31643476025988404</v>
      </c>
      <c r="AA206">
        <f t="shared" ca="1" si="58"/>
        <v>98.34580000000004</v>
      </c>
    </row>
    <row r="207" spans="1:27" x14ac:dyDescent="0.25">
      <c r="A207" vm="603">
        <f ca="1"/>
        <v>45589</v>
      </c>
      <c r="B207" vm="604">
        <f ca="1"/>
        <v>107</v>
      </c>
      <c r="C207" vm="605">
        <f ca="1"/>
        <v>1127349</v>
      </c>
      <c r="D207">
        <f t="shared" ca="1" si="59"/>
        <v>120626343</v>
      </c>
      <c r="E207">
        <f ca="1">SUM($D$2:D207)/SUM($C$2:C207)</f>
        <v>94.737292508450921</v>
      </c>
      <c r="F207">
        <f ca="1">_xlfn.STDEV.P($B$2:B207)</f>
        <v>5.8557646358320374</v>
      </c>
      <c r="G207">
        <f t="shared" ca="1" si="60"/>
        <v>100.59305714428295</v>
      </c>
      <c r="H207">
        <f t="shared" ca="1" si="61"/>
        <v>88.881527872618889</v>
      </c>
      <c r="I207">
        <f t="shared" ca="1" si="50"/>
        <v>104.39400000000001</v>
      </c>
      <c r="J207">
        <f t="shared" ca="1" si="51"/>
        <v>1.902691722133065</v>
      </c>
      <c r="K207">
        <f t="shared" ca="1" si="52"/>
        <v>108.19938344426613</v>
      </c>
      <c r="L207">
        <f t="shared" ca="1" si="53"/>
        <v>100.58861655573388</v>
      </c>
      <c r="M207">
        <f t="shared" ca="1" si="62"/>
        <v>-0.40000000000000568</v>
      </c>
      <c r="N207">
        <f t="shared" ca="1" si="63"/>
        <v>0</v>
      </c>
      <c r="O207">
        <f t="shared" ca="1" si="64"/>
        <v>0.40000000000000568</v>
      </c>
      <c r="P207">
        <f t="shared" ca="1" si="48"/>
        <v>0.52693039500765793</v>
      </c>
      <c r="Q207">
        <f t="shared" ca="1" si="49"/>
        <v>0.32428099175519182</v>
      </c>
      <c r="R207">
        <f t="shared" ca="1" si="46"/>
        <v>1.6249191546985629</v>
      </c>
      <c r="S207">
        <f t="shared" ca="1" si="47"/>
        <v>61.903588603480749</v>
      </c>
      <c r="T207">
        <f>70</f>
        <v>70</v>
      </c>
      <c r="U207">
        <f>30</f>
        <v>30</v>
      </c>
      <c r="V207">
        <f t="shared" ref="V207:V270" ca="1" si="65">B207*(2/(12+1)) + V206*(1-(2/(12+1)))</f>
        <v>105.50503991326507</v>
      </c>
      <c r="W207">
        <f t="shared" ca="1" si="55"/>
        <v>104.42971935821461</v>
      </c>
      <c r="X207">
        <f t="shared" ca="1" si="54"/>
        <v>0.92347026444436153</v>
      </c>
      <c r="Y207">
        <f t="shared" ca="1" si="56"/>
        <v>0.79180268872132764</v>
      </c>
      <c r="Z207">
        <f t="shared" ca="1" si="57"/>
        <v>0.13166757572303389</v>
      </c>
      <c r="AA207">
        <f t="shared" ca="1" si="58"/>
        <v>98.479000000000028</v>
      </c>
    </row>
    <row r="208" spans="1:27" x14ac:dyDescent="0.25">
      <c r="A208" vm="606">
        <f ca="1"/>
        <v>45590</v>
      </c>
      <c r="B208" vm="607">
        <f ca="1"/>
        <v>104.6</v>
      </c>
      <c r="C208" vm="608">
        <f ca="1"/>
        <v>1734348</v>
      </c>
      <c r="D208">
        <f t="shared" ca="1" si="59"/>
        <v>181412800.79999998</v>
      </c>
      <c r="E208">
        <f ca="1">SUM($D$2:D208)/SUM($C$2:C208)</f>
        <v>94.782373389241428</v>
      </c>
      <c r="F208">
        <f ca="1">_xlfn.STDEV.P($B$2:B208)</f>
        <v>5.8812973819719465</v>
      </c>
      <c r="G208">
        <f t="shared" ca="1" si="60"/>
        <v>100.66367077121338</v>
      </c>
      <c r="H208">
        <f t="shared" ca="1" si="61"/>
        <v>88.901076007269481</v>
      </c>
      <c r="I208">
        <f t="shared" ca="1" si="50"/>
        <v>104.42150000000001</v>
      </c>
      <c r="J208">
        <f t="shared" ca="1" si="51"/>
        <v>1.9014323548314847</v>
      </c>
      <c r="K208">
        <f t="shared" ca="1" si="52"/>
        <v>108.22436470966298</v>
      </c>
      <c r="L208">
        <f t="shared" ca="1" si="53"/>
        <v>100.61863529033704</v>
      </c>
      <c r="M208">
        <f t="shared" ca="1" si="62"/>
        <v>-2.4000000000000057</v>
      </c>
      <c r="N208">
        <f t="shared" ca="1" si="63"/>
        <v>0</v>
      </c>
      <c r="O208">
        <f t="shared" ca="1" si="64"/>
        <v>2.4000000000000057</v>
      </c>
      <c r="P208">
        <f t="shared" ca="1" si="48"/>
        <v>0.48929250964996812</v>
      </c>
      <c r="Q208">
        <f t="shared" ca="1" si="49"/>
        <v>0.4725466352012499</v>
      </c>
      <c r="R208">
        <f t="shared" ref="R208:R271" ca="1" si="66">IF(Q208=0,NA(),P208/Q208)</f>
        <v>1.0354375064835377</v>
      </c>
      <c r="S208">
        <f t="shared" ref="S208:S271" ca="1" si="67">100-(100/(1+R208))</f>
        <v>50.870513252572422</v>
      </c>
      <c r="T208">
        <f>70</f>
        <v>70</v>
      </c>
      <c r="U208">
        <f>30</f>
        <v>30</v>
      </c>
      <c r="V208">
        <f t="shared" ca="1" si="65"/>
        <v>105.36580300353197</v>
      </c>
      <c r="W208">
        <f t="shared" ca="1" si="55"/>
        <v>104.4423327390876</v>
      </c>
      <c r="X208">
        <f t="shared" ca="1" si="54"/>
        <v>0.81072749813539247</v>
      </c>
      <c r="Y208">
        <f t="shared" ca="1" si="56"/>
        <v>0.79558765060414061</v>
      </c>
      <c r="Z208">
        <f t="shared" ca="1" si="57"/>
        <v>1.513984753125186E-2</v>
      </c>
      <c r="AA208">
        <f t="shared" ca="1" si="58"/>
        <v>98.587800000000044</v>
      </c>
    </row>
    <row r="209" spans="1:27" x14ac:dyDescent="0.25">
      <c r="A209" vm="609">
        <f ca="1"/>
        <v>45593</v>
      </c>
      <c r="B209" vm="610">
        <f ca="1"/>
        <v>104.81</v>
      </c>
      <c r="C209" vm="611">
        <f ca="1"/>
        <v>1204579</v>
      </c>
      <c r="D209">
        <f t="shared" ca="1" si="59"/>
        <v>126251924.99000001</v>
      </c>
      <c r="E209">
        <f ca="1">SUM($D$2:D209)/SUM($C$2:C209)</f>
        <v>94.814106810017122</v>
      </c>
      <c r="F209">
        <f ca="1">_xlfn.STDEV.P($B$2:B209)</f>
        <v>5.9077821255238456</v>
      </c>
      <c r="G209">
        <f t="shared" ca="1" si="60"/>
        <v>100.72188893554097</v>
      </c>
      <c r="H209">
        <f t="shared" ca="1" si="61"/>
        <v>88.906324684493271</v>
      </c>
      <c r="I209">
        <f t="shared" ca="1" si="50"/>
        <v>104.4555</v>
      </c>
      <c r="J209">
        <f t="shared" ca="1" si="51"/>
        <v>1.9020251672472974</v>
      </c>
      <c r="K209">
        <f t="shared" ca="1" si="52"/>
        <v>108.25955033449459</v>
      </c>
      <c r="L209">
        <f t="shared" ca="1" si="53"/>
        <v>100.65144966550541</v>
      </c>
      <c r="M209">
        <f t="shared" ca="1" si="62"/>
        <v>0.21000000000000796</v>
      </c>
      <c r="N209">
        <f t="shared" ca="1" si="63"/>
        <v>0.21000000000000796</v>
      </c>
      <c r="O209">
        <f t="shared" ca="1" si="64"/>
        <v>0</v>
      </c>
      <c r="P209">
        <f t="shared" ref="P209:P272" ca="1" si="68">(P208*13+N209)/14</f>
        <v>0.46934304467497101</v>
      </c>
      <c r="Q209">
        <f t="shared" ref="Q209:Q272" ca="1" si="69">(Q208*13+O209)/14</f>
        <v>0.43879330411544631</v>
      </c>
      <c r="R209">
        <f t="shared" ca="1" si="66"/>
        <v>1.0696221666853127</v>
      </c>
      <c r="S209">
        <f t="shared" ca="1" si="67"/>
        <v>51.682001860195058</v>
      </c>
      <c r="T209">
        <f>70</f>
        <v>70</v>
      </c>
      <c r="U209">
        <f>30</f>
        <v>30</v>
      </c>
      <c r="V209">
        <f t="shared" ca="1" si="65"/>
        <v>105.28029484914242</v>
      </c>
      <c r="W209">
        <f t="shared" ca="1" si="55"/>
        <v>104.46956735100703</v>
      </c>
      <c r="X209">
        <f t="shared" ca="1" si="54"/>
        <v>0.56159025959549069</v>
      </c>
      <c r="Y209">
        <f t="shared" ca="1" si="56"/>
        <v>0.74878817240241069</v>
      </c>
      <c r="Z209">
        <f t="shared" ca="1" si="57"/>
        <v>-0.18719791280692</v>
      </c>
      <c r="AA209">
        <f t="shared" ca="1" si="58"/>
        <v>98.709900000000033</v>
      </c>
    </row>
    <row r="210" spans="1:27" x14ac:dyDescent="0.25">
      <c r="A210" vm="612">
        <f ca="1"/>
        <v>45594</v>
      </c>
      <c r="B210" vm="613">
        <f ca="1"/>
        <v>102.91</v>
      </c>
      <c r="C210" vm="614">
        <f ca="1"/>
        <v>1452899</v>
      </c>
      <c r="D210">
        <f t="shared" ca="1" si="59"/>
        <v>149517836.09</v>
      </c>
      <c r="E210">
        <f ca="1">SUM($D$2:D210)/SUM($C$2:C210)</f>
        <v>94.844891097735371</v>
      </c>
      <c r="F210">
        <f ca="1">_xlfn.STDEV.P($B$2:B210)</f>
        <v>5.919769757114218</v>
      </c>
      <c r="G210">
        <f t="shared" ca="1" si="60"/>
        <v>100.76466085484959</v>
      </c>
      <c r="H210">
        <f t="shared" ca="1" si="61"/>
        <v>88.925121340621146</v>
      </c>
      <c r="I210">
        <f t="shared" ca="1" si="50"/>
        <v>104.34350000000002</v>
      </c>
      <c r="J210">
        <f t="shared" ca="1" si="51"/>
        <v>1.9247919231356996</v>
      </c>
      <c r="K210">
        <f t="shared" ca="1" si="52"/>
        <v>108.19308384627142</v>
      </c>
      <c r="L210">
        <f t="shared" ca="1" si="53"/>
        <v>100.49391615372862</v>
      </c>
      <c r="M210">
        <f t="shared" ca="1" si="62"/>
        <v>-1.9000000000000057</v>
      </c>
      <c r="N210">
        <f t="shared" ca="1" si="63"/>
        <v>0</v>
      </c>
      <c r="O210">
        <f t="shared" ca="1" si="64"/>
        <v>1.9000000000000057</v>
      </c>
      <c r="P210">
        <f t="shared" ca="1" si="68"/>
        <v>0.43581854148390164</v>
      </c>
      <c r="Q210">
        <f t="shared" ca="1" si="69"/>
        <v>0.54316521096434334</v>
      </c>
      <c r="R210">
        <f t="shared" ca="1" si="66"/>
        <v>0.80236828995388554</v>
      </c>
      <c r="S210">
        <f t="shared" ca="1" si="67"/>
        <v>44.5174437669681</v>
      </c>
      <c r="T210">
        <f>70</f>
        <v>70</v>
      </c>
      <c r="U210">
        <f>30</f>
        <v>30</v>
      </c>
      <c r="V210">
        <f t="shared" ca="1" si="65"/>
        <v>104.91563410312051</v>
      </c>
      <c r="W210">
        <f t="shared" ca="1" si="55"/>
        <v>104.35404384352502</v>
      </c>
      <c r="X210">
        <f t="shared" ca="1" si="54"/>
        <v>0.34484068228250919</v>
      </c>
      <c r="Y210">
        <f t="shared" ca="1" si="56"/>
        <v>0.66799867437843041</v>
      </c>
      <c r="Z210">
        <f t="shared" ca="1" si="57"/>
        <v>-0.32315799209592122</v>
      </c>
      <c r="AA210">
        <f t="shared" ca="1" si="58"/>
        <v>98.820100000000039</v>
      </c>
    </row>
    <row r="211" spans="1:27" x14ac:dyDescent="0.25">
      <c r="A211" vm="615">
        <f ca="1"/>
        <v>45595</v>
      </c>
      <c r="B211" vm="616">
        <f ca="1"/>
        <v>102.72</v>
      </c>
      <c r="C211" vm="617">
        <f ca="1"/>
        <v>1641332</v>
      </c>
      <c r="D211">
        <f t="shared" ca="1" si="59"/>
        <v>168597623.03999999</v>
      </c>
      <c r="E211">
        <f ca="1">SUM($D$2:D211)/SUM($C$2:C211)</f>
        <v>94.878574841363331</v>
      </c>
      <c r="F211">
        <f ca="1">_xlfn.STDEV.P($B$2:B211)</f>
        <v>5.9301702881332599</v>
      </c>
      <c r="G211">
        <f t="shared" ca="1" si="60"/>
        <v>100.80874512949659</v>
      </c>
      <c r="H211">
        <f t="shared" ca="1" si="61"/>
        <v>88.948404553230077</v>
      </c>
      <c r="I211">
        <f t="shared" ca="1" si="50"/>
        <v>104.25700000000002</v>
      </c>
      <c r="J211">
        <f t="shared" ca="1" si="51"/>
        <v>1.9583346845833349</v>
      </c>
      <c r="K211">
        <f t="shared" ca="1" si="52"/>
        <v>108.17366936916669</v>
      </c>
      <c r="L211">
        <f t="shared" ca="1" si="53"/>
        <v>100.34033063083335</v>
      </c>
      <c r="M211">
        <f t="shared" ca="1" si="62"/>
        <v>-0.18999999999999773</v>
      </c>
      <c r="N211">
        <f t="shared" ca="1" si="63"/>
        <v>0</v>
      </c>
      <c r="O211">
        <f t="shared" ca="1" si="64"/>
        <v>0.18999999999999773</v>
      </c>
      <c r="P211">
        <f t="shared" ca="1" si="68"/>
        <v>0.404688645663623</v>
      </c>
      <c r="Q211">
        <f t="shared" ca="1" si="69"/>
        <v>0.51793912446689006</v>
      </c>
      <c r="R211">
        <f t="shared" ca="1" si="66"/>
        <v>0.78134403551800669</v>
      </c>
      <c r="S211">
        <f t="shared" ca="1" si="67"/>
        <v>43.862612720444837</v>
      </c>
      <c r="T211">
        <f>70</f>
        <v>70</v>
      </c>
      <c r="U211">
        <f>30</f>
        <v>30</v>
      </c>
      <c r="V211">
        <f t="shared" ca="1" si="65"/>
        <v>104.57784424110197</v>
      </c>
      <c r="W211">
        <f t="shared" ca="1" si="55"/>
        <v>104.23300355881946</v>
      </c>
      <c r="X211">
        <f t="shared" ca="1" si="54"/>
        <v>8.8129866071113838E-2</v>
      </c>
      <c r="Y211">
        <f t="shared" ca="1" si="56"/>
        <v>0.55202491271696708</v>
      </c>
      <c r="Z211">
        <f t="shared" ca="1" si="57"/>
        <v>-0.46389504664585324</v>
      </c>
      <c r="AA211">
        <f t="shared" ca="1" si="58"/>
        <v>98.931200000000032</v>
      </c>
    </row>
    <row r="212" spans="1:27" x14ac:dyDescent="0.25">
      <c r="A212" vm="618">
        <f ca="1"/>
        <v>45596</v>
      </c>
      <c r="B212" vm="619">
        <f ca="1"/>
        <v>101.68</v>
      </c>
      <c r="C212" vm="620">
        <f ca="1"/>
        <v>3732407</v>
      </c>
      <c r="D212">
        <f t="shared" ca="1" si="59"/>
        <v>379511143.76000005</v>
      </c>
      <c r="E212">
        <f ca="1">SUM($D$2:D212)/SUM($C$2:C212)</f>
        <v>94.944091616897438</v>
      </c>
      <c r="F212">
        <f ca="1">_xlfn.STDEV.P($B$2:B212)</f>
        <v>5.9342197736901001</v>
      </c>
      <c r="G212">
        <f t="shared" ca="1" si="60"/>
        <v>100.87831139058754</v>
      </c>
      <c r="H212">
        <f t="shared" ca="1" si="61"/>
        <v>89.009871843207335</v>
      </c>
      <c r="I212">
        <f t="shared" ca="1" si="50"/>
        <v>104.14000000000001</v>
      </c>
      <c r="J212">
        <f t="shared" ca="1" si="51"/>
        <v>2.0413798223131749</v>
      </c>
      <c r="K212">
        <f t="shared" ca="1" si="52"/>
        <v>108.22275964462636</v>
      </c>
      <c r="L212">
        <f t="shared" ca="1" si="53"/>
        <v>100.05724035537366</v>
      </c>
      <c r="M212">
        <f t="shared" ca="1" si="62"/>
        <v>-1.039999999999992</v>
      </c>
      <c r="N212">
        <f t="shared" ca="1" si="63"/>
        <v>0</v>
      </c>
      <c r="O212">
        <f t="shared" ca="1" si="64"/>
        <v>1.039999999999992</v>
      </c>
      <c r="P212">
        <f t="shared" ca="1" si="68"/>
        <v>0.37578231383050709</v>
      </c>
      <c r="Q212">
        <f t="shared" ca="1" si="69"/>
        <v>0.55522918700496882</v>
      </c>
      <c r="R212">
        <f t="shared" ca="1" si="66"/>
        <v>0.67680576350382704</v>
      </c>
      <c r="S212">
        <f t="shared" ca="1" si="67"/>
        <v>40.362800405074012</v>
      </c>
      <c r="T212">
        <f>70</f>
        <v>70</v>
      </c>
      <c r="U212">
        <f>30</f>
        <v>30</v>
      </c>
      <c r="V212">
        <f t="shared" ca="1" si="65"/>
        <v>104.13202205016321</v>
      </c>
      <c r="W212">
        <f t="shared" ca="1" si="55"/>
        <v>104.0438921840921</v>
      </c>
      <c r="X212">
        <f t="shared" ca="1" si="54"/>
        <v>-0.2480182647619813</v>
      </c>
      <c r="Y212">
        <f t="shared" ca="1" si="56"/>
        <v>0.39201627722117743</v>
      </c>
      <c r="Z212">
        <f t="shared" ca="1" si="57"/>
        <v>-0.64003454198315879</v>
      </c>
      <c r="AA212">
        <f t="shared" ca="1" si="58"/>
        <v>99.024800000000027</v>
      </c>
    </row>
    <row r="213" spans="1:27" x14ac:dyDescent="0.25">
      <c r="A213" vm="621">
        <f ca="1"/>
        <v>45597</v>
      </c>
      <c r="B213" vm="622">
        <f ca="1"/>
        <v>100</v>
      </c>
      <c r="C213" vm="623">
        <f ca="1"/>
        <v>2832691</v>
      </c>
      <c r="D213">
        <f t="shared" ca="1" si="59"/>
        <v>283269100</v>
      </c>
      <c r="E213">
        <f ca="1">SUM($D$2:D213)/SUM($C$2:C213)</f>
        <v>94.980785909486087</v>
      </c>
      <c r="F213">
        <f ca="1">_xlfn.STDEV.P($B$2:B213)</f>
        <v>5.9302502127928491</v>
      </c>
      <c r="G213">
        <f t="shared" ca="1" si="60"/>
        <v>100.91103612227894</v>
      </c>
      <c r="H213">
        <f t="shared" ca="1" si="61"/>
        <v>89.050535696693231</v>
      </c>
      <c r="I213">
        <f t="shared" ca="1" si="50"/>
        <v>103.9825</v>
      </c>
      <c r="J213">
        <f t="shared" ca="1" si="51"/>
        <v>2.2341933078500862</v>
      </c>
      <c r="K213">
        <f t="shared" ca="1" si="52"/>
        <v>108.45088661570017</v>
      </c>
      <c r="L213">
        <f t="shared" ca="1" si="53"/>
        <v>99.514113384299833</v>
      </c>
      <c r="M213">
        <f t="shared" ca="1" si="62"/>
        <v>-1.6800000000000068</v>
      </c>
      <c r="N213">
        <f t="shared" ca="1" si="63"/>
        <v>0</v>
      </c>
      <c r="O213">
        <f t="shared" ca="1" si="64"/>
        <v>1.6800000000000068</v>
      </c>
      <c r="P213">
        <f t="shared" ca="1" si="68"/>
        <v>0.34894071998547088</v>
      </c>
      <c r="Q213">
        <f t="shared" ca="1" si="69"/>
        <v>0.63556995936175731</v>
      </c>
      <c r="R213">
        <f t="shared" ca="1" si="66"/>
        <v>0.54902015874991794</v>
      </c>
      <c r="S213">
        <f t="shared" ca="1" si="67"/>
        <v>35.443060934273788</v>
      </c>
      <c r="T213">
        <f>70</f>
        <v>70</v>
      </c>
      <c r="U213">
        <f>30</f>
        <v>30</v>
      </c>
      <c r="V213">
        <f t="shared" ca="1" si="65"/>
        <v>103.4963263501381</v>
      </c>
      <c r="W213">
        <f t="shared" ca="1" si="55"/>
        <v>103.74434461490009</v>
      </c>
      <c r="X213">
        <f t="shared" ca="1" si="54"/>
        <v>-0.57636203376499395</v>
      </c>
      <c r="Y213">
        <f t="shared" ca="1" si="56"/>
        <v>0.19834061502394315</v>
      </c>
      <c r="Z213">
        <f t="shared" ca="1" si="57"/>
        <v>-0.77470264878893713</v>
      </c>
      <c r="AA213">
        <f t="shared" ca="1" si="58"/>
        <v>99.107300000000009</v>
      </c>
    </row>
    <row r="214" spans="1:27" x14ac:dyDescent="0.25">
      <c r="A214" vm="624">
        <f ca="1"/>
        <v>45600</v>
      </c>
      <c r="B214" vm="625">
        <f ca="1"/>
        <v>99.15</v>
      </c>
      <c r="C214" vm="626">
        <f ca="1"/>
        <v>2088316</v>
      </c>
      <c r="D214">
        <f t="shared" ca="1" si="59"/>
        <v>207056531.40000001</v>
      </c>
      <c r="E214">
        <f ca="1">SUM($D$2:D214)/SUM($C$2:C214)</f>
        <v>95.00297466910618</v>
      </c>
      <c r="F214">
        <f ca="1">_xlfn.STDEV.P($B$2:B214)</f>
        <v>5.9231469467230138</v>
      </c>
      <c r="G214">
        <f t="shared" ca="1" si="60"/>
        <v>100.92612161582919</v>
      </c>
      <c r="H214">
        <f t="shared" ca="1" si="61"/>
        <v>89.079827722383172</v>
      </c>
      <c r="I214">
        <f t="shared" ref="I214:I277" ca="1" si="70">AVERAGE(B195:B214)</f>
        <v>103.88300000000001</v>
      </c>
      <c r="J214">
        <f t="shared" ref="J214:J277" ca="1" si="71">_xlfn.STDEV.S(B195:B214)</f>
        <v>2.4052138541532075</v>
      </c>
      <c r="K214">
        <f t="shared" ref="K214:K277" ca="1" si="72">I214 + 2*J214</f>
        <v>108.69342770830643</v>
      </c>
      <c r="L214">
        <f t="shared" ref="L214:L277" ca="1" si="73">I214-2*J214</f>
        <v>99.072572291693589</v>
      </c>
      <c r="M214">
        <f t="shared" ca="1" si="62"/>
        <v>-0.84999999999999432</v>
      </c>
      <c r="N214">
        <f t="shared" ca="1" si="63"/>
        <v>0</v>
      </c>
      <c r="O214">
        <f t="shared" ca="1" si="64"/>
        <v>0.84999999999999432</v>
      </c>
      <c r="P214">
        <f t="shared" ca="1" si="68"/>
        <v>0.32401638284365158</v>
      </c>
      <c r="Q214">
        <f t="shared" ca="1" si="69"/>
        <v>0.65088639083591715</v>
      </c>
      <c r="R214">
        <f t="shared" ca="1" si="66"/>
        <v>0.4978078930603011</v>
      </c>
      <c r="S214">
        <f t="shared" ca="1" si="67"/>
        <v>33.235763769623802</v>
      </c>
      <c r="T214">
        <f>70</f>
        <v>70</v>
      </c>
      <c r="U214">
        <f>30</f>
        <v>30</v>
      </c>
      <c r="V214">
        <f t="shared" ca="1" si="65"/>
        <v>102.82766075780917</v>
      </c>
      <c r="W214">
        <f t="shared" ca="1" si="55"/>
        <v>103.40402279157416</v>
      </c>
      <c r="X214">
        <f t="shared" ca="1" si="54"/>
        <v>-0.77359590368170927</v>
      </c>
      <c r="Y214">
        <f t="shared" ca="1" si="56"/>
        <v>3.9533112828126771E-3</v>
      </c>
      <c r="Z214">
        <f t="shared" ca="1" si="57"/>
        <v>-0.77754921496452201</v>
      </c>
      <c r="AA214">
        <f t="shared" ca="1" si="58"/>
        <v>99.187400000000011</v>
      </c>
    </row>
    <row r="215" spans="1:27" x14ac:dyDescent="0.25">
      <c r="A215" vm="627">
        <f ca="1"/>
        <v>45601</v>
      </c>
      <c r="B215" vm="628">
        <f ca="1"/>
        <v>99.82</v>
      </c>
      <c r="C215" vm="629">
        <f ca="1"/>
        <v>2062310</v>
      </c>
      <c r="D215">
        <f t="shared" ca="1" si="59"/>
        <v>205859784.19999999</v>
      </c>
      <c r="E215">
        <f ca="1">SUM($D$2:D215)/SUM($C$2:C215)</f>
        <v>95.028159492782081</v>
      </c>
      <c r="F215">
        <f ca="1">_xlfn.STDEV.P($B$2:B215)</f>
        <v>5.9183955782853301</v>
      </c>
      <c r="G215">
        <f t="shared" ca="1" si="60"/>
        <v>100.94655507106741</v>
      </c>
      <c r="H215">
        <f t="shared" ca="1" si="61"/>
        <v>89.109763914496753</v>
      </c>
      <c r="I215">
        <f t="shared" ca="1" si="70"/>
        <v>103.76850000000002</v>
      </c>
      <c r="J215">
        <f t="shared" ca="1" si="71"/>
        <v>2.5445323735413559</v>
      </c>
      <c r="K215">
        <f t="shared" ca="1" si="72"/>
        <v>108.85756474708273</v>
      </c>
      <c r="L215">
        <f t="shared" ca="1" si="73"/>
        <v>98.679435252917301</v>
      </c>
      <c r="M215">
        <f t="shared" ca="1" si="62"/>
        <v>0.66999999999998749</v>
      </c>
      <c r="N215">
        <f t="shared" ca="1" si="63"/>
        <v>0.66999999999998749</v>
      </c>
      <c r="O215">
        <f t="shared" ca="1" si="64"/>
        <v>0</v>
      </c>
      <c r="P215">
        <f t="shared" ca="1" si="68"/>
        <v>0.34872949835481842</v>
      </c>
      <c r="Q215">
        <f t="shared" ca="1" si="69"/>
        <v>0.60439450577620879</v>
      </c>
      <c r="R215">
        <f t="shared" ca="1" si="66"/>
        <v>0.57698985517241563</v>
      </c>
      <c r="S215">
        <f t="shared" ca="1" si="67"/>
        <v>36.588051171028759</v>
      </c>
      <c r="T215">
        <f>70</f>
        <v>70</v>
      </c>
      <c r="U215">
        <f>30</f>
        <v>30</v>
      </c>
      <c r="V215">
        <f t="shared" ca="1" si="65"/>
        <v>102.36494371814622</v>
      </c>
      <c r="W215">
        <f t="shared" ca="1" si="55"/>
        <v>103.13853962182793</v>
      </c>
      <c r="X215">
        <f t="shared" ca="1" si="54"/>
        <v>-0.98791194531239057</v>
      </c>
      <c r="Y215">
        <f t="shared" ca="1" si="56"/>
        <v>-0.194419740036228</v>
      </c>
      <c r="Z215">
        <f t="shared" ca="1" si="57"/>
        <v>-0.7934922052761626</v>
      </c>
      <c r="AA215">
        <f t="shared" ca="1" si="58"/>
        <v>99.279500000000013</v>
      </c>
    </row>
    <row r="216" spans="1:27" x14ac:dyDescent="0.25">
      <c r="A216" vm="630">
        <f ca="1"/>
        <v>45602</v>
      </c>
      <c r="B216" vm="631">
        <f ca="1"/>
        <v>98.96</v>
      </c>
      <c r="C216" vm="632">
        <f ca="1"/>
        <v>3701796</v>
      </c>
      <c r="D216">
        <f t="shared" ca="1" si="59"/>
        <v>366329732.15999997</v>
      </c>
      <c r="E216">
        <f ca="1">SUM($D$2:D216)/SUM($C$2:C216)</f>
        <v>95.064715412190878</v>
      </c>
      <c r="F216">
        <f ca="1">_xlfn.STDEV.P($B$2:B216)</f>
        <v>5.9106647992292745</v>
      </c>
      <c r="G216">
        <f t="shared" ca="1" si="60"/>
        <v>100.97538021142016</v>
      </c>
      <c r="H216">
        <f t="shared" ca="1" si="61"/>
        <v>89.154050612961598</v>
      </c>
      <c r="I216">
        <f t="shared" ca="1" si="70"/>
        <v>103.598</v>
      </c>
      <c r="J216">
        <f t="shared" ca="1" si="71"/>
        <v>2.7491885884269291</v>
      </c>
      <c r="K216">
        <f t="shared" ca="1" si="72"/>
        <v>109.09637717685386</v>
      </c>
      <c r="L216">
        <f t="shared" ca="1" si="73"/>
        <v>98.099622823146134</v>
      </c>
      <c r="M216">
        <f t="shared" ca="1" si="62"/>
        <v>-0.85999999999999943</v>
      </c>
      <c r="N216">
        <f t="shared" ca="1" si="63"/>
        <v>0</v>
      </c>
      <c r="O216">
        <f t="shared" ca="1" si="64"/>
        <v>0.85999999999999943</v>
      </c>
      <c r="P216">
        <f t="shared" ca="1" si="68"/>
        <v>0.32382024847233143</v>
      </c>
      <c r="Q216">
        <f t="shared" ca="1" si="69"/>
        <v>0.62265204107790806</v>
      </c>
      <c r="R216">
        <f t="shared" ca="1" si="66"/>
        <v>0.5200661478789147</v>
      </c>
      <c r="S216">
        <f t="shared" ca="1" si="67"/>
        <v>34.213389239975513</v>
      </c>
      <c r="T216">
        <f>70</f>
        <v>70</v>
      </c>
      <c r="U216">
        <f>30</f>
        <v>30</v>
      </c>
      <c r="V216">
        <f t="shared" ca="1" si="65"/>
        <v>101.84110622304681</v>
      </c>
      <c r="W216">
        <f t="shared" ca="1" si="55"/>
        <v>102.8290181683592</v>
      </c>
      <c r="X216">
        <f t="shared" ca="1" si="54"/>
        <v>-1.2546505882388601</v>
      </c>
      <c r="Y216">
        <f t="shared" ca="1" si="56"/>
        <v>-0.40646590967675444</v>
      </c>
      <c r="Z216">
        <f t="shared" ca="1" si="57"/>
        <v>-0.84818467856210567</v>
      </c>
      <c r="AA216">
        <f t="shared" ca="1" si="58"/>
        <v>99.360399999999984</v>
      </c>
    </row>
    <row r="217" spans="1:27" x14ac:dyDescent="0.25">
      <c r="A217" vm="633">
        <f ca="1"/>
        <v>45603</v>
      </c>
      <c r="B217" vm="634">
        <f ca="1"/>
        <v>97.58</v>
      </c>
      <c r="C217" vm="635">
        <f ca="1"/>
        <v>3061381</v>
      </c>
      <c r="D217">
        <f t="shared" ca="1" si="59"/>
        <v>298729557.98000002</v>
      </c>
      <c r="E217">
        <f ca="1">SUM($D$2:D217)/SUM($C$2:C217)</f>
        <v>95.083907726843833</v>
      </c>
      <c r="F217">
        <f ca="1">_xlfn.STDEV.P($B$2:B217)</f>
        <v>5.8994689547851609</v>
      </c>
      <c r="G217">
        <f t="shared" ca="1" si="60"/>
        <v>100.983376681629</v>
      </c>
      <c r="H217">
        <f t="shared" ca="1" si="61"/>
        <v>89.18443877205867</v>
      </c>
      <c r="I217">
        <f t="shared" ca="1" si="70"/>
        <v>103.398</v>
      </c>
      <c r="J217">
        <f t="shared" ca="1" si="71"/>
        <v>3.0344228619727951</v>
      </c>
      <c r="K217">
        <f t="shared" ca="1" si="72"/>
        <v>109.46684572394558</v>
      </c>
      <c r="L217">
        <f t="shared" ca="1" si="73"/>
        <v>97.32915427605441</v>
      </c>
      <c r="M217">
        <f t="shared" ca="1" si="62"/>
        <v>-1.3799999999999955</v>
      </c>
      <c r="N217">
        <f t="shared" ca="1" si="63"/>
        <v>0</v>
      </c>
      <c r="O217">
        <f t="shared" ca="1" si="64"/>
        <v>1.3799999999999955</v>
      </c>
      <c r="P217">
        <f t="shared" ca="1" si="68"/>
        <v>0.30069023072430773</v>
      </c>
      <c r="Q217">
        <f t="shared" ca="1" si="69"/>
        <v>0.67674832385805705</v>
      </c>
      <c r="R217">
        <f t="shared" ca="1" si="66"/>
        <v>0.44431618095499748</v>
      </c>
      <c r="S217">
        <f t="shared" ca="1" si="67"/>
        <v>30.763082683267513</v>
      </c>
      <c r="T217">
        <f>70</f>
        <v>70</v>
      </c>
      <c r="U217">
        <f>30</f>
        <v>30</v>
      </c>
      <c r="V217">
        <f t="shared" ca="1" si="65"/>
        <v>101.18555141950114</v>
      </c>
      <c r="W217">
        <f t="shared" ca="1" si="55"/>
        <v>102.44020200774</v>
      </c>
      <c r="X217">
        <f t="shared" ca="1" si="54"/>
        <v>-1.4054611992127235</v>
      </c>
      <c r="Y217">
        <f t="shared" ca="1" si="56"/>
        <v>-0.60626496758394832</v>
      </c>
      <c r="Z217">
        <f t="shared" ca="1" si="57"/>
        <v>-0.79919623162877518</v>
      </c>
      <c r="AA217">
        <f t="shared" ca="1" si="58"/>
        <v>99.429699999999968</v>
      </c>
    </row>
    <row r="218" spans="1:27" x14ac:dyDescent="0.25">
      <c r="A218" vm="636">
        <f ca="1"/>
        <v>45604</v>
      </c>
      <c r="B218" vm="637">
        <f ca="1"/>
        <v>98.13</v>
      </c>
      <c r="C218" vm="638">
        <f ca="1"/>
        <v>2915588</v>
      </c>
      <c r="D218">
        <f t="shared" ca="1" si="59"/>
        <v>286106650.44</v>
      </c>
      <c r="E218">
        <f ca="1">SUM($D$2:D218)/SUM($C$2:C218)</f>
        <v>95.105883668359084</v>
      </c>
      <c r="F218">
        <f ca="1">_xlfn.STDEV.P($B$2:B218)</f>
        <v>5.8895293424046313</v>
      </c>
      <c r="G218">
        <f t="shared" ca="1" si="60"/>
        <v>100.99541301076371</v>
      </c>
      <c r="H218">
        <f t="shared" ca="1" si="61"/>
        <v>89.216354325954455</v>
      </c>
      <c r="I218">
        <f t="shared" ca="1" si="70"/>
        <v>103.1885</v>
      </c>
      <c r="J218">
        <f t="shared" ca="1" si="71"/>
        <v>3.2497664288538144</v>
      </c>
      <c r="K218">
        <f t="shared" ca="1" si="72"/>
        <v>109.68803285770764</v>
      </c>
      <c r="L218">
        <f t="shared" ca="1" si="73"/>
        <v>96.68896714229237</v>
      </c>
      <c r="M218">
        <f t="shared" ca="1" si="62"/>
        <v>0.54999999999999716</v>
      </c>
      <c r="N218">
        <f t="shared" ca="1" si="63"/>
        <v>0.54999999999999716</v>
      </c>
      <c r="O218">
        <f t="shared" ca="1" si="64"/>
        <v>0</v>
      </c>
      <c r="P218">
        <f t="shared" ca="1" si="68"/>
        <v>0.31849807138685698</v>
      </c>
      <c r="Q218">
        <f t="shared" ca="1" si="69"/>
        <v>0.62840915786819573</v>
      </c>
      <c r="R218">
        <f t="shared" ca="1" si="66"/>
        <v>0.50683231999247802</v>
      </c>
      <c r="S218">
        <f t="shared" ca="1" si="67"/>
        <v>33.635615142301177</v>
      </c>
      <c r="T218">
        <f>70</f>
        <v>70</v>
      </c>
      <c r="U218">
        <f>30</f>
        <v>30</v>
      </c>
      <c r="V218">
        <f t="shared" ca="1" si="65"/>
        <v>100.71546658573173</v>
      </c>
      <c r="W218">
        <f t="shared" ca="1" si="55"/>
        <v>102.12092778494446</v>
      </c>
      <c r="X218">
        <f t="shared" ca="1" si="54"/>
        <v>-1.4796807810388088</v>
      </c>
      <c r="Y218">
        <f t="shared" ca="1" si="56"/>
        <v>-0.78094813027492038</v>
      </c>
      <c r="Z218">
        <f t="shared" ca="1" si="57"/>
        <v>-0.69873265076388846</v>
      </c>
      <c r="AA218">
        <f t="shared" ca="1" si="58"/>
        <v>99.50709999999998</v>
      </c>
    </row>
    <row r="219" spans="1:27" x14ac:dyDescent="0.25">
      <c r="A219" vm="639">
        <f ca="1"/>
        <v>45607</v>
      </c>
      <c r="B219" vm="640">
        <f ca="1"/>
        <v>98.48</v>
      </c>
      <c r="C219" vm="641">
        <f ca="1"/>
        <v>1968440</v>
      </c>
      <c r="D219">
        <f t="shared" ca="1" si="59"/>
        <v>193851971.20000002</v>
      </c>
      <c r="E219">
        <f ca="1">SUM($D$2:D219)/SUM($C$2:C219)</f>
        <v>95.122238658544561</v>
      </c>
      <c r="F219">
        <f ca="1">_xlfn.STDEV.P($B$2:B219)</f>
        <v>5.8805086647656744</v>
      </c>
      <c r="G219">
        <f t="shared" ca="1" si="60"/>
        <v>101.00274732331023</v>
      </c>
      <c r="H219">
        <f t="shared" ca="1" si="61"/>
        <v>89.24172999377889</v>
      </c>
      <c r="I219">
        <f t="shared" ca="1" si="70"/>
        <v>102.9605</v>
      </c>
      <c r="J219">
        <f t="shared" ca="1" si="71"/>
        <v>3.4164223746640681</v>
      </c>
      <c r="K219">
        <f t="shared" ca="1" si="72"/>
        <v>109.79334474932813</v>
      </c>
      <c r="L219">
        <f t="shared" ca="1" si="73"/>
        <v>96.127655250671864</v>
      </c>
      <c r="M219">
        <f t="shared" ca="1" si="62"/>
        <v>0.35000000000000853</v>
      </c>
      <c r="N219">
        <f t="shared" ca="1" si="63"/>
        <v>0.35000000000000853</v>
      </c>
      <c r="O219">
        <f t="shared" ca="1" si="64"/>
        <v>0</v>
      </c>
      <c r="P219">
        <f t="shared" ca="1" si="68"/>
        <v>0.32074820914493923</v>
      </c>
      <c r="Q219">
        <f t="shared" ca="1" si="69"/>
        <v>0.5835227894490389</v>
      </c>
      <c r="R219">
        <f t="shared" ca="1" si="66"/>
        <v>0.54967554814403918</v>
      </c>
      <c r="S219">
        <f t="shared" ca="1" si="67"/>
        <v>35.470363380409225</v>
      </c>
      <c r="T219">
        <f>70</f>
        <v>70</v>
      </c>
      <c r="U219">
        <f>30</f>
        <v>30</v>
      </c>
      <c r="V219">
        <f t="shared" ca="1" si="65"/>
        <v>100.37154864946531</v>
      </c>
      <c r="W219">
        <f t="shared" ca="1" si="55"/>
        <v>101.85122943050412</v>
      </c>
      <c r="X219">
        <f t="shared" ca="1" si="54"/>
        <v>-1.6358393618878608</v>
      </c>
      <c r="Y219">
        <f t="shared" ca="1" si="56"/>
        <v>-0.95192637659750856</v>
      </c>
      <c r="Z219">
        <f t="shared" ca="1" si="57"/>
        <v>-0.68391298529035227</v>
      </c>
      <c r="AA219">
        <f t="shared" ca="1" si="58"/>
        <v>99.586599999999976</v>
      </c>
    </row>
    <row r="220" spans="1:27" x14ac:dyDescent="0.25">
      <c r="A220" vm="642">
        <f ca="1"/>
        <v>45608</v>
      </c>
      <c r="B220" vm="643">
        <f ca="1"/>
        <v>97.04</v>
      </c>
      <c r="C220" vm="644">
        <f ca="1"/>
        <v>2682776</v>
      </c>
      <c r="D220">
        <f t="shared" ca="1" si="59"/>
        <v>260336583.04000002</v>
      </c>
      <c r="E220">
        <f ca="1">SUM($D$2:D220)/SUM($C$2:C220)</f>
        <v>95.134824649654206</v>
      </c>
      <c r="F220">
        <f ca="1">_xlfn.STDEV.P($B$2:B220)</f>
        <v>5.8685392744834548</v>
      </c>
      <c r="G220">
        <f t="shared" ca="1" si="60"/>
        <v>101.00336392413766</v>
      </c>
      <c r="H220">
        <f t="shared" ca="1" si="61"/>
        <v>89.266285375170753</v>
      </c>
      <c r="I220">
        <f t="shared" ca="1" si="70"/>
        <v>102.54</v>
      </c>
      <c r="J220">
        <f t="shared" ca="1" si="71"/>
        <v>3.6061730699629937</v>
      </c>
      <c r="K220">
        <f t="shared" ca="1" si="72"/>
        <v>109.75234613992599</v>
      </c>
      <c r="L220">
        <f t="shared" ca="1" si="73"/>
        <v>95.327653860074022</v>
      </c>
      <c r="M220">
        <f t="shared" ca="1" si="62"/>
        <v>-1.4399999999999977</v>
      </c>
      <c r="N220">
        <f t="shared" ca="1" si="63"/>
        <v>0</v>
      </c>
      <c r="O220">
        <f t="shared" ca="1" si="64"/>
        <v>1.4399999999999977</v>
      </c>
      <c r="P220">
        <f t="shared" ca="1" si="68"/>
        <v>0.29783762277744358</v>
      </c>
      <c r="Q220">
        <f t="shared" ca="1" si="69"/>
        <v>0.64469973305982164</v>
      </c>
      <c r="R220">
        <f t="shared" ca="1" si="66"/>
        <v>0.46197882130937262</v>
      </c>
      <c r="S220">
        <f t="shared" ca="1" si="67"/>
        <v>31.599556339374104</v>
      </c>
      <c r="T220">
        <f>70</f>
        <v>70</v>
      </c>
      <c r="U220">
        <f>30</f>
        <v>30</v>
      </c>
      <c r="V220">
        <f t="shared" ca="1" si="65"/>
        <v>99.859002703393728</v>
      </c>
      <c r="W220">
        <f t="shared" ca="1" si="55"/>
        <v>101.49484206528159</v>
      </c>
      <c r="X220">
        <f t="shared" ref="X220:X283" ca="1" si="74">V221-W221</f>
        <v>-1.8695722743834153</v>
      </c>
      <c r="Y220">
        <f t="shared" ca="1" si="56"/>
        <v>-1.13545555615469</v>
      </c>
      <c r="Z220">
        <f t="shared" ca="1" si="57"/>
        <v>-0.73411671822872537</v>
      </c>
      <c r="AA220">
        <f t="shared" ca="1" si="58"/>
        <v>99.653599999999969</v>
      </c>
    </row>
    <row r="221" spans="1:27" x14ac:dyDescent="0.25">
      <c r="A221" vm="645">
        <f ca="1"/>
        <v>45609</v>
      </c>
      <c r="B221" vm="646">
        <f ca="1"/>
        <v>95.41</v>
      </c>
      <c r="C221" vm="647">
        <f ca="1"/>
        <v>2129523</v>
      </c>
      <c r="D221">
        <f t="shared" ca="1" si="59"/>
        <v>203177789.43000001</v>
      </c>
      <c r="E221">
        <f ca="1">SUM($D$2:D221)/SUM($C$2:C221)</f>
        <v>95.136250729211511</v>
      </c>
      <c r="F221">
        <f ca="1">_xlfn.STDEV.P($B$2:B221)</f>
        <v>5.8552237359415988</v>
      </c>
      <c r="G221">
        <f t="shared" ca="1" si="60"/>
        <v>100.9914744651531</v>
      </c>
      <c r="H221">
        <f t="shared" ca="1" si="61"/>
        <v>89.281026993269919</v>
      </c>
      <c r="I221">
        <f t="shared" ca="1" si="70"/>
        <v>102.0035</v>
      </c>
      <c r="J221">
        <f t="shared" ca="1" si="71"/>
        <v>3.8334089199260268</v>
      </c>
      <c r="K221">
        <f t="shared" ca="1" si="72"/>
        <v>109.67031783985206</v>
      </c>
      <c r="L221">
        <f t="shared" ca="1" si="73"/>
        <v>94.336682160147944</v>
      </c>
      <c r="M221">
        <f t="shared" ca="1" si="62"/>
        <v>-1.6300000000000097</v>
      </c>
      <c r="N221">
        <f t="shared" ca="1" si="63"/>
        <v>0</v>
      </c>
      <c r="O221">
        <f t="shared" ca="1" si="64"/>
        <v>1.6300000000000097</v>
      </c>
      <c r="P221">
        <f t="shared" ca="1" si="68"/>
        <v>0.27656350686476905</v>
      </c>
      <c r="Q221">
        <f t="shared" ca="1" si="69"/>
        <v>0.71507832355554934</v>
      </c>
      <c r="R221">
        <f t="shared" ca="1" si="66"/>
        <v>0.38675974051293527</v>
      </c>
      <c r="S221">
        <f t="shared" ca="1" si="67"/>
        <v>27.889455484904715</v>
      </c>
      <c r="T221">
        <f>70</f>
        <v>70</v>
      </c>
      <c r="U221">
        <f>30</f>
        <v>30</v>
      </c>
      <c r="V221">
        <f t="shared" ca="1" si="65"/>
        <v>99.174540749025454</v>
      </c>
      <c r="W221">
        <f t="shared" ref="W221:W284" ca="1" si="75">B221*(2/(26+1)) + W220*(1-(2/(26+1)))</f>
        <v>101.04411302340887</v>
      </c>
      <c r="X221">
        <f t="shared" ca="1" si="74"/>
        <v>-2.0449519377416721</v>
      </c>
      <c r="Y221">
        <f t="shared" ca="1" si="56"/>
        <v>-1.3173548324720865</v>
      </c>
      <c r="Z221">
        <f t="shared" ca="1" si="57"/>
        <v>-0.72759710526958554</v>
      </c>
      <c r="AA221">
        <f t="shared" ca="1" si="58"/>
        <v>99.694999999999979</v>
      </c>
    </row>
    <row r="222" spans="1:27" x14ac:dyDescent="0.25">
      <c r="A222" vm="648">
        <f ca="1"/>
        <v>45610</v>
      </c>
      <c r="B222" vm="649">
        <f ca="1"/>
        <v>95.24</v>
      </c>
      <c r="C222" vm="650">
        <f ca="1"/>
        <v>2112696</v>
      </c>
      <c r="D222">
        <f t="shared" ca="1" si="59"/>
        <v>201213167.03999999</v>
      </c>
      <c r="E222">
        <f ca="1">SUM($D$2:D222)/SUM($C$2:C222)</f>
        <v>95.136781426360628</v>
      </c>
      <c r="F222">
        <f ca="1">_xlfn.STDEV.P($B$2:B222)</f>
        <v>5.8419690575384706</v>
      </c>
      <c r="G222">
        <f t="shared" ca="1" si="60"/>
        <v>100.97875048389909</v>
      </c>
      <c r="H222">
        <f t="shared" ca="1" si="61"/>
        <v>89.294812368822164</v>
      </c>
      <c r="I222">
        <f t="shared" ca="1" si="70"/>
        <v>101.4825</v>
      </c>
      <c r="J222">
        <f t="shared" ca="1" si="71"/>
        <v>4.0141301410733679</v>
      </c>
      <c r="K222">
        <f t="shared" ca="1" si="72"/>
        <v>109.51076028214673</v>
      </c>
      <c r="L222">
        <f t="shared" ca="1" si="73"/>
        <v>93.45423971785327</v>
      </c>
      <c r="M222">
        <f t="shared" ca="1" si="62"/>
        <v>-0.17000000000000171</v>
      </c>
      <c r="N222">
        <f t="shared" ca="1" si="63"/>
        <v>0</v>
      </c>
      <c r="O222">
        <f t="shared" ca="1" si="64"/>
        <v>0.17000000000000171</v>
      </c>
      <c r="P222">
        <f t="shared" ca="1" si="68"/>
        <v>0.25680897066014269</v>
      </c>
      <c r="Q222">
        <f t="shared" ca="1" si="69"/>
        <v>0.67614415758729596</v>
      </c>
      <c r="R222">
        <f t="shared" ca="1" si="66"/>
        <v>0.3798139313612075</v>
      </c>
      <c r="S222">
        <f t="shared" ca="1" si="67"/>
        <v>27.526460106582292</v>
      </c>
      <c r="T222">
        <f>70</f>
        <v>70</v>
      </c>
      <c r="U222">
        <f>30</f>
        <v>30</v>
      </c>
      <c r="V222">
        <f t="shared" ca="1" si="65"/>
        <v>98.569226787636921</v>
      </c>
      <c r="W222">
        <f t="shared" ca="1" si="75"/>
        <v>100.61417872537859</v>
      </c>
      <c r="X222">
        <f t="shared" ca="1" si="74"/>
        <v>-2.0633268655837043</v>
      </c>
      <c r="Y222">
        <f t="shared" ca="1" si="56"/>
        <v>-1.4665492390944102</v>
      </c>
      <c r="Z222">
        <f t="shared" ca="1" si="57"/>
        <v>-0.59677762648929411</v>
      </c>
      <c r="AA222">
        <f t="shared" ca="1" si="58"/>
        <v>99.753499999999974</v>
      </c>
    </row>
    <row r="223" spans="1:27" x14ac:dyDescent="0.25">
      <c r="A223" vm="651">
        <f ca="1"/>
        <v>45611</v>
      </c>
      <c r="B223" vm="417">
        <f ca="1"/>
        <v>96.44</v>
      </c>
      <c r="C223" vm="652">
        <f ca="1"/>
        <v>2239156</v>
      </c>
      <c r="D223">
        <f t="shared" ca="1" si="59"/>
        <v>215944204.63999999</v>
      </c>
      <c r="E223">
        <f ca="1">SUM($D$2:D223)/SUM($C$2:C223)</f>
        <v>95.143808559668258</v>
      </c>
      <c r="F223">
        <f ca="1">_xlfn.STDEV.P($B$2:B223)</f>
        <v>5.8294856427424202</v>
      </c>
      <c r="G223">
        <f t="shared" ca="1" si="60"/>
        <v>100.97329420241068</v>
      </c>
      <c r="H223">
        <f t="shared" ca="1" si="61"/>
        <v>89.314322916925832</v>
      </c>
      <c r="I223">
        <f t="shared" ca="1" si="70"/>
        <v>100.9665</v>
      </c>
      <c r="J223">
        <f t="shared" ca="1" si="71"/>
        <v>3.9629949798764992</v>
      </c>
      <c r="K223">
        <f t="shared" ca="1" si="72"/>
        <v>108.89248995975299</v>
      </c>
      <c r="L223">
        <f t="shared" ca="1" si="73"/>
        <v>93.040510040247</v>
      </c>
      <c r="M223">
        <f t="shared" ca="1" si="62"/>
        <v>1.2000000000000028</v>
      </c>
      <c r="N223">
        <f t="shared" ca="1" si="63"/>
        <v>1.2000000000000028</v>
      </c>
      <c r="O223">
        <f t="shared" ca="1" si="64"/>
        <v>0</v>
      </c>
      <c r="P223">
        <f t="shared" ca="1" si="68"/>
        <v>0.32417975847013264</v>
      </c>
      <c r="Q223">
        <f t="shared" ca="1" si="69"/>
        <v>0.62784814633106045</v>
      </c>
      <c r="R223">
        <f t="shared" ca="1" si="66"/>
        <v>0.5163346588893083</v>
      </c>
      <c r="S223">
        <f t="shared" ca="1" si="67"/>
        <v>34.051497528092867</v>
      </c>
      <c r="T223">
        <f>70</f>
        <v>70</v>
      </c>
      <c r="U223">
        <f>30</f>
        <v>30</v>
      </c>
      <c r="V223">
        <f t="shared" ca="1" si="65"/>
        <v>98.241653435692768</v>
      </c>
      <c r="W223">
        <f t="shared" ca="1" si="75"/>
        <v>100.30498030127647</v>
      </c>
      <c r="X223">
        <f t="shared" ca="1" si="74"/>
        <v>-2.0534117592994221</v>
      </c>
      <c r="Y223">
        <f t="shared" ca="1" si="56"/>
        <v>-1.5839217431354125</v>
      </c>
      <c r="Z223">
        <f t="shared" ca="1" si="57"/>
        <v>-0.46949001616400965</v>
      </c>
      <c r="AA223">
        <f t="shared" ca="1" si="58"/>
        <v>99.821199999999976</v>
      </c>
    </row>
    <row r="224" spans="1:27" x14ac:dyDescent="0.25">
      <c r="A224" vm="653">
        <f ca="1"/>
        <v>45614</v>
      </c>
      <c r="B224" vm="654">
        <f ca="1"/>
        <v>96.45</v>
      </c>
      <c r="C224" vm="655">
        <f ca="1"/>
        <v>1838749</v>
      </c>
      <c r="D224">
        <f t="shared" ca="1" si="59"/>
        <v>177347341.05000001</v>
      </c>
      <c r="E224">
        <f ca="1">SUM($D$2:D224)/SUM($C$2:C224)</f>
        <v>95.149566764237747</v>
      </c>
      <c r="F224">
        <f ca="1">_xlfn.STDEV.P($B$2:B224)</f>
        <v>5.8170918557737341</v>
      </c>
      <c r="G224">
        <f t="shared" ca="1" si="60"/>
        <v>100.96665862001149</v>
      </c>
      <c r="H224">
        <f t="shared" ca="1" si="61"/>
        <v>89.332474908464008</v>
      </c>
      <c r="I224">
        <f t="shared" ca="1" si="70"/>
        <v>100.47600000000001</v>
      </c>
      <c r="J224">
        <f t="shared" ca="1" si="71"/>
        <v>3.8795488071898814</v>
      </c>
      <c r="K224">
        <f t="shared" ca="1" si="72"/>
        <v>108.23509761437978</v>
      </c>
      <c r="L224">
        <f t="shared" ca="1" si="73"/>
        <v>92.716902385620244</v>
      </c>
      <c r="M224">
        <f t="shared" ca="1" si="62"/>
        <v>1.0000000000005116E-2</v>
      </c>
      <c r="N224">
        <f t="shared" ca="1" si="63"/>
        <v>1.0000000000005116E-2</v>
      </c>
      <c r="O224">
        <f t="shared" ca="1" si="64"/>
        <v>0</v>
      </c>
      <c r="P224">
        <f t="shared" ca="1" si="68"/>
        <v>0.3017383471508378</v>
      </c>
      <c r="Q224">
        <f t="shared" ca="1" si="69"/>
        <v>0.58300185016455608</v>
      </c>
      <c r="R224">
        <f t="shared" ca="1" si="66"/>
        <v>0.51755984490558682</v>
      </c>
      <c r="S224">
        <f t="shared" ca="1" si="67"/>
        <v>34.104740359533309</v>
      </c>
      <c r="T224">
        <f>70</f>
        <v>70</v>
      </c>
      <c r="U224">
        <f>30</f>
        <v>30</v>
      </c>
      <c r="V224">
        <f t="shared" ca="1" si="65"/>
        <v>97.966014445586197</v>
      </c>
      <c r="W224">
        <f t="shared" ca="1" si="75"/>
        <v>100.01942620488562</v>
      </c>
      <c r="X224">
        <f t="shared" ca="1" si="74"/>
        <v>-1.9807613283439451</v>
      </c>
      <c r="Y224">
        <f t="shared" ca="1" si="56"/>
        <v>-1.663289660177119</v>
      </c>
      <c r="Z224">
        <f t="shared" ca="1" si="57"/>
        <v>-0.31747166816682615</v>
      </c>
      <c r="AA224">
        <f t="shared" ca="1" si="58"/>
        <v>99.888899999999992</v>
      </c>
    </row>
    <row r="225" spans="1:27" x14ac:dyDescent="0.25">
      <c r="A225" vm="656">
        <f ca="1"/>
        <v>45615</v>
      </c>
      <c r="B225" vm="657">
        <f ca="1"/>
        <v>96.97</v>
      </c>
      <c r="C225" vm="658">
        <f ca="1"/>
        <v>1861442</v>
      </c>
      <c r="D225">
        <f t="shared" ca="1" si="59"/>
        <v>180504030.74000001</v>
      </c>
      <c r="E225">
        <f ca="1">SUM($D$2:D225)/SUM($C$2:C225)</f>
        <v>95.157654895941477</v>
      </c>
      <c r="F225">
        <f ca="1">_xlfn.STDEV.P($B$2:B225)</f>
        <v>5.805411989561355</v>
      </c>
      <c r="G225">
        <f t="shared" ca="1" si="60"/>
        <v>100.96306688550283</v>
      </c>
      <c r="H225">
        <f t="shared" ca="1" si="61"/>
        <v>89.352242906380127</v>
      </c>
      <c r="I225">
        <f t="shared" ca="1" si="70"/>
        <v>100.03950000000002</v>
      </c>
      <c r="J225">
        <f t="shared" ca="1" si="71"/>
        <v>3.7497950470308177</v>
      </c>
      <c r="K225">
        <f t="shared" ca="1" si="72"/>
        <v>107.53909009406165</v>
      </c>
      <c r="L225">
        <f t="shared" ca="1" si="73"/>
        <v>92.539909905938387</v>
      </c>
      <c r="M225">
        <f t="shared" ca="1" si="62"/>
        <v>0.51999999999999602</v>
      </c>
      <c r="N225">
        <f t="shared" ca="1" si="63"/>
        <v>0.51999999999999602</v>
      </c>
      <c r="O225">
        <f t="shared" ca="1" si="64"/>
        <v>0</v>
      </c>
      <c r="P225">
        <f t="shared" ca="1" si="68"/>
        <v>0.31732846521149194</v>
      </c>
      <c r="Q225">
        <f t="shared" ca="1" si="69"/>
        <v>0.54135886086708784</v>
      </c>
      <c r="R225">
        <f t="shared" ca="1" si="66"/>
        <v>0.58617026181714438</v>
      </c>
      <c r="S225">
        <f t="shared" ca="1" si="67"/>
        <v>36.955065665246906</v>
      </c>
      <c r="T225">
        <f>70</f>
        <v>70</v>
      </c>
      <c r="U225">
        <f>30</f>
        <v>30</v>
      </c>
      <c r="V225">
        <f t="shared" ca="1" si="65"/>
        <v>97.812781453957555</v>
      </c>
      <c r="W225">
        <f t="shared" ca="1" si="75"/>
        <v>99.7935427823015</v>
      </c>
      <c r="X225">
        <f t="shared" ca="1" si="74"/>
        <v>-1.8286761037680748</v>
      </c>
      <c r="Y225">
        <f t="shared" ca="1" si="56"/>
        <v>-1.6963669488953101</v>
      </c>
      <c r="Z225">
        <f t="shared" ca="1" si="57"/>
        <v>-0.13230915487276462</v>
      </c>
      <c r="AA225">
        <f t="shared" ca="1" si="58"/>
        <v>99.964399999999969</v>
      </c>
    </row>
    <row r="226" spans="1:27" x14ac:dyDescent="0.25">
      <c r="A226" vm="659">
        <f ca="1"/>
        <v>45616</v>
      </c>
      <c r="B226" vm="660">
        <f ca="1"/>
        <v>97.88</v>
      </c>
      <c r="C226" vm="661">
        <f ca="1"/>
        <v>2119615</v>
      </c>
      <c r="D226">
        <f t="shared" ca="1" si="59"/>
        <v>207467916.19999999</v>
      </c>
      <c r="E226">
        <f ca="1">SUM($D$2:D226)/SUM($C$2:C226)</f>
        <v>95.171358426547314</v>
      </c>
      <c r="F226">
        <f ca="1">_xlfn.STDEV.P($B$2:B226)</f>
        <v>5.7954013466191485</v>
      </c>
      <c r="G226">
        <f t="shared" ca="1" si="60"/>
        <v>100.96675977316646</v>
      </c>
      <c r="H226">
        <f t="shared" ca="1" si="61"/>
        <v>89.37595707992817</v>
      </c>
      <c r="I226">
        <f t="shared" ca="1" si="70"/>
        <v>99.563500000000019</v>
      </c>
      <c r="J226">
        <f t="shared" ca="1" si="71"/>
        <v>3.3491024327815295</v>
      </c>
      <c r="K226">
        <f t="shared" ca="1" si="72"/>
        <v>106.26170486556308</v>
      </c>
      <c r="L226">
        <f t="shared" ca="1" si="73"/>
        <v>92.865295134436963</v>
      </c>
      <c r="M226">
        <f t="shared" ca="1" si="62"/>
        <v>0.90999999999999659</v>
      </c>
      <c r="N226">
        <f t="shared" ca="1" si="63"/>
        <v>0.90999999999999659</v>
      </c>
      <c r="O226">
        <f t="shared" ca="1" si="64"/>
        <v>0</v>
      </c>
      <c r="P226">
        <f t="shared" ca="1" si="68"/>
        <v>0.35966214626781368</v>
      </c>
      <c r="Q226">
        <f t="shared" ca="1" si="69"/>
        <v>0.502690370805153</v>
      </c>
      <c r="R226">
        <f t="shared" ca="1" si="66"/>
        <v>0.71547450907354204</v>
      </c>
      <c r="S226">
        <f t="shared" ca="1" si="67"/>
        <v>41.707090678948106</v>
      </c>
      <c r="T226">
        <f>70</f>
        <v>70</v>
      </c>
      <c r="U226">
        <f>30</f>
        <v>30</v>
      </c>
      <c r="V226">
        <f t="shared" ca="1" si="65"/>
        <v>97.823122768733313</v>
      </c>
      <c r="W226">
        <f t="shared" ca="1" si="75"/>
        <v>99.651798872501388</v>
      </c>
      <c r="X226">
        <f t="shared" ca="1" si="74"/>
        <v>-1.6232682941571568</v>
      </c>
      <c r="Y226">
        <f t="shared" ca="1" si="56"/>
        <v>-1.6817472179476796</v>
      </c>
      <c r="Z226">
        <f t="shared" ca="1" si="57"/>
        <v>5.8478923790522774E-2</v>
      </c>
      <c r="AA226">
        <f t="shared" ca="1" si="58"/>
        <v>100.05509999999995</v>
      </c>
    </row>
    <row r="227" spans="1:27" x14ac:dyDescent="0.25">
      <c r="A227" vm="662">
        <f ca="1"/>
        <v>45617</v>
      </c>
      <c r="B227" vm="663">
        <f ca="1"/>
        <v>98.7</v>
      </c>
      <c r="C227" vm="664">
        <f ca="1"/>
        <v>1470557</v>
      </c>
      <c r="D227">
        <f t="shared" ca="1" si="59"/>
        <v>145143975.90000001</v>
      </c>
      <c r="E227">
        <f ca="1">SUM($D$2:D227)/SUM($C$2:C227)</f>
        <v>95.183638689519185</v>
      </c>
      <c r="F227">
        <f ca="1">_xlfn.STDEV.P($B$2:B227)</f>
        <v>5.7874066438914564</v>
      </c>
      <c r="G227">
        <f t="shared" ca="1" si="60"/>
        <v>100.97104533341064</v>
      </c>
      <c r="H227">
        <f t="shared" ca="1" si="61"/>
        <v>89.396232045627727</v>
      </c>
      <c r="I227">
        <f t="shared" ca="1" si="70"/>
        <v>99.148500000000027</v>
      </c>
      <c r="J227">
        <f t="shared" ca="1" si="71"/>
        <v>2.8572424597300481</v>
      </c>
      <c r="K227">
        <f t="shared" ca="1" si="72"/>
        <v>104.86298491946012</v>
      </c>
      <c r="L227">
        <f t="shared" ca="1" si="73"/>
        <v>93.434015080539936</v>
      </c>
      <c r="M227">
        <f t="shared" ca="1" si="62"/>
        <v>0.82000000000000739</v>
      </c>
      <c r="N227">
        <f t="shared" ca="1" si="63"/>
        <v>0.82000000000000739</v>
      </c>
      <c r="O227">
        <f t="shared" ca="1" si="64"/>
        <v>0</v>
      </c>
      <c r="P227">
        <f t="shared" ca="1" si="68"/>
        <v>0.39254342153439892</v>
      </c>
      <c r="Q227">
        <f t="shared" ca="1" si="69"/>
        <v>0.46678391574764205</v>
      </c>
      <c r="R227">
        <f t="shared" ca="1" si="66"/>
        <v>0.84095318688448584</v>
      </c>
      <c r="S227">
        <f t="shared" ca="1" si="67"/>
        <v>45.680313485193096</v>
      </c>
      <c r="T227">
        <f>70</f>
        <v>70</v>
      </c>
      <c r="U227">
        <f>30</f>
        <v>30</v>
      </c>
      <c r="V227">
        <f t="shared" ca="1" si="65"/>
        <v>97.958026958158953</v>
      </c>
      <c r="W227">
        <f t="shared" ca="1" si="75"/>
        <v>99.58129525231611</v>
      </c>
      <c r="X227">
        <f t="shared" ca="1" si="74"/>
        <v>-1.4709599727336951</v>
      </c>
      <c r="Y227">
        <f t="shared" ca="1" si="56"/>
        <v>-1.6395897689048828</v>
      </c>
      <c r="Z227">
        <f t="shared" ca="1" si="57"/>
        <v>0.16862979617118778</v>
      </c>
      <c r="AA227">
        <f t="shared" ca="1" si="58"/>
        <v>100.15239999999999</v>
      </c>
    </row>
    <row r="228" spans="1:27" x14ac:dyDescent="0.25">
      <c r="A228" vm="665">
        <f ca="1"/>
        <v>45618</v>
      </c>
      <c r="B228" vm="666">
        <f ca="1"/>
        <v>98.36</v>
      </c>
      <c r="C228" vm="667">
        <f ca="1"/>
        <v>1185988</v>
      </c>
      <c r="D228">
        <f t="shared" ca="1" si="59"/>
        <v>116653779.67999999</v>
      </c>
      <c r="E228">
        <f ca="1">SUM($D$2:D228)/SUM($C$2:C228)</f>
        <v>95.192528883062039</v>
      </c>
      <c r="F228">
        <f ca="1">_xlfn.STDEV.P($B$2:B228)</f>
        <v>5.7785567798168751</v>
      </c>
      <c r="G228">
        <f t="shared" ca="1" si="60"/>
        <v>100.97108566287892</v>
      </c>
      <c r="H228">
        <f t="shared" ca="1" si="61"/>
        <v>89.413972103245158</v>
      </c>
      <c r="I228">
        <f t="shared" ca="1" si="70"/>
        <v>98.836500000000001</v>
      </c>
      <c r="J228">
        <f t="shared" ca="1" si="71"/>
        <v>2.5553746764108993</v>
      </c>
      <c r="K228">
        <f t="shared" ca="1" si="72"/>
        <v>103.9472493528218</v>
      </c>
      <c r="L228">
        <f t="shared" ca="1" si="73"/>
        <v>93.725750647178202</v>
      </c>
      <c r="M228">
        <f t="shared" ca="1" si="62"/>
        <v>-0.34000000000000341</v>
      </c>
      <c r="N228">
        <f t="shared" ca="1" si="63"/>
        <v>0</v>
      </c>
      <c r="O228">
        <f t="shared" ca="1" si="64"/>
        <v>0.34000000000000341</v>
      </c>
      <c r="P228">
        <f t="shared" ca="1" si="68"/>
        <v>0.3645046057105133</v>
      </c>
      <c r="Q228">
        <f t="shared" ca="1" si="69"/>
        <v>0.4577279217656679</v>
      </c>
      <c r="R228">
        <f t="shared" ca="1" si="66"/>
        <v>0.79633465291881422</v>
      </c>
      <c r="S228">
        <f t="shared" ca="1" si="67"/>
        <v>44.331085615081363</v>
      </c>
      <c r="T228">
        <f>70</f>
        <v>70</v>
      </c>
      <c r="U228">
        <f>30</f>
        <v>30</v>
      </c>
      <c r="V228">
        <f t="shared" ca="1" si="65"/>
        <v>98.019868964596029</v>
      </c>
      <c r="W228">
        <f t="shared" ca="1" si="75"/>
        <v>99.490828937329724</v>
      </c>
      <c r="X228">
        <f t="shared" ca="1" si="74"/>
        <v>-1.2463200061172017</v>
      </c>
      <c r="Y228">
        <f t="shared" ca="1" si="56"/>
        <v>-1.5609358163473468</v>
      </c>
      <c r="Z228">
        <f t="shared" ca="1" si="57"/>
        <v>0.31461581023014507</v>
      </c>
      <c r="AA228">
        <f t="shared" ca="1" si="58"/>
        <v>100.24889999999999</v>
      </c>
    </row>
    <row r="229" spans="1:27" x14ac:dyDescent="0.25">
      <c r="A229" vm="668">
        <f ca="1"/>
        <v>45621</v>
      </c>
      <c r="B229" vm="669">
        <f ca="1"/>
        <v>99.47</v>
      </c>
      <c r="C229" vm="670">
        <f ca="1"/>
        <v>3996180</v>
      </c>
      <c r="D229">
        <f t="shared" ca="1" si="59"/>
        <v>397500024.60000002</v>
      </c>
      <c r="E229">
        <f ca="1">SUM($D$2:D229)/SUM($C$2:C229)</f>
        <v>95.232491748654752</v>
      </c>
      <c r="F229">
        <f ca="1">_xlfn.STDEV.P($B$2:B229)</f>
        <v>5.7728871626487441</v>
      </c>
      <c r="G229">
        <f t="shared" ca="1" si="60"/>
        <v>101.0053789113035</v>
      </c>
      <c r="H229">
        <f t="shared" ca="1" si="61"/>
        <v>89.459604586006009</v>
      </c>
      <c r="I229">
        <f t="shared" ca="1" si="70"/>
        <v>98.569500000000005</v>
      </c>
      <c r="J229">
        <f t="shared" ca="1" si="71"/>
        <v>2.1442910127518662</v>
      </c>
      <c r="K229">
        <f t="shared" ca="1" si="72"/>
        <v>102.85808202550373</v>
      </c>
      <c r="L229">
        <f t="shared" ca="1" si="73"/>
        <v>94.280917974496276</v>
      </c>
      <c r="M229">
        <f t="shared" ca="1" si="62"/>
        <v>1.1099999999999994</v>
      </c>
      <c r="N229">
        <f t="shared" ca="1" si="63"/>
        <v>1.1099999999999994</v>
      </c>
      <c r="O229">
        <f t="shared" ca="1" si="64"/>
        <v>0</v>
      </c>
      <c r="P229">
        <f t="shared" ca="1" si="68"/>
        <v>0.41775427673119087</v>
      </c>
      <c r="Q229">
        <f t="shared" ca="1" si="69"/>
        <v>0.42503307021097736</v>
      </c>
      <c r="R229">
        <f t="shared" ca="1" si="66"/>
        <v>0.98287475966005788</v>
      </c>
      <c r="S229">
        <f t="shared" ca="1" si="67"/>
        <v>49.568171407283479</v>
      </c>
      <c r="T229">
        <f>70</f>
        <v>70</v>
      </c>
      <c r="U229">
        <f>30</f>
        <v>30</v>
      </c>
      <c r="V229">
        <f t="shared" ca="1" si="65"/>
        <v>98.242966046965876</v>
      </c>
      <c r="W229">
        <f t="shared" ca="1" si="75"/>
        <v>99.489286053083077</v>
      </c>
      <c r="X229">
        <f t="shared" ca="1" si="74"/>
        <v>-0.87822521738783621</v>
      </c>
      <c r="Y229">
        <f t="shared" ca="1" si="56"/>
        <v>-1.4243936965554447</v>
      </c>
      <c r="Z229">
        <f t="shared" ca="1" si="57"/>
        <v>0.54616847916760847</v>
      </c>
      <c r="AA229">
        <f t="shared" ca="1" si="58"/>
        <v>100.35089999999998</v>
      </c>
    </row>
    <row r="230" spans="1:27" x14ac:dyDescent="0.25">
      <c r="A230" vm="671">
        <f ca="1"/>
        <v>45622</v>
      </c>
      <c r="B230" vm="672">
        <f ca="1"/>
        <v>101.7</v>
      </c>
      <c r="C230" vm="673">
        <f ca="1"/>
        <v>2435337</v>
      </c>
      <c r="D230">
        <f t="shared" ca="1" si="59"/>
        <v>247673772.90000001</v>
      </c>
      <c r="E230">
        <f ca="1">SUM($D$2:D230)/SUM($C$2:C230)</f>
        <v>95.269106398568113</v>
      </c>
      <c r="F230">
        <f ca="1">_xlfn.STDEV.P($B$2:B230)</f>
        <v>5.7762749304246395</v>
      </c>
      <c r="G230">
        <f t="shared" ca="1" si="60"/>
        <v>101.04538132899275</v>
      </c>
      <c r="H230">
        <f t="shared" ca="1" si="61"/>
        <v>89.492831468143478</v>
      </c>
      <c r="I230">
        <f t="shared" ca="1" si="70"/>
        <v>98.509000000000015</v>
      </c>
      <c r="J230">
        <f t="shared" ca="1" si="71"/>
        <v>2.0293709162667821</v>
      </c>
      <c r="K230">
        <f t="shared" ca="1" si="72"/>
        <v>102.56774183253359</v>
      </c>
      <c r="L230">
        <f t="shared" ca="1" si="73"/>
        <v>94.450258167466444</v>
      </c>
      <c r="M230">
        <f t="shared" ca="1" si="62"/>
        <v>2.230000000000004</v>
      </c>
      <c r="N230">
        <f t="shared" ca="1" si="63"/>
        <v>2.230000000000004</v>
      </c>
      <c r="O230">
        <f t="shared" ca="1" si="64"/>
        <v>0</v>
      </c>
      <c r="P230">
        <f t="shared" ca="1" si="68"/>
        <v>0.54720039982182034</v>
      </c>
      <c r="Q230">
        <f t="shared" ca="1" si="69"/>
        <v>0.39467356519590752</v>
      </c>
      <c r="R230">
        <f t="shared" ca="1" si="66"/>
        <v>1.386463265028155</v>
      </c>
      <c r="S230">
        <f t="shared" ca="1" si="67"/>
        <v>58.096987510587041</v>
      </c>
      <c r="T230">
        <f>70</f>
        <v>70</v>
      </c>
      <c r="U230">
        <f>30</f>
        <v>30</v>
      </c>
      <c r="V230">
        <f t="shared" ca="1" si="65"/>
        <v>98.774817424355746</v>
      </c>
      <c r="W230">
        <f t="shared" ca="1" si="75"/>
        <v>99.653042641743582</v>
      </c>
      <c r="X230">
        <f t="shared" ca="1" si="74"/>
        <v>-0.58939624938177815</v>
      </c>
      <c r="Y230">
        <f t="shared" ref="Y230:Y293" ca="1" si="76">X230*(2/(9+1)) + Y229*(1-(2/(9+1)))</f>
        <v>-1.2573942071207114</v>
      </c>
      <c r="Z230">
        <f t="shared" ref="Z230:Z293" ca="1" si="77">X230-Y230</f>
        <v>0.66799795773893322</v>
      </c>
      <c r="AA230">
        <f t="shared" ref="AA230:AA293" ca="1" si="78">AVERAGE(B131:B230)</f>
        <v>100.48370000000001</v>
      </c>
    </row>
    <row r="231" spans="1:27" x14ac:dyDescent="0.25">
      <c r="A231" vm="674">
        <f ca="1"/>
        <v>45623</v>
      </c>
      <c r="B231" vm="574">
        <f ca="1"/>
        <v>101.58</v>
      </c>
      <c r="C231" vm="675">
        <f ca="1"/>
        <v>1330448</v>
      </c>
      <c r="D231">
        <f t="shared" ca="1" si="59"/>
        <v>135146907.84</v>
      </c>
      <c r="E231">
        <f ca="1">SUM($D$2:D231)/SUM($C$2:C231)</f>
        <v>95.288564768806353</v>
      </c>
      <c r="F231">
        <f ca="1">_xlfn.STDEV.P($B$2:B231)</f>
        <v>5.778915132913923</v>
      </c>
      <c r="G231">
        <f t="shared" ca="1" si="60"/>
        <v>101.06747990172028</v>
      </c>
      <c r="H231">
        <f t="shared" ca="1" si="61"/>
        <v>89.50964963589243</v>
      </c>
      <c r="I231">
        <f t="shared" ca="1" si="70"/>
        <v>98.451999999999998</v>
      </c>
      <c r="J231">
        <f t="shared" ca="1" si="71"/>
        <v>1.9178128990570162</v>
      </c>
      <c r="K231">
        <f t="shared" ca="1" si="72"/>
        <v>102.28762579811404</v>
      </c>
      <c r="L231">
        <f t="shared" ca="1" si="73"/>
        <v>94.616374201885961</v>
      </c>
      <c r="M231">
        <f t="shared" ca="1" si="62"/>
        <v>-0.12000000000000455</v>
      </c>
      <c r="N231">
        <f t="shared" ca="1" si="63"/>
        <v>0</v>
      </c>
      <c r="O231">
        <f t="shared" ca="1" si="64"/>
        <v>0.12000000000000455</v>
      </c>
      <c r="P231">
        <f t="shared" ca="1" si="68"/>
        <v>0.50811465697740466</v>
      </c>
      <c r="Q231">
        <f t="shared" ca="1" si="69"/>
        <v>0.37505402482477157</v>
      </c>
      <c r="R231">
        <f t="shared" ca="1" si="66"/>
        <v>1.3547772409982806</v>
      </c>
      <c r="S231">
        <f t="shared" ca="1" si="67"/>
        <v>57.533138056996776</v>
      </c>
      <c r="T231">
        <f>70</f>
        <v>70</v>
      </c>
      <c r="U231">
        <f>30</f>
        <v>30</v>
      </c>
      <c r="V231">
        <f t="shared" ca="1" si="65"/>
        <v>99.206383974454866</v>
      </c>
      <c r="W231">
        <f t="shared" ca="1" si="75"/>
        <v>99.795780223836644</v>
      </c>
      <c r="X231">
        <f t="shared" ca="1" si="74"/>
        <v>-0.43536333998237353</v>
      </c>
      <c r="Y231">
        <f t="shared" ca="1" si="76"/>
        <v>-1.0929880336930438</v>
      </c>
      <c r="Z231">
        <f t="shared" ca="1" si="77"/>
        <v>0.65762469371067023</v>
      </c>
      <c r="AA231">
        <f t="shared" ca="1" si="78"/>
        <v>100.611</v>
      </c>
    </row>
    <row r="232" spans="1:27" x14ac:dyDescent="0.25">
      <c r="A232" vm="676">
        <f ca="1"/>
        <v>45625</v>
      </c>
      <c r="B232" vm="677">
        <f ca="1"/>
        <v>100.59</v>
      </c>
      <c r="C232" vm="678">
        <f ca="1"/>
        <v>952343</v>
      </c>
      <c r="D232">
        <f t="shared" ca="1" si="59"/>
        <v>95796182.370000005</v>
      </c>
      <c r="E232">
        <f ca="1">SUM($D$2:D232)/SUM($C$2:C232)</f>
        <v>95.300239505704127</v>
      </c>
      <c r="F232">
        <f ca="1">_xlfn.STDEV.P($B$2:B232)</f>
        <v>5.7770840335467666</v>
      </c>
      <c r="G232">
        <f t="shared" ca="1" si="60"/>
        <v>101.0773235392509</v>
      </c>
      <c r="H232">
        <f t="shared" ca="1" si="61"/>
        <v>89.523155472157356</v>
      </c>
      <c r="I232">
        <f t="shared" ca="1" si="70"/>
        <v>98.397500000000008</v>
      </c>
      <c r="J232">
        <f t="shared" ca="1" si="71"/>
        <v>1.8349498057095965</v>
      </c>
      <c r="K232">
        <f t="shared" ca="1" si="72"/>
        <v>102.06739961141921</v>
      </c>
      <c r="L232">
        <f t="shared" ca="1" si="73"/>
        <v>94.727600388580811</v>
      </c>
      <c r="M232">
        <f t="shared" ca="1" si="62"/>
        <v>-0.98999999999999488</v>
      </c>
      <c r="N232">
        <f t="shared" ca="1" si="63"/>
        <v>0</v>
      </c>
      <c r="O232">
        <f t="shared" ca="1" si="64"/>
        <v>0.98999999999999488</v>
      </c>
      <c r="P232">
        <f t="shared" ca="1" si="68"/>
        <v>0.47182075290759007</v>
      </c>
      <c r="Q232">
        <f t="shared" ca="1" si="69"/>
        <v>0.41897873733728758</v>
      </c>
      <c r="R232">
        <f t="shared" ca="1" si="66"/>
        <v>1.1261209957959357</v>
      </c>
      <c r="S232">
        <f t="shared" ca="1" si="67"/>
        <v>52.965988202113607</v>
      </c>
      <c r="T232">
        <f>70</f>
        <v>70</v>
      </c>
      <c r="U232">
        <f>30</f>
        <v>30</v>
      </c>
      <c r="V232">
        <f t="shared" ca="1" si="65"/>
        <v>99.419247978384888</v>
      </c>
      <c r="W232">
        <f t="shared" ca="1" si="75"/>
        <v>99.854611318367262</v>
      </c>
      <c r="X232">
        <f t="shared" ca="1" si="74"/>
        <v>-0.47644452674941817</v>
      </c>
      <c r="Y232">
        <f t="shared" ca="1" si="76"/>
        <v>-0.96967933230431869</v>
      </c>
      <c r="Z232">
        <f t="shared" ca="1" si="77"/>
        <v>0.49323480555490051</v>
      </c>
      <c r="AA232">
        <f t="shared" ca="1" si="78"/>
        <v>100.71820000000001</v>
      </c>
    </row>
    <row r="233" spans="1:27" x14ac:dyDescent="0.25">
      <c r="A233" vm="679">
        <f ca="1"/>
        <v>45628</v>
      </c>
      <c r="B233" vm="680">
        <f ca="1"/>
        <v>98.5</v>
      </c>
      <c r="C233" vm="681">
        <f ca="1"/>
        <v>1911596</v>
      </c>
      <c r="D233">
        <f t="shared" ca="1" si="59"/>
        <v>188292206</v>
      </c>
      <c r="E233">
        <f ca="1">SUM($D$2:D233)/SUM($C$2:C233)</f>
        <v>95.314321310883358</v>
      </c>
      <c r="F233">
        <f ca="1">_xlfn.STDEV.P($B$2:B233)</f>
        <v>5.7685208606937213</v>
      </c>
      <c r="G233">
        <f t="shared" ca="1" si="60"/>
        <v>101.08284217157708</v>
      </c>
      <c r="H233">
        <f t="shared" ca="1" si="61"/>
        <v>89.545800450189631</v>
      </c>
      <c r="I233">
        <f t="shared" ca="1" si="70"/>
        <v>98.322500000000005</v>
      </c>
      <c r="J233">
        <f t="shared" ca="1" si="71"/>
        <v>1.7962501144562839</v>
      </c>
      <c r="K233">
        <f t="shared" ca="1" si="72"/>
        <v>101.91500022891258</v>
      </c>
      <c r="L233">
        <f t="shared" ca="1" si="73"/>
        <v>94.729999771087435</v>
      </c>
      <c r="M233">
        <f t="shared" ca="1" si="62"/>
        <v>-2.0900000000000034</v>
      </c>
      <c r="N233">
        <f t="shared" ca="1" si="63"/>
        <v>0</v>
      </c>
      <c r="O233">
        <f t="shared" ca="1" si="64"/>
        <v>2.0900000000000034</v>
      </c>
      <c r="P233">
        <f t="shared" ca="1" si="68"/>
        <v>0.43811927055704791</v>
      </c>
      <c r="Q233">
        <f t="shared" ca="1" si="69"/>
        <v>0.53833739895605304</v>
      </c>
      <c r="R233">
        <f t="shared" ca="1" si="66"/>
        <v>0.81383769993808963</v>
      </c>
      <c r="S233">
        <f t="shared" ca="1" si="67"/>
        <v>44.868275698860366</v>
      </c>
      <c r="T233">
        <f>70</f>
        <v>70</v>
      </c>
      <c r="U233">
        <f>30</f>
        <v>30</v>
      </c>
      <c r="V233">
        <f t="shared" ca="1" si="65"/>
        <v>99.277825212479527</v>
      </c>
      <c r="W233">
        <f t="shared" ca="1" si="75"/>
        <v>99.754269739228945</v>
      </c>
      <c r="X233">
        <f t="shared" ca="1" si="74"/>
        <v>-0.58057999186034692</v>
      </c>
      <c r="Y233">
        <f t="shared" ca="1" si="76"/>
        <v>-0.89185946421552442</v>
      </c>
      <c r="Z233">
        <f t="shared" ca="1" si="77"/>
        <v>0.3112794723551775</v>
      </c>
      <c r="AA233">
        <f t="shared" ca="1" si="78"/>
        <v>100.7886</v>
      </c>
    </row>
    <row r="234" spans="1:27" x14ac:dyDescent="0.25">
      <c r="A234" vm="682">
        <f ca="1"/>
        <v>45629</v>
      </c>
      <c r="B234" vm="683">
        <f ca="1"/>
        <v>97.53</v>
      </c>
      <c r="C234" vm="684">
        <f ca="1"/>
        <v>1535995</v>
      </c>
      <c r="D234">
        <f t="shared" ca="1" si="59"/>
        <v>149805592.34999999</v>
      </c>
      <c r="E234">
        <f ca="1">SUM($D$2:D234)/SUM($C$2:C234)</f>
        <v>95.322128744383008</v>
      </c>
      <c r="F234">
        <f ca="1">_xlfn.STDEV.P($B$2:B234)</f>
        <v>5.7580139438631912</v>
      </c>
      <c r="G234">
        <f t="shared" ca="1" si="60"/>
        <v>101.0801426882462</v>
      </c>
      <c r="H234">
        <f t="shared" ca="1" si="61"/>
        <v>89.564114800519818</v>
      </c>
      <c r="I234">
        <f t="shared" ca="1" si="70"/>
        <v>98.241500000000002</v>
      </c>
      <c r="J234">
        <f t="shared" ca="1" si="71"/>
        <v>1.7934948975027567</v>
      </c>
      <c r="K234">
        <f t="shared" ca="1" si="72"/>
        <v>101.82848979500551</v>
      </c>
      <c r="L234">
        <f t="shared" ca="1" si="73"/>
        <v>94.654510204994494</v>
      </c>
      <c r="M234">
        <f t="shared" ca="1" si="62"/>
        <v>-0.96999999999999886</v>
      </c>
      <c r="N234">
        <f t="shared" ca="1" si="63"/>
        <v>0</v>
      </c>
      <c r="O234">
        <f t="shared" ca="1" si="64"/>
        <v>0.96999999999999886</v>
      </c>
      <c r="P234">
        <f t="shared" ca="1" si="68"/>
        <v>0.40682503694583022</v>
      </c>
      <c r="Q234">
        <f t="shared" ca="1" si="69"/>
        <v>0.56917044188776345</v>
      </c>
      <c r="R234">
        <f t="shared" ca="1" si="66"/>
        <v>0.71476838395984965</v>
      </c>
      <c r="S234">
        <f t="shared" ca="1" si="67"/>
        <v>41.683086220032941</v>
      </c>
      <c r="T234">
        <f>70</f>
        <v>70</v>
      </c>
      <c r="U234">
        <f>30</f>
        <v>30</v>
      </c>
      <c r="V234">
        <f t="shared" ca="1" si="65"/>
        <v>99.008929025944227</v>
      </c>
      <c r="W234">
        <f t="shared" ca="1" si="75"/>
        <v>99.589509017804573</v>
      </c>
      <c r="X234">
        <f t="shared" ca="1" si="74"/>
        <v>-0.72814390336480983</v>
      </c>
      <c r="Y234">
        <f t="shared" ca="1" si="76"/>
        <v>-0.8591163520453815</v>
      </c>
      <c r="Z234">
        <f t="shared" ca="1" si="77"/>
        <v>0.13097244868057167</v>
      </c>
      <c r="AA234">
        <f t="shared" ca="1" si="78"/>
        <v>100.84200000000003</v>
      </c>
    </row>
    <row r="235" spans="1:27" x14ac:dyDescent="0.25">
      <c r="A235" vm="685">
        <f ca="1"/>
        <v>45630</v>
      </c>
      <c r="B235" vm="686">
        <f ca="1"/>
        <v>96.62</v>
      </c>
      <c r="C235" vm="687">
        <f ca="1"/>
        <v>5090667</v>
      </c>
      <c r="D235">
        <f t="shared" ca="1" si="59"/>
        <v>491860245.54000002</v>
      </c>
      <c r="E235">
        <f ca="1">SUM($D$2:D235)/SUM($C$2:C235)</f>
        <v>95.337110941322763</v>
      </c>
      <c r="F235">
        <f ca="1">_xlfn.STDEV.P($B$2:B235)</f>
        <v>5.7463563271050084</v>
      </c>
      <c r="G235">
        <f t="shared" ca="1" si="60"/>
        <v>101.08346726842777</v>
      </c>
      <c r="H235">
        <f t="shared" ca="1" si="61"/>
        <v>89.590754614217758</v>
      </c>
      <c r="I235">
        <f t="shared" ca="1" si="70"/>
        <v>98.081499999999977</v>
      </c>
      <c r="J235">
        <f t="shared" ca="1" si="71"/>
        <v>1.7879929206265133</v>
      </c>
      <c r="K235">
        <f t="shared" ca="1" si="72"/>
        <v>101.65748584125301</v>
      </c>
      <c r="L235">
        <f t="shared" ca="1" si="73"/>
        <v>94.505514158746948</v>
      </c>
      <c r="M235">
        <f t="shared" ca="1" si="62"/>
        <v>-0.90999999999999659</v>
      </c>
      <c r="N235">
        <f t="shared" ca="1" si="63"/>
        <v>0</v>
      </c>
      <c r="O235">
        <f t="shared" ca="1" si="64"/>
        <v>0.90999999999999659</v>
      </c>
      <c r="P235">
        <f t="shared" ca="1" si="68"/>
        <v>0.37776610573541375</v>
      </c>
      <c r="Q235">
        <f t="shared" ca="1" si="69"/>
        <v>0.59351541032435151</v>
      </c>
      <c r="R235">
        <f t="shared" ca="1" si="66"/>
        <v>0.63648912760153531</v>
      </c>
      <c r="S235">
        <f t="shared" ca="1" si="67"/>
        <v>38.893575084998204</v>
      </c>
      <c r="T235">
        <f>70</f>
        <v>70</v>
      </c>
      <c r="U235">
        <f>30</f>
        <v>30</v>
      </c>
      <c r="V235">
        <f t="shared" ca="1" si="65"/>
        <v>98.641401483491279</v>
      </c>
      <c r="W235">
        <f t="shared" ca="1" si="75"/>
        <v>99.369545386856089</v>
      </c>
      <c r="X235">
        <f t="shared" ca="1" si="74"/>
        <v>-0.84503136789550126</v>
      </c>
      <c r="Y235">
        <f t="shared" ca="1" si="76"/>
        <v>-0.85629935521540546</v>
      </c>
      <c r="Z235">
        <f t="shared" ca="1" si="77"/>
        <v>1.1267987319904194E-2</v>
      </c>
      <c r="AA235">
        <f t="shared" ca="1" si="78"/>
        <v>100.90560000000004</v>
      </c>
    </row>
    <row r="236" spans="1:27" x14ac:dyDescent="0.25">
      <c r="A236" vm="688">
        <f ca="1"/>
        <v>45631</v>
      </c>
      <c r="B236" vm="689">
        <f ca="1"/>
        <v>96.5</v>
      </c>
      <c r="C236" vm="690">
        <f ca="1"/>
        <v>2615839</v>
      </c>
      <c r="D236">
        <f t="shared" ca="1" si="59"/>
        <v>252428463.5</v>
      </c>
      <c r="E236">
        <f ca="1">SUM($D$2:D236)/SUM($C$2:C236)</f>
        <v>95.343968191474957</v>
      </c>
      <c r="F236">
        <f ca="1">_xlfn.STDEV.P($B$2:B236)</f>
        <v>5.734656472720725</v>
      </c>
      <c r="G236">
        <f t="shared" ca="1" si="60"/>
        <v>101.07862466419569</v>
      </c>
      <c r="H236">
        <f t="shared" ca="1" si="61"/>
        <v>89.609311718754228</v>
      </c>
      <c r="I236">
        <f t="shared" ca="1" si="70"/>
        <v>97.958499999999987</v>
      </c>
      <c r="J236">
        <f t="shared" ca="1" si="71"/>
        <v>1.8088707585266102</v>
      </c>
      <c r="K236">
        <f t="shared" ca="1" si="72"/>
        <v>101.57624151705321</v>
      </c>
      <c r="L236">
        <f t="shared" ca="1" si="73"/>
        <v>94.340758482946768</v>
      </c>
      <c r="M236">
        <f t="shared" ca="1" si="62"/>
        <v>-0.12000000000000455</v>
      </c>
      <c r="N236">
        <f t="shared" ca="1" si="63"/>
        <v>0</v>
      </c>
      <c r="O236">
        <f t="shared" ca="1" si="64"/>
        <v>0.12000000000000455</v>
      </c>
      <c r="P236">
        <f t="shared" ca="1" si="68"/>
        <v>0.35078281246859844</v>
      </c>
      <c r="Q236">
        <f t="shared" ca="1" si="69"/>
        <v>0.55969288101546966</v>
      </c>
      <c r="R236">
        <f t="shared" ca="1" si="66"/>
        <v>0.62674160127275758</v>
      </c>
      <c r="S236">
        <f t="shared" ca="1" si="67"/>
        <v>38.527421981610168</v>
      </c>
      <c r="T236">
        <f>70</f>
        <v>70</v>
      </c>
      <c r="U236">
        <f>30</f>
        <v>30</v>
      </c>
      <c r="V236">
        <f t="shared" ca="1" si="65"/>
        <v>98.311955101415691</v>
      </c>
      <c r="W236">
        <f t="shared" ca="1" si="75"/>
        <v>99.156986469311192</v>
      </c>
      <c r="X236">
        <f t="shared" ca="1" si="74"/>
        <v>-1.0609969726657482</v>
      </c>
      <c r="Y236">
        <f t="shared" ca="1" si="76"/>
        <v>-0.89723887870547403</v>
      </c>
      <c r="Z236">
        <f t="shared" ca="1" si="77"/>
        <v>-0.16375809396027419</v>
      </c>
      <c r="AA236">
        <f t="shared" ca="1" si="78"/>
        <v>100.95510000000004</v>
      </c>
    </row>
    <row r="237" spans="1:27" x14ac:dyDescent="0.25">
      <c r="A237" vm="691">
        <f ca="1"/>
        <v>45632</v>
      </c>
      <c r="B237" vm="692">
        <f ca="1"/>
        <v>94.82</v>
      </c>
      <c r="C237" vm="693">
        <f ca="1"/>
        <v>2813525</v>
      </c>
      <c r="D237">
        <f t="shared" ca="1" si="59"/>
        <v>266778440.49999997</v>
      </c>
      <c r="E237">
        <f ca="1">SUM($D$2:D237)/SUM($C$2:C237)</f>
        <v>95.340665936204502</v>
      </c>
      <c r="F237">
        <f ca="1">_xlfn.STDEV.P($B$2:B237)</f>
        <v>5.7225776774410351</v>
      </c>
      <c r="G237">
        <f t="shared" ca="1" si="60"/>
        <v>101.06324361364554</v>
      </c>
      <c r="H237">
        <f t="shared" ca="1" si="61"/>
        <v>89.618088258763464</v>
      </c>
      <c r="I237">
        <f t="shared" ca="1" si="70"/>
        <v>97.82050000000001</v>
      </c>
      <c r="J237">
        <f t="shared" ca="1" si="71"/>
        <v>1.9398086584967476</v>
      </c>
      <c r="K237">
        <f t="shared" ca="1" si="72"/>
        <v>101.7001173169935</v>
      </c>
      <c r="L237">
        <f t="shared" ca="1" si="73"/>
        <v>93.940882683006521</v>
      </c>
      <c r="M237">
        <f t="shared" ca="1" si="62"/>
        <v>-1.6800000000000068</v>
      </c>
      <c r="N237">
        <f t="shared" ca="1" si="63"/>
        <v>0</v>
      </c>
      <c r="O237">
        <f t="shared" ca="1" si="64"/>
        <v>1.6800000000000068</v>
      </c>
      <c r="P237">
        <f t="shared" ca="1" si="68"/>
        <v>0.32572689729226995</v>
      </c>
      <c r="Q237">
        <f t="shared" ca="1" si="69"/>
        <v>0.63971481808579378</v>
      </c>
      <c r="R237">
        <f t="shared" ca="1" si="66"/>
        <v>0.50917516381273797</v>
      </c>
      <c r="S237">
        <f t="shared" ca="1" si="67"/>
        <v>33.738639226368662</v>
      </c>
      <c r="T237">
        <f>70</f>
        <v>70</v>
      </c>
      <c r="U237">
        <f>30</f>
        <v>30</v>
      </c>
      <c r="V237">
        <f t="shared" ca="1" si="65"/>
        <v>97.774731239659431</v>
      </c>
      <c r="W237">
        <f t="shared" ca="1" si="75"/>
        <v>98.835728212325179</v>
      </c>
      <c r="X237">
        <f t="shared" ca="1" si="74"/>
        <v>-1.2213005436661888</v>
      </c>
      <c r="Y237">
        <f t="shared" ca="1" si="76"/>
        <v>-0.96205121169761709</v>
      </c>
      <c r="Z237">
        <f t="shared" ca="1" si="77"/>
        <v>-0.25924933196857169</v>
      </c>
      <c r="AA237">
        <f t="shared" ca="1" si="78"/>
        <v>100.96570000000001</v>
      </c>
    </row>
    <row r="238" spans="1:27" x14ac:dyDescent="0.25">
      <c r="A238" vm="694">
        <f ca="1"/>
        <v>45635</v>
      </c>
      <c r="B238" vm="695">
        <f ca="1"/>
        <v>94.78</v>
      </c>
      <c r="C238" vm="696">
        <f ca="1"/>
        <v>2529568</v>
      </c>
      <c r="D238">
        <f t="shared" ca="1" si="59"/>
        <v>239752455.03999999</v>
      </c>
      <c r="E238">
        <f ca="1">SUM($D$2:D238)/SUM($C$2:C238)</f>
        <v>95.337506922113661</v>
      </c>
      <c r="F238">
        <f ca="1">_xlfn.STDEV.P($B$2:B238)</f>
        <v>5.7105894417278744</v>
      </c>
      <c r="G238">
        <f t="shared" ca="1" si="60"/>
        <v>101.04809636384154</v>
      </c>
      <c r="H238">
        <f t="shared" ca="1" si="61"/>
        <v>89.626917480385785</v>
      </c>
      <c r="I238">
        <f t="shared" ca="1" si="70"/>
        <v>97.652999999999992</v>
      </c>
      <c r="J238">
        <f t="shared" ca="1" si="71"/>
        <v>2.0530083190028097</v>
      </c>
      <c r="K238">
        <f t="shared" ca="1" si="72"/>
        <v>101.7590166380056</v>
      </c>
      <c r="L238">
        <f t="shared" ca="1" si="73"/>
        <v>93.546983361994378</v>
      </c>
      <c r="M238">
        <f t="shared" ca="1" si="62"/>
        <v>-3.9999999999992042E-2</v>
      </c>
      <c r="N238">
        <f t="shared" ca="1" si="63"/>
        <v>0</v>
      </c>
      <c r="O238">
        <f t="shared" ca="1" si="64"/>
        <v>3.9999999999992042E-2</v>
      </c>
      <c r="P238">
        <f t="shared" ca="1" si="68"/>
        <v>0.30246069034282208</v>
      </c>
      <c r="Q238">
        <f t="shared" ca="1" si="69"/>
        <v>0.59687804536537936</v>
      </c>
      <c r="R238">
        <f t="shared" ca="1" si="66"/>
        <v>0.50673783814191142</v>
      </c>
      <c r="S238">
        <f t="shared" ca="1" si="67"/>
        <v>33.63145368187034</v>
      </c>
      <c r="T238">
        <f>70</f>
        <v>70</v>
      </c>
      <c r="U238">
        <f>30</f>
        <v>30</v>
      </c>
      <c r="V238">
        <f t="shared" ca="1" si="65"/>
        <v>97.314003356634899</v>
      </c>
      <c r="W238">
        <f t="shared" ca="1" si="75"/>
        <v>98.535303900301088</v>
      </c>
      <c r="X238">
        <f t="shared" ca="1" si="74"/>
        <v>-1.3401560418156322</v>
      </c>
      <c r="Y238">
        <f t="shared" ca="1" si="76"/>
        <v>-1.0376721777212201</v>
      </c>
      <c r="Z238">
        <f t="shared" ca="1" si="77"/>
        <v>-0.30248386409441208</v>
      </c>
      <c r="AA238">
        <f t="shared" ca="1" si="78"/>
        <v>100.97240000000004</v>
      </c>
    </row>
    <row r="239" spans="1:27" x14ac:dyDescent="0.25">
      <c r="A239" vm="697">
        <f ca="1"/>
        <v>45636</v>
      </c>
      <c r="B239" vm="698">
        <f ca="1"/>
        <v>94.69</v>
      </c>
      <c r="C239" vm="699">
        <f ca="1"/>
        <v>1695783</v>
      </c>
      <c r="D239">
        <f t="shared" ca="1" si="59"/>
        <v>160573692.27000001</v>
      </c>
      <c r="E239">
        <f ca="1">SUM($D$2:D239)/SUM($C$2:C239)</f>
        <v>95.335070354908808</v>
      </c>
      <c r="F239">
        <f ca="1">_xlfn.STDEV.P($B$2:B239)</f>
        <v>5.6987130714314347</v>
      </c>
      <c r="G239">
        <f t="shared" ca="1" si="60"/>
        <v>101.03378342634025</v>
      </c>
      <c r="H239">
        <f t="shared" ca="1" si="61"/>
        <v>89.636357283477366</v>
      </c>
      <c r="I239">
        <f t="shared" ca="1" si="70"/>
        <v>97.463499999999996</v>
      </c>
      <c r="J239">
        <f t="shared" ca="1" si="71"/>
        <v>2.1454879827700108</v>
      </c>
      <c r="K239">
        <f t="shared" ca="1" si="72"/>
        <v>101.75447596554002</v>
      </c>
      <c r="L239">
        <f t="shared" ca="1" si="73"/>
        <v>93.172524034459968</v>
      </c>
      <c r="M239">
        <f t="shared" ca="1" si="62"/>
        <v>-9.0000000000003411E-2</v>
      </c>
      <c r="N239">
        <f t="shared" ca="1" si="63"/>
        <v>0</v>
      </c>
      <c r="O239">
        <f t="shared" ca="1" si="64"/>
        <v>9.0000000000003411E-2</v>
      </c>
      <c r="P239">
        <f t="shared" ca="1" si="68"/>
        <v>0.2808563553183348</v>
      </c>
      <c r="Q239">
        <f t="shared" ca="1" si="69"/>
        <v>0.56067247069642401</v>
      </c>
      <c r="R239">
        <f t="shared" ca="1" si="66"/>
        <v>0.50092767167518815</v>
      </c>
      <c r="S239">
        <f t="shared" ca="1" si="67"/>
        <v>33.374537702812944</v>
      </c>
      <c r="T239">
        <f>70</f>
        <v>70</v>
      </c>
      <c r="U239">
        <f>30</f>
        <v>30</v>
      </c>
      <c r="V239">
        <f t="shared" ca="1" si="65"/>
        <v>96.910310532537224</v>
      </c>
      <c r="W239">
        <f t="shared" ca="1" si="75"/>
        <v>98.250466574352856</v>
      </c>
      <c r="X239">
        <f t="shared" ca="1" si="74"/>
        <v>-1.5727618475815461</v>
      </c>
      <c r="Y239">
        <f t="shared" ca="1" si="76"/>
        <v>-1.1446901116932855</v>
      </c>
      <c r="Z239">
        <f t="shared" ca="1" si="77"/>
        <v>-0.42807173588826064</v>
      </c>
      <c r="AA239">
        <f t="shared" ca="1" si="78"/>
        <v>100.97890000000002</v>
      </c>
    </row>
    <row r="240" spans="1:27" x14ac:dyDescent="0.25">
      <c r="A240" vm="700">
        <f ca="1"/>
        <v>45637</v>
      </c>
      <c r="B240" vm="701">
        <f ca="1"/>
        <v>92.75</v>
      </c>
      <c r="C240" vm="702">
        <f ca="1"/>
        <v>2352368</v>
      </c>
      <c r="D240">
        <f t="shared" ca="1" si="59"/>
        <v>218182132</v>
      </c>
      <c r="E240">
        <f ca="1">SUM($D$2:D240)/SUM($C$2:C240)</f>
        <v>95.321646408208167</v>
      </c>
      <c r="F240">
        <f ca="1">_xlfn.STDEV.P($B$2:B240)</f>
        <v>5.6891416497800487</v>
      </c>
      <c r="G240">
        <f t="shared" ca="1" si="60"/>
        <v>101.01078805798822</v>
      </c>
      <c r="H240">
        <f t="shared" ca="1" si="61"/>
        <v>89.632504758428112</v>
      </c>
      <c r="I240">
        <f t="shared" ca="1" si="70"/>
        <v>97.248999999999995</v>
      </c>
      <c r="J240">
        <f t="shared" ca="1" si="71"/>
        <v>2.3905161301319549</v>
      </c>
      <c r="K240">
        <f t="shared" ca="1" si="72"/>
        <v>102.03003226026391</v>
      </c>
      <c r="L240">
        <f t="shared" ca="1" si="73"/>
        <v>92.467967739736082</v>
      </c>
      <c r="M240">
        <f t="shared" ca="1" si="62"/>
        <v>-1.9399999999999977</v>
      </c>
      <c r="N240">
        <f t="shared" ca="1" si="63"/>
        <v>0</v>
      </c>
      <c r="O240">
        <f t="shared" ca="1" si="64"/>
        <v>1.9399999999999977</v>
      </c>
      <c r="P240">
        <f t="shared" ca="1" si="68"/>
        <v>0.26079518708131089</v>
      </c>
      <c r="Q240">
        <f t="shared" ca="1" si="69"/>
        <v>0.65919586564667931</v>
      </c>
      <c r="R240">
        <f t="shared" ca="1" si="66"/>
        <v>0.39562624808859742</v>
      </c>
      <c r="S240">
        <f t="shared" ca="1" si="67"/>
        <v>28.347578632204275</v>
      </c>
      <c r="T240">
        <f>70</f>
        <v>70</v>
      </c>
      <c r="U240">
        <f>30</f>
        <v>30</v>
      </c>
      <c r="V240">
        <f t="shared" ca="1" si="65"/>
        <v>96.270262758300731</v>
      </c>
      <c r="W240">
        <f t="shared" ca="1" si="75"/>
        <v>97.843024605882277</v>
      </c>
      <c r="X240">
        <f t="shared" ca="1" si="74"/>
        <v>-1.7482477427248568</v>
      </c>
      <c r="Y240">
        <f t="shared" ca="1" si="76"/>
        <v>-1.2654016378995998</v>
      </c>
      <c r="Z240">
        <f t="shared" ca="1" si="77"/>
        <v>-0.48284610482525703</v>
      </c>
      <c r="AA240">
        <f t="shared" ca="1" si="78"/>
        <v>100.96000000000004</v>
      </c>
    </row>
    <row r="241" spans="1:27" x14ac:dyDescent="0.25">
      <c r="A241" vm="703">
        <f ca="1"/>
        <v>45638</v>
      </c>
      <c r="B241" vm="704">
        <f ca="1"/>
        <v>92.61</v>
      </c>
      <c r="C241" vm="705">
        <f ca="1"/>
        <v>2300218</v>
      </c>
      <c r="D241">
        <f t="shared" ca="1" si="59"/>
        <v>213023188.97999999</v>
      </c>
      <c r="E241">
        <f ca="1">SUM($D$2:D241)/SUM($C$2:C241)</f>
        <v>95.307946899766719</v>
      </c>
      <c r="F241">
        <f ca="1">_xlfn.STDEV.P($B$2:B241)</f>
        <v>5.6798802802756221</v>
      </c>
      <c r="G241">
        <f t="shared" ca="1" si="60"/>
        <v>100.98782718004234</v>
      </c>
      <c r="H241">
        <f t="shared" ca="1" si="61"/>
        <v>89.628066619491094</v>
      </c>
      <c r="I241">
        <f t="shared" ca="1" si="70"/>
        <v>97.109000000000009</v>
      </c>
      <c r="J241">
        <f t="shared" ca="1" si="71"/>
        <v>2.5784856837013144</v>
      </c>
      <c r="K241">
        <f t="shared" ca="1" si="72"/>
        <v>102.26597136740264</v>
      </c>
      <c r="L241">
        <f t="shared" ca="1" si="73"/>
        <v>91.952028632597376</v>
      </c>
      <c r="M241">
        <f t="shared" ca="1" si="62"/>
        <v>-0.14000000000000057</v>
      </c>
      <c r="N241">
        <f t="shared" ca="1" si="63"/>
        <v>0</v>
      </c>
      <c r="O241">
        <f t="shared" ca="1" si="64"/>
        <v>0.14000000000000057</v>
      </c>
      <c r="P241">
        <f t="shared" ca="1" si="68"/>
        <v>0.24216695943264582</v>
      </c>
      <c r="Q241">
        <f t="shared" ca="1" si="69"/>
        <v>0.62211044667191651</v>
      </c>
      <c r="R241">
        <f t="shared" ca="1" si="66"/>
        <v>0.38926682669959706</v>
      </c>
      <c r="S241">
        <f t="shared" ca="1" si="67"/>
        <v>28.019586966195433</v>
      </c>
      <c r="T241">
        <f>70</f>
        <v>70</v>
      </c>
      <c r="U241">
        <f>30</f>
        <v>30</v>
      </c>
      <c r="V241">
        <f t="shared" ca="1" si="65"/>
        <v>95.707145410869842</v>
      </c>
      <c r="W241">
        <f t="shared" ca="1" si="75"/>
        <v>97.455393153594699</v>
      </c>
      <c r="X241">
        <f t="shared" ca="1" si="74"/>
        <v>-1.8594318743302836</v>
      </c>
      <c r="Y241">
        <f t="shared" ca="1" si="76"/>
        <v>-1.3842076851857368</v>
      </c>
      <c r="Z241">
        <f t="shared" ca="1" si="77"/>
        <v>-0.47522418914454678</v>
      </c>
      <c r="AA241">
        <f t="shared" ca="1" si="78"/>
        <v>100.95360000000004</v>
      </c>
    </row>
    <row r="242" spans="1:27" x14ac:dyDescent="0.25">
      <c r="A242" vm="706">
        <f ca="1"/>
        <v>45639</v>
      </c>
      <c r="B242" vm="707">
        <f ca="1"/>
        <v>92.69</v>
      </c>
      <c r="C242" vm="708">
        <f ca="1"/>
        <v>1868498</v>
      </c>
      <c r="D242">
        <f t="shared" ca="1" si="59"/>
        <v>173191079.62</v>
      </c>
      <c r="E242">
        <f ca="1">SUM($D$2:D242)/SUM($C$2:C242)</f>
        <v>95.297247048262236</v>
      </c>
      <c r="F242">
        <f ca="1">_xlfn.STDEV.P($B$2:B242)</f>
        <v>5.670506649354258</v>
      </c>
      <c r="G242">
        <f t="shared" ca="1" si="60"/>
        <v>100.96775369761649</v>
      </c>
      <c r="H242">
        <f t="shared" ca="1" si="61"/>
        <v>89.626740398907984</v>
      </c>
      <c r="I242">
        <f t="shared" ca="1" si="70"/>
        <v>96.981499999999997</v>
      </c>
      <c r="J242">
        <f t="shared" ca="1" si="71"/>
        <v>2.7341163779951025</v>
      </c>
      <c r="K242">
        <f t="shared" ca="1" si="72"/>
        <v>102.4497327559902</v>
      </c>
      <c r="L242">
        <f t="shared" ca="1" si="73"/>
        <v>91.513267244009796</v>
      </c>
      <c r="M242">
        <f t="shared" ca="1" si="62"/>
        <v>7.9999999999998295E-2</v>
      </c>
      <c r="N242">
        <f t="shared" ca="1" si="63"/>
        <v>7.9999999999998295E-2</v>
      </c>
      <c r="O242">
        <f t="shared" ca="1" si="64"/>
        <v>0</v>
      </c>
      <c r="P242">
        <f t="shared" ca="1" si="68"/>
        <v>0.23058360518745671</v>
      </c>
      <c r="Q242">
        <f t="shared" ca="1" si="69"/>
        <v>0.57767398619535104</v>
      </c>
      <c r="R242">
        <f t="shared" ca="1" si="66"/>
        <v>0.39915871356111343</v>
      </c>
      <c r="S242">
        <f t="shared" ca="1" si="67"/>
        <v>28.528479985317887</v>
      </c>
      <c r="T242">
        <f>70</f>
        <v>70</v>
      </c>
      <c r="U242">
        <f>30</f>
        <v>30</v>
      </c>
      <c r="V242">
        <f t="shared" ca="1" si="65"/>
        <v>95.242969193812954</v>
      </c>
      <c r="W242">
        <f t="shared" ca="1" si="75"/>
        <v>97.102401068143237</v>
      </c>
      <c r="X242">
        <f t="shared" ca="1" si="74"/>
        <v>-2.039425916194034</v>
      </c>
      <c r="Y242">
        <f t="shared" ca="1" si="76"/>
        <v>-1.5152513313873963</v>
      </c>
      <c r="Z242">
        <f t="shared" ca="1" si="77"/>
        <v>-0.5241745848066377</v>
      </c>
      <c r="AA242">
        <f t="shared" ca="1" si="78"/>
        <v>100.92170000000004</v>
      </c>
    </row>
    <row r="243" spans="1:27" x14ac:dyDescent="0.25">
      <c r="A243" vm="709">
        <f ca="1"/>
        <v>45642</v>
      </c>
      <c r="B243" vm="710">
        <f ca="1"/>
        <v>91.26</v>
      </c>
      <c r="C243" vm="711">
        <f ca="1"/>
        <v>3004564</v>
      </c>
      <c r="D243">
        <f t="shared" ca="1" si="59"/>
        <v>274196510.63999999</v>
      </c>
      <c r="E243">
        <f ca="1">SUM($D$2:D243)/SUM($C$2:C243)</f>
        <v>95.270887002134927</v>
      </c>
      <c r="F243">
        <f ca="1">_xlfn.STDEV.P($B$2:B243)</f>
        <v>5.6645863498695785</v>
      </c>
      <c r="G243">
        <f t="shared" ca="1" si="60"/>
        <v>100.93547335200451</v>
      </c>
      <c r="H243">
        <f t="shared" ca="1" si="61"/>
        <v>89.606300652265347</v>
      </c>
      <c r="I243">
        <f t="shared" ca="1" si="70"/>
        <v>96.722500000000011</v>
      </c>
      <c r="J243">
        <f t="shared" ca="1" si="71"/>
        <v>3.01865406570893</v>
      </c>
      <c r="K243">
        <f t="shared" ca="1" si="72"/>
        <v>102.75980813141787</v>
      </c>
      <c r="L243">
        <f t="shared" ca="1" si="73"/>
        <v>90.685191868582152</v>
      </c>
      <c r="M243">
        <f t="shared" ca="1" si="62"/>
        <v>-1.4299999999999926</v>
      </c>
      <c r="N243">
        <f t="shared" ca="1" si="63"/>
        <v>0</v>
      </c>
      <c r="O243">
        <f t="shared" ca="1" si="64"/>
        <v>1.4299999999999926</v>
      </c>
      <c r="P243">
        <f t="shared" ca="1" si="68"/>
        <v>0.21411334767406695</v>
      </c>
      <c r="Q243">
        <f t="shared" ca="1" si="69"/>
        <v>0.63855441575282534</v>
      </c>
      <c r="R243">
        <f t="shared" ca="1" si="66"/>
        <v>0.33530947777040659</v>
      </c>
      <c r="S243">
        <f t="shared" ca="1" si="67"/>
        <v>25.110993620016814</v>
      </c>
      <c r="T243">
        <f>70</f>
        <v>70</v>
      </c>
      <c r="U243">
        <f>30</f>
        <v>30</v>
      </c>
      <c r="V243">
        <f t="shared" ca="1" si="65"/>
        <v>94.630204702457121</v>
      </c>
      <c r="W243">
        <f t="shared" ca="1" si="75"/>
        <v>96.669630618651155</v>
      </c>
      <c r="X243">
        <f t="shared" ca="1" si="74"/>
        <v>-2.1907098416862141</v>
      </c>
      <c r="Y243">
        <f t="shared" ca="1" si="76"/>
        <v>-1.65034303344716</v>
      </c>
      <c r="Z243">
        <f t="shared" ca="1" si="77"/>
        <v>-0.54036680823905403</v>
      </c>
      <c r="AA243">
        <f t="shared" ca="1" si="78"/>
        <v>100.87510000000002</v>
      </c>
    </row>
    <row r="244" spans="1:27" x14ac:dyDescent="0.25">
      <c r="A244" vm="712">
        <f ca="1"/>
        <v>45643</v>
      </c>
      <c r="B244" vm="713">
        <f ca="1"/>
        <v>90.84</v>
      </c>
      <c r="C244" vm="714">
        <f ca="1"/>
        <v>2172159</v>
      </c>
      <c r="D244">
        <f t="shared" ca="1" si="59"/>
        <v>197318923.56</v>
      </c>
      <c r="E244">
        <f ca="1">SUM($D$2:D244)/SUM($C$2:C244)</f>
        <v>95.250070081621018</v>
      </c>
      <c r="F244">
        <f ca="1">_xlfn.STDEV.P($B$2:B244)</f>
        <v>5.6599357507247339</v>
      </c>
      <c r="G244">
        <f t="shared" ca="1" si="60"/>
        <v>100.91000583234575</v>
      </c>
      <c r="H244">
        <f t="shared" ca="1" si="61"/>
        <v>89.590134330896291</v>
      </c>
      <c r="I244">
        <f t="shared" ca="1" si="70"/>
        <v>96.441999999999993</v>
      </c>
      <c r="J244">
        <f t="shared" ca="1" si="71"/>
        <v>3.2934474019594853</v>
      </c>
      <c r="K244">
        <f t="shared" ca="1" si="72"/>
        <v>103.02889480391896</v>
      </c>
      <c r="L244">
        <f t="shared" ca="1" si="73"/>
        <v>89.855105196081027</v>
      </c>
      <c r="M244">
        <f t="shared" ca="1" si="62"/>
        <v>-0.42000000000000171</v>
      </c>
      <c r="N244">
        <f t="shared" ca="1" si="63"/>
        <v>0</v>
      </c>
      <c r="O244">
        <f t="shared" ca="1" si="64"/>
        <v>0.42000000000000171</v>
      </c>
      <c r="P244">
        <f t="shared" ca="1" si="68"/>
        <v>0.19881953712591932</v>
      </c>
      <c r="Q244">
        <f t="shared" ca="1" si="69"/>
        <v>0.62294338605619515</v>
      </c>
      <c r="R244">
        <f t="shared" ca="1" si="66"/>
        <v>0.31916148654315113</v>
      </c>
      <c r="S244">
        <f t="shared" ca="1" si="67"/>
        <v>24.194269602238805</v>
      </c>
      <c r="T244">
        <f>70</f>
        <v>70</v>
      </c>
      <c r="U244">
        <f>30</f>
        <v>30</v>
      </c>
      <c r="V244">
        <f t="shared" ca="1" si="65"/>
        <v>94.047096286694483</v>
      </c>
      <c r="W244">
        <f t="shared" ca="1" si="75"/>
        <v>96.237806128380697</v>
      </c>
      <c r="X244">
        <f t="shared" ca="1" si="74"/>
        <v>-2.4414227765682739</v>
      </c>
      <c r="Y244">
        <f t="shared" ca="1" si="76"/>
        <v>-1.808558982071383</v>
      </c>
      <c r="Z244">
        <f t="shared" ca="1" si="77"/>
        <v>-0.6328637944968909</v>
      </c>
      <c r="AA244">
        <f t="shared" ca="1" si="78"/>
        <v>100.81910000000002</v>
      </c>
    </row>
    <row r="245" spans="1:27" x14ac:dyDescent="0.25">
      <c r="A245" vm="715">
        <f ca="1"/>
        <v>45644</v>
      </c>
      <c r="B245" vm="716">
        <f ca="1"/>
        <v>88.87</v>
      </c>
      <c r="C245" vm="717">
        <f ca="1"/>
        <v>2677519</v>
      </c>
      <c r="D245">
        <f t="shared" ca="1" si="59"/>
        <v>237951113.53</v>
      </c>
      <c r="E245">
        <f ca="1">SUM($D$2:D245)/SUM($C$2:C245)</f>
        <v>95.213334714307067</v>
      </c>
      <c r="F245">
        <f ca="1">_xlfn.STDEV.P($B$2:B245)</f>
        <v>5.6628892565776718</v>
      </c>
      <c r="G245">
        <f t="shared" ca="1" si="60"/>
        <v>100.87622397088474</v>
      </c>
      <c r="H245">
        <f t="shared" ca="1" si="61"/>
        <v>89.550445457729396</v>
      </c>
      <c r="I245">
        <f t="shared" ca="1" si="70"/>
        <v>96.036999999999992</v>
      </c>
      <c r="J245">
        <f t="shared" ca="1" si="71"/>
        <v>3.698257199788769</v>
      </c>
      <c r="K245">
        <f t="shared" ca="1" si="72"/>
        <v>103.43351439957753</v>
      </c>
      <c r="L245">
        <f t="shared" ca="1" si="73"/>
        <v>88.640485600422451</v>
      </c>
      <c r="M245">
        <f t="shared" ca="1" si="62"/>
        <v>-1.9699999999999989</v>
      </c>
      <c r="N245">
        <f t="shared" ca="1" si="63"/>
        <v>0</v>
      </c>
      <c r="O245">
        <f t="shared" ca="1" si="64"/>
        <v>1.9699999999999989</v>
      </c>
      <c r="P245">
        <f t="shared" ca="1" si="68"/>
        <v>0.18461814161692508</v>
      </c>
      <c r="Q245">
        <f t="shared" ca="1" si="69"/>
        <v>0.71916171562360975</v>
      </c>
      <c r="R245">
        <f t="shared" ca="1" si="66"/>
        <v>0.25671297234841872</v>
      </c>
      <c r="S245">
        <f t="shared" ca="1" si="67"/>
        <v>20.427335278373022</v>
      </c>
      <c r="T245">
        <f>70</f>
        <v>70</v>
      </c>
      <c r="U245">
        <f>30</f>
        <v>30</v>
      </c>
      <c r="V245">
        <f t="shared" ca="1" si="65"/>
        <v>93.25061993489534</v>
      </c>
      <c r="W245">
        <f t="shared" ca="1" si="75"/>
        <v>95.692042711463614</v>
      </c>
      <c r="X245">
        <f t="shared" ca="1" si="74"/>
        <v>-2.5940733919138523</v>
      </c>
      <c r="Y245">
        <f t="shared" ca="1" si="76"/>
        <v>-1.9656618640398771</v>
      </c>
      <c r="Z245">
        <f t="shared" ca="1" si="77"/>
        <v>-0.62841152787397525</v>
      </c>
      <c r="AA245">
        <f t="shared" ca="1" si="78"/>
        <v>100.73910000000004</v>
      </c>
    </row>
    <row r="246" spans="1:27" x14ac:dyDescent="0.25">
      <c r="A246" vm="718">
        <f ca="1"/>
        <v>45645</v>
      </c>
      <c r="B246" vm="719">
        <f ca="1"/>
        <v>89.07</v>
      </c>
      <c r="C246" vm="720">
        <f ca="1"/>
        <v>2555753</v>
      </c>
      <c r="D246">
        <f t="shared" ca="1" si="59"/>
        <v>227640919.70999998</v>
      </c>
      <c r="E246">
        <f ca="1">SUM($D$2:D246)/SUM($C$2:C246)</f>
        <v>95.179755611025655</v>
      </c>
      <c r="F246">
        <f ca="1">_xlfn.STDEV.P($B$2:B246)</f>
        <v>5.6648053439789825</v>
      </c>
      <c r="G246">
        <f t="shared" ca="1" si="60"/>
        <v>100.84456095500464</v>
      </c>
      <c r="H246">
        <f t="shared" ca="1" si="61"/>
        <v>89.514950267046672</v>
      </c>
      <c r="I246">
        <f t="shared" ca="1" si="70"/>
        <v>95.596499999999978</v>
      </c>
      <c r="J246">
        <f t="shared" ca="1" si="71"/>
        <v>3.9810515339278738</v>
      </c>
      <c r="K246">
        <f t="shared" ca="1" si="72"/>
        <v>103.55860306785573</v>
      </c>
      <c r="L246">
        <f t="shared" ca="1" si="73"/>
        <v>87.634396932144227</v>
      </c>
      <c r="M246">
        <f t="shared" ca="1" si="62"/>
        <v>0.19999999999998863</v>
      </c>
      <c r="N246">
        <f t="shared" ca="1" si="63"/>
        <v>0.19999999999998863</v>
      </c>
      <c r="O246">
        <f t="shared" ca="1" si="64"/>
        <v>0</v>
      </c>
      <c r="P246">
        <f t="shared" ca="1" si="68"/>
        <v>0.1857168457871439</v>
      </c>
      <c r="Q246">
        <f t="shared" ca="1" si="69"/>
        <v>0.6677930216504947</v>
      </c>
      <c r="R246">
        <f t="shared" ca="1" si="66"/>
        <v>0.27810540057476552</v>
      </c>
      <c r="S246">
        <f t="shared" ca="1" si="67"/>
        <v>21.75919141329824</v>
      </c>
      <c r="T246">
        <f>70</f>
        <v>70</v>
      </c>
      <c r="U246">
        <f>30</f>
        <v>30</v>
      </c>
      <c r="V246">
        <f t="shared" ca="1" si="65"/>
        <v>92.607447637219124</v>
      </c>
      <c r="W246">
        <f t="shared" ca="1" si="75"/>
        <v>95.201521029132977</v>
      </c>
      <c r="X246">
        <f t="shared" ca="1" si="74"/>
        <v>-2.6075281658522442</v>
      </c>
      <c r="Y246">
        <f t="shared" ca="1" si="76"/>
        <v>-2.0940351244023505</v>
      </c>
      <c r="Z246">
        <f t="shared" ca="1" si="77"/>
        <v>-0.51349304144989372</v>
      </c>
      <c r="AA246">
        <f t="shared" ca="1" si="78"/>
        <v>100.64820000000003</v>
      </c>
    </row>
    <row r="247" spans="1:27" x14ac:dyDescent="0.25">
      <c r="A247" vm="721">
        <f ca="1"/>
        <v>45646</v>
      </c>
      <c r="B247" vm="722">
        <f ca="1"/>
        <v>90.03</v>
      </c>
      <c r="C247" vm="723">
        <f ca="1"/>
        <v>4876371</v>
      </c>
      <c r="D247">
        <f t="shared" ca="1" si="59"/>
        <v>439019681.13</v>
      </c>
      <c r="E247">
        <f ca="1">SUM($D$2:D247)/SUM($C$2:C247)</f>
        <v>95.126603123675551</v>
      </c>
      <c r="F247">
        <f ca="1">_xlfn.STDEV.P($B$2:B247)</f>
        <v>5.6627389469981244</v>
      </c>
      <c r="G247">
        <f t="shared" ca="1" si="60"/>
        <v>100.78934207067367</v>
      </c>
      <c r="H247">
        <f t="shared" ca="1" si="61"/>
        <v>89.463864176677433</v>
      </c>
      <c r="I247">
        <f t="shared" ca="1" si="70"/>
        <v>95.162999999999982</v>
      </c>
      <c r="J247">
        <f t="shared" ca="1" si="71"/>
        <v>4.0957129062626345</v>
      </c>
      <c r="K247">
        <f t="shared" ca="1" si="72"/>
        <v>103.35442581252525</v>
      </c>
      <c r="L247">
        <f t="shared" ca="1" si="73"/>
        <v>86.971574187474715</v>
      </c>
      <c r="M247">
        <f t="shared" ca="1" si="62"/>
        <v>0.96000000000000796</v>
      </c>
      <c r="N247">
        <f t="shared" ca="1" si="63"/>
        <v>0.96000000000000796</v>
      </c>
      <c r="O247">
        <f t="shared" ca="1" si="64"/>
        <v>0</v>
      </c>
      <c r="P247">
        <f t="shared" ca="1" si="68"/>
        <v>0.24102278537377703</v>
      </c>
      <c r="Q247">
        <f t="shared" ca="1" si="69"/>
        <v>0.62009352010403074</v>
      </c>
      <c r="R247">
        <f t="shared" ca="1" si="66"/>
        <v>0.38868779879096549</v>
      </c>
      <c r="S247">
        <f t="shared" ca="1" si="67"/>
        <v>27.989573979793661</v>
      </c>
      <c r="T247">
        <f>70</f>
        <v>70</v>
      </c>
      <c r="U247">
        <f>30</f>
        <v>30</v>
      </c>
      <c r="V247">
        <f t="shared" ca="1" si="65"/>
        <v>92.210917231493099</v>
      </c>
      <c r="W247">
        <f t="shared" ca="1" si="75"/>
        <v>94.818445397345343</v>
      </c>
      <c r="X247">
        <f t="shared" ca="1" si="74"/>
        <v>-2.6170721834295847</v>
      </c>
      <c r="Y247">
        <f t="shared" ca="1" si="76"/>
        <v>-2.1986425362077973</v>
      </c>
      <c r="Z247">
        <f t="shared" ca="1" si="77"/>
        <v>-0.41842964722178744</v>
      </c>
      <c r="AA247">
        <f t="shared" ca="1" si="78"/>
        <v>100.57330000000003</v>
      </c>
    </row>
    <row r="248" spans="1:27" x14ac:dyDescent="0.25">
      <c r="A248" vm="724">
        <f ca="1"/>
        <v>45649</v>
      </c>
      <c r="B248" vm="50">
        <f ca="1"/>
        <v>89.67</v>
      </c>
      <c r="C248" vm="725">
        <f ca="1"/>
        <v>1979057</v>
      </c>
      <c r="D248">
        <f t="shared" ca="1" si="59"/>
        <v>177462041.19</v>
      </c>
      <c r="E248">
        <f ca="1">SUM($D$2:D248)/SUM($C$2:C248)</f>
        <v>95.103841381847005</v>
      </c>
      <c r="F248">
        <f ca="1">_xlfn.STDEV.P($B$2:B248)</f>
        <v>5.6619715023637891</v>
      </c>
      <c r="G248">
        <f t="shared" ca="1" si="60"/>
        <v>100.76581288421079</v>
      </c>
      <c r="H248">
        <f t="shared" ca="1" si="61"/>
        <v>89.441869879483221</v>
      </c>
      <c r="I248">
        <f t="shared" ca="1" si="70"/>
        <v>94.728499999999983</v>
      </c>
      <c r="J248">
        <f t="shared" ca="1" si="71"/>
        <v>4.1983634342819576</v>
      </c>
      <c r="K248">
        <f t="shared" ca="1" si="72"/>
        <v>103.1252268685639</v>
      </c>
      <c r="L248">
        <f t="shared" ca="1" si="73"/>
        <v>86.331773131436066</v>
      </c>
      <c r="M248">
        <f t="shared" ca="1" si="62"/>
        <v>-0.35999999999999943</v>
      </c>
      <c r="N248">
        <f t="shared" ca="1" si="63"/>
        <v>0</v>
      </c>
      <c r="O248">
        <f t="shared" ca="1" si="64"/>
        <v>0.35999999999999943</v>
      </c>
      <c r="P248">
        <f t="shared" ca="1" si="68"/>
        <v>0.22380687213279296</v>
      </c>
      <c r="Q248">
        <f t="shared" ca="1" si="69"/>
        <v>0.60151541152517141</v>
      </c>
      <c r="R248">
        <f t="shared" ca="1" si="66"/>
        <v>0.37207171727374333</v>
      </c>
      <c r="S248">
        <f t="shared" ca="1" si="67"/>
        <v>27.117512342068849</v>
      </c>
      <c r="T248">
        <f>70</f>
        <v>70</v>
      </c>
      <c r="U248">
        <f>30</f>
        <v>30</v>
      </c>
      <c r="V248">
        <f t="shared" ca="1" si="65"/>
        <v>91.820006888186469</v>
      </c>
      <c r="W248">
        <f t="shared" ca="1" si="75"/>
        <v>94.437079071616054</v>
      </c>
      <c r="X248">
        <f t="shared" ca="1" si="74"/>
        <v>-2.6019049928314502</v>
      </c>
      <c r="Y248">
        <f t="shared" ca="1" si="76"/>
        <v>-2.2792950275325281</v>
      </c>
      <c r="Z248">
        <f t="shared" ca="1" si="77"/>
        <v>-0.32260996529892205</v>
      </c>
      <c r="AA248">
        <f t="shared" ca="1" si="78"/>
        <v>100.46790000000003</v>
      </c>
    </row>
    <row r="249" spans="1:27" x14ac:dyDescent="0.25">
      <c r="A249" vm="726">
        <f ca="1"/>
        <v>45650</v>
      </c>
      <c r="B249" vm="727">
        <f ca="1"/>
        <v>89.58</v>
      </c>
      <c r="C249" vm="728">
        <f ca="1"/>
        <v>653911</v>
      </c>
      <c r="D249">
        <f t="shared" ca="1" si="59"/>
        <v>58577347.379999995</v>
      </c>
      <c r="E249">
        <f ca="1">SUM($D$2:D249)/SUM($C$2:C249)</f>
        <v>95.096238355598828</v>
      </c>
      <c r="F249">
        <f ca="1">_xlfn.STDEV.P($B$2:B249)</f>
        <v>5.6614755989349739</v>
      </c>
      <c r="G249">
        <f t="shared" ca="1" si="60"/>
        <v>100.7577139545338</v>
      </c>
      <c r="H249">
        <f t="shared" ca="1" si="61"/>
        <v>89.434762756663858</v>
      </c>
      <c r="I249">
        <f t="shared" ca="1" si="70"/>
        <v>94.233999999999995</v>
      </c>
      <c r="J249">
        <f t="shared" ca="1" si="71"/>
        <v>4.1929356629555157</v>
      </c>
      <c r="K249">
        <f t="shared" ca="1" si="72"/>
        <v>102.61987132591102</v>
      </c>
      <c r="L249">
        <f t="shared" ca="1" si="73"/>
        <v>85.848128674088969</v>
      </c>
      <c r="M249">
        <f t="shared" ca="1" si="62"/>
        <v>-9.0000000000003411E-2</v>
      </c>
      <c r="N249">
        <f t="shared" ca="1" si="63"/>
        <v>0</v>
      </c>
      <c r="O249">
        <f t="shared" ca="1" si="64"/>
        <v>9.0000000000003411E-2</v>
      </c>
      <c r="P249">
        <f t="shared" ca="1" si="68"/>
        <v>0.2078206669804506</v>
      </c>
      <c r="Q249">
        <f t="shared" ca="1" si="69"/>
        <v>0.56497859641623083</v>
      </c>
      <c r="R249">
        <f t="shared" ca="1" si="66"/>
        <v>0.36783812395495602</v>
      </c>
      <c r="S249">
        <f t="shared" ca="1" si="67"/>
        <v>26.891933885523812</v>
      </c>
      <c r="T249">
        <f>70</f>
        <v>70</v>
      </c>
      <c r="U249">
        <f>30</f>
        <v>30</v>
      </c>
      <c r="V249">
        <f t="shared" ca="1" si="65"/>
        <v>91.475390443850088</v>
      </c>
      <c r="W249">
        <f t="shared" ca="1" si="75"/>
        <v>94.077295436681538</v>
      </c>
      <c r="X249">
        <f t="shared" ca="1" si="74"/>
        <v>-2.5595728065470809</v>
      </c>
      <c r="Y249">
        <f t="shared" ca="1" si="76"/>
        <v>-2.3353505833354387</v>
      </c>
      <c r="Z249">
        <f t="shared" ca="1" si="77"/>
        <v>-0.2242222232116422</v>
      </c>
      <c r="AA249">
        <f t="shared" ca="1" si="78"/>
        <v>100.34540000000004</v>
      </c>
    </row>
    <row r="250" spans="1:27" x14ac:dyDescent="0.25">
      <c r="A250" vm="729">
        <f ca="1"/>
        <v>45652</v>
      </c>
      <c r="B250" vm="730">
        <f ca="1"/>
        <v>89.59</v>
      </c>
      <c r="C250" vm="731">
        <f ca="1"/>
        <v>1879775</v>
      </c>
      <c r="D250">
        <f t="shared" ca="1" si="59"/>
        <v>168409042.25</v>
      </c>
      <c r="E250">
        <f ca="1">SUM($D$2:D250)/SUM($C$2:C250)</f>
        <v>95.074537715502359</v>
      </c>
      <c r="F250">
        <f ca="1">_xlfn.STDEV.P($B$2:B250)</f>
        <v>5.6608572519841456</v>
      </c>
      <c r="G250">
        <f t="shared" ca="1" si="60"/>
        <v>100.7353949674865</v>
      </c>
      <c r="H250">
        <f t="shared" ca="1" si="61"/>
        <v>89.413680463518219</v>
      </c>
      <c r="I250">
        <f t="shared" ca="1" si="70"/>
        <v>93.628500000000003</v>
      </c>
      <c r="J250">
        <f t="shared" ca="1" si="71"/>
        <v>3.9237901588293833</v>
      </c>
      <c r="K250">
        <f t="shared" ca="1" si="72"/>
        <v>101.47608031765877</v>
      </c>
      <c r="L250">
        <f t="shared" ca="1" si="73"/>
        <v>85.780919682341235</v>
      </c>
      <c r="M250">
        <f t="shared" ca="1" si="62"/>
        <v>1.0000000000005116E-2</v>
      </c>
      <c r="N250">
        <f t="shared" ca="1" si="63"/>
        <v>1.0000000000005116E-2</v>
      </c>
      <c r="O250">
        <f t="shared" ca="1" si="64"/>
        <v>0</v>
      </c>
      <c r="P250">
        <f t="shared" ca="1" si="68"/>
        <v>0.19369061933899021</v>
      </c>
      <c r="Q250">
        <f t="shared" ca="1" si="69"/>
        <v>0.52462298238650007</v>
      </c>
      <c r="R250">
        <f t="shared" ca="1" si="66"/>
        <v>0.36919964592076243</v>
      </c>
      <c r="S250">
        <f t="shared" ca="1" si="67"/>
        <v>26.964632003865461</v>
      </c>
      <c r="T250">
        <f>70</f>
        <v>70</v>
      </c>
      <c r="U250">
        <f>30</f>
        <v>30</v>
      </c>
      <c r="V250">
        <f t="shared" ca="1" si="65"/>
        <v>91.185330375565457</v>
      </c>
      <c r="W250">
        <f t="shared" ca="1" si="75"/>
        <v>93.744903182112537</v>
      </c>
      <c r="X250">
        <f t="shared" ca="1" si="74"/>
        <v>-2.4996308052525222</v>
      </c>
      <c r="Y250">
        <f t="shared" ca="1" si="76"/>
        <v>-2.3682066277188554</v>
      </c>
      <c r="Z250">
        <f t="shared" ca="1" si="77"/>
        <v>-0.13142417753366686</v>
      </c>
      <c r="AA250">
        <f t="shared" ca="1" si="78"/>
        <v>100.23430000000003</v>
      </c>
    </row>
    <row r="251" spans="1:27" x14ac:dyDescent="0.25">
      <c r="A251" vm="732">
        <f ca="1"/>
        <v>45653</v>
      </c>
      <c r="B251" vm="733">
        <f ca="1"/>
        <v>89.56</v>
      </c>
      <c r="C251" vm="734">
        <f ca="1"/>
        <v>1319594</v>
      </c>
      <c r="D251">
        <f t="shared" ca="1" si="59"/>
        <v>118182838.64</v>
      </c>
      <c r="E251">
        <f ca="1">SUM($D$2:D251)/SUM($C$2:C251)</f>
        <v>95.059323091104687</v>
      </c>
      <c r="F251">
        <f ca="1">_xlfn.STDEV.P($B$2:B251)</f>
        <v>5.6602744421096762</v>
      </c>
      <c r="G251">
        <f t="shared" ca="1" si="60"/>
        <v>100.71959753321437</v>
      </c>
      <c r="H251">
        <f t="shared" ca="1" si="61"/>
        <v>89.399048648995006</v>
      </c>
      <c r="I251">
        <f t="shared" ca="1" si="70"/>
        <v>93.027499999999975</v>
      </c>
      <c r="J251">
        <f t="shared" ca="1" si="71"/>
        <v>3.543925677906679</v>
      </c>
      <c r="K251">
        <f t="shared" ca="1" si="72"/>
        <v>100.11535135581333</v>
      </c>
      <c r="L251">
        <f t="shared" ca="1" si="73"/>
        <v>85.939648644186619</v>
      </c>
      <c r="M251">
        <f t="shared" ca="1" si="62"/>
        <v>-3.0000000000001137E-2</v>
      </c>
      <c r="N251">
        <f t="shared" ca="1" si="63"/>
        <v>0</v>
      </c>
      <c r="O251">
        <f t="shared" ca="1" si="64"/>
        <v>3.0000000000001137E-2</v>
      </c>
      <c r="P251">
        <f t="shared" ca="1" si="68"/>
        <v>0.17985557510049091</v>
      </c>
      <c r="Q251">
        <f t="shared" ca="1" si="69"/>
        <v>0.48929276935889299</v>
      </c>
      <c r="R251">
        <f t="shared" ca="1" si="66"/>
        <v>0.36758273647932871</v>
      </c>
      <c r="S251">
        <f t="shared" ca="1" si="67"/>
        <v>26.878281413936577</v>
      </c>
      <c r="T251">
        <f>70</f>
        <v>70</v>
      </c>
      <c r="U251">
        <f>30</f>
        <v>30</v>
      </c>
      <c r="V251">
        <f t="shared" ca="1" si="65"/>
        <v>90.935279548555386</v>
      </c>
      <c r="W251">
        <f t="shared" ca="1" si="75"/>
        <v>93.434910353807908</v>
      </c>
      <c r="X251">
        <f t="shared" ca="1" si="74"/>
        <v>-2.456090709591507</v>
      </c>
      <c r="Y251">
        <f t="shared" ca="1" si="76"/>
        <v>-2.3857834440933856</v>
      </c>
      <c r="Z251">
        <f t="shared" ca="1" si="77"/>
        <v>-7.0307265498121385E-2</v>
      </c>
      <c r="AA251">
        <f t="shared" ca="1" si="78"/>
        <v>100.12100000000002</v>
      </c>
    </row>
    <row r="252" spans="1:27" x14ac:dyDescent="0.25">
      <c r="A252" vm="735">
        <f ca="1"/>
        <v>45656</v>
      </c>
      <c r="B252" vm="736">
        <f ca="1"/>
        <v>89.16</v>
      </c>
      <c r="C252" vm="737">
        <f ca="1"/>
        <v>1377975</v>
      </c>
      <c r="D252">
        <f t="shared" ca="1" si="59"/>
        <v>122860251</v>
      </c>
      <c r="E252">
        <f ca="1">SUM($D$2:D252)/SUM($C$2:C252)</f>
        <v>95.042375581820409</v>
      </c>
      <c r="F252">
        <f ca="1">_xlfn.STDEV.P($B$2:B252)</f>
        <v>5.6612099653215502</v>
      </c>
      <c r="G252">
        <f t="shared" ca="1" si="60"/>
        <v>100.70358554714196</v>
      </c>
      <c r="H252">
        <f t="shared" ca="1" si="61"/>
        <v>89.381165616498862</v>
      </c>
      <c r="I252">
        <f t="shared" ca="1" si="70"/>
        <v>92.455999999999989</v>
      </c>
      <c r="J252">
        <f t="shared" ca="1" si="71"/>
        <v>3.1611347063323549</v>
      </c>
      <c r="K252">
        <f t="shared" ca="1" si="72"/>
        <v>98.778269412664699</v>
      </c>
      <c r="L252">
        <f t="shared" ca="1" si="73"/>
        <v>86.133730587335279</v>
      </c>
      <c r="M252">
        <f t="shared" ca="1" si="62"/>
        <v>-0.40000000000000568</v>
      </c>
      <c r="N252">
        <f t="shared" ca="1" si="63"/>
        <v>0</v>
      </c>
      <c r="O252">
        <f t="shared" ca="1" si="64"/>
        <v>0.40000000000000568</v>
      </c>
      <c r="P252">
        <f t="shared" ca="1" si="68"/>
        <v>0.16700874830759868</v>
      </c>
      <c r="Q252">
        <f t="shared" ca="1" si="69"/>
        <v>0.48291471440468675</v>
      </c>
      <c r="R252">
        <f t="shared" ca="1" si="66"/>
        <v>0.34583487171948935</v>
      </c>
      <c r="S252">
        <f t="shared" ca="1" si="67"/>
        <v>25.69667936138687</v>
      </c>
      <c r="T252">
        <f>70</f>
        <v>70</v>
      </c>
      <c r="U252">
        <f>30</f>
        <v>30</v>
      </c>
      <c r="V252">
        <f t="shared" ca="1" si="65"/>
        <v>90.662159618008403</v>
      </c>
      <c r="W252">
        <f t="shared" ca="1" si="75"/>
        <v>93.11825032759991</v>
      </c>
      <c r="X252">
        <f t="shared" ca="1" si="74"/>
        <v>-2.3884044157306903</v>
      </c>
      <c r="Y252">
        <f t="shared" ca="1" si="76"/>
        <v>-2.3863076384208464</v>
      </c>
      <c r="Z252">
        <f t="shared" ca="1" si="77"/>
        <v>-2.0967773098439224E-3</v>
      </c>
      <c r="AA252">
        <f t="shared" ca="1" si="78"/>
        <v>100.00070000000001</v>
      </c>
    </row>
    <row r="253" spans="1:27" x14ac:dyDescent="0.25">
      <c r="A253" vm="738">
        <f ca="1"/>
        <v>45657</v>
      </c>
      <c r="B253" vm="739">
        <f ca="1"/>
        <v>89.23</v>
      </c>
      <c r="C253" vm="740">
        <f ca="1"/>
        <v>1640959</v>
      </c>
      <c r="D253">
        <f t="shared" ca="1" si="59"/>
        <v>146422771.56999999</v>
      </c>
      <c r="E253">
        <f ca="1">SUM($D$2:D253)/SUM($C$2:C253)</f>
        <v>95.022558917627904</v>
      </c>
      <c r="F253">
        <f ca="1">_xlfn.STDEV.P($B$2:B253)</f>
        <v>5.6617558547486446</v>
      </c>
      <c r="G253">
        <f t="shared" ca="1" si="60"/>
        <v>100.68431477237655</v>
      </c>
      <c r="H253">
        <f t="shared" ca="1" si="61"/>
        <v>89.360803062879256</v>
      </c>
      <c r="I253">
        <f t="shared" ca="1" si="70"/>
        <v>91.992499999999993</v>
      </c>
      <c r="J253">
        <f t="shared" ca="1" si="71"/>
        <v>2.8968510580683251</v>
      </c>
      <c r="K253">
        <f t="shared" ca="1" si="72"/>
        <v>97.78620211613665</v>
      </c>
      <c r="L253">
        <f t="shared" ca="1" si="73"/>
        <v>86.198797883863335</v>
      </c>
      <c r="M253">
        <f t="shared" ca="1" si="62"/>
        <v>7.000000000000739E-2</v>
      </c>
      <c r="N253">
        <f t="shared" ca="1" si="63"/>
        <v>7.000000000000739E-2</v>
      </c>
      <c r="O253">
        <f t="shared" ca="1" si="64"/>
        <v>0</v>
      </c>
      <c r="P253">
        <f t="shared" ca="1" si="68"/>
        <v>0.16007955199991358</v>
      </c>
      <c r="Q253">
        <f t="shared" ca="1" si="69"/>
        <v>0.44842080623292341</v>
      </c>
      <c r="R253">
        <f t="shared" ca="1" si="66"/>
        <v>0.35698511258811527</v>
      </c>
      <c r="S253">
        <f t="shared" ca="1" si="67"/>
        <v>26.307223953787812</v>
      </c>
      <c r="T253">
        <f>70</f>
        <v>70</v>
      </c>
      <c r="U253">
        <f>30</f>
        <v>30</v>
      </c>
      <c r="V253">
        <f t="shared" ca="1" si="65"/>
        <v>90.441827369084038</v>
      </c>
      <c r="W253">
        <f t="shared" ca="1" si="75"/>
        <v>92.830231784814728</v>
      </c>
      <c r="X253">
        <f t="shared" ca="1" si="74"/>
        <v>-2.3241099756319841</v>
      </c>
      <c r="Y253">
        <f t="shared" ca="1" si="76"/>
        <v>-2.3738681058630742</v>
      </c>
      <c r="Z253">
        <f t="shared" ca="1" si="77"/>
        <v>4.9758130231090103E-2</v>
      </c>
      <c r="AA253">
        <f t="shared" ca="1" si="78"/>
        <v>99.888000000000005</v>
      </c>
    </row>
    <row r="254" spans="1:27" x14ac:dyDescent="0.25">
      <c r="A254" vm="741">
        <f ca="1"/>
        <v>45659</v>
      </c>
      <c r="B254" vm="742">
        <f ca="1"/>
        <v>89.03</v>
      </c>
      <c r="C254" vm="743">
        <f ca="1"/>
        <v>1557946</v>
      </c>
      <c r="D254">
        <f t="shared" ca="1" si="59"/>
        <v>138703932.38</v>
      </c>
      <c r="E254">
        <f ca="1">SUM($D$2:D254)/SUM($C$2:C254)</f>
        <v>95.00322408760205</v>
      </c>
      <c r="F254">
        <f ca="1">_xlfn.STDEV.P($B$2:B254)</f>
        <v>5.6630230519038252</v>
      </c>
      <c r="G254">
        <f t="shared" ca="1" si="60"/>
        <v>100.66624713950587</v>
      </c>
      <c r="H254">
        <f t="shared" ca="1" si="61"/>
        <v>89.340201035698229</v>
      </c>
      <c r="I254">
        <f t="shared" ca="1" si="70"/>
        <v>91.567499999999995</v>
      </c>
      <c r="J254">
        <f t="shared" ca="1" si="71"/>
        <v>2.6551159653532426</v>
      </c>
      <c r="K254">
        <f t="shared" ca="1" si="72"/>
        <v>96.877731930706474</v>
      </c>
      <c r="L254">
        <f t="shared" ca="1" si="73"/>
        <v>86.257268069293517</v>
      </c>
      <c r="M254">
        <f t="shared" ca="1" si="62"/>
        <v>-0.20000000000000284</v>
      </c>
      <c r="N254">
        <f t="shared" ca="1" si="63"/>
        <v>0</v>
      </c>
      <c r="O254">
        <f t="shared" ca="1" si="64"/>
        <v>0.20000000000000284</v>
      </c>
      <c r="P254">
        <f t="shared" ca="1" si="68"/>
        <v>0.14864529828563405</v>
      </c>
      <c r="Q254">
        <f t="shared" ca="1" si="69"/>
        <v>0.43067646293057199</v>
      </c>
      <c r="R254">
        <f t="shared" ca="1" si="66"/>
        <v>0.34514377050968931</v>
      </c>
      <c r="S254">
        <f t="shared" ca="1" si="67"/>
        <v>25.658504174532268</v>
      </c>
      <c r="T254">
        <f>70</f>
        <v>70</v>
      </c>
      <c r="U254">
        <f>30</f>
        <v>30</v>
      </c>
      <c r="V254">
        <f t="shared" ca="1" si="65"/>
        <v>90.224623158455728</v>
      </c>
      <c r="W254">
        <f t="shared" ca="1" si="75"/>
        <v>92.548733134087712</v>
      </c>
      <c r="X254">
        <f t="shared" ca="1" si="74"/>
        <v>-2.2304991182824949</v>
      </c>
      <c r="Y254">
        <f t="shared" ca="1" si="76"/>
        <v>-2.3451943083469584</v>
      </c>
      <c r="Z254">
        <f t="shared" ca="1" si="77"/>
        <v>0.11469519006446349</v>
      </c>
      <c r="AA254">
        <f t="shared" ca="1" si="78"/>
        <v>99.768100000000018</v>
      </c>
    </row>
    <row r="255" spans="1:27" x14ac:dyDescent="0.25">
      <c r="A255" vm="744">
        <f ca="1"/>
        <v>45660</v>
      </c>
      <c r="B255" vm="745">
        <f ca="1"/>
        <v>89.24</v>
      </c>
      <c r="C255" vm="746">
        <f ca="1"/>
        <v>1954733</v>
      </c>
      <c r="D255">
        <f t="shared" ca="1" si="59"/>
        <v>174440372.91999999</v>
      </c>
      <c r="E255">
        <f ca="1">SUM($D$2:D255)/SUM($C$2:C255)</f>
        <v>94.979987410126299</v>
      </c>
      <c r="F255">
        <f ca="1">_xlfn.STDEV.P($B$2:B255)</f>
        <v>5.663330725498894</v>
      </c>
      <c r="G255">
        <f t="shared" ca="1" si="60"/>
        <v>100.64331813562519</v>
      </c>
      <c r="H255">
        <f t="shared" ca="1" si="61"/>
        <v>89.316656684627404</v>
      </c>
      <c r="I255">
        <f t="shared" ca="1" si="70"/>
        <v>91.198499999999996</v>
      </c>
      <c r="J255">
        <f t="shared" ca="1" si="71"/>
        <v>2.4182361449270364</v>
      </c>
      <c r="K255">
        <f t="shared" ca="1" si="72"/>
        <v>96.034972289854068</v>
      </c>
      <c r="L255">
        <f t="shared" ca="1" si="73"/>
        <v>86.362027710145924</v>
      </c>
      <c r="M255">
        <f t="shared" ca="1" si="62"/>
        <v>0.20999999999999375</v>
      </c>
      <c r="N255">
        <f t="shared" ca="1" si="63"/>
        <v>0.20999999999999375</v>
      </c>
      <c r="O255">
        <f t="shared" ca="1" si="64"/>
        <v>0</v>
      </c>
      <c r="P255">
        <f t="shared" ca="1" si="68"/>
        <v>0.15302777697951692</v>
      </c>
      <c r="Q255">
        <f t="shared" ca="1" si="69"/>
        <v>0.39991385843553118</v>
      </c>
      <c r="R255">
        <f t="shared" ca="1" si="66"/>
        <v>0.38265184802088081</v>
      </c>
      <c r="S255">
        <f t="shared" ca="1" si="67"/>
        <v>27.675213291661692</v>
      </c>
      <c r="T255">
        <f>70</f>
        <v>70</v>
      </c>
      <c r="U255">
        <f>30</f>
        <v>30</v>
      </c>
      <c r="V255">
        <f t="shared" ca="1" si="65"/>
        <v>90.073142672539461</v>
      </c>
      <c r="W255">
        <f t="shared" ca="1" si="75"/>
        <v>92.303641790821956</v>
      </c>
      <c r="X255">
        <f t="shared" ca="1" si="74"/>
        <v>-2.2011401945097333</v>
      </c>
      <c r="Y255">
        <f t="shared" ca="1" si="76"/>
        <v>-2.3163834855795136</v>
      </c>
      <c r="Z255">
        <f t="shared" ca="1" si="77"/>
        <v>0.11524329106978026</v>
      </c>
      <c r="AA255">
        <f t="shared" ca="1" si="78"/>
        <v>99.641100000000009</v>
      </c>
    </row>
    <row r="256" spans="1:27" x14ac:dyDescent="0.25">
      <c r="A256" vm="747">
        <f ca="1"/>
        <v>45663</v>
      </c>
      <c r="B256" vm="748">
        <f ca="1"/>
        <v>88.37</v>
      </c>
      <c r="C256" vm="749">
        <f ca="1"/>
        <v>1981278</v>
      </c>
      <c r="D256">
        <f t="shared" ca="1" si="59"/>
        <v>175085536.86000001</v>
      </c>
      <c r="E256">
        <f ca="1">SUM($D$2:D256)/SUM($C$2:C256)</f>
        <v>94.953084705749035</v>
      </c>
      <c r="F256">
        <f ca="1">_xlfn.STDEV.P($B$2:B256)</f>
        <v>5.6672441562040055</v>
      </c>
      <c r="G256">
        <f t="shared" ca="1" si="60"/>
        <v>100.62032886195304</v>
      </c>
      <c r="H256">
        <f t="shared" ca="1" si="61"/>
        <v>89.285840549545028</v>
      </c>
      <c r="I256">
        <f t="shared" ca="1" si="70"/>
        <v>90.791999999999987</v>
      </c>
      <c r="J256">
        <f t="shared" ca="1" si="71"/>
        <v>2.148428066725701</v>
      </c>
      <c r="K256">
        <f t="shared" ca="1" si="72"/>
        <v>95.088856133451387</v>
      </c>
      <c r="L256">
        <f t="shared" ca="1" si="73"/>
        <v>86.495143866548588</v>
      </c>
      <c r="M256">
        <f t="shared" ca="1" si="62"/>
        <v>-0.86999999999999034</v>
      </c>
      <c r="N256">
        <f t="shared" ca="1" si="63"/>
        <v>0</v>
      </c>
      <c r="O256">
        <f t="shared" ca="1" si="64"/>
        <v>0.86999999999999034</v>
      </c>
      <c r="P256">
        <f t="shared" ca="1" si="68"/>
        <v>0.14209722148098</v>
      </c>
      <c r="Q256">
        <f t="shared" ca="1" si="69"/>
        <v>0.43349143997584966</v>
      </c>
      <c r="R256">
        <f t="shared" ca="1" si="66"/>
        <v>0.3277970644331441</v>
      </c>
      <c r="S256">
        <f t="shared" ca="1" si="67"/>
        <v>24.687286424532459</v>
      </c>
      <c r="T256">
        <f>70</f>
        <v>70</v>
      </c>
      <c r="U256">
        <f>30</f>
        <v>30</v>
      </c>
      <c r="V256">
        <f t="shared" ca="1" si="65"/>
        <v>89.811120722918005</v>
      </c>
      <c r="W256">
        <f t="shared" ca="1" si="75"/>
        <v>92.012260917427739</v>
      </c>
      <c r="X256">
        <f t="shared" ca="1" si="74"/>
        <v>-2.182569639479695</v>
      </c>
      <c r="Y256">
        <f t="shared" ca="1" si="76"/>
        <v>-2.2896207163595501</v>
      </c>
      <c r="Z256">
        <f t="shared" ca="1" si="77"/>
        <v>0.10705107687985516</v>
      </c>
      <c r="AA256">
        <f t="shared" ca="1" si="78"/>
        <v>99.508800000000022</v>
      </c>
    </row>
    <row r="257" spans="1:27" x14ac:dyDescent="0.25">
      <c r="A257" vm="750">
        <f ca="1"/>
        <v>45664</v>
      </c>
      <c r="B257" vm="751">
        <f ca="1"/>
        <v>88</v>
      </c>
      <c r="C257" vm="752">
        <f ca="1"/>
        <v>2861220</v>
      </c>
      <c r="D257">
        <f t="shared" ca="1" si="59"/>
        <v>251787360</v>
      </c>
      <c r="E257">
        <f ca="1">SUM($D$2:D257)/SUM($C$2:C257)</f>
        <v>94.912455950329942</v>
      </c>
      <c r="F257">
        <f ca="1">_xlfn.STDEV.P($B$2:B257)</f>
        <v>5.6727230937693394</v>
      </c>
      <c r="G257">
        <f t="shared" ca="1" si="60"/>
        <v>100.58517904409928</v>
      </c>
      <c r="H257">
        <f t="shared" ca="1" si="61"/>
        <v>89.239732856560607</v>
      </c>
      <c r="I257">
        <f t="shared" ca="1" si="70"/>
        <v>90.450999999999993</v>
      </c>
      <c r="J257">
        <f t="shared" ca="1" si="71"/>
        <v>2.0123824581561864</v>
      </c>
      <c r="K257">
        <f t="shared" ca="1" si="72"/>
        <v>94.475764916312372</v>
      </c>
      <c r="L257">
        <f t="shared" ca="1" si="73"/>
        <v>86.426235083687615</v>
      </c>
      <c r="M257">
        <f t="shared" ca="1" si="62"/>
        <v>-0.37000000000000455</v>
      </c>
      <c r="N257">
        <f t="shared" ca="1" si="63"/>
        <v>0</v>
      </c>
      <c r="O257">
        <f t="shared" ca="1" si="64"/>
        <v>0.37000000000000455</v>
      </c>
      <c r="P257">
        <f t="shared" ca="1" si="68"/>
        <v>0.13194741994662429</v>
      </c>
      <c r="Q257">
        <f t="shared" ca="1" si="69"/>
        <v>0.42895633712043219</v>
      </c>
      <c r="R257">
        <f t="shared" ca="1" si="66"/>
        <v>0.30760105056934783</v>
      </c>
      <c r="S257">
        <f t="shared" ca="1" si="67"/>
        <v>23.524074903076439</v>
      </c>
      <c r="T257">
        <f>70</f>
        <v>70</v>
      </c>
      <c r="U257">
        <f>30</f>
        <v>30</v>
      </c>
      <c r="V257">
        <f t="shared" ca="1" si="65"/>
        <v>89.532486765545997</v>
      </c>
      <c r="W257">
        <f t="shared" ca="1" si="75"/>
        <v>91.715056405025692</v>
      </c>
      <c r="X257">
        <f t="shared" ca="1" si="74"/>
        <v>-2.0625776702740524</v>
      </c>
      <c r="Y257">
        <f t="shared" ca="1" si="76"/>
        <v>-2.2442121071424506</v>
      </c>
      <c r="Z257">
        <f t="shared" ca="1" si="77"/>
        <v>0.1816344368683982</v>
      </c>
      <c r="AA257">
        <f t="shared" ca="1" si="78"/>
        <v>99.380200000000016</v>
      </c>
    </row>
    <row r="258" spans="1:27" x14ac:dyDescent="0.25">
      <c r="A258" vm="753">
        <f ca="1"/>
        <v>45665</v>
      </c>
      <c r="B258" vm="754">
        <f ca="1"/>
        <v>89.01</v>
      </c>
      <c r="C258" vm="755">
        <f ca="1"/>
        <v>1793238</v>
      </c>
      <c r="D258">
        <f t="shared" ca="1" si="59"/>
        <v>159616114.38</v>
      </c>
      <c r="E258">
        <f ca="1">SUM($D$2:D258)/SUM($C$2:C258)</f>
        <v>94.890918818612477</v>
      </c>
      <c r="F258">
        <f ca="1">_xlfn.STDEV.P($B$2:B258)</f>
        <v>5.6736041572348164</v>
      </c>
      <c r="G258">
        <f t="shared" ca="1" si="60"/>
        <v>100.5645229758473</v>
      </c>
      <c r="H258">
        <f t="shared" ca="1" si="61"/>
        <v>89.217314661377657</v>
      </c>
      <c r="I258">
        <f t="shared" ca="1" si="70"/>
        <v>90.162499999999994</v>
      </c>
      <c r="J258">
        <f t="shared" ca="1" si="71"/>
        <v>1.7564254220313178</v>
      </c>
      <c r="K258">
        <f t="shared" ca="1" si="72"/>
        <v>93.675350844062635</v>
      </c>
      <c r="L258">
        <f t="shared" ca="1" si="73"/>
        <v>86.649649155937354</v>
      </c>
      <c r="M258">
        <f t="shared" ca="1" si="62"/>
        <v>1.0100000000000051</v>
      </c>
      <c r="N258">
        <f t="shared" ca="1" si="63"/>
        <v>1.0100000000000051</v>
      </c>
      <c r="O258">
        <f t="shared" ca="1" si="64"/>
        <v>0</v>
      </c>
      <c r="P258">
        <f t="shared" ca="1" si="68"/>
        <v>0.19466546137900864</v>
      </c>
      <c r="Q258">
        <f t="shared" ca="1" si="69"/>
        <v>0.39831659875468706</v>
      </c>
      <c r="R258">
        <f t="shared" ca="1" si="66"/>
        <v>0.48872043491940464</v>
      </c>
      <c r="S258">
        <f t="shared" ca="1" si="67"/>
        <v>32.828221031698462</v>
      </c>
      <c r="T258">
        <f>70</f>
        <v>70</v>
      </c>
      <c r="U258">
        <f>30</f>
        <v>30</v>
      </c>
      <c r="V258">
        <f t="shared" ca="1" si="65"/>
        <v>89.452104186231225</v>
      </c>
      <c r="W258">
        <f t="shared" ca="1" si="75"/>
        <v>91.514681856505277</v>
      </c>
      <c r="X258">
        <f t="shared" ca="1" si="74"/>
        <v>-2.0136656981582348</v>
      </c>
      <c r="Y258">
        <f t="shared" ca="1" si="76"/>
        <v>-2.1981028253456074</v>
      </c>
      <c r="Z258">
        <f t="shared" ca="1" si="77"/>
        <v>0.1844371271873726</v>
      </c>
      <c r="AA258">
        <f t="shared" ca="1" si="78"/>
        <v>99.278000000000006</v>
      </c>
    </row>
    <row r="259" spans="1:27" x14ac:dyDescent="0.25">
      <c r="A259" vm="756">
        <f ca="1"/>
        <v>45667</v>
      </c>
      <c r="B259" vm="757">
        <f ca="1"/>
        <v>88.15</v>
      </c>
      <c r="C259" vm="758">
        <f ca="1"/>
        <v>2243180</v>
      </c>
      <c r="D259">
        <f t="shared" ref="D259:D322" ca="1" si="79">B259*C259</f>
        <v>197736317</v>
      </c>
      <c r="E259">
        <f ca="1">SUM($D$2:D259)/SUM($C$2:C259)</f>
        <v>94.860290537484062</v>
      </c>
      <c r="F259">
        <f ca="1">_xlfn.STDEV.P($B$2:B259)</f>
        <v>5.6780793614797505</v>
      </c>
      <c r="G259">
        <f t="shared" ref="G259:G322" ca="1" si="80">E259 + F259</f>
        <v>100.53836989896381</v>
      </c>
      <c r="H259">
        <f t="shared" ref="H259:H322" ca="1" si="81">E259 - F259</f>
        <v>89.182211176004316</v>
      </c>
      <c r="I259">
        <f t="shared" ca="1" si="70"/>
        <v>89.83550000000001</v>
      </c>
      <c r="J259">
        <f t="shared" ca="1" si="71"/>
        <v>1.4514764715173372</v>
      </c>
      <c r="K259">
        <f t="shared" ca="1" si="72"/>
        <v>92.738452943034687</v>
      </c>
      <c r="L259">
        <f t="shared" ca="1" si="73"/>
        <v>86.932547056965333</v>
      </c>
      <c r="M259">
        <f t="shared" ca="1" si="62"/>
        <v>-0.85999999999999943</v>
      </c>
      <c r="N259">
        <f t="shared" ca="1" si="63"/>
        <v>0</v>
      </c>
      <c r="O259">
        <f t="shared" ca="1" si="64"/>
        <v>0.85999999999999943</v>
      </c>
      <c r="P259">
        <f t="shared" ca="1" si="68"/>
        <v>0.1807607855662223</v>
      </c>
      <c r="Q259">
        <f t="shared" ca="1" si="69"/>
        <v>0.43129398455792367</v>
      </c>
      <c r="R259">
        <f t="shared" ca="1" si="66"/>
        <v>0.41911269815530144</v>
      </c>
      <c r="S259">
        <f t="shared" ca="1" si="67"/>
        <v>29.533433017695089</v>
      </c>
      <c r="T259">
        <f>70</f>
        <v>70</v>
      </c>
      <c r="U259">
        <f>30</f>
        <v>30</v>
      </c>
      <c r="V259">
        <f t="shared" ca="1" si="65"/>
        <v>89.251780465272574</v>
      </c>
      <c r="W259">
        <f t="shared" ca="1" si="75"/>
        <v>91.265446163430809</v>
      </c>
      <c r="X259">
        <f t="shared" ca="1" si="74"/>
        <v>-1.9268695297124054</v>
      </c>
      <c r="Y259">
        <f t="shared" ca="1" si="76"/>
        <v>-2.143856166218967</v>
      </c>
      <c r="Z259">
        <f t="shared" ca="1" si="77"/>
        <v>0.21698663650656158</v>
      </c>
      <c r="AA259">
        <f t="shared" ca="1" si="78"/>
        <v>99.158500000000004</v>
      </c>
    </row>
    <row r="260" spans="1:27" x14ac:dyDescent="0.25">
      <c r="A260" vm="759">
        <f ca="1"/>
        <v>45670</v>
      </c>
      <c r="B260" vm="760">
        <f ca="1"/>
        <v>88.47</v>
      </c>
      <c r="C260" vm="761">
        <f ca="1"/>
        <v>1883715</v>
      </c>
      <c r="D260">
        <f t="shared" ca="1" si="79"/>
        <v>166652266.05000001</v>
      </c>
      <c r="E260">
        <f ca="1">SUM($D$2:D260)/SUM($C$2:C260)</f>
        <v>94.836000885389367</v>
      </c>
      <c r="F260">
        <f ca="1">_xlfn.STDEV.P($B$2:B260)</f>
        <v>5.6809772898730664</v>
      </c>
      <c r="G260">
        <f t="shared" ca="1" si="80"/>
        <v>100.51697817526244</v>
      </c>
      <c r="H260">
        <f t="shared" ca="1" si="81"/>
        <v>89.155023595516298</v>
      </c>
      <c r="I260">
        <f t="shared" ca="1" si="70"/>
        <v>89.621500000000012</v>
      </c>
      <c r="J260">
        <f t="shared" ca="1" si="71"/>
        <v>1.3075339383740672</v>
      </c>
      <c r="K260">
        <f t="shared" ca="1" si="72"/>
        <v>92.23656787674814</v>
      </c>
      <c r="L260">
        <f t="shared" ca="1" si="73"/>
        <v>87.006432123251884</v>
      </c>
      <c r="M260">
        <f t="shared" ref="M260:M323" ca="1" si="82">B260-B259</f>
        <v>0.31999999999999318</v>
      </c>
      <c r="N260">
        <f t="shared" ref="N260:N323" ca="1" si="83">MAX(M260,0)</f>
        <v>0.31999999999999318</v>
      </c>
      <c r="O260">
        <f t="shared" ref="O260:O323" ca="1" si="84">MAX(-M260,0)</f>
        <v>0</v>
      </c>
      <c r="P260">
        <f t="shared" ca="1" si="68"/>
        <v>0.1907064437400631</v>
      </c>
      <c r="Q260">
        <f t="shared" ca="1" si="69"/>
        <v>0.40048727137521484</v>
      </c>
      <c r="R260">
        <f t="shared" ca="1" si="66"/>
        <v>0.47618602979616559</v>
      </c>
      <c r="S260">
        <f t="shared" ca="1" si="67"/>
        <v>32.257860471821303</v>
      </c>
      <c r="T260">
        <f>70</f>
        <v>70</v>
      </c>
      <c r="U260">
        <f>30</f>
        <v>30</v>
      </c>
      <c r="V260">
        <f t="shared" ca="1" si="65"/>
        <v>89.131506547538336</v>
      </c>
      <c r="W260">
        <f t="shared" ca="1" si="75"/>
        <v>91.058376077250742</v>
      </c>
      <c r="X260">
        <f t="shared" ca="1" si="74"/>
        <v>-1.7651133347225425</v>
      </c>
      <c r="Y260">
        <f t="shared" ca="1" si="76"/>
        <v>-2.0681075999196823</v>
      </c>
      <c r="Z260">
        <f t="shared" ca="1" si="77"/>
        <v>0.30299426519713979</v>
      </c>
      <c r="AA260">
        <f t="shared" ca="1" si="78"/>
        <v>99.039100000000005</v>
      </c>
    </row>
    <row r="261" spans="1:27" x14ac:dyDescent="0.25">
      <c r="A261" vm="762">
        <f ca="1"/>
        <v>45671</v>
      </c>
      <c r="B261" vm="763">
        <f ca="1"/>
        <v>89.37</v>
      </c>
      <c r="C261" vm="764">
        <f ca="1"/>
        <v>2103980</v>
      </c>
      <c r="D261">
        <f t="shared" ca="1" si="79"/>
        <v>188032692.60000002</v>
      </c>
      <c r="E261">
        <f ca="1">SUM($D$2:D261)/SUM($C$2:C261)</f>
        <v>94.812893175194276</v>
      </c>
      <c r="F261">
        <f ca="1">_xlfn.STDEV.P($B$2:B261)</f>
        <v>5.6801511506890874</v>
      </c>
      <c r="G261">
        <f t="shared" ca="1" si="80"/>
        <v>100.49304432588336</v>
      </c>
      <c r="H261">
        <f t="shared" ca="1" si="81"/>
        <v>89.132742024505191</v>
      </c>
      <c r="I261">
        <f t="shared" ca="1" si="70"/>
        <v>89.459500000000006</v>
      </c>
      <c r="J261">
        <f t="shared" ca="1" si="71"/>
        <v>1.102401565005382</v>
      </c>
      <c r="K261">
        <f t="shared" ca="1" si="72"/>
        <v>91.664303130010765</v>
      </c>
      <c r="L261">
        <f t="shared" ca="1" si="73"/>
        <v>87.254696869989246</v>
      </c>
      <c r="M261">
        <f t="shared" ca="1" si="82"/>
        <v>0.90000000000000568</v>
      </c>
      <c r="N261">
        <f t="shared" ca="1" si="83"/>
        <v>0.90000000000000568</v>
      </c>
      <c r="O261">
        <f t="shared" ca="1" si="84"/>
        <v>0</v>
      </c>
      <c r="P261">
        <f t="shared" ca="1" si="68"/>
        <v>0.24137026918720186</v>
      </c>
      <c r="Q261">
        <f t="shared" ca="1" si="69"/>
        <v>0.37188103770555664</v>
      </c>
      <c r="R261">
        <f t="shared" ca="1" si="66"/>
        <v>0.64905237082378753</v>
      </c>
      <c r="S261">
        <f t="shared" ca="1" si="67"/>
        <v>39.359112075958627</v>
      </c>
      <c r="T261">
        <f>70</f>
        <v>70</v>
      </c>
      <c r="U261">
        <f>30</f>
        <v>30</v>
      </c>
      <c r="V261">
        <f t="shared" ca="1" si="65"/>
        <v>89.168197847917043</v>
      </c>
      <c r="W261">
        <f t="shared" ca="1" si="75"/>
        <v>90.933311182639585</v>
      </c>
      <c r="X261">
        <f t="shared" ca="1" si="74"/>
        <v>-1.5496620328390378</v>
      </c>
      <c r="Y261">
        <f t="shared" ca="1" si="76"/>
        <v>-1.9644184865035534</v>
      </c>
      <c r="Z261">
        <f t="shared" ca="1" si="77"/>
        <v>0.41475645366451563</v>
      </c>
      <c r="AA261">
        <f t="shared" ca="1" si="78"/>
        <v>98.931099999999986</v>
      </c>
    </row>
    <row r="262" spans="1:27" x14ac:dyDescent="0.25">
      <c r="A262" vm="765">
        <f ca="1"/>
        <v>45672</v>
      </c>
      <c r="B262" vm="766">
        <f ca="1"/>
        <v>90.23</v>
      </c>
      <c r="C262" vm="767">
        <f ca="1"/>
        <v>1972026</v>
      </c>
      <c r="D262">
        <f t="shared" ca="1" si="79"/>
        <v>177935905.98000002</v>
      </c>
      <c r="E262">
        <f ca="1">SUM($D$2:D262)/SUM($C$2:C262)</f>
        <v>94.794805592475797</v>
      </c>
      <c r="F262">
        <f ca="1">_xlfn.STDEV.P($B$2:B262)</f>
        <v>5.6763511536736155</v>
      </c>
      <c r="G262">
        <f t="shared" ca="1" si="80"/>
        <v>100.47115674614942</v>
      </c>
      <c r="H262">
        <f t="shared" ca="1" si="81"/>
        <v>89.118454438802175</v>
      </c>
      <c r="I262">
        <f t="shared" ca="1" si="70"/>
        <v>89.336500000000001</v>
      </c>
      <c r="J262">
        <f t="shared" ca="1" si="71"/>
        <v>0.82543306018241502</v>
      </c>
      <c r="K262">
        <f t="shared" ca="1" si="72"/>
        <v>90.987366120364825</v>
      </c>
      <c r="L262">
        <f t="shared" ca="1" si="73"/>
        <v>87.685633879635176</v>
      </c>
      <c r="M262">
        <f t="shared" ca="1" si="82"/>
        <v>0.85999999999999943</v>
      </c>
      <c r="N262">
        <f t="shared" ca="1" si="83"/>
        <v>0.85999999999999943</v>
      </c>
      <c r="O262">
        <f t="shared" ca="1" si="84"/>
        <v>0</v>
      </c>
      <c r="P262">
        <f t="shared" ca="1" si="68"/>
        <v>0.2855581071024017</v>
      </c>
      <c r="Q262">
        <f t="shared" ca="1" si="69"/>
        <v>0.34531810644087402</v>
      </c>
      <c r="R262">
        <f t="shared" ca="1" si="66"/>
        <v>0.8269421781718691</v>
      </c>
      <c r="S262">
        <f t="shared" ca="1" si="67"/>
        <v>45.263730185448416</v>
      </c>
      <c r="T262">
        <f>70</f>
        <v>70</v>
      </c>
      <c r="U262">
        <f>30</f>
        <v>30</v>
      </c>
      <c r="V262">
        <f t="shared" ca="1" si="65"/>
        <v>89.331552025160576</v>
      </c>
      <c r="W262">
        <f t="shared" ca="1" si="75"/>
        <v>90.881214057999614</v>
      </c>
      <c r="X262">
        <f t="shared" ca="1" si="74"/>
        <v>-1.2044547503623448</v>
      </c>
      <c r="Y262">
        <f t="shared" ca="1" si="76"/>
        <v>-1.8124257392753118</v>
      </c>
      <c r="Z262">
        <f t="shared" ca="1" si="77"/>
        <v>0.60797098891296697</v>
      </c>
      <c r="AA262">
        <f t="shared" ca="1" si="78"/>
        <v>98.829199999999986</v>
      </c>
    </row>
    <row r="263" spans="1:27" x14ac:dyDescent="0.25">
      <c r="A263" vm="768">
        <f ca="1"/>
        <v>45673</v>
      </c>
      <c r="B263" vm="769">
        <f ca="1"/>
        <v>92.22</v>
      </c>
      <c r="C263" vm="770">
        <f ca="1"/>
        <v>2097561</v>
      </c>
      <c r="D263">
        <f t="shared" ca="1" si="79"/>
        <v>193437075.41999999</v>
      </c>
      <c r="E263">
        <f ca="1">SUM($D$2:D263)/SUM($C$2:C263)</f>
        <v>94.784041737212064</v>
      </c>
      <c r="F263">
        <f ca="1">_xlfn.STDEV.P($B$2:B263)</f>
        <v>5.6677479445808556</v>
      </c>
      <c r="G263">
        <f t="shared" ca="1" si="80"/>
        <v>100.45178968179292</v>
      </c>
      <c r="H263">
        <f t="shared" ca="1" si="81"/>
        <v>89.116293792631211</v>
      </c>
      <c r="I263">
        <f t="shared" ca="1" si="70"/>
        <v>89.384499999999989</v>
      </c>
      <c r="J263">
        <f t="shared" ca="1" si="71"/>
        <v>0.9601012830343526</v>
      </c>
      <c r="K263">
        <f t="shared" ca="1" si="72"/>
        <v>91.304702566068698</v>
      </c>
      <c r="L263">
        <f t="shared" ca="1" si="73"/>
        <v>87.464297433931279</v>
      </c>
      <c r="M263">
        <f t="shared" ca="1" si="82"/>
        <v>1.9899999999999949</v>
      </c>
      <c r="N263">
        <f t="shared" ca="1" si="83"/>
        <v>1.9899999999999949</v>
      </c>
      <c r="O263">
        <f t="shared" ca="1" si="84"/>
        <v>0</v>
      </c>
      <c r="P263">
        <f t="shared" ca="1" si="68"/>
        <v>0.40730395659508695</v>
      </c>
      <c r="Q263">
        <f t="shared" ca="1" si="69"/>
        <v>0.32065252740938305</v>
      </c>
      <c r="R263">
        <f t="shared" ca="1" si="66"/>
        <v>1.2702346676814882</v>
      </c>
      <c r="S263">
        <f t="shared" ca="1" si="67"/>
        <v>55.951690182704098</v>
      </c>
      <c r="T263">
        <f>70</f>
        <v>70</v>
      </c>
      <c r="U263">
        <f>30</f>
        <v>30</v>
      </c>
      <c r="V263">
        <f t="shared" ca="1" si="65"/>
        <v>89.775928636674337</v>
      </c>
      <c r="W263">
        <f t="shared" ca="1" si="75"/>
        <v>90.980383387036682</v>
      </c>
      <c r="X263">
        <f t="shared" ca="1" si="74"/>
        <v>-0.80619315012718573</v>
      </c>
      <c r="Y263">
        <f t="shared" ca="1" si="76"/>
        <v>-1.6111792214456866</v>
      </c>
      <c r="Z263">
        <f t="shared" ca="1" si="77"/>
        <v>0.80498607131850086</v>
      </c>
      <c r="AA263">
        <f t="shared" ca="1" si="78"/>
        <v>98.744699999999952</v>
      </c>
    </row>
    <row r="264" spans="1:27" x14ac:dyDescent="0.25">
      <c r="A264" vm="771">
        <f ca="1"/>
        <v>45674</v>
      </c>
      <c r="B264" vm="772">
        <f ca="1"/>
        <v>93.65</v>
      </c>
      <c r="C264" vm="773">
        <f ca="1"/>
        <v>3516804</v>
      </c>
      <c r="D264">
        <f t="shared" ca="1" si="79"/>
        <v>329348694.60000002</v>
      </c>
      <c r="E264">
        <f ca="1">SUM($D$2:D264)/SUM($C$2:C264)</f>
        <v>94.776148545503219</v>
      </c>
      <c r="F264">
        <f ca="1">_xlfn.STDEV.P($B$2:B264)</f>
        <v>5.6574006409457223</v>
      </c>
      <c r="G264">
        <f t="shared" ca="1" si="80"/>
        <v>100.43354918644894</v>
      </c>
      <c r="H264">
        <f t="shared" ca="1" si="81"/>
        <v>89.118747904557495</v>
      </c>
      <c r="I264">
        <f t="shared" ca="1" si="70"/>
        <v>89.525000000000006</v>
      </c>
      <c r="J264">
        <f t="shared" ca="1" si="71"/>
        <v>1.3217870678106893</v>
      </c>
      <c r="K264">
        <f t="shared" ca="1" si="72"/>
        <v>92.168574135621384</v>
      </c>
      <c r="L264">
        <f t="shared" ca="1" si="73"/>
        <v>86.881425864378627</v>
      </c>
      <c r="M264">
        <f t="shared" ca="1" si="82"/>
        <v>1.4300000000000068</v>
      </c>
      <c r="N264">
        <f t="shared" ca="1" si="83"/>
        <v>1.4300000000000068</v>
      </c>
      <c r="O264">
        <f t="shared" ca="1" si="84"/>
        <v>0</v>
      </c>
      <c r="P264">
        <f t="shared" ca="1" si="68"/>
        <v>0.48035367398115264</v>
      </c>
      <c r="Q264">
        <f t="shared" ca="1" si="69"/>
        <v>0.29774877545156997</v>
      </c>
      <c r="R264">
        <f t="shared" ca="1" si="66"/>
        <v>1.613285136950241</v>
      </c>
      <c r="S264">
        <f t="shared" ca="1" si="67"/>
        <v>61.733988156875171</v>
      </c>
      <c r="T264">
        <f>70</f>
        <v>70</v>
      </c>
      <c r="U264">
        <f>30</f>
        <v>30</v>
      </c>
      <c r="V264">
        <f t="shared" ca="1" si="65"/>
        <v>90.37193961564752</v>
      </c>
      <c r="W264">
        <f t="shared" ca="1" si="75"/>
        <v>91.178132765774706</v>
      </c>
      <c r="X264">
        <f t="shared" ca="1" si="74"/>
        <v>-0.52007715962811574</v>
      </c>
      <c r="Y264">
        <f t="shared" ca="1" si="76"/>
        <v>-1.3929588090821725</v>
      </c>
      <c r="Z264">
        <f t="shared" ca="1" si="77"/>
        <v>0.87288164945405677</v>
      </c>
      <c r="AA264">
        <f t="shared" ca="1" si="78"/>
        <v>98.675199999999961</v>
      </c>
    </row>
    <row r="265" spans="1:27" x14ac:dyDescent="0.25">
      <c r="A265" vm="774">
        <f ca="1"/>
        <v>45678</v>
      </c>
      <c r="B265" vm="297">
        <f ca="1"/>
        <v>93.21</v>
      </c>
      <c r="C265" vm="775">
        <f ca="1"/>
        <v>2761523</v>
      </c>
      <c r="D265">
        <f t="shared" ca="1" si="79"/>
        <v>257401558.82999998</v>
      </c>
      <c r="E265">
        <f ca="1">SUM($D$2:D265)/SUM($C$2:C265)</f>
        <v>94.767635402633871</v>
      </c>
      <c r="F265">
        <f ca="1">_xlfn.STDEV.P($B$2:B265)</f>
        <v>5.6475094188771573</v>
      </c>
      <c r="G265">
        <f t="shared" ca="1" si="80"/>
        <v>100.41514482151103</v>
      </c>
      <c r="H265">
        <f t="shared" ca="1" si="81"/>
        <v>89.120125983756708</v>
      </c>
      <c r="I265">
        <f t="shared" ca="1" si="70"/>
        <v>89.742000000000019</v>
      </c>
      <c r="J265">
        <f t="shared" ca="1" si="71"/>
        <v>1.5458555798276272</v>
      </c>
      <c r="K265">
        <f t="shared" ca="1" si="72"/>
        <v>92.83371115965528</v>
      </c>
      <c r="L265">
        <f t="shared" ca="1" si="73"/>
        <v>86.650288840344757</v>
      </c>
      <c r="M265">
        <f t="shared" ca="1" si="82"/>
        <v>-0.44000000000001194</v>
      </c>
      <c r="N265">
        <f t="shared" ca="1" si="83"/>
        <v>0</v>
      </c>
      <c r="O265">
        <f t="shared" ca="1" si="84"/>
        <v>0.44000000000001194</v>
      </c>
      <c r="P265">
        <f t="shared" ca="1" si="68"/>
        <v>0.44604269726821316</v>
      </c>
      <c r="Q265">
        <f t="shared" ca="1" si="69"/>
        <v>0.30790957720503009</v>
      </c>
      <c r="R265">
        <f t="shared" ca="1" si="66"/>
        <v>1.448615860919465</v>
      </c>
      <c r="S265">
        <f t="shared" ca="1" si="67"/>
        <v>59.160601057917837</v>
      </c>
      <c r="T265">
        <f>70</f>
        <v>70</v>
      </c>
      <c r="U265">
        <f>30</f>
        <v>30</v>
      </c>
      <c r="V265">
        <f t="shared" ca="1" si="65"/>
        <v>90.808564290163289</v>
      </c>
      <c r="W265">
        <f t="shared" ca="1" si="75"/>
        <v>91.328641449791405</v>
      </c>
      <c r="X265">
        <f t="shared" ca="1" si="74"/>
        <v>-0.4846292792128537</v>
      </c>
      <c r="Y265">
        <f t="shared" ca="1" si="76"/>
        <v>-1.2112929031083088</v>
      </c>
      <c r="Z265">
        <f t="shared" ca="1" si="77"/>
        <v>0.72666362389545514</v>
      </c>
      <c r="AA265">
        <f t="shared" ca="1" si="78"/>
        <v>98.598299999999938</v>
      </c>
    </row>
    <row r="266" spans="1:27" x14ac:dyDescent="0.25">
      <c r="A266" vm="776">
        <f ca="1"/>
        <v>45679</v>
      </c>
      <c r="B266" vm="777">
        <f ca="1"/>
        <v>90.77</v>
      </c>
      <c r="C266" vm="778">
        <f ca="1"/>
        <v>1805432</v>
      </c>
      <c r="D266">
        <f t="shared" ca="1" si="79"/>
        <v>163879062.63999999</v>
      </c>
      <c r="E266">
        <f ca="1">SUM($D$2:D266)/SUM($C$2:C266)</f>
        <v>94.753479030298735</v>
      </c>
      <c r="F266">
        <f ca="1">_xlfn.STDEV.P($B$2:B266)</f>
        <v>5.6422130430163584</v>
      </c>
      <c r="G266">
        <f t="shared" ca="1" si="80"/>
        <v>100.39569207331509</v>
      </c>
      <c r="H266">
        <f t="shared" ca="1" si="81"/>
        <v>89.11126598728238</v>
      </c>
      <c r="I266">
        <f t="shared" ca="1" si="70"/>
        <v>89.827000000000012</v>
      </c>
      <c r="J266">
        <f t="shared" ca="1" si="71"/>
        <v>1.5536784873664373</v>
      </c>
      <c r="K266">
        <f t="shared" ca="1" si="72"/>
        <v>92.934356974732893</v>
      </c>
      <c r="L266">
        <f t="shared" ca="1" si="73"/>
        <v>86.719643025267132</v>
      </c>
      <c r="M266">
        <f t="shared" ca="1" si="82"/>
        <v>-2.4399999999999977</v>
      </c>
      <c r="N266">
        <f t="shared" ca="1" si="83"/>
        <v>0</v>
      </c>
      <c r="O266">
        <f t="shared" ca="1" si="84"/>
        <v>2.4399999999999977</v>
      </c>
      <c r="P266">
        <f t="shared" ca="1" si="68"/>
        <v>0.41418250460619793</v>
      </c>
      <c r="Q266">
        <f t="shared" ca="1" si="69"/>
        <v>0.46020175026181354</v>
      </c>
      <c r="R266">
        <f t="shared" ca="1" si="66"/>
        <v>0.90000201948507419</v>
      </c>
      <c r="S266">
        <f t="shared" ca="1" si="67"/>
        <v>47.368476993986917</v>
      </c>
      <c r="T266">
        <f>70</f>
        <v>70</v>
      </c>
      <c r="U266">
        <f>30</f>
        <v>30</v>
      </c>
      <c r="V266">
        <f t="shared" ca="1" si="65"/>
        <v>90.802631322445862</v>
      </c>
      <c r="W266">
        <f t="shared" ca="1" si="75"/>
        <v>91.287260601658716</v>
      </c>
      <c r="X266">
        <f t="shared" ca="1" si="74"/>
        <v>-0.4521316033409164</v>
      </c>
      <c r="Y266">
        <f t="shared" ca="1" si="76"/>
        <v>-1.0594606431548304</v>
      </c>
      <c r="Z266">
        <f t="shared" ca="1" si="77"/>
        <v>0.60732903981391395</v>
      </c>
      <c r="AA266">
        <f t="shared" ca="1" si="78"/>
        <v>98.510099999999952</v>
      </c>
    </row>
    <row r="267" spans="1:27" x14ac:dyDescent="0.25">
      <c r="A267" vm="779">
        <f ca="1"/>
        <v>45680</v>
      </c>
      <c r="B267" vm="780">
        <f ca="1"/>
        <v>90.76</v>
      </c>
      <c r="C267" vm="781">
        <f ca="1"/>
        <v>1649741</v>
      </c>
      <c r="D267">
        <f t="shared" ca="1" si="79"/>
        <v>149730493.16</v>
      </c>
      <c r="E267">
        <f ca="1">SUM($D$2:D267)/SUM($C$2:C267)</f>
        <v>94.740598557418494</v>
      </c>
      <c r="F267">
        <f ca="1">_xlfn.STDEV.P($B$2:B267)</f>
        <v>5.6369379312505359</v>
      </c>
      <c r="G267">
        <f t="shared" ca="1" si="80"/>
        <v>100.37753648866902</v>
      </c>
      <c r="H267">
        <f t="shared" ca="1" si="81"/>
        <v>89.103660626167965</v>
      </c>
      <c r="I267">
        <f t="shared" ca="1" si="70"/>
        <v>89.863500000000016</v>
      </c>
      <c r="J267">
        <f t="shared" ca="1" si="71"/>
        <v>1.5672143406291565</v>
      </c>
      <c r="K267">
        <f t="shared" ca="1" si="72"/>
        <v>92.99792868125833</v>
      </c>
      <c r="L267">
        <f t="shared" ca="1" si="73"/>
        <v>86.729071318741703</v>
      </c>
      <c r="M267">
        <f t="shared" ca="1" si="82"/>
        <v>-9.9999999999909051E-3</v>
      </c>
      <c r="N267">
        <f t="shared" ca="1" si="83"/>
        <v>0</v>
      </c>
      <c r="O267">
        <f t="shared" ca="1" si="84"/>
        <v>9.9999999999909051E-3</v>
      </c>
      <c r="P267">
        <f t="shared" ca="1" si="68"/>
        <v>0.38459803999146952</v>
      </c>
      <c r="Q267">
        <f t="shared" ca="1" si="69"/>
        <v>0.42804448238596909</v>
      </c>
      <c r="R267">
        <f t="shared" ca="1" si="66"/>
        <v>0.89850016953302581</v>
      </c>
      <c r="S267">
        <f t="shared" ca="1" si="67"/>
        <v>47.326841680189574</v>
      </c>
      <c r="T267">
        <f>70</f>
        <v>70</v>
      </c>
      <c r="U267">
        <f>30</f>
        <v>30</v>
      </c>
      <c r="V267">
        <f t="shared" ca="1" si="65"/>
        <v>90.796072657454189</v>
      </c>
      <c r="W267">
        <f t="shared" ca="1" si="75"/>
        <v>91.248204260795106</v>
      </c>
      <c r="X267">
        <f t="shared" ca="1" si="74"/>
        <v>-0.43428149713537323</v>
      </c>
      <c r="Y267">
        <f t="shared" ca="1" si="76"/>
        <v>-0.9344248139509389</v>
      </c>
      <c r="Z267">
        <f t="shared" ca="1" si="77"/>
        <v>0.50014331681556567</v>
      </c>
      <c r="AA267">
        <f t="shared" ca="1" si="78"/>
        <v>98.413799999999952</v>
      </c>
    </row>
    <row r="268" spans="1:27" x14ac:dyDescent="0.25">
      <c r="A268" vm="782">
        <f ca="1"/>
        <v>45681</v>
      </c>
      <c r="B268" vm="185">
        <f ca="1"/>
        <v>90.6</v>
      </c>
      <c r="C268" vm="783">
        <f ca="1"/>
        <v>2596989</v>
      </c>
      <c r="D268">
        <f t="shared" ca="1" si="79"/>
        <v>235287203.39999998</v>
      </c>
      <c r="E268">
        <f ca="1">SUM($D$2:D268)/SUM($C$2:C268)</f>
        <v>94.719681605699961</v>
      </c>
      <c r="F268">
        <f ca="1">_xlfn.STDEV.P($B$2:B268)</f>
        <v>5.63208938201418</v>
      </c>
      <c r="G268">
        <f t="shared" ca="1" si="80"/>
        <v>100.35177098771415</v>
      </c>
      <c r="H268">
        <f t="shared" ca="1" si="81"/>
        <v>89.087592223685775</v>
      </c>
      <c r="I268">
        <f t="shared" ca="1" si="70"/>
        <v>89.91</v>
      </c>
      <c r="J268">
        <f t="shared" ca="1" si="71"/>
        <v>1.5749486207158423</v>
      </c>
      <c r="K268">
        <f t="shared" ca="1" si="72"/>
        <v>93.059897241431685</v>
      </c>
      <c r="L268">
        <f t="shared" ca="1" si="73"/>
        <v>86.760102758568308</v>
      </c>
      <c r="M268">
        <f t="shared" ca="1" si="82"/>
        <v>-0.1600000000000108</v>
      </c>
      <c r="N268">
        <f t="shared" ca="1" si="83"/>
        <v>0</v>
      </c>
      <c r="O268">
        <f t="shared" ca="1" si="84"/>
        <v>0.1600000000000108</v>
      </c>
      <c r="P268">
        <f t="shared" ca="1" si="68"/>
        <v>0.35712675142065026</v>
      </c>
      <c r="Q268">
        <f t="shared" ca="1" si="69"/>
        <v>0.40889844792982927</v>
      </c>
      <c r="R268">
        <f t="shared" ca="1" si="66"/>
        <v>0.87338739784587416</v>
      </c>
      <c r="S268">
        <f t="shared" ca="1" si="67"/>
        <v>46.62075760999268</v>
      </c>
      <c r="T268">
        <f>70</f>
        <v>70</v>
      </c>
      <c r="U268">
        <f>30</f>
        <v>30</v>
      </c>
      <c r="V268">
        <f t="shared" ca="1" si="65"/>
        <v>90.765907633230469</v>
      </c>
      <c r="W268">
        <f t="shared" ca="1" si="75"/>
        <v>91.200189130365843</v>
      </c>
      <c r="X268">
        <f t="shared" ca="1" si="74"/>
        <v>-7.3125072078212838E-2</v>
      </c>
      <c r="Y268">
        <f t="shared" ca="1" si="76"/>
        <v>-0.76216486557639374</v>
      </c>
      <c r="Z268">
        <f t="shared" ca="1" si="77"/>
        <v>0.6890397934981809</v>
      </c>
      <c r="AA268">
        <f t="shared" ca="1" si="78"/>
        <v>98.311699999999945</v>
      </c>
    </row>
    <row r="269" spans="1:27" x14ac:dyDescent="0.25">
      <c r="A269" vm="784">
        <f ca="1"/>
        <v>45684</v>
      </c>
      <c r="B269" vm="785">
        <f ca="1"/>
        <v>94.89</v>
      </c>
      <c r="C269" vm="786">
        <f ca="1"/>
        <v>4043815</v>
      </c>
      <c r="D269">
        <f t="shared" ca="1" si="79"/>
        <v>383717605.35000002</v>
      </c>
      <c r="E269">
        <f ca="1">SUM($D$2:D269)/SUM($C$2:C269)</f>
        <v>94.72101088173828</v>
      </c>
      <c r="F269">
        <f ca="1">_xlfn.STDEV.P($B$2:B269)</f>
        <v>5.6215795812133535</v>
      </c>
      <c r="G269">
        <f t="shared" ca="1" si="80"/>
        <v>100.34259046295163</v>
      </c>
      <c r="H269">
        <f t="shared" ca="1" si="81"/>
        <v>89.099431300524927</v>
      </c>
      <c r="I269">
        <f t="shared" ca="1" si="70"/>
        <v>90.175500000000014</v>
      </c>
      <c r="J269">
        <f t="shared" ca="1" si="71"/>
        <v>1.9250494867186627</v>
      </c>
      <c r="K269">
        <f t="shared" ca="1" si="72"/>
        <v>94.02559897343734</v>
      </c>
      <c r="L269">
        <f t="shared" ca="1" si="73"/>
        <v>86.325401026562687</v>
      </c>
      <c r="M269">
        <f t="shared" ca="1" si="82"/>
        <v>4.2900000000000063</v>
      </c>
      <c r="N269">
        <f t="shared" ca="1" si="83"/>
        <v>4.2900000000000063</v>
      </c>
      <c r="O269">
        <f t="shared" ca="1" si="84"/>
        <v>0</v>
      </c>
      <c r="P269">
        <f t="shared" ca="1" si="68"/>
        <v>0.63804626917631857</v>
      </c>
      <c r="Q269">
        <f t="shared" ca="1" si="69"/>
        <v>0.37969141593484146</v>
      </c>
      <c r="R269">
        <f t="shared" ca="1" si="66"/>
        <v>1.6804337480355711</v>
      </c>
      <c r="S269">
        <f t="shared" ca="1" si="67"/>
        <v>62.692605227311539</v>
      </c>
      <c r="T269">
        <f>70</f>
        <v>70</v>
      </c>
      <c r="U269">
        <f>30</f>
        <v>30</v>
      </c>
      <c r="V269">
        <f t="shared" ca="1" si="65"/>
        <v>91.400383381964232</v>
      </c>
      <c r="W269">
        <f t="shared" ca="1" si="75"/>
        <v>91.473508454042445</v>
      </c>
      <c r="X269">
        <f t="shared" ca="1" si="74"/>
        <v>9.100745549739031E-2</v>
      </c>
      <c r="Y269">
        <f t="shared" ca="1" si="76"/>
        <v>-0.59153040136163693</v>
      </c>
      <c r="Z269">
        <f t="shared" ca="1" si="77"/>
        <v>0.68253785685902724</v>
      </c>
      <c r="AA269">
        <f t="shared" ca="1" si="78"/>
        <v>98.244999999999948</v>
      </c>
    </row>
    <row r="270" spans="1:27" x14ac:dyDescent="0.25">
      <c r="A270" vm="787">
        <f ca="1"/>
        <v>45685</v>
      </c>
      <c r="B270" vm="788">
        <f ca="1"/>
        <v>93.39</v>
      </c>
      <c r="C270" vm="789">
        <f ca="1"/>
        <v>2470603</v>
      </c>
      <c r="D270">
        <f t="shared" ca="1" si="79"/>
        <v>230729614.16999999</v>
      </c>
      <c r="E270">
        <f ca="1">SUM($D$2:D270)/SUM($C$2:C270)</f>
        <v>94.714694316576441</v>
      </c>
      <c r="F270">
        <f ca="1">_xlfn.STDEV.P($B$2:B270)</f>
        <v>5.6117209007133626</v>
      </c>
      <c r="G270">
        <f t="shared" ca="1" si="80"/>
        <v>100.32641521728981</v>
      </c>
      <c r="H270">
        <f t="shared" ca="1" si="81"/>
        <v>89.102973415863076</v>
      </c>
      <c r="I270">
        <f t="shared" ca="1" si="70"/>
        <v>90.365500000000011</v>
      </c>
      <c r="J270">
        <f t="shared" ca="1" si="71"/>
        <v>2.0478319087063244</v>
      </c>
      <c r="K270">
        <f t="shared" ca="1" si="72"/>
        <v>94.461163817412654</v>
      </c>
      <c r="L270">
        <f t="shared" ca="1" si="73"/>
        <v>86.269836182587369</v>
      </c>
      <c r="M270">
        <f t="shared" ca="1" si="82"/>
        <v>-1.5</v>
      </c>
      <c r="N270">
        <f t="shared" ca="1" si="83"/>
        <v>0</v>
      </c>
      <c r="O270">
        <f t="shared" ca="1" si="84"/>
        <v>1.5</v>
      </c>
      <c r="P270">
        <f t="shared" ca="1" si="68"/>
        <v>0.59247153566372446</v>
      </c>
      <c r="Q270">
        <f t="shared" ca="1" si="69"/>
        <v>0.45971345765378135</v>
      </c>
      <c r="R270">
        <f t="shared" ca="1" si="66"/>
        <v>1.2887844064593943</v>
      </c>
      <c r="S270">
        <f t="shared" ca="1" si="67"/>
        <v>56.308685205220478</v>
      </c>
      <c r="T270">
        <f>70</f>
        <v>70</v>
      </c>
      <c r="U270">
        <f>30</f>
        <v>30</v>
      </c>
      <c r="V270">
        <f t="shared" ca="1" si="65"/>
        <v>91.706478246277428</v>
      </c>
      <c r="W270">
        <f t="shared" ca="1" si="75"/>
        <v>91.615470790780037</v>
      </c>
      <c r="X270">
        <f t="shared" ca="1" si="74"/>
        <v>0.15315108872047745</v>
      </c>
      <c r="Y270">
        <f t="shared" ca="1" si="76"/>
        <v>-0.4425941033452141</v>
      </c>
      <c r="Z270">
        <f t="shared" ca="1" si="77"/>
        <v>0.59574519206569154</v>
      </c>
      <c r="AA270">
        <f t="shared" ca="1" si="78"/>
        <v>98.146099999999947</v>
      </c>
    </row>
    <row r="271" spans="1:27" x14ac:dyDescent="0.25">
      <c r="A271" vm="790">
        <f ca="1"/>
        <v>45686</v>
      </c>
      <c r="B271" vm="791">
        <f ca="1"/>
        <v>92.57</v>
      </c>
      <c r="C271" vm="792">
        <f ca="1"/>
        <v>1935876</v>
      </c>
      <c r="D271">
        <f t="shared" ca="1" si="79"/>
        <v>179204041.31999999</v>
      </c>
      <c r="E271">
        <f ca="1">SUM($D$2:D271)/SUM($C$2:C271)</f>
        <v>94.706748703821276</v>
      </c>
      <c r="F271">
        <f ca="1">_xlfn.STDEV.P($B$2:B271)</f>
        <v>5.6028606769606641</v>
      </c>
      <c r="G271">
        <f t="shared" ca="1" si="80"/>
        <v>100.30960938078194</v>
      </c>
      <c r="H271">
        <f t="shared" ca="1" si="81"/>
        <v>89.103888026860616</v>
      </c>
      <c r="I271">
        <f t="shared" ca="1" si="70"/>
        <v>90.516000000000005</v>
      </c>
      <c r="J271">
        <f t="shared" ca="1" si="71"/>
        <v>2.0955677537427206</v>
      </c>
      <c r="K271">
        <f t="shared" ca="1" si="72"/>
        <v>94.707135507485447</v>
      </c>
      <c r="L271">
        <f t="shared" ca="1" si="73"/>
        <v>86.324864492514564</v>
      </c>
      <c r="M271">
        <f t="shared" ca="1" si="82"/>
        <v>-0.82000000000000739</v>
      </c>
      <c r="N271">
        <f t="shared" ca="1" si="83"/>
        <v>0</v>
      </c>
      <c r="O271">
        <f t="shared" ca="1" si="84"/>
        <v>0.82000000000000739</v>
      </c>
      <c r="P271">
        <f t="shared" ca="1" si="68"/>
        <v>0.5501521402591727</v>
      </c>
      <c r="Q271">
        <f t="shared" ca="1" si="69"/>
        <v>0.48544821067851179</v>
      </c>
      <c r="R271">
        <f t="shared" ca="1" si="66"/>
        <v>1.1332869874836373</v>
      </c>
      <c r="S271">
        <f t="shared" ca="1" si="67"/>
        <v>53.123981636452456</v>
      </c>
      <c r="T271">
        <f>70</f>
        <v>70</v>
      </c>
      <c r="U271">
        <f>30</f>
        <v>30</v>
      </c>
      <c r="V271">
        <f t="shared" ref="V271:V334" ca="1" si="85">B271*(2/(12+1)) + V270*(1-(2/(12+1)))</f>
        <v>91.839327746850131</v>
      </c>
      <c r="W271">
        <f t="shared" ca="1" si="75"/>
        <v>91.686176658129654</v>
      </c>
      <c r="X271">
        <f t="shared" ca="1" si="74"/>
        <v>0.30299979180156811</v>
      </c>
      <c r="Y271">
        <f t="shared" ca="1" si="76"/>
        <v>-0.29347532431585766</v>
      </c>
      <c r="Z271">
        <f t="shared" ca="1" si="77"/>
        <v>0.59647511611742576</v>
      </c>
      <c r="AA271">
        <f t="shared" ca="1" si="78"/>
        <v>98.027799999999928</v>
      </c>
    </row>
    <row r="272" spans="1:27" x14ac:dyDescent="0.25">
      <c r="A272" vm="793">
        <f ca="1"/>
        <v>45687</v>
      </c>
      <c r="B272" vm="794">
        <f ca="1"/>
        <v>93.86</v>
      </c>
      <c r="C272" vm="795">
        <f ca="1"/>
        <v>2274316</v>
      </c>
      <c r="D272">
        <f t="shared" ca="1" si="79"/>
        <v>213467299.75999999</v>
      </c>
      <c r="E272">
        <f ca="1">SUM($D$2:D272)/SUM($C$2:C272)</f>
        <v>94.703079231164253</v>
      </c>
      <c r="F272">
        <f ca="1">_xlfn.STDEV.P($B$2:B272)</f>
        <v>5.5927599240477157</v>
      </c>
      <c r="G272">
        <f t="shared" ca="1" si="80"/>
        <v>100.29583915521197</v>
      </c>
      <c r="H272">
        <f t="shared" ca="1" si="81"/>
        <v>89.110319307116541</v>
      </c>
      <c r="I272">
        <f t="shared" ca="1" si="70"/>
        <v>90.751000000000005</v>
      </c>
      <c r="J272">
        <f t="shared" ca="1" si="71"/>
        <v>2.1965976082641019</v>
      </c>
      <c r="K272">
        <f t="shared" ca="1" si="72"/>
        <v>95.144195216528203</v>
      </c>
      <c r="L272">
        <f t="shared" ca="1" si="73"/>
        <v>86.357804783471806</v>
      </c>
      <c r="M272">
        <f t="shared" ca="1" si="82"/>
        <v>1.2900000000000063</v>
      </c>
      <c r="N272">
        <f t="shared" ca="1" si="83"/>
        <v>1.2900000000000063</v>
      </c>
      <c r="O272">
        <f t="shared" ca="1" si="84"/>
        <v>0</v>
      </c>
      <c r="P272">
        <f t="shared" ca="1" si="68"/>
        <v>0.60299841595494652</v>
      </c>
      <c r="Q272">
        <f t="shared" ca="1" si="69"/>
        <v>0.45077333848718953</v>
      </c>
      <c r="R272">
        <f t="shared" ref="R272:R335" ca="1" si="86">IF(Q272=0,NA(),P272/Q272)</f>
        <v>1.337697606470315</v>
      </c>
      <c r="S272">
        <f t="shared" ref="S272:S335" ca="1" si="87">100-(100/(1+R272))</f>
        <v>57.222867609900241</v>
      </c>
      <c r="T272">
        <f>70</f>
        <v>70</v>
      </c>
      <c r="U272">
        <f>30</f>
        <v>30</v>
      </c>
      <c r="V272">
        <f t="shared" ca="1" si="85"/>
        <v>92.150200401180882</v>
      </c>
      <c r="W272">
        <f t="shared" ca="1" si="75"/>
        <v>91.847200609379314</v>
      </c>
      <c r="X272">
        <f t="shared" ca="1" si="74"/>
        <v>0.40737698319784954</v>
      </c>
      <c r="Y272">
        <f t="shared" ca="1" si="76"/>
        <v>-0.15330486281311623</v>
      </c>
      <c r="Z272">
        <f t="shared" ca="1" si="77"/>
        <v>0.56068184601096571</v>
      </c>
      <c r="AA272">
        <f t="shared" ca="1" si="78"/>
        <v>97.928499999999929</v>
      </c>
    </row>
    <row r="273" spans="1:27" x14ac:dyDescent="0.25">
      <c r="A273" vm="796">
        <f ca="1"/>
        <v>45688</v>
      </c>
      <c r="B273" vm="797">
        <f ca="1"/>
        <v>93.74</v>
      </c>
      <c r="C273" vm="798">
        <f ca="1"/>
        <v>6072722</v>
      </c>
      <c r="D273">
        <f t="shared" ca="1" si="79"/>
        <v>569256960.27999997</v>
      </c>
      <c r="E273">
        <f ca="1">SUM($D$2:D273)/SUM($C$2:C273)</f>
        <v>94.692062640010121</v>
      </c>
      <c r="F273">
        <f ca="1">_xlfn.STDEV.P($B$2:B273)</f>
        <v>5.5827861734463227</v>
      </c>
      <c r="G273">
        <f t="shared" ca="1" si="80"/>
        <v>100.27484881345644</v>
      </c>
      <c r="H273">
        <f t="shared" ca="1" si="81"/>
        <v>89.109276466563799</v>
      </c>
      <c r="I273">
        <f t="shared" ca="1" si="70"/>
        <v>90.976500000000001</v>
      </c>
      <c r="J273">
        <f t="shared" ca="1" si="71"/>
        <v>2.2627353614131427</v>
      </c>
      <c r="K273">
        <f t="shared" ca="1" si="72"/>
        <v>95.501970722826286</v>
      </c>
      <c r="L273">
        <f t="shared" ca="1" si="73"/>
        <v>86.451029277173717</v>
      </c>
      <c r="M273">
        <f t="shared" ca="1" si="82"/>
        <v>-0.12000000000000455</v>
      </c>
      <c r="N273">
        <f t="shared" ca="1" si="83"/>
        <v>0</v>
      </c>
      <c r="O273">
        <f t="shared" ca="1" si="84"/>
        <v>0.12000000000000455</v>
      </c>
      <c r="P273">
        <f t="shared" ref="P273:P336" ca="1" si="88">(P272*13+N273)/14</f>
        <v>0.55992710052959327</v>
      </c>
      <c r="Q273">
        <f t="shared" ref="Q273:Q336" ca="1" si="89">(Q272*13+O273)/14</f>
        <v>0.4271466714523906</v>
      </c>
      <c r="R273">
        <f t="shared" ca="1" si="86"/>
        <v>1.3108544159450444</v>
      </c>
      <c r="S273">
        <f t="shared" ca="1" si="87"/>
        <v>56.725962782426471</v>
      </c>
      <c r="T273">
        <f>70</f>
        <v>70</v>
      </c>
      <c r="U273">
        <f>30</f>
        <v>30</v>
      </c>
      <c r="V273">
        <f t="shared" ca="1" si="85"/>
        <v>92.394784954845363</v>
      </c>
      <c r="W273">
        <f t="shared" ca="1" si="75"/>
        <v>91.987407971647514</v>
      </c>
      <c r="X273">
        <f t="shared" ca="1" si="74"/>
        <v>0.63448302223255837</v>
      </c>
      <c r="Y273">
        <f t="shared" ca="1" si="76"/>
        <v>4.252714196018692E-3</v>
      </c>
      <c r="Z273">
        <f t="shared" ca="1" si="77"/>
        <v>0.63023030803653968</v>
      </c>
      <c r="AA273">
        <f t="shared" ca="1" si="78"/>
        <v>97.833099999999916</v>
      </c>
    </row>
    <row r="274" spans="1:27" x14ac:dyDescent="0.25">
      <c r="A274" vm="799">
        <f ca="1"/>
        <v>45691</v>
      </c>
      <c r="B274" vm="800">
        <f ca="1"/>
        <v>95.62</v>
      </c>
      <c r="C274" vm="801">
        <f ca="1"/>
        <v>3234925</v>
      </c>
      <c r="D274">
        <f t="shared" ca="1" si="79"/>
        <v>309323528.5</v>
      </c>
      <c r="E274">
        <f ca="1">SUM($D$2:D274)/SUM($C$2:C274)</f>
        <v>94.697682769898563</v>
      </c>
      <c r="F274">
        <f ca="1">_xlfn.STDEV.P($B$2:B274)</f>
        <v>5.5728179491170353</v>
      </c>
      <c r="G274">
        <f t="shared" ca="1" si="80"/>
        <v>100.2705007190156</v>
      </c>
      <c r="H274">
        <f t="shared" ca="1" si="81"/>
        <v>89.124864820781525</v>
      </c>
      <c r="I274">
        <f t="shared" ca="1" si="70"/>
        <v>91.305999999999997</v>
      </c>
      <c r="J274">
        <f t="shared" ca="1" si="71"/>
        <v>2.4374412813440238</v>
      </c>
      <c r="K274">
        <f t="shared" ca="1" si="72"/>
        <v>96.180882562688041</v>
      </c>
      <c r="L274">
        <f t="shared" ca="1" si="73"/>
        <v>86.431117437311954</v>
      </c>
      <c r="M274">
        <f t="shared" ca="1" si="82"/>
        <v>1.8800000000000097</v>
      </c>
      <c r="N274">
        <f t="shared" ca="1" si="83"/>
        <v>1.8800000000000097</v>
      </c>
      <c r="O274">
        <f t="shared" ca="1" si="84"/>
        <v>0</v>
      </c>
      <c r="P274">
        <f t="shared" ca="1" si="88"/>
        <v>0.65421802192033718</v>
      </c>
      <c r="Q274">
        <f t="shared" ca="1" si="89"/>
        <v>0.39663619492007701</v>
      </c>
      <c r="R274">
        <f t="shared" ca="1" si="86"/>
        <v>1.6494158382397839</v>
      </c>
      <c r="S274">
        <f t="shared" ca="1" si="87"/>
        <v>62.255830679098715</v>
      </c>
      <c r="T274">
        <f>70</f>
        <v>70</v>
      </c>
      <c r="U274">
        <f>30</f>
        <v>30</v>
      </c>
      <c r="V274">
        <f t="shared" ca="1" si="85"/>
        <v>92.890971884869145</v>
      </c>
      <c r="W274">
        <f t="shared" ca="1" si="75"/>
        <v>92.256488862636587</v>
      </c>
      <c r="X274">
        <f t="shared" ca="1" si="74"/>
        <v>0.74854635170726169</v>
      </c>
      <c r="Y274">
        <f t="shared" ca="1" si="76"/>
        <v>0.15311144169826729</v>
      </c>
      <c r="Z274">
        <f t="shared" ca="1" si="77"/>
        <v>0.5954349100089944</v>
      </c>
      <c r="AA274">
        <f t="shared" ca="1" si="78"/>
        <v>97.741799999999927</v>
      </c>
    </row>
    <row r="275" spans="1:27" x14ac:dyDescent="0.25">
      <c r="A275" vm="802">
        <f ca="1"/>
        <v>45692</v>
      </c>
      <c r="B275" vm="803">
        <f ca="1"/>
        <v>94.91</v>
      </c>
      <c r="C275" vm="804">
        <f ca="1"/>
        <v>2186451</v>
      </c>
      <c r="D275">
        <f t="shared" ca="1" si="79"/>
        <v>207516064.41</v>
      </c>
      <c r="E275">
        <f ca="1">SUM($D$2:D275)/SUM($C$2:C275)</f>
        <v>94.69854836397316</v>
      </c>
      <c r="F275">
        <f ca="1">_xlfn.STDEV.P($B$2:B275)</f>
        <v>5.5626508371344832</v>
      </c>
      <c r="G275">
        <f t="shared" ca="1" si="80"/>
        <v>100.26119920110764</v>
      </c>
      <c r="H275">
        <f t="shared" ca="1" si="81"/>
        <v>89.135897526838676</v>
      </c>
      <c r="I275">
        <f t="shared" ca="1" si="70"/>
        <v>91.589500000000015</v>
      </c>
      <c r="J275">
        <f t="shared" ca="1" si="71"/>
        <v>2.5130637100014614</v>
      </c>
      <c r="K275">
        <f t="shared" ca="1" si="72"/>
        <v>96.615627420002937</v>
      </c>
      <c r="L275">
        <f t="shared" ca="1" si="73"/>
        <v>86.563372579997093</v>
      </c>
      <c r="M275">
        <f t="shared" ca="1" si="82"/>
        <v>-0.71000000000000796</v>
      </c>
      <c r="N275">
        <f t="shared" ca="1" si="83"/>
        <v>0</v>
      </c>
      <c r="O275">
        <f t="shared" ca="1" si="84"/>
        <v>0.71000000000000796</v>
      </c>
      <c r="P275">
        <f t="shared" ca="1" si="88"/>
        <v>0.60748816321174171</v>
      </c>
      <c r="Q275">
        <f t="shared" ca="1" si="89"/>
        <v>0.41901932385435775</v>
      </c>
      <c r="R275">
        <f t="shared" ca="1" si="86"/>
        <v>1.4497855555293955</v>
      </c>
      <c r="S275">
        <f t="shared" ca="1" si="87"/>
        <v>59.180100570725202</v>
      </c>
      <c r="T275">
        <f>70</f>
        <v>70</v>
      </c>
      <c r="U275">
        <f>30</f>
        <v>30</v>
      </c>
      <c r="V275">
        <f t="shared" ca="1" si="85"/>
        <v>93.20159159488928</v>
      </c>
      <c r="W275">
        <f t="shared" ca="1" si="75"/>
        <v>92.453045243182018</v>
      </c>
      <c r="X275">
        <f t="shared" ca="1" si="74"/>
        <v>0.93149002748705811</v>
      </c>
      <c r="Y275">
        <f t="shared" ca="1" si="76"/>
        <v>0.30878715885602548</v>
      </c>
      <c r="Z275">
        <f t="shared" ca="1" si="77"/>
        <v>0.62270286863103264</v>
      </c>
      <c r="AA275">
        <f t="shared" ca="1" si="78"/>
        <v>97.641199999999941</v>
      </c>
    </row>
    <row r="276" spans="1:27" x14ac:dyDescent="0.25">
      <c r="A276" vm="805">
        <f ca="1"/>
        <v>45693</v>
      </c>
      <c r="B276" vm="806">
        <f ca="1"/>
        <v>96.19</v>
      </c>
      <c r="C276" vm="807">
        <f ca="1"/>
        <v>1874087</v>
      </c>
      <c r="D276">
        <f t="shared" ca="1" si="79"/>
        <v>180268428.53</v>
      </c>
      <c r="E276">
        <f ca="1">SUM($D$2:D276)/SUM($C$2:C276)</f>
        <v>94.703742020602434</v>
      </c>
      <c r="F276">
        <f ca="1">_xlfn.STDEV.P($B$2:B276)</f>
        <v>5.5532301688088355</v>
      </c>
      <c r="G276">
        <f t="shared" ca="1" si="80"/>
        <v>100.25697218941127</v>
      </c>
      <c r="H276">
        <f t="shared" ca="1" si="81"/>
        <v>89.150511851793595</v>
      </c>
      <c r="I276">
        <f t="shared" ca="1" si="70"/>
        <v>91.980500000000021</v>
      </c>
      <c r="J276">
        <f t="shared" ca="1" si="71"/>
        <v>2.5928656672533279</v>
      </c>
      <c r="K276">
        <f t="shared" ca="1" si="72"/>
        <v>97.166231334506676</v>
      </c>
      <c r="L276">
        <f t="shared" ca="1" si="73"/>
        <v>86.794768665493365</v>
      </c>
      <c r="M276">
        <f t="shared" ca="1" si="82"/>
        <v>1.2800000000000011</v>
      </c>
      <c r="N276">
        <f t="shared" ca="1" si="83"/>
        <v>1.2800000000000011</v>
      </c>
      <c r="O276">
        <f t="shared" ca="1" si="84"/>
        <v>0</v>
      </c>
      <c r="P276">
        <f t="shared" ca="1" si="88"/>
        <v>0.65552472298233166</v>
      </c>
      <c r="Q276">
        <f t="shared" ca="1" si="89"/>
        <v>0.38908937215047507</v>
      </c>
      <c r="R276">
        <f t="shared" ca="1" si="86"/>
        <v>1.6847664570206156</v>
      </c>
      <c r="S276">
        <f t="shared" ca="1" si="87"/>
        <v>62.752812357848924</v>
      </c>
      <c r="T276">
        <f>70</f>
        <v>70</v>
      </c>
      <c r="U276">
        <f>30</f>
        <v>30</v>
      </c>
      <c r="V276">
        <f t="shared" ca="1" si="85"/>
        <v>93.661346734137084</v>
      </c>
      <c r="W276">
        <f t="shared" ca="1" si="75"/>
        <v>92.729856706650025</v>
      </c>
      <c r="X276">
        <f t="shared" ca="1" si="74"/>
        <v>1.0027821948075655</v>
      </c>
      <c r="Y276">
        <f t="shared" ca="1" si="76"/>
        <v>0.4475861660463335</v>
      </c>
      <c r="Z276">
        <f t="shared" ca="1" si="77"/>
        <v>0.55519602876123197</v>
      </c>
      <c r="AA276">
        <f t="shared" ca="1" si="78"/>
        <v>97.564899999999938</v>
      </c>
    </row>
    <row r="277" spans="1:27" x14ac:dyDescent="0.25">
      <c r="A277" vm="808">
        <f ca="1"/>
        <v>45694</v>
      </c>
      <c r="B277" vm="809">
        <f ca="1"/>
        <v>95.42</v>
      </c>
      <c r="C277" vm="810">
        <f ca="1"/>
        <v>1587040</v>
      </c>
      <c r="D277">
        <f t="shared" ca="1" si="79"/>
        <v>151435356.80000001</v>
      </c>
      <c r="E277">
        <f ca="1">SUM($D$2:D277)/SUM($C$2:C277)</f>
        <v>94.705847993821052</v>
      </c>
      <c r="F277">
        <f ca="1">_xlfn.STDEV.P($B$2:B277)</f>
        <v>5.5433167878111931</v>
      </c>
      <c r="G277">
        <f t="shared" ca="1" si="80"/>
        <v>100.24916478163225</v>
      </c>
      <c r="H277">
        <f t="shared" ca="1" si="81"/>
        <v>89.162531206009859</v>
      </c>
      <c r="I277">
        <f t="shared" ca="1" si="70"/>
        <v>92.351500000000016</v>
      </c>
      <c r="J277">
        <f t="shared" ca="1" si="71"/>
        <v>2.5232503578561216</v>
      </c>
      <c r="K277">
        <f t="shared" ca="1" si="72"/>
        <v>97.398000715712257</v>
      </c>
      <c r="L277">
        <f t="shared" ca="1" si="73"/>
        <v>87.304999284287774</v>
      </c>
      <c r="M277">
        <f t="shared" ca="1" si="82"/>
        <v>-0.76999999999999602</v>
      </c>
      <c r="N277">
        <f t="shared" ca="1" si="83"/>
        <v>0</v>
      </c>
      <c r="O277">
        <f t="shared" ca="1" si="84"/>
        <v>0.76999999999999602</v>
      </c>
      <c r="P277">
        <f t="shared" ca="1" si="88"/>
        <v>0.60870152848359371</v>
      </c>
      <c r="Q277">
        <f t="shared" ca="1" si="89"/>
        <v>0.41629727413972656</v>
      </c>
      <c r="R277">
        <f t="shared" ca="1" si="86"/>
        <v>1.4621799523945198</v>
      </c>
      <c r="S277">
        <f t="shared" ca="1" si="87"/>
        <v>59.385584346607978</v>
      </c>
      <c r="T277">
        <f>70</f>
        <v>70</v>
      </c>
      <c r="U277">
        <f>30</f>
        <v>30</v>
      </c>
      <c r="V277">
        <f t="shared" ca="1" si="85"/>
        <v>93.931908775039076</v>
      </c>
      <c r="W277">
        <f t="shared" ca="1" si="75"/>
        <v>92.929126580231511</v>
      </c>
      <c r="X277">
        <f t="shared" ca="1" si="74"/>
        <v>1.0998597367845235</v>
      </c>
      <c r="Y277">
        <f t="shared" ca="1" si="76"/>
        <v>0.5780408801939716</v>
      </c>
      <c r="Z277">
        <f t="shared" ca="1" si="77"/>
        <v>0.52181885659055194</v>
      </c>
      <c r="AA277">
        <f t="shared" ca="1" si="78"/>
        <v>97.485199999999949</v>
      </c>
    </row>
    <row r="278" spans="1:27" x14ac:dyDescent="0.25">
      <c r="A278" vm="811">
        <f ca="1"/>
        <v>45695</v>
      </c>
      <c r="B278" vm="812">
        <f ca="1"/>
        <v>96.08</v>
      </c>
      <c r="C278" vm="813">
        <f ca="1"/>
        <v>1520031</v>
      </c>
      <c r="D278">
        <f t="shared" ca="1" si="79"/>
        <v>146044578.47999999</v>
      </c>
      <c r="E278">
        <f ca="1">SUM($D$2:D278)/SUM($C$2:C278)</f>
        <v>94.709706875139105</v>
      </c>
      <c r="F278">
        <f ca="1">_xlfn.STDEV.P($B$2:B278)</f>
        <v>5.5338936920592916</v>
      </c>
      <c r="G278">
        <f t="shared" ca="1" si="80"/>
        <v>100.2436005671984</v>
      </c>
      <c r="H278">
        <f t="shared" ca="1" si="81"/>
        <v>89.175813183079811</v>
      </c>
      <c r="I278">
        <f t="shared" ref="I278:I341" ca="1" si="90">AVERAGE(B259:B278)</f>
        <v>92.705000000000013</v>
      </c>
      <c r="J278">
        <f t="shared" ref="J278:J341" ca="1" si="91">_xlfn.STDEV.S(B259:B278)</f>
        <v>2.5257192826473882</v>
      </c>
      <c r="K278">
        <f t="shared" ref="K278:K341" ca="1" si="92">I278 + 2*J278</f>
        <v>97.756438565294786</v>
      </c>
      <c r="L278">
        <f t="shared" ref="L278:L341" ca="1" si="93">I278-2*J278</f>
        <v>87.653561434705239</v>
      </c>
      <c r="M278">
        <f t="shared" ca="1" si="82"/>
        <v>0.65999999999999659</v>
      </c>
      <c r="N278">
        <f t="shared" ca="1" si="83"/>
        <v>0.65999999999999659</v>
      </c>
      <c r="O278">
        <f t="shared" ca="1" si="84"/>
        <v>0</v>
      </c>
      <c r="P278">
        <f t="shared" ca="1" si="88"/>
        <v>0.6123657050204796</v>
      </c>
      <c r="Q278">
        <f t="shared" ca="1" si="89"/>
        <v>0.38656175455831754</v>
      </c>
      <c r="R278">
        <f t="shared" ca="1" si="86"/>
        <v>1.5841342238322669</v>
      </c>
      <c r="S278">
        <f t="shared" ca="1" si="87"/>
        <v>61.302319717858872</v>
      </c>
      <c r="T278">
        <f>70</f>
        <v>70</v>
      </c>
      <c r="U278">
        <f>30</f>
        <v>30</v>
      </c>
      <c r="V278">
        <f t="shared" ca="1" si="85"/>
        <v>94.26238434810999</v>
      </c>
      <c r="W278">
        <f t="shared" ca="1" si="75"/>
        <v>93.162524611325466</v>
      </c>
      <c r="X278">
        <f t="shared" ca="1" si="74"/>
        <v>1.2128423154070873</v>
      </c>
      <c r="Y278">
        <f t="shared" ca="1" si="76"/>
        <v>0.70500116723659478</v>
      </c>
      <c r="Z278">
        <f t="shared" ca="1" si="77"/>
        <v>0.50784114817049253</v>
      </c>
      <c r="AA278">
        <f t="shared" ca="1" si="78"/>
        <v>97.400399999999934</v>
      </c>
    </row>
    <row r="279" spans="1:27" x14ac:dyDescent="0.25">
      <c r="A279" vm="814">
        <f ca="1"/>
        <v>45698</v>
      </c>
      <c r="B279" vm="815">
        <f ca="1"/>
        <v>96.7</v>
      </c>
      <c r="C279" vm="816">
        <f ca="1"/>
        <v>1570620</v>
      </c>
      <c r="D279">
        <f t="shared" ca="1" si="79"/>
        <v>151878954</v>
      </c>
      <c r="E279">
        <f ca="1">SUM($D$2:D279)/SUM($C$2:C279)</f>
        <v>94.715465304184733</v>
      </c>
      <c r="F279">
        <f ca="1">_xlfn.STDEV.P($B$2:B279)</f>
        <v>5.5251837709115703</v>
      </c>
      <c r="G279">
        <f t="shared" ca="1" si="80"/>
        <v>100.2406490750963</v>
      </c>
      <c r="H279">
        <f t="shared" ca="1" si="81"/>
        <v>89.190281533273165</v>
      </c>
      <c r="I279">
        <f t="shared" ca="1" si="90"/>
        <v>93.132500000000007</v>
      </c>
      <c r="J279">
        <f t="shared" ca="1" si="91"/>
        <v>2.4361615083439854</v>
      </c>
      <c r="K279">
        <f t="shared" ca="1" si="92"/>
        <v>98.004823016687979</v>
      </c>
      <c r="L279">
        <f t="shared" ca="1" si="93"/>
        <v>88.260176983312036</v>
      </c>
      <c r="M279">
        <f t="shared" ca="1" si="82"/>
        <v>0.62000000000000455</v>
      </c>
      <c r="N279">
        <f t="shared" ca="1" si="83"/>
        <v>0.62000000000000455</v>
      </c>
      <c r="O279">
        <f t="shared" ca="1" si="84"/>
        <v>0</v>
      </c>
      <c r="P279">
        <f t="shared" ca="1" si="88"/>
        <v>0.61291101180473129</v>
      </c>
      <c r="Q279">
        <f t="shared" ca="1" si="89"/>
        <v>0.35895020066129485</v>
      </c>
      <c r="R279">
        <f t="shared" ca="1" si="86"/>
        <v>1.707509873725001</v>
      </c>
      <c r="S279">
        <f t="shared" ca="1" si="87"/>
        <v>63.065693325646244</v>
      </c>
      <c r="T279">
        <f>70</f>
        <v>70</v>
      </c>
      <c r="U279">
        <f>30</f>
        <v>30</v>
      </c>
      <c r="V279">
        <f t="shared" ca="1" si="85"/>
        <v>94.637402140708446</v>
      </c>
      <c r="W279">
        <f t="shared" ca="1" si="75"/>
        <v>93.424559825301358</v>
      </c>
      <c r="X279">
        <f t="shared" ca="1" si="74"/>
        <v>1.2564287537534682</v>
      </c>
      <c r="Y279">
        <f t="shared" ca="1" si="76"/>
        <v>0.81528668453996955</v>
      </c>
      <c r="Z279">
        <f t="shared" ca="1" si="77"/>
        <v>0.44114206921349863</v>
      </c>
      <c r="AA279">
        <f t="shared" ca="1" si="78"/>
        <v>97.318899999999957</v>
      </c>
    </row>
    <row r="280" spans="1:27" x14ac:dyDescent="0.25">
      <c r="A280" vm="817">
        <f ca="1"/>
        <v>45699</v>
      </c>
      <c r="B280" vm="818">
        <f ca="1"/>
        <v>96.31</v>
      </c>
      <c r="C280" vm="819">
        <f ca="1"/>
        <v>3162385</v>
      </c>
      <c r="D280">
        <f t="shared" ca="1" si="79"/>
        <v>304569299.35000002</v>
      </c>
      <c r="E280">
        <f ca="1">SUM($D$2:D280)/SUM($C$2:C280)</f>
        <v>94.724700411405138</v>
      </c>
      <c r="F280">
        <f ca="1">_xlfn.STDEV.P($B$2:B280)</f>
        <v>5.5160686794670308</v>
      </c>
      <c r="G280">
        <f t="shared" ca="1" si="80"/>
        <v>100.24076909087216</v>
      </c>
      <c r="H280">
        <f t="shared" ca="1" si="81"/>
        <v>89.208631731938112</v>
      </c>
      <c r="I280">
        <f t="shared" ca="1" si="90"/>
        <v>93.524500000000018</v>
      </c>
      <c r="J280">
        <f t="shared" ca="1" si="91"/>
        <v>2.2716455315591455</v>
      </c>
      <c r="K280">
        <f t="shared" ca="1" si="92"/>
        <v>98.067791063118307</v>
      </c>
      <c r="L280">
        <f t="shared" ca="1" si="93"/>
        <v>88.981208936881728</v>
      </c>
      <c r="M280">
        <f t="shared" ca="1" si="82"/>
        <v>-0.39000000000000057</v>
      </c>
      <c r="N280">
        <f t="shared" ca="1" si="83"/>
        <v>0</v>
      </c>
      <c r="O280">
        <f t="shared" ca="1" si="84"/>
        <v>0.39000000000000057</v>
      </c>
      <c r="P280">
        <f t="shared" ca="1" si="88"/>
        <v>0.56913165381867903</v>
      </c>
      <c r="Q280">
        <f t="shared" ca="1" si="89"/>
        <v>0.3611680434712024</v>
      </c>
      <c r="R280">
        <f t="shared" ca="1" si="86"/>
        <v>1.5758084473607603</v>
      </c>
      <c r="S280">
        <f t="shared" ca="1" si="87"/>
        <v>61.177237343692006</v>
      </c>
      <c r="T280">
        <f>70</f>
        <v>70</v>
      </c>
      <c r="U280">
        <f>30</f>
        <v>30</v>
      </c>
      <c r="V280">
        <f t="shared" ca="1" si="85"/>
        <v>94.894724888291762</v>
      </c>
      <c r="W280">
        <f t="shared" ca="1" si="75"/>
        <v>93.638296134538294</v>
      </c>
      <c r="X280">
        <f t="shared" ca="1" si="74"/>
        <v>1.1374559774863542</v>
      </c>
      <c r="Y280">
        <f t="shared" ca="1" si="76"/>
        <v>0.87972054312924652</v>
      </c>
      <c r="Z280">
        <f t="shared" ca="1" si="77"/>
        <v>0.25773543435710766</v>
      </c>
      <c r="AA280">
        <f t="shared" ca="1" si="78"/>
        <v>97.236599999999967</v>
      </c>
    </row>
    <row r="281" spans="1:27" x14ac:dyDescent="0.25">
      <c r="A281" vm="820">
        <f ca="1"/>
        <v>45700</v>
      </c>
      <c r="B281" vm="821">
        <f ca="1"/>
        <v>94.57</v>
      </c>
      <c r="C281" vm="822">
        <f ca="1"/>
        <v>3704165</v>
      </c>
      <c r="D281">
        <f t="shared" ca="1" si="79"/>
        <v>350302884.04999995</v>
      </c>
      <c r="E281">
        <f ca="1">SUM($D$2:D281)/SUM($C$2:C281)</f>
        <v>94.723658001018833</v>
      </c>
      <c r="F281">
        <f ca="1">_xlfn.STDEV.P($B$2:B281)</f>
        <v>5.5062199883358245</v>
      </c>
      <c r="G281">
        <f t="shared" ca="1" si="80"/>
        <v>100.22987798935466</v>
      </c>
      <c r="H281">
        <f t="shared" ca="1" si="81"/>
        <v>89.217438012683004</v>
      </c>
      <c r="I281">
        <f t="shared" ca="1" si="90"/>
        <v>93.784499999999994</v>
      </c>
      <c r="J281">
        <f t="shared" ca="1" si="91"/>
        <v>2.0587207959773166</v>
      </c>
      <c r="K281">
        <f t="shared" ca="1" si="92"/>
        <v>97.901941591954625</v>
      </c>
      <c r="L281">
        <f t="shared" ca="1" si="93"/>
        <v>89.667058408045364</v>
      </c>
      <c r="M281">
        <f t="shared" ca="1" si="82"/>
        <v>-1.7400000000000091</v>
      </c>
      <c r="N281">
        <f t="shared" ca="1" si="83"/>
        <v>0</v>
      </c>
      <c r="O281">
        <f t="shared" ca="1" si="84"/>
        <v>1.7400000000000091</v>
      </c>
      <c r="P281">
        <f t="shared" ca="1" si="88"/>
        <v>0.52847939283163048</v>
      </c>
      <c r="Q281">
        <f t="shared" ca="1" si="89"/>
        <v>0.45965604036611712</v>
      </c>
      <c r="R281">
        <f t="shared" ca="1" si="86"/>
        <v>1.1497279409418735</v>
      </c>
      <c r="S281">
        <f t="shared" ca="1" si="87"/>
        <v>53.482485808791971</v>
      </c>
      <c r="T281">
        <f>70</f>
        <v>70</v>
      </c>
      <c r="U281">
        <f>30</f>
        <v>30</v>
      </c>
      <c r="V281">
        <f t="shared" ca="1" si="85"/>
        <v>94.844767213169959</v>
      </c>
      <c r="W281">
        <f t="shared" ca="1" si="75"/>
        <v>93.707311235683605</v>
      </c>
      <c r="X281">
        <f t="shared" ca="1" si="74"/>
        <v>1.1182327940578602</v>
      </c>
      <c r="Y281">
        <f t="shared" ca="1" si="76"/>
        <v>0.92742299331496925</v>
      </c>
      <c r="Z281">
        <f t="shared" ca="1" si="77"/>
        <v>0.190809800742891</v>
      </c>
      <c r="AA281">
        <f t="shared" ca="1" si="78"/>
        <v>97.14819999999996</v>
      </c>
    </row>
    <row r="282" spans="1:27" x14ac:dyDescent="0.25">
      <c r="A282" vm="823">
        <f ca="1"/>
        <v>45701</v>
      </c>
      <c r="B282" vm="824">
        <f ca="1"/>
        <v>95.66</v>
      </c>
      <c r="C282" vm="825">
        <f ca="1"/>
        <v>1860296</v>
      </c>
      <c r="D282">
        <f t="shared" ca="1" si="79"/>
        <v>177955915.35999998</v>
      </c>
      <c r="E282">
        <f ca="1">SUM($D$2:D282)/SUM($C$2:C282)</f>
        <v>94.726815958605627</v>
      </c>
      <c r="F282">
        <f ca="1">_xlfn.STDEV.P($B$2:B282)</f>
        <v>5.4966823655177004</v>
      </c>
      <c r="G282">
        <f t="shared" ca="1" si="80"/>
        <v>100.22349832412333</v>
      </c>
      <c r="H282">
        <f t="shared" ca="1" si="81"/>
        <v>89.230133593087928</v>
      </c>
      <c r="I282">
        <f t="shared" ca="1" si="90"/>
        <v>94.056000000000012</v>
      </c>
      <c r="J282">
        <f t="shared" ca="1" si="91"/>
        <v>1.9185668993726606</v>
      </c>
      <c r="K282">
        <f t="shared" ca="1" si="92"/>
        <v>97.893133798745339</v>
      </c>
      <c r="L282">
        <f t="shared" ca="1" si="93"/>
        <v>90.218866201254684</v>
      </c>
      <c r="M282">
        <f t="shared" ca="1" si="82"/>
        <v>1.0900000000000034</v>
      </c>
      <c r="N282">
        <f t="shared" ca="1" si="83"/>
        <v>1.0900000000000034</v>
      </c>
      <c r="O282">
        <f t="shared" ca="1" si="84"/>
        <v>0</v>
      </c>
      <c r="P282">
        <f t="shared" ca="1" si="88"/>
        <v>0.56858800762937134</v>
      </c>
      <c r="Q282">
        <f t="shared" ca="1" si="89"/>
        <v>0.42682346605425164</v>
      </c>
      <c r="R282">
        <f t="shared" ca="1" si="86"/>
        <v>1.3321385838638511</v>
      </c>
      <c r="S282">
        <f t="shared" ca="1" si="87"/>
        <v>57.12090152278963</v>
      </c>
      <c r="T282">
        <f>70</f>
        <v>70</v>
      </c>
      <c r="U282">
        <f>30</f>
        <v>30</v>
      </c>
      <c r="V282">
        <f t="shared" ca="1" si="85"/>
        <v>94.970187641913043</v>
      </c>
      <c r="W282">
        <f t="shared" ca="1" si="75"/>
        <v>93.851954847855183</v>
      </c>
      <c r="X282">
        <f t="shared" ca="1" si="74"/>
        <v>1.0313971626645042</v>
      </c>
      <c r="Y282">
        <f t="shared" ca="1" si="76"/>
        <v>0.94821782718487624</v>
      </c>
      <c r="Z282">
        <f t="shared" ca="1" si="77"/>
        <v>8.3179335479627969E-2</v>
      </c>
      <c r="AA282">
        <f t="shared" ca="1" si="78"/>
        <v>97.083599999999976</v>
      </c>
    </row>
    <row r="283" spans="1:27" x14ac:dyDescent="0.25">
      <c r="A283" vm="826">
        <f ca="1"/>
        <v>45702</v>
      </c>
      <c r="B283" vm="827">
        <f ca="1"/>
        <v>94.92</v>
      </c>
      <c r="C283" vm="828">
        <f ca="1"/>
        <v>1948212</v>
      </c>
      <c r="D283">
        <f t="shared" ca="1" si="79"/>
        <v>184924283.03999999</v>
      </c>
      <c r="E283">
        <f ca="1">SUM($D$2:D283)/SUM($C$2:C283)</f>
        <v>94.727495891346123</v>
      </c>
      <c r="F283">
        <f ca="1">_xlfn.STDEV.P($B$2:B283)</f>
        <v>5.4869370551172336</v>
      </c>
      <c r="G283">
        <f t="shared" ca="1" si="80"/>
        <v>100.21443294646336</v>
      </c>
      <c r="H283">
        <f t="shared" ca="1" si="81"/>
        <v>89.240558836228885</v>
      </c>
      <c r="I283">
        <f t="shared" ca="1" si="90"/>
        <v>94.191000000000003</v>
      </c>
      <c r="J283">
        <f t="shared" ca="1" si="91"/>
        <v>1.8771223777507517</v>
      </c>
      <c r="K283">
        <f t="shared" ca="1" si="92"/>
        <v>97.945244755501506</v>
      </c>
      <c r="L283">
        <f t="shared" ca="1" si="93"/>
        <v>90.436755244498499</v>
      </c>
      <c r="M283">
        <f t="shared" ca="1" si="82"/>
        <v>-0.73999999999999488</v>
      </c>
      <c r="N283">
        <f t="shared" ca="1" si="83"/>
        <v>0</v>
      </c>
      <c r="O283">
        <f t="shared" ca="1" si="84"/>
        <v>0.73999999999999488</v>
      </c>
      <c r="P283">
        <f t="shared" ca="1" si="88"/>
        <v>0.52797457851298768</v>
      </c>
      <c r="Q283">
        <f t="shared" ca="1" si="89"/>
        <v>0.44919321847894761</v>
      </c>
      <c r="R283">
        <f t="shared" ca="1" si="86"/>
        <v>1.1753841260133189</v>
      </c>
      <c r="S283">
        <f t="shared" ca="1" si="87"/>
        <v>54.031107056360064</v>
      </c>
      <c r="T283">
        <f>70</f>
        <v>70</v>
      </c>
      <c r="U283">
        <f>30</f>
        <v>30</v>
      </c>
      <c r="V283">
        <f t="shared" ca="1" si="85"/>
        <v>94.962466466234119</v>
      </c>
      <c r="W283">
        <f t="shared" ca="1" si="75"/>
        <v>93.931069303569615</v>
      </c>
      <c r="X283">
        <f t="shared" ca="1" si="74"/>
        <v>1.0186182815139802</v>
      </c>
      <c r="Y283">
        <f t="shared" ca="1" si="76"/>
        <v>0.96229791805069698</v>
      </c>
      <c r="Z283">
        <f t="shared" ca="1" si="77"/>
        <v>5.6320363463283174E-2</v>
      </c>
      <c r="AA283">
        <f t="shared" ca="1" si="78"/>
        <v>96.999299999999963</v>
      </c>
    </row>
    <row r="284" spans="1:27" x14ac:dyDescent="0.25">
      <c r="A284" vm="829">
        <f ca="1"/>
        <v>45706</v>
      </c>
      <c r="B284" vm="830">
        <f ca="1"/>
        <v>95.76</v>
      </c>
      <c r="C284" vm="831">
        <f ca="1"/>
        <v>2568491</v>
      </c>
      <c r="D284">
        <f t="shared" ca="1" si="79"/>
        <v>245958698.16000003</v>
      </c>
      <c r="E284">
        <f ca="1">SUM($D$2:D284)/SUM($C$2:C284)</f>
        <v>94.732264786541293</v>
      </c>
      <c r="F284">
        <f ca="1">_xlfn.STDEV.P($B$2:B284)</f>
        <v>5.4775613155639871</v>
      </c>
      <c r="G284">
        <f t="shared" ca="1" si="80"/>
        <v>100.20982610210528</v>
      </c>
      <c r="H284">
        <f t="shared" ca="1" si="81"/>
        <v>89.254703470977304</v>
      </c>
      <c r="I284">
        <f t="shared" ca="1" si="90"/>
        <v>94.296500000000009</v>
      </c>
      <c r="J284">
        <f t="shared" ca="1" si="91"/>
        <v>1.9042149231859875</v>
      </c>
      <c r="K284">
        <f t="shared" ca="1" si="92"/>
        <v>98.104929846371988</v>
      </c>
      <c r="L284">
        <f t="shared" ca="1" si="93"/>
        <v>90.48807015362803</v>
      </c>
      <c r="M284">
        <f t="shared" ca="1" si="82"/>
        <v>0.84000000000000341</v>
      </c>
      <c r="N284">
        <f t="shared" ca="1" si="83"/>
        <v>0.84000000000000341</v>
      </c>
      <c r="O284">
        <f t="shared" ca="1" si="84"/>
        <v>0</v>
      </c>
      <c r="P284">
        <f t="shared" ca="1" si="88"/>
        <v>0.55026210861920311</v>
      </c>
      <c r="Q284">
        <f t="shared" ca="1" si="89"/>
        <v>0.41710798858759418</v>
      </c>
      <c r="R284">
        <f t="shared" ca="1" si="86"/>
        <v>1.3192317665324362</v>
      </c>
      <c r="S284">
        <f t="shared" ca="1" si="87"/>
        <v>56.882273930943313</v>
      </c>
      <c r="T284">
        <f>70</f>
        <v>70</v>
      </c>
      <c r="U284">
        <f>30</f>
        <v>30</v>
      </c>
      <c r="V284">
        <f t="shared" ca="1" si="85"/>
        <v>95.085163932967333</v>
      </c>
      <c r="W284">
        <f t="shared" ca="1" si="75"/>
        <v>94.066545651453353</v>
      </c>
      <c r="X284">
        <f t="shared" ref="X284:X347" ca="1" si="94">V285-W285</f>
        <v>0.95711211216227809</v>
      </c>
      <c r="Y284">
        <f t="shared" ca="1" si="76"/>
        <v>0.96126075687301327</v>
      </c>
      <c r="Z284">
        <f t="shared" ca="1" si="77"/>
        <v>-4.148644710735172E-3</v>
      </c>
      <c r="AA284">
        <f t="shared" ca="1" si="78"/>
        <v>96.916699999999963</v>
      </c>
    </row>
    <row r="285" spans="1:27" x14ac:dyDescent="0.25">
      <c r="A285" vm="832">
        <f ca="1"/>
        <v>45707</v>
      </c>
      <c r="B285" vm="833">
        <f ca="1"/>
        <v>95.26</v>
      </c>
      <c r="C285" vm="834">
        <f ca="1"/>
        <v>1857550</v>
      </c>
      <c r="D285">
        <f t="shared" ca="1" si="79"/>
        <v>176950213</v>
      </c>
      <c r="E285">
        <f ca="1">SUM($D$2:D285)/SUM($C$2:C285)</f>
        <v>94.734021723834175</v>
      </c>
      <c r="F285">
        <f ca="1">_xlfn.STDEV.P($B$2:B285)</f>
        <v>5.4679911041158009</v>
      </c>
      <c r="G285">
        <f t="shared" ca="1" si="80"/>
        <v>100.20201282794997</v>
      </c>
      <c r="H285">
        <f t="shared" ca="1" si="81"/>
        <v>89.266030619718379</v>
      </c>
      <c r="I285">
        <f t="shared" ca="1" si="90"/>
        <v>94.399000000000001</v>
      </c>
      <c r="J285">
        <f t="shared" ca="1" si="91"/>
        <v>1.8978156418699688</v>
      </c>
      <c r="K285">
        <f t="shared" ca="1" si="92"/>
        <v>98.194631283739938</v>
      </c>
      <c r="L285">
        <f t="shared" ca="1" si="93"/>
        <v>90.603368716260064</v>
      </c>
      <c r="M285">
        <f t="shared" ca="1" si="82"/>
        <v>-0.5</v>
      </c>
      <c r="N285">
        <f t="shared" ca="1" si="83"/>
        <v>0</v>
      </c>
      <c r="O285">
        <f t="shared" ca="1" si="84"/>
        <v>0.5</v>
      </c>
      <c r="P285">
        <f t="shared" ca="1" si="88"/>
        <v>0.51095767228926003</v>
      </c>
      <c r="Q285">
        <f t="shared" ca="1" si="89"/>
        <v>0.42302884654562317</v>
      </c>
      <c r="R285">
        <f t="shared" ca="1" si="86"/>
        <v>1.2078553896776725</v>
      </c>
      <c r="S285">
        <f t="shared" ca="1" si="87"/>
        <v>54.707178528300666</v>
      </c>
      <c r="T285">
        <f>70</f>
        <v>70</v>
      </c>
      <c r="U285">
        <f>30</f>
        <v>30</v>
      </c>
      <c r="V285">
        <f t="shared" ca="1" si="85"/>
        <v>95.112061789433895</v>
      </c>
      <c r="W285">
        <f t="shared" ref="W285:W348" ca="1" si="95">B285*(2/(26+1)) + W284*(1-(2/(26+1)))</f>
        <v>94.154949677271617</v>
      </c>
      <c r="X285">
        <f t="shared" ca="1" si="94"/>
        <v>0.93790229728944041</v>
      </c>
      <c r="Y285">
        <f t="shared" ca="1" si="76"/>
        <v>0.9565890649562987</v>
      </c>
      <c r="Z285">
        <f t="shared" ca="1" si="77"/>
        <v>-1.8686767666858284E-2</v>
      </c>
      <c r="AA285">
        <f t="shared" ca="1" si="78"/>
        <v>96.841099999999969</v>
      </c>
    </row>
    <row r="286" spans="1:27" x14ac:dyDescent="0.25">
      <c r="A286" vm="835">
        <f ca="1"/>
        <v>45708</v>
      </c>
      <c r="B286" vm="830">
        <f ca="1"/>
        <v>95.76</v>
      </c>
      <c r="C286" vm="836">
        <f ca="1"/>
        <v>2580181</v>
      </c>
      <c r="D286">
        <f t="shared" ca="1" si="79"/>
        <v>247078132.56</v>
      </c>
      <c r="E286">
        <f ca="1">SUM($D$2:D286)/SUM($C$2:C286)</f>
        <v>94.738744358129978</v>
      </c>
      <c r="F286">
        <f ca="1">_xlfn.STDEV.P($B$2:B286)</f>
        <v>5.4587121727941339</v>
      </c>
      <c r="G286">
        <f t="shared" ca="1" si="80"/>
        <v>100.19745653092411</v>
      </c>
      <c r="H286">
        <f t="shared" ca="1" si="81"/>
        <v>89.280032185335841</v>
      </c>
      <c r="I286">
        <f t="shared" ca="1" si="90"/>
        <v>94.648499999999999</v>
      </c>
      <c r="J286">
        <f t="shared" ca="1" si="91"/>
        <v>1.7147971339276029</v>
      </c>
      <c r="K286">
        <f t="shared" ca="1" si="92"/>
        <v>98.078094267855207</v>
      </c>
      <c r="L286">
        <f t="shared" ca="1" si="93"/>
        <v>91.21890573214479</v>
      </c>
      <c r="M286">
        <f t="shared" ca="1" si="82"/>
        <v>0.5</v>
      </c>
      <c r="N286">
        <f t="shared" ca="1" si="83"/>
        <v>0.5</v>
      </c>
      <c r="O286">
        <f t="shared" ca="1" si="84"/>
        <v>0</v>
      </c>
      <c r="P286">
        <f t="shared" ca="1" si="88"/>
        <v>0.51017498141145567</v>
      </c>
      <c r="Q286">
        <f t="shared" ca="1" si="89"/>
        <v>0.39281250036379295</v>
      </c>
      <c r="R286">
        <f t="shared" ca="1" si="86"/>
        <v>1.2987748122551359</v>
      </c>
      <c r="S286">
        <f t="shared" ca="1" si="87"/>
        <v>56.498566337649073</v>
      </c>
      <c r="T286">
        <f>70</f>
        <v>70</v>
      </c>
      <c r="U286">
        <f>30</f>
        <v>30</v>
      </c>
      <c r="V286">
        <f t="shared" ca="1" si="85"/>
        <v>95.211744591059457</v>
      </c>
      <c r="W286">
        <f t="shared" ca="1" si="95"/>
        <v>94.273842293770016</v>
      </c>
      <c r="X286">
        <f t="shared" ca="1" si="94"/>
        <v>1.1115937266934424</v>
      </c>
      <c r="Y286">
        <f t="shared" ca="1" si="76"/>
        <v>0.98758999730372743</v>
      </c>
      <c r="Z286">
        <f t="shared" ca="1" si="77"/>
        <v>0.12400372938971493</v>
      </c>
      <c r="AA286">
        <f t="shared" ca="1" si="78"/>
        <v>96.767099999999985</v>
      </c>
    </row>
    <row r="287" spans="1:27" x14ac:dyDescent="0.25">
      <c r="A287" vm="837">
        <f ca="1"/>
        <v>45709</v>
      </c>
      <c r="B287" vm="838">
        <f ca="1"/>
        <v>98.26</v>
      </c>
      <c r="C287" vm="839">
        <f ca="1"/>
        <v>4414893</v>
      </c>
      <c r="D287">
        <f t="shared" ca="1" si="79"/>
        <v>433807386.18000001</v>
      </c>
      <c r="E287">
        <f ca="1">SUM($D$2:D287)/SUM($C$2:C287)</f>
        <v>94.766261703293381</v>
      </c>
      <c r="F287">
        <f ca="1">_xlfn.STDEV.P($B$2:B287)</f>
        <v>5.453075391487201</v>
      </c>
      <c r="G287">
        <f t="shared" ca="1" si="80"/>
        <v>100.21933709478058</v>
      </c>
      <c r="H287">
        <f t="shared" ca="1" si="81"/>
        <v>89.313186311806177</v>
      </c>
      <c r="I287">
        <f t="shared" ca="1" si="90"/>
        <v>95.023499999999999</v>
      </c>
      <c r="J287">
        <f t="shared" ca="1" si="91"/>
        <v>1.6380356496345529</v>
      </c>
      <c r="K287">
        <f t="shared" ca="1" si="92"/>
        <v>98.299571299269104</v>
      </c>
      <c r="L287">
        <f t="shared" ca="1" si="93"/>
        <v>91.747428700730893</v>
      </c>
      <c r="M287">
        <f t="shared" ca="1" si="82"/>
        <v>2.5</v>
      </c>
      <c r="N287">
        <f t="shared" ca="1" si="83"/>
        <v>2.5</v>
      </c>
      <c r="O287">
        <f t="shared" ca="1" si="84"/>
        <v>0</v>
      </c>
      <c r="P287">
        <f t="shared" ca="1" si="88"/>
        <v>0.65230533988206596</v>
      </c>
      <c r="Q287">
        <f t="shared" ca="1" si="89"/>
        <v>0.36475446462352201</v>
      </c>
      <c r="R287">
        <f t="shared" ca="1" si="86"/>
        <v>1.7883409338260929</v>
      </c>
      <c r="S287">
        <f t="shared" ca="1" si="87"/>
        <v>64.136379885661086</v>
      </c>
      <c r="T287">
        <f>70</f>
        <v>70</v>
      </c>
      <c r="U287">
        <f>30</f>
        <v>30</v>
      </c>
      <c r="V287">
        <f t="shared" ca="1" si="85"/>
        <v>95.680706961665692</v>
      </c>
      <c r="W287">
        <f t="shared" ca="1" si="95"/>
        <v>94.569113234972249</v>
      </c>
      <c r="X287">
        <f t="shared" ca="1" si="94"/>
        <v>1.3482853739279932</v>
      </c>
      <c r="Y287">
        <f t="shared" ca="1" si="76"/>
        <v>1.0597290726285806</v>
      </c>
      <c r="Z287">
        <f t="shared" ca="1" si="77"/>
        <v>0.28855630129941257</v>
      </c>
      <c r="AA287">
        <f t="shared" ca="1" si="78"/>
        <v>96.718499999999992</v>
      </c>
    </row>
    <row r="288" spans="1:27" x14ac:dyDescent="0.25">
      <c r="A288" vm="840">
        <f ca="1"/>
        <v>45712</v>
      </c>
      <c r="B288" vm="841">
        <f ca="1"/>
        <v>99.68</v>
      </c>
      <c r="C288" vm="842">
        <f ca="1"/>
        <v>2943078</v>
      </c>
      <c r="D288">
        <f t="shared" ca="1" si="79"/>
        <v>293366015.04000002</v>
      </c>
      <c r="E288">
        <f ca="1">SUM($D$2:D288)/SUM($C$2:C288)</f>
        <v>94.791726841171737</v>
      </c>
      <c r="F288">
        <f ca="1">_xlfn.STDEV.P($B$2:B288)</f>
        <v>5.4512429010781922</v>
      </c>
      <c r="G288">
        <f t="shared" ca="1" si="80"/>
        <v>100.24296974224993</v>
      </c>
      <c r="H288">
        <f t="shared" ca="1" si="81"/>
        <v>89.340483940093549</v>
      </c>
      <c r="I288">
        <f t="shared" ca="1" si="90"/>
        <v>95.477500000000006</v>
      </c>
      <c r="J288">
        <f t="shared" ca="1" si="91"/>
        <v>1.6054737782447861</v>
      </c>
      <c r="K288">
        <f t="shared" ca="1" si="92"/>
        <v>98.688447556489578</v>
      </c>
      <c r="L288">
        <f t="shared" ca="1" si="93"/>
        <v>92.266552443510435</v>
      </c>
      <c r="M288">
        <f t="shared" ca="1" si="82"/>
        <v>1.4200000000000017</v>
      </c>
      <c r="N288">
        <f t="shared" ca="1" si="83"/>
        <v>1.4200000000000017</v>
      </c>
      <c r="O288">
        <f t="shared" ca="1" si="84"/>
        <v>0</v>
      </c>
      <c r="P288">
        <f t="shared" ca="1" si="88"/>
        <v>0.70714067274763281</v>
      </c>
      <c r="Q288">
        <f t="shared" ca="1" si="89"/>
        <v>0.33870057429327044</v>
      </c>
      <c r="R288">
        <f t="shared" ca="1" si="86"/>
        <v>2.0878047644978048</v>
      </c>
      <c r="S288">
        <f t="shared" ca="1" si="87"/>
        <v>67.614532774301281</v>
      </c>
      <c r="T288">
        <f>70</f>
        <v>70</v>
      </c>
      <c r="U288">
        <f>30</f>
        <v>30</v>
      </c>
      <c r="V288">
        <f t="shared" ca="1" si="85"/>
        <v>96.295982813717117</v>
      </c>
      <c r="W288">
        <f t="shared" ca="1" si="95"/>
        <v>94.947697439789124</v>
      </c>
      <c r="X288">
        <f t="shared" ca="1" si="94"/>
        <v>1.6212684551068861</v>
      </c>
      <c r="Y288">
        <f t="shared" ca="1" si="76"/>
        <v>1.1720369491242417</v>
      </c>
      <c r="Z288">
        <f t="shared" ca="1" si="77"/>
        <v>0.44923150598264439</v>
      </c>
      <c r="AA288">
        <f t="shared" ca="1" si="78"/>
        <v>96.674799999999991</v>
      </c>
    </row>
    <row r="289" spans="1:27" x14ac:dyDescent="0.25">
      <c r="A289" vm="843">
        <f ca="1"/>
        <v>45713</v>
      </c>
      <c r="B289" vm="844">
        <f ca="1"/>
        <v>100.97</v>
      </c>
      <c r="C289" vm="845">
        <f ca="1"/>
        <v>3481345</v>
      </c>
      <c r="D289">
        <f t="shared" ca="1" si="79"/>
        <v>351511404.64999998</v>
      </c>
      <c r="E289">
        <f ca="1">SUM($D$2:D289)/SUM($C$2:C289)</f>
        <v>94.829370531620015</v>
      </c>
      <c r="F289">
        <f ca="1">_xlfn.STDEV.P($B$2:B289)</f>
        <v>5.4539017523128495</v>
      </c>
      <c r="G289">
        <f t="shared" ca="1" si="80"/>
        <v>100.28327228393286</v>
      </c>
      <c r="H289">
        <f t="shared" ca="1" si="81"/>
        <v>89.37546877930717</v>
      </c>
      <c r="I289">
        <f t="shared" ca="1" si="90"/>
        <v>95.781500000000008</v>
      </c>
      <c r="J289">
        <f t="shared" ca="1" si="91"/>
        <v>2.0124278999833973</v>
      </c>
      <c r="K289">
        <f t="shared" ca="1" si="92"/>
        <v>99.806355799966809</v>
      </c>
      <c r="L289">
        <f t="shared" ca="1" si="93"/>
        <v>91.756644200033207</v>
      </c>
      <c r="M289">
        <f t="shared" ca="1" si="82"/>
        <v>1.289999999999992</v>
      </c>
      <c r="N289">
        <f t="shared" ca="1" si="83"/>
        <v>1.289999999999992</v>
      </c>
      <c r="O289">
        <f t="shared" ca="1" si="84"/>
        <v>0</v>
      </c>
      <c r="P289">
        <f t="shared" ca="1" si="88"/>
        <v>0.74877348183708714</v>
      </c>
      <c r="Q289">
        <f t="shared" ca="1" si="89"/>
        <v>0.31450767612946545</v>
      </c>
      <c r="R289">
        <f t="shared" ca="1" si="86"/>
        <v>2.3807796714279825</v>
      </c>
      <c r="S289">
        <f t="shared" ca="1" si="87"/>
        <v>70.421024225526736</v>
      </c>
      <c r="T289">
        <f>70</f>
        <v>70</v>
      </c>
      <c r="U289">
        <f>30</f>
        <v>30</v>
      </c>
      <c r="V289">
        <f t="shared" ca="1" si="85"/>
        <v>97.015062380837563</v>
      </c>
      <c r="W289">
        <f t="shared" ca="1" si="95"/>
        <v>95.393793925730677</v>
      </c>
      <c r="X289">
        <f t="shared" ca="1" si="94"/>
        <v>1.7360982941489738</v>
      </c>
      <c r="Y289">
        <f t="shared" ca="1" si="76"/>
        <v>1.2848492181291882</v>
      </c>
      <c r="Z289">
        <f t="shared" ca="1" si="77"/>
        <v>0.45124907601978559</v>
      </c>
      <c r="AA289">
        <f t="shared" ca="1" si="78"/>
        <v>96.643199999999979</v>
      </c>
    </row>
    <row r="290" spans="1:27" x14ac:dyDescent="0.25">
      <c r="A290" vm="846">
        <f ca="1"/>
        <v>45714</v>
      </c>
      <c r="B290" vm="847">
        <f ca="1"/>
        <v>99.96</v>
      </c>
      <c r="C290" vm="848">
        <f ca="1"/>
        <v>2072708</v>
      </c>
      <c r="D290">
        <f t="shared" ca="1" si="79"/>
        <v>207187891.67999998</v>
      </c>
      <c r="E290">
        <f ca="1">SUM($D$2:D290)/SUM($C$2:C290)</f>
        <v>94.847914992599456</v>
      </c>
      <c r="F290">
        <f ca="1">_xlfn.STDEV.P($B$2:B290)</f>
        <v>5.4528473328740628</v>
      </c>
      <c r="G290">
        <f t="shared" ca="1" si="80"/>
        <v>100.30076232547351</v>
      </c>
      <c r="H290">
        <f t="shared" ca="1" si="81"/>
        <v>89.395067659725399</v>
      </c>
      <c r="I290">
        <f t="shared" ca="1" si="90"/>
        <v>96.110000000000014</v>
      </c>
      <c r="J290">
        <f t="shared" ca="1" si="91"/>
        <v>2.1340571688687269</v>
      </c>
      <c r="K290">
        <f t="shared" ca="1" si="92"/>
        <v>100.37811433773747</v>
      </c>
      <c r="L290">
        <f t="shared" ca="1" si="93"/>
        <v>91.841885662262555</v>
      </c>
      <c r="M290">
        <f t="shared" ca="1" si="82"/>
        <v>-1.0100000000000051</v>
      </c>
      <c r="N290">
        <f t="shared" ca="1" si="83"/>
        <v>0</v>
      </c>
      <c r="O290">
        <f t="shared" ca="1" si="84"/>
        <v>1.0100000000000051</v>
      </c>
      <c r="P290">
        <f t="shared" ca="1" si="88"/>
        <v>0.6952896617058667</v>
      </c>
      <c r="Q290">
        <f t="shared" ca="1" si="89"/>
        <v>0.36418569926307542</v>
      </c>
      <c r="R290">
        <f t="shared" ca="1" si="86"/>
        <v>1.9091624495766182</v>
      </c>
      <c r="S290">
        <f t="shared" ca="1" si="87"/>
        <v>65.625845330654045</v>
      </c>
      <c r="T290">
        <f>70</f>
        <v>70</v>
      </c>
      <c r="U290">
        <f>30</f>
        <v>30</v>
      </c>
      <c r="V290">
        <f t="shared" ca="1" si="85"/>
        <v>97.468129706862555</v>
      </c>
      <c r="W290">
        <f t="shared" ca="1" si="95"/>
        <v>95.732031412713582</v>
      </c>
      <c r="X290">
        <f t="shared" ca="1" si="94"/>
        <v>1.8030892131232577</v>
      </c>
      <c r="Y290">
        <f t="shared" ca="1" si="76"/>
        <v>1.3884972171280021</v>
      </c>
      <c r="Z290">
        <f t="shared" ca="1" si="77"/>
        <v>0.41459199599525554</v>
      </c>
      <c r="AA290">
        <f t="shared" ca="1" si="78"/>
        <v>96.591299999999976</v>
      </c>
    </row>
    <row r="291" spans="1:27" x14ac:dyDescent="0.25">
      <c r="A291" vm="849">
        <f ca="1"/>
        <v>45715</v>
      </c>
      <c r="B291" vm="850">
        <f ca="1"/>
        <v>99.92</v>
      </c>
      <c r="C291" vm="851">
        <f ca="1"/>
        <v>3314096</v>
      </c>
      <c r="D291">
        <f t="shared" ca="1" si="79"/>
        <v>331144472.31999999</v>
      </c>
      <c r="E291">
        <f ca="1">SUM($D$2:D291)/SUM($C$2:C291)</f>
        <v>94.877059343132416</v>
      </c>
      <c r="F291">
        <f ca="1">_xlfn.STDEV.P($B$2:B291)</f>
        <v>5.4516134840130164</v>
      </c>
      <c r="G291">
        <f t="shared" ca="1" si="80"/>
        <v>100.32867282714543</v>
      </c>
      <c r="H291">
        <f t="shared" ca="1" si="81"/>
        <v>89.425445859119407</v>
      </c>
      <c r="I291">
        <f t="shared" ca="1" si="90"/>
        <v>96.47750000000002</v>
      </c>
      <c r="J291">
        <f t="shared" ca="1" si="91"/>
        <v>2.1252018479986421</v>
      </c>
      <c r="K291">
        <f t="shared" ca="1" si="92"/>
        <v>100.7279036959973</v>
      </c>
      <c r="L291">
        <f t="shared" ca="1" si="93"/>
        <v>92.227096304002742</v>
      </c>
      <c r="M291">
        <f t="shared" ca="1" si="82"/>
        <v>-3.9999999999992042E-2</v>
      </c>
      <c r="N291">
        <f t="shared" ca="1" si="83"/>
        <v>0</v>
      </c>
      <c r="O291">
        <f t="shared" ca="1" si="84"/>
        <v>3.9999999999992042E-2</v>
      </c>
      <c r="P291">
        <f t="shared" ca="1" si="88"/>
        <v>0.64562611444116202</v>
      </c>
      <c r="Q291">
        <f t="shared" ca="1" si="89"/>
        <v>0.34102957788714089</v>
      </c>
      <c r="R291">
        <f t="shared" ca="1" si="86"/>
        <v>1.893167503068673</v>
      </c>
      <c r="S291">
        <f t="shared" ca="1" si="87"/>
        <v>65.435806985273473</v>
      </c>
      <c r="T291">
        <f>70</f>
        <v>70</v>
      </c>
      <c r="U291">
        <f>30</f>
        <v>30</v>
      </c>
      <c r="V291">
        <f t="shared" ca="1" si="85"/>
        <v>97.845340521191389</v>
      </c>
      <c r="W291">
        <f t="shared" ca="1" si="95"/>
        <v>96.042251308068131</v>
      </c>
      <c r="X291">
        <f t="shared" ca="1" si="94"/>
        <v>1.9626622782669472</v>
      </c>
      <c r="Y291">
        <f t="shared" ca="1" si="76"/>
        <v>1.5033302293557913</v>
      </c>
      <c r="Z291">
        <f t="shared" ca="1" si="77"/>
        <v>0.45933204891115587</v>
      </c>
      <c r="AA291">
        <f t="shared" ca="1" si="78"/>
        <v>96.545999999999964</v>
      </c>
    </row>
    <row r="292" spans="1:27" x14ac:dyDescent="0.25">
      <c r="A292" vm="852">
        <f ca="1"/>
        <v>45716</v>
      </c>
      <c r="B292" vm="853">
        <f ca="1"/>
        <v>101.52</v>
      </c>
      <c r="C292" vm="854">
        <f ca="1"/>
        <v>5254613</v>
      </c>
      <c r="D292">
        <f t="shared" ca="1" si="79"/>
        <v>533448311.75999999</v>
      </c>
      <c r="E292">
        <f ca="1">SUM($D$2:D292)/SUM($C$2:C292)</f>
        <v>94.937033637292046</v>
      </c>
      <c r="F292">
        <f ca="1">_xlfn.STDEV.P($B$2:B292)</f>
        <v>5.4562337117175783</v>
      </c>
      <c r="G292">
        <f t="shared" ca="1" si="80"/>
        <v>100.39326734900962</v>
      </c>
      <c r="H292">
        <f t="shared" ca="1" si="81"/>
        <v>89.480799925574473</v>
      </c>
      <c r="I292">
        <f t="shared" ca="1" si="90"/>
        <v>96.860500000000002</v>
      </c>
      <c r="J292">
        <f t="shared" ca="1" si="91"/>
        <v>2.3107858654123437</v>
      </c>
      <c r="K292">
        <f t="shared" ca="1" si="92"/>
        <v>101.48207173082469</v>
      </c>
      <c r="L292">
        <f t="shared" ca="1" si="93"/>
        <v>92.238928269175318</v>
      </c>
      <c r="M292">
        <f t="shared" ca="1" si="82"/>
        <v>1.5999999999999943</v>
      </c>
      <c r="N292">
        <f t="shared" ca="1" si="83"/>
        <v>1.5999999999999943</v>
      </c>
      <c r="O292">
        <f t="shared" ca="1" si="84"/>
        <v>0</v>
      </c>
      <c r="P292">
        <f t="shared" ca="1" si="88"/>
        <v>0.71379567769536434</v>
      </c>
      <c r="Q292">
        <f t="shared" ca="1" si="89"/>
        <v>0.31667032232377368</v>
      </c>
      <c r="R292">
        <f t="shared" ca="1" si="86"/>
        <v>2.254065592435142</v>
      </c>
      <c r="S292">
        <f t="shared" ca="1" si="87"/>
        <v>69.269211956736811</v>
      </c>
      <c r="T292">
        <f>70</f>
        <v>70</v>
      </c>
      <c r="U292">
        <f>30</f>
        <v>30</v>
      </c>
      <c r="V292">
        <f t="shared" ca="1" si="85"/>
        <v>98.410672748700392</v>
      </c>
      <c r="W292">
        <f t="shared" ca="1" si="95"/>
        <v>96.448010470433445</v>
      </c>
      <c r="X292">
        <f t="shared" ca="1" si="94"/>
        <v>2.2647475882425709</v>
      </c>
      <c r="Y292">
        <f t="shared" ca="1" si="76"/>
        <v>1.6556137011331473</v>
      </c>
      <c r="Z292">
        <f t="shared" ca="1" si="77"/>
        <v>0.60913388710942362</v>
      </c>
      <c r="AA292">
        <f t="shared" ca="1" si="78"/>
        <v>96.520999999999972</v>
      </c>
    </row>
    <row r="293" spans="1:27" x14ac:dyDescent="0.25">
      <c r="A293" vm="855">
        <f ca="1"/>
        <v>45719</v>
      </c>
      <c r="B293" vm="536">
        <f ca="1"/>
        <v>104.02</v>
      </c>
      <c r="C293" vm="856">
        <f ca="1"/>
        <v>3555914</v>
      </c>
      <c r="D293">
        <f t="shared" ca="1" si="79"/>
        <v>369886174.27999997</v>
      </c>
      <c r="E293">
        <f ca="1">SUM($D$2:D293)/SUM($C$2:C293)</f>
        <v>94.992190262200637</v>
      </c>
      <c r="F293">
        <f ca="1">_xlfn.STDEV.P($B$2:B293)</f>
        <v>5.4730540772618692</v>
      </c>
      <c r="G293">
        <f t="shared" ca="1" si="80"/>
        <v>100.4652443394625</v>
      </c>
      <c r="H293">
        <f t="shared" ca="1" si="81"/>
        <v>89.519136184938773</v>
      </c>
      <c r="I293">
        <f t="shared" ca="1" si="90"/>
        <v>97.374499999999998</v>
      </c>
      <c r="J293">
        <f t="shared" ca="1" si="91"/>
        <v>2.6920144580044991</v>
      </c>
      <c r="K293">
        <f t="shared" ca="1" si="92"/>
        <v>102.758528916009</v>
      </c>
      <c r="L293">
        <f t="shared" ca="1" si="93"/>
        <v>91.990471083990997</v>
      </c>
      <c r="M293">
        <f t="shared" ca="1" si="82"/>
        <v>2.5</v>
      </c>
      <c r="N293">
        <f t="shared" ca="1" si="83"/>
        <v>2.5</v>
      </c>
      <c r="O293">
        <f t="shared" ca="1" si="84"/>
        <v>0</v>
      </c>
      <c r="P293">
        <f t="shared" ca="1" si="88"/>
        <v>0.84138170071712393</v>
      </c>
      <c r="Q293">
        <f t="shared" ca="1" si="89"/>
        <v>0.29405101358636127</v>
      </c>
      <c r="R293">
        <f t="shared" ca="1" si="86"/>
        <v>2.8613460312729528</v>
      </c>
      <c r="S293">
        <f t="shared" ca="1" si="87"/>
        <v>74.10229510898472</v>
      </c>
      <c r="T293">
        <f>70</f>
        <v>70</v>
      </c>
      <c r="U293">
        <f>30</f>
        <v>30</v>
      </c>
      <c r="V293">
        <f t="shared" ca="1" si="85"/>
        <v>99.273646171977248</v>
      </c>
      <c r="W293">
        <f t="shared" ca="1" si="95"/>
        <v>97.008898583734677</v>
      </c>
      <c r="X293">
        <f t="shared" ca="1" si="94"/>
        <v>2.3264412346537853</v>
      </c>
      <c r="Y293">
        <f t="shared" ca="1" si="76"/>
        <v>1.789779207837275</v>
      </c>
      <c r="Z293">
        <f t="shared" ca="1" si="77"/>
        <v>0.53666202681651032</v>
      </c>
      <c r="AA293">
        <f t="shared" ca="1" si="78"/>
        <v>96.529699999999963</v>
      </c>
    </row>
    <row r="294" spans="1:27" x14ac:dyDescent="0.25">
      <c r="A294" vm="857">
        <f ca="1"/>
        <v>45720</v>
      </c>
      <c r="B294" vm="858">
        <f ca="1"/>
        <v>102.15</v>
      </c>
      <c r="C294" vm="859">
        <f ca="1"/>
        <v>3592034</v>
      </c>
      <c r="D294">
        <f t="shared" ca="1" si="79"/>
        <v>366926273.10000002</v>
      </c>
      <c r="E294">
        <f ca="1">SUM($D$2:D294)/SUM($C$2:C294)</f>
        <v>95.035830127200271</v>
      </c>
      <c r="F294">
        <f ca="1">_xlfn.STDEV.P($B$2:B294)</f>
        <v>5.4800403888366427</v>
      </c>
      <c r="G294">
        <f t="shared" ca="1" si="80"/>
        <v>100.51587051603691</v>
      </c>
      <c r="H294">
        <f t="shared" ca="1" si="81"/>
        <v>89.555789738363629</v>
      </c>
      <c r="I294">
        <f t="shared" ca="1" si="90"/>
        <v>97.700999999999993</v>
      </c>
      <c r="J294">
        <f t="shared" ca="1" si="91"/>
        <v>2.8588457368959976</v>
      </c>
      <c r="K294">
        <f t="shared" ca="1" si="92"/>
        <v>103.41869147379199</v>
      </c>
      <c r="L294">
        <f t="shared" ca="1" si="93"/>
        <v>91.983308526207992</v>
      </c>
      <c r="M294">
        <f t="shared" ca="1" si="82"/>
        <v>-1.8699999999999903</v>
      </c>
      <c r="N294">
        <f t="shared" ca="1" si="83"/>
        <v>0</v>
      </c>
      <c r="O294">
        <f t="shared" ca="1" si="84"/>
        <v>1.8699999999999903</v>
      </c>
      <c r="P294">
        <f t="shared" ca="1" si="88"/>
        <v>0.78128300780875792</v>
      </c>
      <c r="Q294">
        <f t="shared" ca="1" si="89"/>
        <v>0.40661879833019193</v>
      </c>
      <c r="R294">
        <f t="shared" ca="1" si="86"/>
        <v>1.9214138918740362</v>
      </c>
      <c r="S294">
        <f t="shared" ca="1" si="87"/>
        <v>65.769999150701736</v>
      </c>
      <c r="T294">
        <f>70</f>
        <v>70</v>
      </c>
      <c r="U294">
        <f>30</f>
        <v>30</v>
      </c>
      <c r="V294">
        <f t="shared" ca="1" si="85"/>
        <v>99.71616214551922</v>
      </c>
      <c r="W294">
        <f t="shared" ca="1" si="95"/>
        <v>97.389720910865435</v>
      </c>
      <c r="X294">
        <f t="shared" ca="1" si="94"/>
        <v>2.1927090062334429</v>
      </c>
      <c r="Y294">
        <f t="shared" ref="Y294:Y357" ca="1" si="96">X294*(2/(9+1)) + Y293*(1-(2/(9+1)))</f>
        <v>1.8703651675165087</v>
      </c>
      <c r="Z294">
        <f t="shared" ref="Z294:Z357" ca="1" si="97">X294-Y294</f>
        <v>0.32234383871693417</v>
      </c>
      <c r="AA294">
        <f t="shared" ref="AA294:AA357" ca="1" si="98">AVERAGE(B195:B294)</f>
        <v>96.539799999999957</v>
      </c>
    </row>
    <row r="295" spans="1:27" x14ac:dyDescent="0.25">
      <c r="A295" vm="860">
        <f ca="1"/>
        <v>45721</v>
      </c>
      <c r="B295" vm="861">
        <f ca="1"/>
        <v>100.2</v>
      </c>
      <c r="C295" vm="862">
        <f ca="1"/>
        <v>5509676</v>
      </c>
      <c r="D295">
        <f t="shared" ca="1" si="79"/>
        <v>552069535.20000005</v>
      </c>
      <c r="E295">
        <f ca="1">SUM($D$2:D295)/SUM($C$2:C295)</f>
        <v>95.083676264997735</v>
      </c>
      <c r="F295">
        <f ca="1">_xlfn.STDEV.P($B$2:B295)</f>
        <v>5.4793256543826532</v>
      </c>
      <c r="G295">
        <f t="shared" ca="1" si="80"/>
        <v>100.56300191938038</v>
      </c>
      <c r="H295">
        <f t="shared" ca="1" si="81"/>
        <v>89.604350610615086</v>
      </c>
      <c r="I295">
        <f t="shared" ca="1" si="90"/>
        <v>97.965500000000006</v>
      </c>
      <c r="J295">
        <f t="shared" ca="1" si="91"/>
        <v>2.8316174938679386</v>
      </c>
      <c r="K295">
        <f t="shared" ca="1" si="92"/>
        <v>103.62873498773588</v>
      </c>
      <c r="L295">
        <f t="shared" ca="1" si="93"/>
        <v>92.302265012264129</v>
      </c>
      <c r="M295">
        <f t="shared" ca="1" si="82"/>
        <v>-1.9500000000000028</v>
      </c>
      <c r="N295">
        <f t="shared" ca="1" si="83"/>
        <v>0</v>
      </c>
      <c r="O295">
        <f t="shared" ca="1" si="84"/>
        <v>1.9500000000000028</v>
      </c>
      <c r="P295">
        <f t="shared" ca="1" si="88"/>
        <v>0.72547707867956102</v>
      </c>
      <c r="Q295">
        <f t="shared" ca="1" si="89"/>
        <v>0.51686031273517841</v>
      </c>
      <c r="R295">
        <f t="shared" ca="1" si="86"/>
        <v>1.4036231082251245</v>
      </c>
      <c r="S295">
        <f t="shared" ca="1" si="87"/>
        <v>58.396139703515466</v>
      </c>
      <c r="T295">
        <f>70</f>
        <v>70</v>
      </c>
      <c r="U295">
        <f>30</f>
        <v>30</v>
      </c>
      <c r="V295">
        <f t="shared" ca="1" si="85"/>
        <v>99.790598738516252</v>
      </c>
      <c r="W295">
        <f t="shared" ca="1" si="95"/>
        <v>97.597889732282809</v>
      </c>
      <c r="X295">
        <f t="shared" ca="1" si="94"/>
        <v>2.1195830836108627</v>
      </c>
      <c r="Y295">
        <f t="shared" ca="1" si="96"/>
        <v>1.9202087507353798</v>
      </c>
      <c r="Z295">
        <f t="shared" ca="1" si="97"/>
        <v>0.1993743328754829</v>
      </c>
      <c r="AA295">
        <f t="shared" ca="1" si="98"/>
        <v>96.520699999999977</v>
      </c>
    </row>
    <row r="296" spans="1:27" x14ac:dyDescent="0.25">
      <c r="A296" vm="863">
        <f ca="1"/>
        <v>45722</v>
      </c>
      <c r="B296" vm="864">
        <f ca="1"/>
        <v>100.91</v>
      </c>
      <c r="C296" vm="865">
        <f ca="1"/>
        <v>4345916</v>
      </c>
      <c r="D296">
        <f t="shared" ca="1" si="79"/>
        <v>438546383.56</v>
      </c>
      <c r="E296">
        <f ca="1">SUM($D$2:D296)/SUM($C$2:C296)</f>
        <v>95.125946429771957</v>
      </c>
      <c r="F296">
        <f ca="1">_xlfn.STDEV.P($B$2:B296)</f>
        <v>5.4810139088077072</v>
      </c>
      <c r="G296">
        <f t="shared" ca="1" si="80"/>
        <v>100.60696033857967</v>
      </c>
      <c r="H296">
        <f t="shared" ca="1" si="81"/>
        <v>89.644932520964247</v>
      </c>
      <c r="I296">
        <f t="shared" ca="1" si="90"/>
        <v>98.201500000000024</v>
      </c>
      <c r="J296">
        <f t="shared" ca="1" si="91"/>
        <v>2.872252508691429</v>
      </c>
      <c r="K296">
        <f t="shared" ca="1" si="92"/>
        <v>103.94600501738289</v>
      </c>
      <c r="L296">
        <f t="shared" ca="1" si="93"/>
        <v>92.456994982617161</v>
      </c>
      <c r="M296">
        <f t="shared" ca="1" si="82"/>
        <v>0.70999999999999375</v>
      </c>
      <c r="N296">
        <f t="shared" ca="1" si="83"/>
        <v>0.70999999999999375</v>
      </c>
      <c r="O296">
        <f t="shared" ca="1" si="84"/>
        <v>0</v>
      </c>
      <c r="P296">
        <f t="shared" ca="1" si="88"/>
        <v>0.72437157305959199</v>
      </c>
      <c r="Q296">
        <f t="shared" ca="1" si="89"/>
        <v>0.47994171896837995</v>
      </c>
      <c r="R296">
        <f t="shared" ca="1" si="86"/>
        <v>1.5092907001637752</v>
      </c>
      <c r="S296">
        <f t="shared" ca="1" si="87"/>
        <v>60.148100818500922</v>
      </c>
      <c r="T296">
        <f>70</f>
        <v>70</v>
      </c>
      <c r="U296">
        <f>30</f>
        <v>30</v>
      </c>
      <c r="V296">
        <f t="shared" ca="1" si="85"/>
        <v>99.962814317206067</v>
      </c>
      <c r="W296">
        <f t="shared" ca="1" si="95"/>
        <v>97.843231233595205</v>
      </c>
      <c r="X296">
        <f t="shared" ca="1" si="94"/>
        <v>2.2559136788939043</v>
      </c>
      <c r="Y296">
        <f t="shared" ca="1" si="96"/>
        <v>1.9873497363670847</v>
      </c>
      <c r="Z296">
        <f t="shared" ca="1" si="97"/>
        <v>0.26856394252681959</v>
      </c>
      <c r="AA296">
        <f t="shared" ca="1" si="98"/>
        <v>96.506099999999975</v>
      </c>
    </row>
    <row r="297" spans="1:27" x14ac:dyDescent="0.25">
      <c r="A297" vm="866">
        <f ca="1"/>
        <v>45723</v>
      </c>
      <c r="B297" vm="867">
        <f ca="1"/>
        <v>103.64</v>
      </c>
      <c r="C297" vm="868">
        <f ca="1"/>
        <v>2865771</v>
      </c>
      <c r="D297">
        <f t="shared" ca="1" si="79"/>
        <v>297008506.44</v>
      </c>
      <c r="E297">
        <f ca="1">SUM($D$2:D297)/SUM($C$2:C297)</f>
        <v>95.166484503884334</v>
      </c>
      <c r="F297">
        <f ca="1">_xlfn.STDEV.P($B$2:B297)</f>
        <v>5.494860783341589</v>
      </c>
      <c r="G297">
        <f t="shared" ca="1" si="80"/>
        <v>100.66134528722593</v>
      </c>
      <c r="H297">
        <f t="shared" ca="1" si="81"/>
        <v>89.67162372054274</v>
      </c>
      <c r="I297">
        <f t="shared" ca="1" si="90"/>
        <v>98.612500000000026</v>
      </c>
      <c r="J297">
        <f t="shared" ca="1" si="91"/>
        <v>3.0366963957564139</v>
      </c>
      <c r="K297">
        <f t="shared" ca="1" si="92"/>
        <v>104.68589279151286</v>
      </c>
      <c r="L297">
        <f t="shared" ca="1" si="93"/>
        <v>92.539107208487195</v>
      </c>
      <c r="M297">
        <f t="shared" ca="1" si="82"/>
        <v>2.730000000000004</v>
      </c>
      <c r="N297">
        <f t="shared" ca="1" si="83"/>
        <v>2.730000000000004</v>
      </c>
      <c r="O297">
        <f t="shared" ca="1" si="84"/>
        <v>0</v>
      </c>
      <c r="P297">
        <f t="shared" ca="1" si="88"/>
        <v>0.86763074641247862</v>
      </c>
      <c r="Q297">
        <f t="shared" ca="1" si="89"/>
        <v>0.44566016761349569</v>
      </c>
      <c r="R297">
        <f t="shared" ca="1" si="86"/>
        <v>1.9468438273463609</v>
      </c>
      <c r="S297">
        <f t="shared" ca="1" si="87"/>
        <v>66.065388646655833</v>
      </c>
      <c r="T297">
        <f>70</f>
        <v>70</v>
      </c>
      <c r="U297">
        <f>30</f>
        <v>30</v>
      </c>
      <c r="V297">
        <f t="shared" ca="1" si="85"/>
        <v>100.52853519148206</v>
      </c>
      <c r="W297">
        <f t="shared" ca="1" si="95"/>
        <v>98.272621512588159</v>
      </c>
      <c r="X297">
        <f t="shared" ca="1" si="94"/>
        <v>2.5779286617635933</v>
      </c>
      <c r="Y297">
        <f t="shared" ca="1" si="96"/>
        <v>2.1054655214463862</v>
      </c>
      <c r="Z297">
        <f t="shared" ca="1" si="97"/>
        <v>0.47246314031720704</v>
      </c>
      <c r="AA297">
        <f t="shared" ca="1" si="98"/>
        <v>96.526699999999963</v>
      </c>
    </row>
    <row r="298" spans="1:27" x14ac:dyDescent="0.25">
      <c r="A298" vm="869">
        <f ca="1"/>
        <v>45726</v>
      </c>
      <c r="B298" vm="870">
        <f ca="1"/>
        <v>106.66</v>
      </c>
      <c r="C298" vm="871">
        <f ca="1"/>
        <v>3471894</v>
      </c>
      <c r="D298">
        <f t="shared" ca="1" si="79"/>
        <v>370312214.03999996</v>
      </c>
      <c r="E298">
        <f ca="1">SUM($D$2:D298)/SUM($C$2:C298)</f>
        <v>95.23240289939686</v>
      </c>
      <c r="F298">
        <f ca="1">_xlfn.STDEV.P($B$2:B298)</f>
        <v>5.5270806972700166</v>
      </c>
      <c r="G298">
        <f t="shared" ca="1" si="80"/>
        <v>100.75948359666688</v>
      </c>
      <c r="H298">
        <f t="shared" ca="1" si="81"/>
        <v>89.705322202126837</v>
      </c>
      <c r="I298">
        <f t="shared" ca="1" si="90"/>
        <v>99.141500000000036</v>
      </c>
      <c r="J298">
        <f t="shared" ca="1" si="91"/>
        <v>3.4638042290005502</v>
      </c>
      <c r="K298">
        <f t="shared" ca="1" si="92"/>
        <v>106.06910845800114</v>
      </c>
      <c r="L298">
        <f t="shared" ca="1" si="93"/>
        <v>92.213891541998933</v>
      </c>
      <c r="M298">
        <f t="shared" ca="1" si="82"/>
        <v>3.019999999999996</v>
      </c>
      <c r="N298">
        <f t="shared" ca="1" si="83"/>
        <v>3.019999999999996</v>
      </c>
      <c r="O298">
        <f t="shared" ca="1" si="84"/>
        <v>0</v>
      </c>
      <c r="P298">
        <f t="shared" ca="1" si="88"/>
        <v>1.0213714073830156</v>
      </c>
      <c r="Q298">
        <f t="shared" ca="1" si="89"/>
        <v>0.41382729849824601</v>
      </c>
      <c r="R298">
        <f t="shared" ca="1" si="86"/>
        <v>2.4681102747196961</v>
      </c>
      <c r="S298">
        <f t="shared" ca="1" si="87"/>
        <v>71.165853424864835</v>
      </c>
      <c r="T298">
        <f>70</f>
        <v>70</v>
      </c>
      <c r="U298">
        <f>30</f>
        <v>30</v>
      </c>
      <c r="V298">
        <f t="shared" ca="1" si="85"/>
        <v>101.4718374697156</v>
      </c>
      <c r="W298">
        <f t="shared" ca="1" si="95"/>
        <v>98.893908807952002</v>
      </c>
      <c r="X298">
        <f t="shared" ca="1" si="94"/>
        <v>2.5703001878094938</v>
      </c>
      <c r="Y298">
        <f t="shared" ca="1" si="96"/>
        <v>2.1984324547190077</v>
      </c>
      <c r="Z298">
        <f t="shared" ca="1" si="97"/>
        <v>0.37186773309048604</v>
      </c>
      <c r="AA298">
        <f t="shared" ca="1" si="98"/>
        <v>96.570099999999968</v>
      </c>
    </row>
    <row r="299" spans="1:27" x14ac:dyDescent="0.25">
      <c r="A299" vm="872">
        <f ca="1"/>
        <v>45727</v>
      </c>
      <c r="B299" vm="873">
        <f ca="1"/>
        <v>103.77</v>
      </c>
      <c r="C299" vm="874">
        <f ca="1"/>
        <v>2731268</v>
      </c>
      <c r="D299">
        <f t="shared" ca="1" si="79"/>
        <v>283423680.36000001</v>
      </c>
      <c r="E299">
        <f ca="1">SUM($D$2:D299)/SUM($C$2:C299)</f>
        <v>95.270749971205774</v>
      </c>
      <c r="F299">
        <f ca="1">_xlfn.STDEV.P($B$2:B299)</f>
        <v>5.540890079415755</v>
      </c>
      <c r="G299">
        <f t="shared" ca="1" si="80"/>
        <v>100.81164005062153</v>
      </c>
      <c r="H299">
        <f t="shared" ca="1" si="81"/>
        <v>89.729859891790014</v>
      </c>
      <c r="I299">
        <f t="shared" ca="1" si="90"/>
        <v>99.495000000000033</v>
      </c>
      <c r="J299">
        <f t="shared" ca="1" si="91"/>
        <v>3.5609261066248052</v>
      </c>
      <c r="K299">
        <f t="shared" ca="1" si="92"/>
        <v>106.61685221324964</v>
      </c>
      <c r="L299">
        <f t="shared" ca="1" si="93"/>
        <v>92.373147786750422</v>
      </c>
      <c r="M299">
        <f t="shared" ca="1" si="82"/>
        <v>-2.8900000000000006</v>
      </c>
      <c r="N299">
        <f t="shared" ca="1" si="83"/>
        <v>0</v>
      </c>
      <c r="O299">
        <f t="shared" ca="1" si="84"/>
        <v>2.8900000000000006</v>
      </c>
      <c r="P299">
        <f t="shared" ca="1" si="88"/>
        <v>0.94841630685565725</v>
      </c>
      <c r="Q299">
        <f t="shared" ca="1" si="89"/>
        <v>0.59069677717694269</v>
      </c>
      <c r="R299">
        <f t="shared" ca="1" si="86"/>
        <v>1.605589100025782</v>
      </c>
      <c r="S299">
        <f t="shared" ca="1" si="87"/>
        <v>61.62096318294757</v>
      </c>
      <c r="T299">
        <f>70</f>
        <v>70</v>
      </c>
      <c r="U299">
        <f>30</f>
        <v>30</v>
      </c>
      <c r="V299">
        <f t="shared" ca="1" si="85"/>
        <v>101.82540093591319</v>
      </c>
      <c r="W299">
        <f t="shared" ca="1" si="95"/>
        <v>99.2551007481037</v>
      </c>
      <c r="X299">
        <f t="shared" ca="1" si="94"/>
        <v>2.4448898428276777</v>
      </c>
      <c r="Y299">
        <f t="shared" ca="1" si="96"/>
        <v>2.2477239323407421</v>
      </c>
      <c r="Z299">
        <f t="shared" ca="1" si="97"/>
        <v>0.19716591048693566</v>
      </c>
      <c r="AA299">
        <f t="shared" ca="1" si="98"/>
        <v>96.577399999999983</v>
      </c>
    </row>
    <row r="300" spans="1:27" x14ac:dyDescent="0.25">
      <c r="A300" vm="875">
        <f ca="1"/>
        <v>45728</v>
      </c>
      <c r="B300" vm="876">
        <f ca="1"/>
        <v>102.64</v>
      </c>
      <c r="C300" vm="877">
        <f ca="1"/>
        <v>3739207</v>
      </c>
      <c r="D300">
        <f t="shared" ca="1" si="79"/>
        <v>383792206.48000002</v>
      </c>
      <c r="E300">
        <f ca="1">SUM($D$2:D300)/SUM($C$2:C300)</f>
        <v>95.315787306808843</v>
      </c>
      <c r="F300">
        <f ca="1">_xlfn.STDEV.P($B$2:B300)</f>
        <v>5.548894670720955</v>
      </c>
      <c r="G300">
        <f t="shared" ca="1" si="80"/>
        <v>100.8646819775298</v>
      </c>
      <c r="H300">
        <f t="shared" ca="1" si="81"/>
        <v>89.766892636087888</v>
      </c>
      <c r="I300">
        <f t="shared" ca="1" si="90"/>
        <v>99.811500000000024</v>
      </c>
      <c r="J300">
        <f t="shared" ca="1" si="91"/>
        <v>3.5442099186374967</v>
      </c>
      <c r="K300">
        <f t="shared" ca="1" si="92"/>
        <v>106.89991983727502</v>
      </c>
      <c r="L300">
        <f t="shared" ca="1" si="93"/>
        <v>92.723080162725026</v>
      </c>
      <c r="M300">
        <f t="shared" ca="1" si="82"/>
        <v>-1.1299999999999955</v>
      </c>
      <c r="N300">
        <f t="shared" ca="1" si="83"/>
        <v>0</v>
      </c>
      <c r="O300">
        <f t="shared" ca="1" si="84"/>
        <v>1.1299999999999955</v>
      </c>
      <c r="P300">
        <f t="shared" ca="1" si="88"/>
        <v>0.88067228493739602</v>
      </c>
      <c r="Q300">
        <f t="shared" ca="1" si="89"/>
        <v>0.62921843595001792</v>
      </c>
      <c r="R300">
        <f t="shared" ca="1" si="86"/>
        <v>1.3996288643509365</v>
      </c>
      <c r="S300">
        <f t="shared" ca="1" si="87"/>
        <v>58.326889009543358</v>
      </c>
      <c r="T300">
        <f>70</f>
        <v>70</v>
      </c>
      <c r="U300">
        <f>30</f>
        <v>30</v>
      </c>
      <c r="V300">
        <f t="shared" ca="1" si="85"/>
        <v>101.95072386884962</v>
      </c>
      <c r="W300">
        <f t="shared" ca="1" si="95"/>
        <v>99.505834026021944</v>
      </c>
      <c r="X300">
        <f t="shared" ca="1" si="94"/>
        <v>2.4727319959863223</v>
      </c>
      <c r="Y300">
        <f t="shared" ca="1" si="96"/>
        <v>2.2927255450698585</v>
      </c>
      <c r="Z300">
        <f t="shared" ca="1" si="97"/>
        <v>0.18000645091646383</v>
      </c>
      <c r="AA300">
        <f t="shared" ca="1" si="98"/>
        <v>96.549299999999988</v>
      </c>
    </row>
    <row r="301" spans="1:27" x14ac:dyDescent="0.25">
      <c r="A301" vm="878">
        <f ca="1"/>
        <v>45729</v>
      </c>
      <c r="B301" vm="879">
        <f ca="1"/>
        <v>104.57</v>
      </c>
      <c r="C301" vm="880">
        <f ca="1"/>
        <v>2392163</v>
      </c>
      <c r="D301">
        <f t="shared" ca="1" si="79"/>
        <v>250148484.91</v>
      </c>
      <c r="E301">
        <f ca="1">SUM($D$2:D301)/SUM($C$2:C301)</f>
        <v>95.351829019307999</v>
      </c>
      <c r="F301">
        <f ca="1">_xlfn.STDEV.P($B$2:B301)</f>
        <v>5.5665405674340409</v>
      </c>
      <c r="G301">
        <f t="shared" ca="1" si="80"/>
        <v>100.91836958674205</v>
      </c>
      <c r="H301">
        <f t="shared" ca="1" si="81"/>
        <v>89.785288451873953</v>
      </c>
      <c r="I301">
        <f t="shared" ca="1" si="90"/>
        <v>100.31150000000002</v>
      </c>
      <c r="J301">
        <f t="shared" ca="1" si="91"/>
        <v>3.470454657003283</v>
      </c>
      <c r="K301">
        <f t="shared" ca="1" si="92"/>
        <v>107.25240931400658</v>
      </c>
      <c r="L301">
        <f t="shared" ca="1" si="93"/>
        <v>93.370590685993463</v>
      </c>
      <c r="M301">
        <f t="shared" ca="1" si="82"/>
        <v>1.9299999999999926</v>
      </c>
      <c r="N301">
        <f t="shared" ca="1" si="83"/>
        <v>1.9299999999999926</v>
      </c>
      <c r="O301">
        <f t="shared" ca="1" si="84"/>
        <v>0</v>
      </c>
      <c r="P301">
        <f t="shared" ca="1" si="88"/>
        <v>0.95562426458472438</v>
      </c>
      <c r="Q301">
        <f t="shared" ca="1" si="89"/>
        <v>0.58427426195358811</v>
      </c>
      <c r="R301">
        <f t="shared" ca="1" si="86"/>
        <v>1.6355748093189744</v>
      </c>
      <c r="S301">
        <f t="shared" ca="1" si="87"/>
        <v>62.057612765755742</v>
      </c>
      <c r="T301">
        <f>70</f>
        <v>70</v>
      </c>
      <c r="U301">
        <f>30</f>
        <v>30</v>
      </c>
      <c r="V301">
        <f t="shared" ca="1" si="85"/>
        <v>102.35368942748813</v>
      </c>
      <c r="W301">
        <f t="shared" ca="1" si="95"/>
        <v>99.880957431501812</v>
      </c>
      <c r="X301">
        <f t="shared" ca="1" si="94"/>
        <v>2.6131469935210418</v>
      </c>
      <c r="Y301">
        <f t="shared" ca="1" si="96"/>
        <v>2.3568098347600954</v>
      </c>
      <c r="Z301">
        <f t="shared" ca="1" si="97"/>
        <v>0.25633715876094643</v>
      </c>
      <c r="AA301">
        <f t="shared" ca="1" si="98"/>
        <v>96.533599999999964</v>
      </c>
    </row>
    <row r="302" spans="1:27" x14ac:dyDescent="0.25">
      <c r="A302" vm="881">
        <f ca="1"/>
        <v>45730</v>
      </c>
      <c r="B302" vm="882">
        <f ca="1"/>
        <v>106.41</v>
      </c>
      <c r="C302" vm="883">
        <f ca="1"/>
        <v>3779158</v>
      </c>
      <c r="D302">
        <f t="shared" ca="1" si="79"/>
        <v>402140202.77999997</v>
      </c>
      <c r="E302">
        <f ca="1">SUM($D$2:D302)/SUM($C$2:C302)</f>
        <v>95.419451266369308</v>
      </c>
      <c r="F302">
        <f ca="1">_xlfn.STDEV.P($B$2:B302)</f>
        <v>5.5951421469359417</v>
      </c>
      <c r="G302">
        <f t="shared" ca="1" si="80"/>
        <v>101.01459341330525</v>
      </c>
      <c r="H302">
        <f t="shared" ca="1" si="81"/>
        <v>89.824309119433366</v>
      </c>
      <c r="I302">
        <f t="shared" ca="1" si="90"/>
        <v>100.84900000000002</v>
      </c>
      <c r="J302">
        <f t="shared" ca="1" si="91"/>
        <v>3.5438172995558843</v>
      </c>
      <c r="K302">
        <f t="shared" ca="1" si="92"/>
        <v>107.93663459911178</v>
      </c>
      <c r="L302">
        <f t="shared" ca="1" si="93"/>
        <v>93.761365400888252</v>
      </c>
      <c r="M302">
        <f t="shared" ca="1" si="82"/>
        <v>1.8400000000000034</v>
      </c>
      <c r="N302">
        <f t="shared" ca="1" si="83"/>
        <v>1.8400000000000034</v>
      </c>
      <c r="O302">
        <f t="shared" ca="1" si="84"/>
        <v>0</v>
      </c>
      <c r="P302">
        <f t="shared" ca="1" si="88"/>
        <v>1.0187939599715301</v>
      </c>
      <c r="Q302">
        <f t="shared" ca="1" si="89"/>
        <v>0.54254038609976041</v>
      </c>
      <c r="R302">
        <f t="shared" ca="1" si="86"/>
        <v>1.877821423204056</v>
      </c>
      <c r="S302">
        <f t="shared" ca="1" si="87"/>
        <v>65.251492259494043</v>
      </c>
      <c r="T302">
        <f>70</f>
        <v>70</v>
      </c>
      <c r="U302">
        <f>30</f>
        <v>30</v>
      </c>
      <c r="V302">
        <f t="shared" ca="1" si="85"/>
        <v>102.97773720787457</v>
      </c>
      <c r="W302">
        <f t="shared" ca="1" si="95"/>
        <v>100.36459021435353</v>
      </c>
      <c r="X302">
        <f t="shared" ca="1" si="94"/>
        <v>2.7899035073328946</v>
      </c>
      <c r="Y302">
        <f t="shared" ca="1" si="96"/>
        <v>2.4434285692746553</v>
      </c>
      <c r="Z302">
        <f t="shared" ca="1" si="97"/>
        <v>0.34647493805823926</v>
      </c>
      <c r="AA302">
        <f t="shared" ca="1" si="98"/>
        <v>96.541099999999972</v>
      </c>
    </row>
    <row r="303" spans="1:27" x14ac:dyDescent="0.25">
      <c r="A303" vm="884">
        <f ca="1"/>
        <v>45733</v>
      </c>
      <c r="B303" vm="885">
        <f ca="1"/>
        <v>107.62</v>
      </c>
      <c r="C303" vm="886">
        <f ca="1"/>
        <v>3930736</v>
      </c>
      <c r="D303">
        <f t="shared" ca="1" si="79"/>
        <v>423025808.31999999</v>
      </c>
      <c r="E303">
        <f ca="1">SUM($D$2:D303)/SUM($C$2:C303)</f>
        <v>95.496561309288424</v>
      </c>
      <c r="F303">
        <f ca="1">_xlfn.STDEV.P($B$2:B303)</f>
        <v>5.6315781238120142</v>
      </c>
      <c r="G303">
        <f t="shared" ca="1" si="80"/>
        <v>101.12813943310044</v>
      </c>
      <c r="H303">
        <f t="shared" ca="1" si="81"/>
        <v>89.864983185476405</v>
      </c>
      <c r="I303">
        <f t="shared" ca="1" si="90"/>
        <v>101.48400000000001</v>
      </c>
      <c r="J303">
        <f t="shared" ca="1" si="91"/>
        <v>3.56328559205213</v>
      </c>
      <c r="K303">
        <f t="shared" ca="1" si="92"/>
        <v>108.61057118410427</v>
      </c>
      <c r="L303">
        <f t="shared" ca="1" si="93"/>
        <v>94.357428815895744</v>
      </c>
      <c r="M303">
        <f t="shared" ca="1" si="82"/>
        <v>1.210000000000008</v>
      </c>
      <c r="N303">
        <f t="shared" ca="1" si="83"/>
        <v>1.210000000000008</v>
      </c>
      <c r="O303">
        <f t="shared" ca="1" si="84"/>
        <v>0</v>
      </c>
      <c r="P303">
        <f t="shared" ca="1" si="88"/>
        <v>1.0324515342592784</v>
      </c>
      <c r="Q303">
        <f t="shared" ca="1" si="89"/>
        <v>0.50378750137834893</v>
      </c>
      <c r="R303">
        <f t="shared" ca="1" si="86"/>
        <v>2.0493790168166517</v>
      </c>
      <c r="S303">
        <f t="shared" ca="1" si="87"/>
        <v>67.206437950637792</v>
      </c>
      <c r="T303">
        <f>70</f>
        <v>70</v>
      </c>
      <c r="U303">
        <f>30</f>
        <v>30</v>
      </c>
      <c r="V303">
        <f t="shared" ca="1" si="85"/>
        <v>103.69193148358616</v>
      </c>
      <c r="W303">
        <f t="shared" ca="1" si="95"/>
        <v>100.90202797625327</v>
      </c>
      <c r="X303">
        <f t="shared" ca="1" si="94"/>
        <v>2.9117508784694621</v>
      </c>
      <c r="Y303">
        <f t="shared" ca="1" si="96"/>
        <v>2.5370930311136171</v>
      </c>
      <c r="Z303">
        <f t="shared" ca="1" si="97"/>
        <v>0.37465784735584506</v>
      </c>
      <c r="AA303">
        <f t="shared" ca="1" si="98"/>
        <v>96.549699999999987</v>
      </c>
    </row>
    <row r="304" spans="1:27" x14ac:dyDescent="0.25">
      <c r="A304" vm="887">
        <f ca="1"/>
        <v>45734</v>
      </c>
      <c r="B304" vm="888">
        <f ca="1"/>
        <v>107.81</v>
      </c>
      <c r="C304" vm="889">
        <f ca="1"/>
        <v>3275711</v>
      </c>
      <c r="D304">
        <f t="shared" ca="1" si="79"/>
        <v>353154402.91000003</v>
      </c>
      <c r="E304">
        <f ca="1">SUM($D$2:D304)/SUM($C$2:C304)</f>
        <v>95.561076384815237</v>
      </c>
      <c r="F304">
        <f ca="1">_xlfn.STDEV.P($B$2:B304)</f>
        <v>5.668624411406924</v>
      </c>
      <c r="G304">
        <f t="shared" ca="1" si="80"/>
        <v>101.22970079622216</v>
      </c>
      <c r="H304">
        <f t="shared" ca="1" si="81"/>
        <v>89.892451973408313</v>
      </c>
      <c r="I304">
        <f t="shared" ca="1" si="90"/>
        <v>102.08650000000003</v>
      </c>
      <c r="J304">
        <f t="shared" ca="1" si="91"/>
        <v>3.5632410955846288</v>
      </c>
      <c r="K304">
        <f t="shared" ca="1" si="92"/>
        <v>109.21298219116929</v>
      </c>
      <c r="L304">
        <f t="shared" ca="1" si="93"/>
        <v>94.96001780883077</v>
      </c>
      <c r="M304">
        <f t="shared" ca="1" si="82"/>
        <v>0.18999999999999773</v>
      </c>
      <c r="N304">
        <f t="shared" ca="1" si="83"/>
        <v>0.18999999999999773</v>
      </c>
      <c r="O304">
        <f t="shared" ca="1" si="84"/>
        <v>0</v>
      </c>
      <c r="P304">
        <f t="shared" ca="1" si="88"/>
        <v>0.97227642466932973</v>
      </c>
      <c r="Q304">
        <f t="shared" ca="1" si="89"/>
        <v>0.46780267985132401</v>
      </c>
      <c r="R304">
        <f t="shared" ca="1" si="86"/>
        <v>2.0783900275610572</v>
      </c>
      <c r="S304">
        <f t="shared" ca="1" si="87"/>
        <v>67.515487282413048</v>
      </c>
      <c r="T304">
        <f>70</f>
        <v>70</v>
      </c>
      <c r="U304">
        <f>30</f>
        <v>30</v>
      </c>
      <c r="V304">
        <f t="shared" ca="1" si="85"/>
        <v>104.32548048611137</v>
      </c>
      <c r="W304">
        <f t="shared" ca="1" si="95"/>
        <v>101.41372960764191</v>
      </c>
      <c r="X304">
        <f t="shared" ca="1" si="94"/>
        <v>2.9485059313146849</v>
      </c>
      <c r="Y304">
        <f t="shared" ca="1" si="96"/>
        <v>2.6193756111538304</v>
      </c>
      <c r="Z304">
        <f t="shared" ca="1" si="97"/>
        <v>0.32913032016085442</v>
      </c>
      <c r="AA304">
        <f t="shared" ca="1" si="98"/>
        <v>96.565200000000004</v>
      </c>
    </row>
    <row r="305" spans="1:27" x14ac:dyDescent="0.25">
      <c r="A305" vm="890">
        <f ca="1"/>
        <v>45735</v>
      </c>
      <c r="B305" vm="891">
        <f ca="1"/>
        <v>107.49</v>
      </c>
      <c r="C305" vm="892">
        <f ca="1"/>
        <v>2293611</v>
      </c>
      <c r="D305">
        <f t="shared" ca="1" si="79"/>
        <v>246540246.38999999</v>
      </c>
      <c r="E305">
        <f ca="1">SUM($D$2:D305)/SUM($C$2:C305)</f>
        <v>95.604678441729675</v>
      </c>
      <c r="F305">
        <f ca="1">_xlfn.STDEV.P($B$2:B305)</f>
        <v>5.7026050785662576</v>
      </c>
      <c r="G305">
        <f t="shared" ca="1" si="80"/>
        <v>101.30728352029593</v>
      </c>
      <c r="H305">
        <f t="shared" ca="1" si="81"/>
        <v>89.902073363163424</v>
      </c>
      <c r="I305">
        <f t="shared" ca="1" si="90"/>
        <v>102.69800000000001</v>
      </c>
      <c r="J305">
        <f t="shared" ca="1" si="91"/>
        <v>3.3744794530338091</v>
      </c>
      <c r="K305">
        <f t="shared" ca="1" si="92"/>
        <v>109.44695890606762</v>
      </c>
      <c r="L305">
        <f t="shared" ca="1" si="93"/>
        <v>95.949041093932394</v>
      </c>
      <c r="M305">
        <f t="shared" ca="1" si="82"/>
        <v>-0.32000000000000739</v>
      </c>
      <c r="N305">
        <f t="shared" ca="1" si="83"/>
        <v>0</v>
      </c>
      <c r="O305">
        <f t="shared" ca="1" si="84"/>
        <v>0.32000000000000739</v>
      </c>
      <c r="P305">
        <f t="shared" ca="1" si="88"/>
        <v>0.90282810862152041</v>
      </c>
      <c r="Q305">
        <f t="shared" ca="1" si="89"/>
        <v>0.45724534557622992</v>
      </c>
      <c r="R305">
        <f t="shared" ca="1" si="86"/>
        <v>1.9744938190322265</v>
      </c>
      <c r="S305">
        <f t="shared" ca="1" si="87"/>
        <v>66.380834493535531</v>
      </c>
      <c r="T305">
        <f>70</f>
        <v>70</v>
      </c>
      <c r="U305">
        <f>30</f>
        <v>30</v>
      </c>
      <c r="V305">
        <f t="shared" ca="1" si="85"/>
        <v>104.81232964209424</v>
      </c>
      <c r="W305">
        <f t="shared" ca="1" si="95"/>
        <v>101.86382371077956</v>
      </c>
      <c r="X305">
        <f t="shared" ca="1" si="94"/>
        <v>3.0226757769191863</v>
      </c>
      <c r="Y305">
        <f t="shared" ca="1" si="96"/>
        <v>2.7000356443069018</v>
      </c>
      <c r="Z305">
        <f t="shared" ca="1" si="97"/>
        <v>0.32264013261228452</v>
      </c>
      <c r="AA305">
        <f t="shared" ca="1" si="98"/>
        <v>96.583100000000016</v>
      </c>
    </row>
    <row r="306" spans="1:27" x14ac:dyDescent="0.25">
      <c r="A306" vm="893">
        <f ca="1"/>
        <v>45736</v>
      </c>
      <c r="B306" vm="894">
        <f ca="1"/>
        <v>108.48</v>
      </c>
      <c r="C306" vm="895">
        <f ca="1"/>
        <v>1896164</v>
      </c>
      <c r="D306">
        <f t="shared" ca="1" si="79"/>
        <v>205695870.72</v>
      </c>
      <c r="E306">
        <f ca="1">SUM($D$2:D306)/SUM($C$2:C306)</f>
        <v>95.64346753052773</v>
      </c>
      <c r="F306">
        <f ca="1">_xlfn.STDEV.P($B$2:B306)</f>
        <v>5.74304541568325</v>
      </c>
      <c r="G306">
        <f t="shared" ca="1" si="80"/>
        <v>101.38651294621098</v>
      </c>
      <c r="H306">
        <f t="shared" ca="1" si="81"/>
        <v>89.900422114844474</v>
      </c>
      <c r="I306">
        <f t="shared" ca="1" si="90"/>
        <v>103.33399999999999</v>
      </c>
      <c r="J306">
        <f t="shared" ca="1" si="91"/>
        <v>3.191772977021095</v>
      </c>
      <c r="K306">
        <f t="shared" ca="1" si="92"/>
        <v>109.71754595404218</v>
      </c>
      <c r="L306">
        <f t="shared" ca="1" si="93"/>
        <v>96.950454045957798</v>
      </c>
      <c r="M306">
        <f t="shared" ca="1" si="82"/>
        <v>0.99000000000000909</v>
      </c>
      <c r="N306">
        <f t="shared" ca="1" si="83"/>
        <v>0.99000000000000909</v>
      </c>
      <c r="O306">
        <f t="shared" ca="1" si="84"/>
        <v>0</v>
      </c>
      <c r="P306">
        <f t="shared" ca="1" si="88"/>
        <v>0.90905467229141246</v>
      </c>
      <c r="Q306">
        <f t="shared" ca="1" si="89"/>
        <v>0.42458496374935634</v>
      </c>
      <c r="R306">
        <f t="shared" ca="1" si="86"/>
        <v>2.141043018254531</v>
      </c>
      <c r="S306">
        <f t="shared" ca="1" si="87"/>
        <v>68.163441436860765</v>
      </c>
      <c r="T306">
        <f>70</f>
        <v>70</v>
      </c>
      <c r="U306">
        <f>30</f>
        <v>30</v>
      </c>
      <c r="V306">
        <f t="shared" ca="1" si="85"/>
        <v>105.3765866202336</v>
      </c>
      <c r="W306">
        <f t="shared" ca="1" si="95"/>
        <v>102.35391084331441</v>
      </c>
      <c r="X306">
        <f t="shared" ca="1" si="94"/>
        <v>2.9920945929692095</v>
      </c>
      <c r="Y306">
        <f t="shared" ca="1" si="96"/>
        <v>2.7584474340393634</v>
      </c>
      <c r="Z306">
        <f t="shared" ca="1" si="97"/>
        <v>0.23364715892984611</v>
      </c>
      <c r="AA306">
        <f t="shared" ca="1" si="98"/>
        <v>96.593900000000019</v>
      </c>
    </row>
    <row r="307" spans="1:27" x14ac:dyDescent="0.25">
      <c r="A307" vm="896">
        <f ca="1"/>
        <v>45737</v>
      </c>
      <c r="B307" vm="897">
        <f ca="1"/>
        <v>107.8</v>
      </c>
      <c r="C307" vm="898">
        <f ca="1"/>
        <v>4415458</v>
      </c>
      <c r="D307">
        <f t="shared" ca="1" si="79"/>
        <v>475986372.39999998</v>
      </c>
      <c r="E307">
        <f ca="1">SUM($D$2:D307)/SUM($C$2:C307)</f>
        <v>95.728156132633146</v>
      </c>
      <c r="F307">
        <f ca="1">_xlfn.STDEV.P($B$2:B307)</f>
        <v>5.7777088971473081</v>
      </c>
      <c r="G307">
        <f t="shared" ca="1" si="80"/>
        <v>101.50586502978045</v>
      </c>
      <c r="H307">
        <f t="shared" ca="1" si="81"/>
        <v>89.950447235485839</v>
      </c>
      <c r="I307">
        <f t="shared" ca="1" si="90"/>
        <v>103.81100000000001</v>
      </c>
      <c r="J307">
        <f t="shared" ca="1" si="91"/>
        <v>3.1052585280964591</v>
      </c>
      <c r="K307">
        <f t="shared" ca="1" si="92"/>
        <v>110.02151705619292</v>
      </c>
      <c r="L307">
        <f t="shared" ca="1" si="93"/>
        <v>97.600482943807094</v>
      </c>
      <c r="M307">
        <f t="shared" ca="1" si="82"/>
        <v>-0.68000000000000682</v>
      </c>
      <c r="N307">
        <f t="shared" ca="1" si="83"/>
        <v>0</v>
      </c>
      <c r="O307">
        <f t="shared" ca="1" si="84"/>
        <v>0.68000000000000682</v>
      </c>
      <c r="P307">
        <f t="shared" ca="1" si="88"/>
        <v>0.84412219569916869</v>
      </c>
      <c r="Q307">
        <f t="shared" ca="1" si="89"/>
        <v>0.44282889491011707</v>
      </c>
      <c r="R307">
        <f t="shared" ca="1" si="86"/>
        <v>1.9062039659144281</v>
      </c>
      <c r="S307">
        <f t="shared" ca="1" si="87"/>
        <v>65.590852819397583</v>
      </c>
      <c r="T307">
        <f>70</f>
        <v>70</v>
      </c>
      <c r="U307">
        <f>30</f>
        <v>30</v>
      </c>
      <c r="V307">
        <f t="shared" ca="1" si="85"/>
        <v>105.74941944788996</v>
      </c>
      <c r="W307">
        <f t="shared" ca="1" si="95"/>
        <v>102.75732485492075</v>
      </c>
      <c r="X307">
        <f t="shared" ca="1" si="94"/>
        <v>2.8566581144560672</v>
      </c>
      <c r="Y307">
        <f t="shared" ca="1" si="96"/>
        <v>2.7780895701227042</v>
      </c>
      <c r="Z307">
        <f t="shared" ca="1" si="97"/>
        <v>7.8568544333363022E-2</v>
      </c>
      <c r="AA307">
        <f t="shared" ca="1" si="98"/>
        <v>96.601900000000001</v>
      </c>
    </row>
    <row r="308" spans="1:27" x14ac:dyDescent="0.25">
      <c r="A308" vm="899">
        <f ca="1"/>
        <v>45740</v>
      </c>
      <c r="B308" vm="900">
        <f ca="1"/>
        <v>106.83</v>
      </c>
      <c r="C308" vm="901">
        <f ca="1"/>
        <v>1897938</v>
      </c>
      <c r="D308">
        <f t="shared" ca="1" si="79"/>
        <v>202756716.53999999</v>
      </c>
      <c r="E308">
        <f ca="1">SUM($D$2:D308)/SUM($C$2:C308)</f>
        <v>95.761301137349449</v>
      </c>
      <c r="F308">
        <f ca="1">_xlfn.STDEV.P($B$2:B308)</f>
        <v>5.8051782276327195</v>
      </c>
      <c r="G308">
        <f t="shared" ca="1" si="80"/>
        <v>101.56647936498217</v>
      </c>
      <c r="H308">
        <f t="shared" ca="1" si="81"/>
        <v>89.956122909716726</v>
      </c>
      <c r="I308">
        <f t="shared" ca="1" si="90"/>
        <v>104.16849999999999</v>
      </c>
      <c r="J308">
        <f t="shared" ca="1" si="91"/>
        <v>3.0149020670138214</v>
      </c>
      <c r="K308">
        <f t="shared" ca="1" si="92"/>
        <v>110.19830413402764</v>
      </c>
      <c r="L308">
        <f t="shared" ca="1" si="93"/>
        <v>98.138695865972352</v>
      </c>
      <c r="M308">
        <f t="shared" ca="1" si="82"/>
        <v>-0.96999999999999886</v>
      </c>
      <c r="N308">
        <f t="shared" ca="1" si="83"/>
        <v>0</v>
      </c>
      <c r="O308">
        <f t="shared" ca="1" si="84"/>
        <v>0.96999999999999886</v>
      </c>
      <c r="P308">
        <f t="shared" ca="1" si="88"/>
        <v>0.78382775314922803</v>
      </c>
      <c r="Q308">
        <f t="shared" ca="1" si="89"/>
        <v>0.4804839738451086</v>
      </c>
      <c r="R308">
        <f t="shared" ca="1" si="86"/>
        <v>1.6313296505533543</v>
      </c>
      <c r="S308">
        <f t="shared" ca="1" si="87"/>
        <v>61.996399812934669</v>
      </c>
      <c r="T308">
        <f>70</f>
        <v>70</v>
      </c>
      <c r="U308">
        <f>30</f>
        <v>30</v>
      </c>
      <c r="V308">
        <f t="shared" ca="1" si="85"/>
        <v>105.91566260975306</v>
      </c>
      <c r="W308">
        <f t="shared" ca="1" si="95"/>
        <v>103.05900449529699</v>
      </c>
      <c r="X308">
        <f t="shared" ca="1" si="94"/>
        <v>2.6158841428066637</v>
      </c>
      <c r="Y308">
        <f t="shared" ca="1" si="96"/>
        <v>2.7456484846594962</v>
      </c>
      <c r="Z308">
        <f t="shared" ca="1" si="97"/>
        <v>-0.12976434185283248</v>
      </c>
      <c r="AA308">
        <f t="shared" ca="1" si="98"/>
        <v>96.624200000000002</v>
      </c>
    </row>
    <row r="309" spans="1:27" x14ac:dyDescent="0.25">
      <c r="A309" vm="902">
        <f ca="1"/>
        <v>45741</v>
      </c>
      <c r="B309" vm="903">
        <f ca="1"/>
        <v>105.55</v>
      </c>
      <c r="C309" vm="904">
        <f ca="1"/>
        <v>2543771</v>
      </c>
      <c r="D309">
        <f t="shared" ca="1" si="79"/>
        <v>268495029.05000001</v>
      </c>
      <c r="E309">
        <f ca="1">SUM($D$2:D309)/SUM($C$2:C309)</f>
        <v>95.800314158435683</v>
      </c>
      <c r="F309">
        <f ca="1">_xlfn.STDEV.P($B$2:B309)</f>
        <v>5.8244356842905258</v>
      </c>
      <c r="G309">
        <f t="shared" ca="1" si="80"/>
        <v>101.6247498427262</v>
      </c>
      <c r="H309">
        <f t="shared" ca="1" si="81"/>
        <v>89.975878474145162</v>
      </c>
      <c r="I309">
        <f t="shared" ca="1" si="90"/>
        <v>104.39749999999999</v>
      </c>
      <c r="J309">
        <f t="shared" ca="1" si="91"/>
        <v>2.9319687565650634</v>
      </c>
      <c r="K309">
        <f t="shared" ca="1" si="92"/>
        <v>110.26143751313012</v>
      </c>
      <c r="L309">
        <f t="shared" ca="1" si="93"/>
        <v>98.533562486869869</v>
      </c>
      <c r="M309">
        <f t="shared" ca="1" si="82"/>
        <v>-1.2800000000000011</v>
      </c>
      <c r="N309">
        <f t="shared" ca="1" si="83"/>
        <v>0</v>
      </c>
      <c r="O309">
        <f t="shared" ca="1" si="84"/>
        <v>1.2800000000000011</v>
      </c>
      <c r="P309">
        <f t="shared" ca="1" si="88"/>
        <v>0.72784005649571171</v>
      </c>
      <c r="Q309">
        <f t="shared" ca="1" si="89"/>
        <v>0.53759226142760086</v>
      </c>
      <c r="R309">
        <f t="shared" ca="1" si="86"/>
        <v>1.3538886414824856</v>
      </c>
      <c r="S309">
        <f t="shared" ca="1" si="87"/>
        <v>57.517106698378164</v>
      </c>
      <c r="T309">
        <f>70</f>
        <v>70</v>
      </c>
      <c r="U309">
        <f>30</f>
        <v>30</v>
      </c>
      <c r="V309">
        <f t="shared" ca="1" si="85"/>
        <v>105.8594068236372</v>
      </c>
      <c r="W309">
        <f t="shared" ca="1" si="95"/>
        <v>103.24352268083054</v>
      </c>
      <c r="X309">
        <f t="shared" ca="1" si="94"/>
        <v>2.549797593590668</v>
      </c>
      <c r="Y309">
        <f t="shared" ca="1" si="96"/>
        <v>2.7064783064457307</v>
      </c>
      <c r="Z309">
        <f t="shared" ca="1" si="97"/>
        <v>-0.15668071285506269</v>
      </c>
      <c r="AA309">
        <f t="shared" ca="1" si="98"/>
        <v>96.631599999999992</v>
      </c>
    </row>
    <row r="310" spans="1:27" x14ac:dyDescent="0.25">
      <c r="A310" vm="905">
        <f ca="1"/>
        <v>45742</v>
      </c>
      <c r="B310" vm="906">
        <f ca="1"/>
        <v>107.46</v>
      </c>
      <c r="C310" vm="907">
        <f ca="1"/>
        <v>1925093</v>
      </c>
      <c r="D310">
        <f t="shared" ca="1" si="79"/>
        <v>206870493.78</v>
      </c>
      <c r="E310">
        <f ca="1">SUM($D$2:D310)/SUM($C$2:C310)</f>
        <v>95.835376201932092</v>
      </c>
      <c r="F310">
        <f ca="1">_xlfn.STDEV.P($B$2:B310)</f>
        <v>5.8549839147383622</v>
      </c>
      <c r="G310">
        <f t="shared" ca="1" si="80"/>
        <v>101.69036011667046</v>
      </c>
      <c r="H310">
        <f t="shared" ca="1" si="81"/>
        <v>89.980392287193723</v>
      </c>
      <c r="I310">
        <f t="shared" ca="1" si="90"/>
        <v>104.77249999999999</v>
      </c>
      <c r="J310">
        <f t="shared" ca="1" si="91"/>
        <v>2.8116990087471083</v>
      </c>
      <c r="K310">
        <f t="shared" ca="1" si="92"/>
        <v>110.3958980174942</v>
      </c>
      <c r="L310">
        <f t="shared" ca="1" si="93"/>
        <v>99.149101982505783</v>
      </c>
      <c r="M310">
        <f t="shared" ca="1" si="82"/>
        <v>1.9099999999999966</v>
      </c>
      <c r="N310">
        <f t="shared" ca="1" si="83"/>
        <v>1.9099999999999966</v>
      </c>
      <c r="O310">
        <f t="shared" ca="1" si="84"/>
        <v>0</v>
      </c>
      <c r="P310">
        <f t="shared" ca="1" si="88"/>
        <v>0.81228005246030344</v>
      </c>
      <c r="Q310">
        <f t="shared" ca="1" si="89"/>
        <v>0.49919281418277223</v>
      </c>
      <c r="R310">
        <f t="shared" ca="1" si="86"/>
        <v>1.6271869894403144</v>
      </c>
      <c r="S310">
        <f t="shared" ca="1" si="87"/>
        <v>61.936474106358297</v>
      </c>
      <c r="T310">
        <f>70</f>
        <v>70</v>
      </c>
      <c r="U310">
        <f>30</f>
        <v>30</v>
      </c>
      <c r="V310">
        <f t="shared" ca="1" si="85"/>
        <v>106.10565192769302</v>
      </c>
      <c r="W310">
        <f t="shared" ca="1" si="95"/>
        <v>103.55585433410235</v>
      </c>
      <c r="X310">
        <f t="shared" ca="1" si="94"/>
        <v>2.5032648545343648</v>
      </c>
      <c r="Y310">
        <f t="shared" ca="1" si="96"/>
        <v>2.6658356160634575</v>
      </c>
      <c r="Z310">
        <f t="shared" ca="1" si="97"/>
        <v>-0.16257076152909278</v>
      </c>
      <c r="AA310">
        <f t="shared" ca="1" si="98"/>
        <v>96.677099999999996</v>
      </c>
    </row>
    <row r="311" spans="1:27" x14ac:dyDescent="0.25">
      <c r="A311" vm="908">
        <f ca="1"/>
        <v>45743</v>
      </c>
      <c r="B311" vm="909">
        <f ca="1"/>
        <v>107.89</v>
      </c>
      <c r="C311" vm="910">
        <f ca="1"/>
        <v>1859144</v>
      </c>
      <c r="D311">
        <f t="shared" ca="1" si="79"/>
        <v>200583046.16</v>
      </c>
      <c r="E311">
        <f ca="1">SUM($D$2:D311)/SUM($C$2:C311)</f>
        <v>95.870282672901581</v>
      </c>
      <c r="F311">
        <f ca="1">_xlfn.STDEV.P($B$2:B311)</f>
        <v>5.8877893418520895</v>
      </c>
      <c r="G311">
        <f t="shared" ca="1" si="80"/>
        <v>101.75807201475367</v>
      </c>
      <c r="H311">
        <f t="shared" ca="1" si="81"/>
        <v>89.982493331049497</v>
      </c>
      <c r="I311">
        <f t="shared" ca="1" si="90"/>
        <v>105.17100000000001</v>
      </c>
      <c r="J311">
        <f t="shared" ca="1" si="91"/>
        <v>2.6477734439574538</v>
      </c>
      <c r="K311">
        <f t="shared" ca="1" si="92"/>
        <v>110.46654688791492</v>
      </c>
      <c r="L311">
        <f t="shared" ca="1" si="93"/>
        <v>99.875453112085097</v>
      </c>
      <c r="M311">
        <f t="shared" ca="1" si="82"/>
        <v>0.43000000000000682</v>
      </c>
      <c r="N311">
        <f t="shared" ca="1" si="83"/>
        <v>0.43000000000000682</v>
      </c>
      <c r="O311">
        <f t="shared" ca="1" si="84"/>
        <v>0</v>
      </c>
      <c r="P311">
        <f t="shared" ca="1" si="88"/>
        <v>0.78497433442742515</v>
      </c>
      <c r="Q311">
        <f t="shared" ca="1" si="89"/>
        <v>0.46353618459828849</v>
      </c>
      <c r="R311">
        <f t="shared" ca="1" si="86"/>
        <v>1.6934478051755606</v>
      </c>
      <c r="S311">
        <f t="shared" ca="1" si="87"/>
        <v>62.872865103290195</v>
      </c>
      <c r="T311">
        <f>70</f>
        <v>70</v>
      </c>
      <c r="U311">
        <f>30</f>
        <v>30</v>
      </c>
      <c r="V311">
        <f t="shared" ca="1" si="85"/>
        <v>106.38016701574024</v>
      </c>
      <c r="W311">
        <f t="shared" ca="1" si="95"/>
        <v>103.87690216120588</v>
      </c>
      <c r="X311">
        <f t="shared" ca="1" si="94"/>
        <v>2.5084797757348838</v>
      </c>
      <c r="Y311">
        <f t="shared" ca="1" si="96"/>
        <v>2.6343644479977431</v>
      </c>
      <c r="Z311">
        <f t="shared" ca="1" si="97"/>
        <v>-0.12588467226285927</v>
      </c>
      <c r="AA311">
        <f t="shared" ca="1" si="98"/>
        <v>96.728799999999993</v>
      </c>
    </row>
    <row r="312" spans="1:27" x14ac:dyDescent="0.25">
      <c r="A312" vm="911">
        <f ca="1"/>
        <v>45744</v>
      </c>
      <c r="B312" vm="912">
        <f ca="1"/>
        <v>108.77</v>
      </c>
      <c r="C312" vm="913">
        <f ca="1"/>
        <v>2392331</v>
      </c>
      <c r="D312">
        <f t="shared" ca="1" si="79"/>
        <v>260213842.87</v>
      </c>
      <c r="E312">
        <f ca="1">SUM($D$2:D312)/SUM($C$2:C312)</f>
        <v>95.918170537905098</v>
      </c>
      <c r="F312">
        <f ca="1">_xlfn.STDEV.P($B$2:B312)</f>
        <v>5.9260389960766577</v>
      </c>
      <c r="G312">
        <f t="shared" ca="1" si="80"/>
        <v>101.84420953398175</v>
      </c>
      <c r="H312">
        <f t="shared" ca="1" si="81"/>
        <v>89.992131541828442</v>
      </c>
      <c r="I312">
        <f t="shared" ca="1" si="90"/>
        <v>105.5335</v>
      </c>
      <c r="J312">
        <f t="shared" ca="1" si="91"/>
        <v>2.6177356124792479</v>
      </c>
      <c r="K312">
        <f t="shared" ca="1" si="92"/>
        <v>110.76897122495851</v>
      </c>
      <c r="L312">
        <f t="shared" ca="1" si="93"/>
        <v>100.2980287750415</v>
      </c>
      <c r="M312">
        <f t="shared" ca="1" si="82"/>
        <v>0.87999999999999545</v>
      </c>
      <c r="N312">
        <f t="shared" ca="1" si="83"/>
        <v>0.87999999999999545</v>
      </c>
      <c r="O312">
        <f t="shared" ca="1" si="84"/>
        <v>0</v>
      </c>
      <c r="P312">
        <f t="shared" ca="1" si="88"/>
        <v>0.79176188196832309</v>
      </c>
      <c r="Q312">
        <f t="shared" ca="1" si="89"/>
        <v>0.43042645712698219</v>
      </c>
      <c r="R312">
        <f t="shared" ca="1" si="86"/>
        <v>1.8394823758120928</v>
      </c>
      <c r="S312">
        <f t="shared" ca="1" si="87"/>
        <v>64.7823135470598</v>
      </c>
      <c r="T312">
        <f>70</f>
        <v>70</v>
      </c>
      <c r="U312">
        <f>30</f>
        <v>30</v>
      </c>
      <c r="V312">
        <f t="shared" ca="1" si="85"/>
        <v>106.74783362870329</v>
      </c>
      <c r="W312">
        <f t="shared" ca="1" si="95"/>
        <v>104.23935385296841</v>
      </c>
      <c r="X312">
        <f t="shared" ca="1" si="94"/>
        <v>2.6291640612824665</v>
      </c>
      <c r="Y312">
        <f t="shared" ca="1" si="96"/>
        <v>2.6333243706546878</v>
      </c>
      <c r="Z312">
        <f t="shared" ca="1" si="97"/>
        <v>-4.160309372221338E-3</v>
      </c>
      <c r="AA312">
        <f t="shared" ca="1" si="98"/>
        <v>96.799699999999987</v>
      </c>
    </row>
    <row r="313" spans="1:27" x14ac:dyDescent="0.25">
      <c r="A313" vm="914">
        <f ca="1"/>
        <v>45747</v>
      </c>
      <c r="B313" vm="915">
        <f ca="1"/>
        <v>110.59</v>
      </c>
      <c r="C313" vm="916">
        <f ca="1"/>
        <v>2920439</v>
      </c>
      <c r="D313">
        <f t="shared" ca="1" si="79"/>
        <v>322971349.00999999</v>
      </c>
      <c r="E313">
        <f ca="1">SUM($D$2:D313)/SUM($C$2:C313)</f>
        <v>95.9843605906931</v>
      </c>
      <c r="F313">
        <f ca="1">_xlfn.STDEV.P($B$2:B313)</f>
        <v>5.9772552322758132</v>
      </c>
      <c r="G313">
        <f t="shared" ca="1" si="80"/>
        <v>101.96161582296891</v>
      </c>
      <c r="H313">
        <f t="shared" ca="1" si="81"/>
        <v>90.007105358417292</v>
      </c>
      <c r="I313">
        <f t="shared" ca="1" si="90"/>
        <v>105.86199999999999</v>
      </c>
      <c r="J313">
        <f t="shared" ca="1" si="91"/>
        <v>2.8220701621327557</v>
      </c>
      <c r="K313">
        <f t="shared" ca="1" si="92"/>
        <v>111.5061403242655</v>
      </c>
      <c r="L313">
        <f t="shared" ca="1" si="93"/>
        <v>100.21785967573449</v>
      </c>
      <c r="M313">
        <f t="shared" ca="1" si="82"/>
        <v>1.8200000000000074</v>
      </c>
      <c r="N313">
        <f t="shared" ca="1" si="83"/>
        <v>1.8200000000000074</v>
      </c>
      <c r="O313">
        <f t="shared" ca="1" si="84"/>
        <v>0</v>
      </c>
      <c r="P313">
        <f t="shared" ca="1" si="88"/>
        <v>0.86520746182772912</v>
      </c>
      <c r="Q313">
        <f t="shared" ca="1" si="89"/>
        <v>0.39968171018934057</v>
      </c>
      <c r="R313">
        <f t="shared" ca="1" si="86"/>
        <v>2.1647411922298265</v>
      </c>
      <c r="S313">
        <f t="shared" ca="1" si="87"/>
        <v>68.401839542038005</v>
      </c>
      <c r="T313">
        <f>70</f>
        <v>70</v>
      </c>
      <c r="U313">
        <f>30</f>
        <v>30</v>
      </c>
      <c r="V313">
        <f t="shared" ca="1" si="85"/>
        <v>107.33893614736432</v>
      </c>
      <c r="W313">
        <f t="shared" ca="1" si="95"/>
        <v>104.70977208608186</v>
      </c>
      <c r="X313">
        <f t="shared" ca="1" si="94"/>
        <v>2.6514760905715065</v>
      </c>
      <c r="Y313">
        <f t="shared" ca="1" si="96"/>
        <v>2.6369547146380516</v>
      </c>
      <c r="Z313">
        <f t="shared" ca="1" si="97"/>
        <v>1.4521375933454816E-2</v>
      </c>
      <c r="AA313">
        <f t="shared" ca="1" si="98"/>
        <v>96.905599999999993</v>
      </c>
    </row>
    <row r="314" spans="1:27" x14ac:dyDescent="0.25">
      <c r="A314" vm="917">
        <f ca="1"/>
        <v>45748</v>
      </c>
      <c r="B314" vm="918">
        <f ca="1"/>
        <v>110.06</v>
      </c>
      <c r="C314" vm="919">
        <f ca="1"/>
        <v>2507642</v>
      </c>
      <c r="D314">
        <f t="shared" ca="1" si="79"/>
        <v>275991078.51999998</v>
      </c>
      <c r="E314">
        <f ca="1">SUM($D$2:D314)/SUM($C$2:C314)</f>
        <v>96.038674981061163</v>
      </c>
      <c r="F314">
        <f ca="1">_xlfn.STDEV.P($B$2:B314)</f>
        <v>6.0232075627506099</v>
      </c>
      <c r="G314">
        <f t="shared" ca="1" si="80"/>
        <v>102.06188254381178</v>
      </c>
      <c r="H314">
        <f t="shared" ca="1" si="81"/>
        <v>90.01546741831055</v>
      </c>
      <c r="I314">
        <f t="shared" ca="1" si="90"/>
        <v>106.25749999999998</v>
      </c>
      <c r="J314">
        <f t="shared" ca="1" si="91"/>
        <v>2.8287376299238804</v>
      </c>
      <c r="K314">
        <f t="shared" ca="1" si="92"/>
        <v>111.91497525984774</v>
      </c>
      <c r="L314">
        <f t="shared" ca="1" si="93"/>
        <v>100.60002474015222</v>
      </c>
      <c r="M314">
        <f t="shared" ca="1" si="82"/>
        <v>-0.53000000000000114</v>
      </c>
      <c r="N314">
        <f t="shared" ca="1" si="83"/>
        <v>0</v>
      </c>
      <c r="O314">
        <f t="shared" ca="1" si="84"/>
        <v>0.53000000000000114</v>
      </c>
      <c r="P314">
        <f t="shared" ca="1" si="88"/>
        <v>0.80340692884003417</v>
      </c>
      <c r="Q314">
        <f t="shared" ca="1" si="89"/>
        <v>0.40899015946153056</v>
      </c>
      <c r="R314">
        <f t="shared" ca="1" si="86"/>
        <v>1.9643673820851484</v>
      </c>
      <c r="S314">
        <f t="shared" ca="1" si="87"/>
        <v>66.265989632614435</v>
      </c>
      <c r="T314">
        <f>70</f>
        <v>70</v>
      </c>
      <c r="U314">
        <f>30</f>
        <v>30</v>
      </c>
      <c r="V314">
        <f t="shared" ca="1" si="85"/>
        <v>107.75756135546212</v>
      </c>
      <c r="W314">
        <f t="shared" ca="1" si="95"/>
        <v>105.10608526489061</v>
      </c>
      <c r="X314">
        <f t="shared" ca="1" si="94"/>
        <v>2.6004501751646814</v>
      </c>
      <c r="Y314">
        <f t="shared" ca="1" si="96"/>
        <v>2.6296538067433777</v>
      </c>
      <c r="Z314">
        <f t="shared" ca="1" si="97"/>
        <v>-2.9203631578696321E-2</v>
      </c>
      <c r="AA314">
        <f t="shared" ca="1" si="98"/>
        <v>97.014699999999991</v>
      </c>
    </row>
    <row r="315" spans="1:27" x14ac:dyDescent="0.25">
      <c r="A315" vm="920">
        <f ca="1"/>
        <v>45749</v>
      </c>
      <c r="B315" vm="921">
        <f ca="1"/>
        <v>109.58</v>
      </c>
      <c r="C315" vm="922">
        <f ca="1"/>
        <v>2015191</v>
      </c>
      <c r="D315">
        <f t="shared" ca="1" si="79"/>
        <v>220824629.78</v>
      </c>
      <c r="E315">
        <f ca="1">SUM($D$2:D315)/SUM($C$2:C315)</f>
        <v>96.080536402268322</v>
      </c>
      <c r="F315">
        <f ca="1">_xlfn.STDEV.P($B$2:B315)</f>
        <v>6.0646149119782917</v>
      </c>
      <c r="G315">
        <f t="shared" ca="1" si="80"/>
        <v>102.14515131424662</v>
      </c>
      <c r="H315">
        <f t="shared" ca="1" si="81"/>
        <v>90.015921490290026</v>
      </c>
      <c r="I315">
        <f t="shared" ca="1" si="90"/>
        <v>106.72649999999999</v>
      </c>
      <c r="J315">
        <f t="shared" ca="1" si="91"/>
        <v>2.5337703858915588</v>
      </c>
      <c r="K315">
        <f t="shared" ca="1" si="92"/>
        <v>111.7940407717831</v>
      </c>
      <c r="L315">
        <f t="shared" ca="1" si="93"/>
        <v>101.65895922821687</v>
      </c>
      <c r="M315">
        <f t="shared" ca="1" si="82"/>
        <v>-0.48000000000000398</v>
      </c>
      <c r="N315">
        <f t="shared" ca="1" si="83"/>
        <v>0</v>
      </c>
      <c r="O315">
        <f t="shared" ca="1" si="84"/>
        <v>0.48000000000000398</v>
      </c>
      <c r="P315">
        <f t="shared" ca="1" si="88"/>
        <v>0.74602071963717453</v>
      </c>
      <c r="Q315">
        <f t="shared" ca="1" si="89"/>
        <v>0.41406229092856434</v>
      </c>
      <c r="R315">
        <f t="shared" ca="1" si="86"/>
        <v>1.8017113269700789</v>
      </c>
      <c r="S315">
        <f t="shared" ca="1" si="87"/>
        <v>64.307529102883919</v>
      </c>
      <c r="T315">
        <f>70</f>
        <v>70</v>
      </c>
      <c r="U315">
        <f>30</f>
        <v>30</v>
      </c>
      <c r="V315">
        <f t="shared" ca="1" si="85"/>
        <v>108.03793653154487</v>
      </c>
      <c r="W315">
        <f t="shared" ca="1" si="95"/>
        <v>105.43748635638019</v>
      </c>
      <c r="X315">
        <f t="shared" ca="1" si="94"/>
        <v>2.7813221767671337</v>
      </c>
      <c r="Y315">
        <f t="shared" ca="1" si="96"/>
        <v>2.659987480748129</v>
      </c>
      <c r="Z315">
        <f t="shared" ca="1" si="97"/>
        <v>0.12133469601900471</v>
      </c>
      <c r="AA315">
        <f t="shared" ca="1" si="98"/>
        <v>97.112299999999991</v>
      </c>
    </row>
    <row r="316" spans="1:27" x14ac:dyDescent="0.25">
      <c r="A316" vm="923">
        <f ca="1"/>
        <v>45750</v>
      </c>
      <c r="B316" vm="924">
        <f ca="1"/>
        <v>112.72</v>
      </c>
      <c r="C316" vm="925">
        <f ca="1"/>
        <v>4175537</v>
      </c>
      <c r="D316">
        <f t="shared" ca="1" si="79"/>
        <v>470666530.63999999</v>
      </c>
      <c r="E316">
        <f ca="1">SUM($D$2:D316)/SUM($C$2:C316)</f>
        <v>96.186441112080743</v>
      </c>
      <c r="F316">
        <f ca="1">_xlfn.STDEV.P($B$2:B316)</f>
        <v>6.130266466300287</v>
      </c>
      <c r="G316">
        <f t="shared" ca="1" si="80"/>
        <v>102.31670757838103</v>
      </c>
      <c r="H316">
        <f t="shared" ca="1" si="81"/>
        <v>90.056174645780459</v>
      </c>
      <c r="I316">
        <f t="shared" ca="1" si="90"/>
        <v>107.31699999999998</v>
      </c>
      <c r="J316">
        <f t="shared" ca="1" si="91"/>
        <v>2.4825328746431969</v>
      </c>
      <c r="K316">
        <f t="shared" ca="1" si="92"/>
        <v>112.28206574928637</v>
      </c>
      <c r="L316">
        <f t="shared" ca="1" si="93"/>
        <v>102.35193425071358</v>
      </c>
      <c r="M316">
        <f t="shared" ca="1" si="82"/>
        <v>3.1400000000000006</v>
      </c>
      <c r="N316">
        <f t="shared" ca="1" si="83"/>
        <v>3.1400000000000006</v>
      </c>
      <c r="O316">
        <f t="shared" ca="1" si="84"/>
        <v>0</v>
      </c>
      <c r="P316">
        <f t="shared" ca="1" si="88"/>
        <v>0.91701923966309073</v>
      </c>
      <c r="Q316">
        <f t="shared" ca="1" si="89"/>
        <v>0.38448641300509545</v>
      </c>
      <c r="R316">
        <f t="shared" ca="1" si="86"/>
        <v>2.3850497927762606</v>
      </c>
      <c r="S316">
        <f t="shared" ca="1" si="87"/>
        <v>70.45833706393293</v>
      </c>
      <c r="T316">
        <f>70</f>
        <v>70</v>
      </c>
      <c r="U316">
        <f>30</f>
        <v>30</v>
      </c>
      <c r="V316">
        <f t="shared" ca="1" si="85"/>
        <v>108.75825398823028</v>
      </c>
      <c r="W316">
        <f t="shared" ca="1" si="95"/>
        <v>105.97693181146315</v>
      </c>
      <c r="X316">
        <f t="shared" ca="1" si="94"/>
        <v>2.6201099594839548</v>
      </c>
      <c r="Y316">
        <f t="shared" ca="1" si="96"/>
        <v>2.6520119764952943</v>
      </c>
      <c r="Z316">
        <f t="shared" ca="1" si="97"/>
        <v>-3.1902017011339545E-2</v>
      </c>
      <c r="AA316">
        <f t="shared" ca="1" si="98"/>
        <v>97.249899999999997</v>
      </c>
    </row>
    <row r="317" spans="1:27" x14ac:dyDescent="0.25">
      <c r="A317" vm="926">
        <f ca="1"/>
        <v>45751</v>
      </c>
      <c r="B317" vm="927">
        <f ca="1"/>
        <v>109.32</v>
      </c>
      <c r="C317" vm="928">
        <f ca="1"/>
        <v>6395885</v>
      </c>
      <c r="D317">
        <f t="shared" ca="1" si="79"/>
        <v>699198148.19999993</v>
      </c>
      <c r="E317">
        <f ca="1">SUM($D$2:D317)/SUM($C$2:C317)</f>
        <v>96.313245188768889</v>
      </c>
      <c r="F317">
        <f ca="1">_xlfn.STDEV.P($B$2:B317)</f>
        <v>6.1678458833608074</v>
      </c>
      <c r="G317">
        <f t="shared" ca="1" si="80"/>
        <v>102.4810910721297</v>
      </c>
      <c r="H317">
        <f t="shared" ca="1" si="81"/>
        <v>90.145399305408077</v>
      </c>
      <c r="I317">
        <f t="shared" ca="1" si="90"/>
        <v>107.601</v>
      </c>
      <c r="J317">
        <f t="shared" ca="1" si="91"/>
        <v>2.3617007698512089</v>
      </c>
      <c r="K317">
        <f t="shared" ca="1" si="92"/>
        <v>112.32440153970242</v>
      </c>
      <c r="L317">
        <f t="shared" ca="1" si="93"/>
        <v>102.87759846029758</v>
      </c>
      <c r="M317">
        <f t="shared" ca="1" si="82"/>
        <v>-3.4000000000000057</v>
      </c>
      <c r="N317">
        <f t="shared" ca="1" si="83"/>
        <v>0</v>
      </c>
      <c r="O317">
        <f t="shared" ca="1" si="84"/>
        <v>3.4000000000000057</v>
      </c>
      <c r="P317">
        <f t="shared" ca="1" si="88"/>
        <v>0.85151786540144137</v>
      </c>
      <c r="Q317">
        <f t="shared" ca="1" si="89"/>
        <v>0.59988024064758905</v>
      </c>
      <c r="R317">
        <f t="shared" ca="1" si="86"/>
        <v>1.4194797689655552</v>
      </c>
      <c r="S317">
        <f t="shared" ca="1" si="87"/>
        <v>58.668800920474382</v>
      </c>
      <c r="T317">
        <f>70</f>
        <v>70</v>
      </c>
      <c r="U317">
        <f>30</f>
        <v>30</v>
      </c>
      <c r="V317">
        <f t="shared" ca="1" si="85"/>
        <v>108.84467645157946</v>
      </c>
      <c r="W317">
        <f t="shared" ca="1" si="95"/>
        <v>106.22456649209551</v>
      </c>
      <c r="X317">
        <f t="shared" ca="1" si="94"/>
        <v>2.1512387355785165</v>
      </c>
      <c r="Y317">
        <f t="shared" ca="1" si="96"/>
        <v>2.5518573283119386</v>
      </c>
      <c r="Z317">
        <f t="shared" ca="1" si="97"/>
        <v>-0.40061859273342204</v>
      </c>
      <c r="AA317">
        <f t="shared" ca="1" si="98"/>
        <v>97.367299999999972</v>
      </c>
    </row>
    <row r="318" spans="1:27" x14ac:dyDescent="0.25">
      <c r="A318" vm="929">
        <f ca="1"/>
        <v>45754</v>
      </c>
      <c r="B318" vm="930">
        <f ca="1"/>
        <v>105.4</v>
      </c>
      <c r="C318" vm="931">
        <f ca="1"/>
        <v>4405486</v>
      </c>
      <c r="D318">
        <f t="shared" ca="1" si="79"/>
        <v>464338224.40000004</v>
      </c>
      <c r="E318">
        <f ca="1">SUM($D$2:D318)/SUM($C$2:C318)</f>
        <v>96.373275989143721</v>
      </c>
      <c r="F318">
        <f ca="1">_xlfn.STDEV.P($B$2:B318)</f>
        <v>6.1816407312607886</v>
      </c>
      <c r="G318">
        <f t="shared" ca="1" si="80"/>
        <v>102.55491672040451</v>
      </c>
      <c r="H318">
        <f t="shared" ca="1" si="81"/>
        <v>90.191635257882936</v>
      </c>
      <c r="I318">
        <f t="shared" ca="1" si="90"/>
        <v>107.53799999999998</v>
      </c>
      <c r="J318">
        <f t="shared" ca="1" si="91"/>
        <v>2.4045408796910204</v>
      </c>
      <c r="K318">
        <f t="shared" ca="1" si="92"/>
        <v>112.34708175938202</v>
      </c>
      <c r="L318">
        <f t="shared" ca="1" si="93"/>
        <v>102.72891824061794</v>
      </c>
      <c r="M318">
        <f t="shared" ca="1" si="82"/>
        <v>-3.9199999999999875</v>
      </c>
      <c r="N318">
        <f t="shared" ca="1" si="83"/>
        <v>0</v>
      </c>
      <c r="O318">
        <f t="shared" ca="1" si="84"/>
        <v>3.9199999999999875</v>
      </c>
      <c r="P318">
        <f t="shared" ca="1" si="88"/>
        <v>0.79069516072990986</v>
      </c>
      <c r="Q318">
        <f t="shared" ca="1" si="89"/>
        <v>0.83703165202990326</v>
      </c>
      <c r="R318">
        <f t="shared" ca="1" si="86"/>
        <v>0.94464188876535105</v>
      </c>
      <c r="S318">
        <f t="shared" ca="1" si="87"/>
        <v>48.576650242019731</v>
      </c>
      <c r="T318">
        <f>70</f>
        <v>70</v>
      </c>
      <c r="U318">
        <f>30</f>
        <v>30</v>
      </c>
      <c r="V318">
        <f t="shared" ca="1" si="85"/>
        <v>108.31472622825954</v>
      </c>
      <c r="W318">
        <f t="shared" ca="1" si="95"/>
        <v>106.16348749268103</v>
      </c>
      <c r="X318">
        <f t="shared" ca="1" si="94"/>
        <v>1.8112257967856209</v>
      </c>
      <c r="Y318">
        <f t="shared" ca="1" si="96"/>
        <v>2.4037310220066752</v>
      </c>
      <c r="Z318">
        <f t="shared" ca="1" si="97"/>
        <v>-0.59250522522105431</v>
      </c>
      <c r="AA318">
        <f t="shared" ca="1" si="98"/>
        <v>97.439999999999984</v>
      </c>
    </row>
    <row r="319" spans="1:27" x14ac:dyDescent="0.25">
      <c r="A319" vm="932">
        <f ca="1"/>
        <v>45755</v>
      </c>
      <c r="B319" vm="933">
        <f ca="1"/>
        <v>106.05</v>
      </c>
      <c r="C319" vm="934">
        <f ca="1"/>
        <v>2683063</v>
      </c>
      <c r="D319">
        <f t="shared" ca="1" si="79"/>
        <v>284538831.14999998</v>
      </c>
      <c r="E319">
        <f ca="1">SUM($D$2:D319)/SUM($C$2:C319)</f>
        <v>96.412054118258382</v>
      </c>
      <c r="F319">
        <f ca="1">_xlfn.STDEV.P($B$2:B319)</f>
        <v>6.198428022424018</v>
      </c>
      <c r="G319">
        <f t="shared" ca="1" si="80"/>
        <v>102.61048214068239</v>
      </c>
      <c r="H319">
        <f t="shared" ca="1" si="81"/>
        <v>90.213626095834371</v>
      </c>
      <c r="I319">
        <f t="shared" ca="1" si="90"/>
        <v>107.652</v>
      </c>
      <c r="J319">
        <f t="shared" ca="1" si="91"/>
        <v>2.2665870471052427</v>
      </c>
      <c r="K319">
        <f t="shared" ca="1" si="92"/>
        <v>112.18517409421048</v>
      </c>
      <c r="L319">
        <f t="shared" ca="1" si="93"/>
        <v>103.11882590578952</v>
      </c>
      <c r="M319">
        <f t="shared" ca="1" si="82"/>
        <v>0.64999999999999147</v>
      </c>
      <c r="N319">
        <f t="shared" ca="1" si="83"/>
        <v>0.64999999999999147</v>
      </c>
      <c r="O319">
        <f t="shared" ca="1" si="84"/>
        <v>0</v>
      </c>
      <c r="P319">
        <f t="shared" ca="1" si="88"/>
        <v>0.78064550639205854</v>
      </c>
      <c r="Q319">
        <f t="shared" ca="1" si="89"/>
        <v>0.77724367688491014</v>
      </c>
      <c r="R319">
        <f t="shared" ca="1" si="86"/>
        <v>1.0043767863391087</v>
      </c>
      <c r="S319">
        <f t="shared" ca="1" si="87"/>
        <v>50.109180728118055</v>
      </c>
      <c r="T319">
        <f>70</f>
        <v>70</v>
      </c>
      <c r="U319">
        <f>30</f>
        <v>30</v>
      </c>
      <c r="V319">
        <f t="shared" ca="1" si="85"/>
        <v>107.96630680852731</v>
      </c>
      <c r="W319">
        <f t="shared" ca="1" si="95"/>
        <v>106.15508101174169</v>
      </c>
      <c r="X319">
        <f t="shared" ca="1" si="94"/>
        <v>1.5018569610158465</v>
      </c>
      <c r="Y319">
        <f t="shared" ca="1" si="96"/>
        <v>2.2233562098085096</v>
      </c>
      <c r="Z319">
        <f t="shared" ca="1" si="97"/>
        <v>-0.72149924879266303</v>
      </c>
      <c r="AA319">
        <f t="shared" ca="1" si="98"/>
        <v>97.515699999999981</v>
      </c>
    </row>
    <row r="320" spans="1:27" x14ac:dyDescent="0.25">
      <c r="A320" vm="935">
        <f ca="1"/>
        <v>45756</v>
      </c>
      <c r="B320" vm="936">
        <f ca="1"/>
        <v>105.77</v>
      </c>
      <c r="C320" vm="937">
        <f ca="1"/>
        <v>4912769</v>
      </c>
      <c r="D320">
        <f t="shared" ca="1" si="79"/>
        <v>519623577.13</v>
      </c>
      <c r="E320">
        <f ca="1">SUM($D$2:D320)/SUM($C$2:C320)</f>
        <v>96.480218807036607</v>
      </c>
      <c r="F320">
        <f ca="1">_xlfn.STDEV.P($B$2:B320)</f>
        <v>6.2134841815422694</v>
      </c>
      <c r="G320">
        <f t="shared" ca="1" si="80"/>
        <v>102.69370298857888</v>
      </c>
      <c r="H320">
        <f t="shared" ca="1" si="81"/>
        <v>90.266734625494337</v>
      </c>
      <c r="I320">
        <f t="shared" ca="1" si="90"/>
        <v>107.80850000000001</v>
      </c>
      <c r="J320">
        <f t="shared" ca="1" si="91"/>
        <v>1.9939758616498116</v>
      </c>
      <c r="K320">
        <f t="shared" ca="1" si="92"/>
        <v>111.79645172329963</v>
      </c>
      <c r="L320">
        <f t="shared" ca="1" si="93"/>
        <v>103.82054827670039</v>
      </c>
      <c r="M320">
        <f t="shared" ca="1" si="82"/>
        <v>-0.28000000000000114</v>
      </c>
      <c r="N320">
        <f t="shared" ca="1" si="83"/>
        <v>0</v>
      </c>
      <c r="O320">
        <f t="shared" ca="1" si="84"/>
        <v>0.28000000000000114</v>
      </c>
      <c r="P320">
        <f t="shared" ca="1" si="88"/>
        <v>0.72488511307834003</v>
      </c>
      <c r="Q320">
        <f t="shared" ca="1" si="89"/>
        <v>0.74172627139313096</v>
      </c>
      <c r="R320">
        <f t="shared" ca="1" si="86"/>
        <v>0.97729464498654006</v>
      </c>
      <c r="S320">
        <f t="shared" ca="1" si="87"/>
        <v>49.425847961733226</v>
      </c>
      <c r="T320">
        <f>70</f>
        <v>70</v>
      </c>
      <c r="U320">
        <f>30</f>
        <v>30</v>
      </c>
      <c r="V320">
        <f t="shared" ca="1" si="85"/>
        <v>107.62841345336926</v>
      </c>
      <c r="W320">
        <f t="shared" ca="1" si="95"/>
        <v>106.12655649235342</v>
      </c>
      <c r="X320">
        <f t="shared" ca="1" si="94"/>
        <v>1.4441821528085654</v>
      </c>
      <c r="Y320">
        <f t="shared" ca="1" si="96"/>
        <v>2.067521398408521</v>
      </c>
      <c r="Z320">
        <f t="shared" ca="1" si="97"/>
        <v>-0.62333924559995557</v>
      </c>
      <c r="AA320">
        <f t="shared" ca="1" si="98"/>
        <v>97.60299999999998</v>
      </c>
    </row>
    <row r="321" spans="1:27" x14ac:dyDescent="0.25">
      <c r="A321" vm="938">
        <f ca="1"/>
        <v>45757</v>
      </c>
      <c r="B321" vm="939">
        <f ca="1"/>
        <v>108.3</v>
      </c>
      <c r="C321" vm="940">
        <f ca="1"/>
        <v>3382289</v>
      </c>
      <c r="D321">
        <f t="shared" ca="1" si="79"/>
        <v>366301898.69999999</v>
      </c>
      <c r="E321">
        <f ca="1">SUM($D$2:D321)/SUM($C$2:C321)</f>
        <v>96.539198190385775</v>
      </c>
      <c r="F321">
        <f ca="1">_xlfn.STDEV.P($B$2:B321)</f>
        <v>6.2423511383432295</v>
      </c>
      <c r="G321">
        <f t="shared" ca="1" si="80"/>
        <v>102.781549328729</v>
      </c>
      <c r="H321">
        <f t="shared" ca="1" si="81"/>
        <v>90.296847052042551</v>
      </c>
      <c r="I321">
        <f t="shared" ca="1" si="90"/>
        <v>107.995</v>
      </c>
      <c r="J321">
        <f t="shared" ca="1" si="91"/>
        <v>1.8439217359804223</v>
      </c>
      <c r="K321">
        <f t="shared" ca="1" si="92"/>
        <v>111.68284347196085</v>
      </c>
      <c r="L321">
        <f t="shared" ca="1" si="93"/>
        <v>104.30715652803916</v>
      </c>
      <c r="M321">
        <f t="shared" ca="1" si="82"/>
        <v>2.5300000000000011</v>
      </c>
      <c r="N321">
        <f t="shared" ca="1" si="83"/>
        <v>2.5300000000000011</v>
      </c>
      <c r="O321">
        <f t="shared" ca="1" si="84"/>
        <v>0</v>
      </c>
      <c r="P321">
        <f t="shared" ca="1" si="88"/>
        <v>0.85382189071560155</v>
      </c>
      <c r="Q321">
        <f t="shared" ca="1" si="89"/>
        <v>0.68874582343647872</v>
      </c>
      <c r="R321">
        <f t="shared" ca="1" si="86"/>
        <v>1.2396763242141786</v>
      </c>
      <c r="S321">
        <f t="shared" ca="1" si="87"/>
        <v>55.350691116009187</v>
      </c>
      <c r="T321">
        <f>70</f>
        <v>70</v>
      </c>
      <c r="U321">
        <f>30</f>
        <v>30</v>
      </c>
      <c r="V321">
        <f t="shared" ca="1" si="85"/>
        <v>107.73173446054321</v>
      </c>
      <c r="W321">
        <f t="shared" ca="1" si="95"/>
        <v>106.28755230773464</v>
      </c>
      <c r="X321">
        <f t="shared" ca="1" si="94"/>
        <v>1.5053864238392265</v>
      </c>
      <c r="Y321">
        <f t="shared" ca="1" si="96"/>
        <v>1.9550944034946622</v>
      </c>
      <c r="Z321">
        <f t="shared" ca="1" si="97"/>
        <v>-0.44970797965543574</v>
      </c>
      <c r="AA321">
        <f t="shared" ca="1" si="98"/>
        <v>97.731899999999968</v>
      </c>
    </row>
    <row r="322" spans="1:27" x14ac:dyDescent="0.25">
      <c r="A322" vm="941">
        <f ca="1"/>
        <v>45758</v>
      </c>
      <c r="B322" vm="942">
        <f ca="1"/>
        <v>109.84</v>
      </c>
      <c r="C322" vm="943">
        <f ca="1"/>
        <v>2617288</v>
      </c>
      <c r="D322">
        <f t="shared" ca="1" si="79"/>
        <v>287482913.92000002</v>
      </c>
      <c r="E322">
        <f ca="1">SUM($D$2:D322)/SUM($C$2:C322)</f>
        <v>96.590358799804193</v>
      </c>
      <c r="F322">
        <f ca="1">_xlfn.STDEV.P($B$2:B322)</f>
        <v>6.2806877319813985</v>
      </c>
      <c r="G322">
        <f t="shared" ca="1" si="80"/>
        <v>102.87104653178559</v>
      </c>
      <c r="H322">
        <f t="shared" ca="1" si="81"/>
        <v>90.309671067822791</v>
      </c>
      <c r="I322">
        <f t="shared" ca="1" si="90"/>
        <v>108.1665</v>
      </c>
      <c r="J322">
        <f t="shared" ca="1" si="91"/>
        <v>1.848248886748866</v>
      </c>
      <c r="K322">
        <f t="shared" ca="1" si="92"/>
        <v>111.86299777349772</v>
      </c>
      <c r="L322">
        <f t="shared" ca="1" si="93"/>
        <v>104.47000222650227</v>
      </c>
      <c r="M322">
        <f t="shared" ca="1" si="82"/>
        <v>1.5400000000000063</v>
      </c>
      <c r="N322">
        <f t="shared" ca="1" si="83"/>
        <v>1.5400000000000063</v>
      </c>
      <c r="O322">
        <f t="shared" ca="1" si="84"/>
        <v>0</v>
      </c>
      <c r="P322">
        <f t="shared" ca="1" si="88"/>
        <v>0.90283461280734478</v>
      </c>
      <c r="Q322">
        <f t="shared" ca="1" si="89"/>
        <v>0.63954969319101596</v>
      </c>
      <c r="R322">
        <f t="shared" ca="1" si="86"/>
        <v>1.4116723413667449</v>
      </c>
      <c r="S322">
        <f t="shared" ca="1" si="87"/>
        <v>58.534997360658075</v>
      </c>
      <c r="T322">
        <f>70</f>
        <v>70</v>
      </c>
      <c r="U322">
        <f>30</f>
        <v>30</v>
      </c>
      <c r="V322">
        <f t="shared" ca="1" si="85"/>
        <v>108.05608300507501</v>
      </c>
      <c r="W322">
        <f t="shared" ca="1" si="95"/>
        <v>106.55069658123578</v>
      </c>
      <c r="X322">
        <f t="shared" ca="1" si="94"/>
        <v>1.7284337994462931</v>
      </c>
      <c r="Y322">
        <f t="shared" ca="1" si="96"/>
        <v>1.9097622826849885</v>
      </c>
      <c r="Z322">
        <f t="shared" ca="1" si="97"/>
        <v>-0.18132848323869544</v>
      </c>
      <c r="AA322">
        <f t="shared" ca="1" si="98"/>
        <v>97.877899999999968</v>
      </c>
    </row>
    <row r="323" spans="1:27" x14ac:dyDescent="0.25">
      <c r="A323" vm="944">
        <f ca="1"/>
        <v>45761</v>
      </c>
      <c r="B323" vm="945">
        <f ca="1"/>
        <v>112.25</v>
      </c>
      <c r="C323" vm="946">
        <f ca="1"/>
        <v>2133340</v>
      </c>
      <c r="D323">
        <f t="shared" ref="D323:D386" ca="1" si="99">B323*C323</f>
        <v>239467415</v>
      </c>
      <c r="E323">
        <f ca="1">SUM($D$2:D323)/SUM($C$2:C323)</f>
        <v>96.63930159654133</v>
      </c>
      <c r="F323">
        <f ca="1">_xlfn.STDEV.P($B$2:B323)</f>
        <v>6.3360422471586606</v>
      </c>
      <c r="G323">
        <f t="shared" ref="G323:G386" ca="1" si="100">E323 + F323</f>
        <v>102.97534384369999</v>
      </c>
      <c r="H323">
        <f t="shared" ref="H323:H386" ca="1" si="101">E323 - F323</f>
        <v>90.303259349382671</v>
      </c>
      <c r="I323">
        <f t="shared" ca="1" si="90"/>
        <v>108.398</v>
      </c>
      <c r="J323">
        <f t="shared" ca="1" si="91"/>
        <v>2.0546342996414619</v>
      </c>
      <c r="K323">
        <f t="shared" ca="1" si="92"/>
        <v>112.50726859928292</v>
      </c>
      <c r="L323">
        <f t="shared" ca="1" si="93"/>
        <v>104.28873140071707</v>
      </c>
      <c r="M323">
        <f t="shared" ca="1" si="82"/>
        <v>2.4099999999999966</v>
      </c>
      <c r="N323">
        <f t="shared" ca="1" si="83"/>
        <v>2.4099999999999966</v>
      </c>
      <c r="O323">
        <f t="shared" ca="1" si="84"/>
        <v>0</v>
      </c>
      <c r="P323">
        <f t="shared" ca="1" si="88"/>
        <v>1.0104892833211057</v>
      </c>
      <c r="Q323">
        <f t="shared" ca="1" si="89"/>
        <v>0.5938675722488006</v>
      </c>
      <c r="R323">
        <f t="shared" ca="1" si="86"/>
        <v>1.7015397548895994</v>
      </c>
      <c r="S323">
        <f t="shared" ca="1" si="87"/>
        <v>62.984072390936703</v>
      </c>
      <c r="T323">
        <f>70</f>
        <v>70</v>
      </c>
      <c r="U323">
        <f>30</f>
        <v>30</v>
      </c>
      <c r="V323">
        <f t="shared" ca="1" si="85"/>
        <v>108.70130100429424</v>
      </c>
      <c r="W323">
        <f t="shared" ca="1" si="95"/>
        <v>106.97286720484794</v>
      </c>
      <c r="X323">
        <f t="shared" ca="1" si="94"/>
        <v>1.8483890504268032</v>
      </c>
      <c r="Y323">
        <f t="shared" ca="1" si="96"/>
        <v>1.8974876362333515</v>
      </c>
      <c r="Z323">
        <f t="shared" ca="1" si="97"/>
        <v>-4.9098585806548245E-2</v>
      </c>
      <c r="AA323">
        <f t="shared" ca="1" si="98"/>
        <v>98.035999999999987</v>
      </c>
    </row>
    <row r="324" spans="1:27" x14ac:dyDescent="0.25">
      <c r="A324" vm="947">
        <f ca="1"/>
        <v>45762</v>
      </c>
      <c r="B324" vm="948">
        <f ca="1"/>
        <v>111.81</v>
      </c>
      <c r="C324" vm="949">
        <f ca="1"/>
        <v>2314523</v>
      </c>
      <c r="D324">
        <f t="shared" ca="1" si="99"/>
        <v>258786816.63</v>
      </c>
      <c r="E324">
        <f ca="1">SUM($D$2:D324)/SUM($C$2:C324)</f>
        <v>96.690569297062297</v>
      </c>
      <c r="F324">
        <f ca="1">_xlfn.STDEV.P($B$2:B324)</f>
        <v>6.38677861963395</v>
      </c>
      <c r="G324">
        <f t="shared" ca="1" si="100"/>
        <v>103.07734791669624</v>
      </c>
      <c r="H324">
        <f t="shared" ca="1" si="101"/>
        <v>90.303790677428353</v>
      </c>
      <c r="I324">
        <f t="shared" ca="1" si="90"/>
        <v>108.59799999999998</v>
      </c>
      <c r="J324">
        <f t="shared" ca="1" si="91"/>
        <v>2.1849355042871954</v>
      </c>
      <c r="K324">
        <f t="shared" ca="1" si="92"/>
        <v>112.96787100857438</v>
      </c>
      <c r="L324">
        <f t="shared" ca="1" si="93"/>
        <v>104.22812899142559</v>
      </c>
      <c r="M324">
        <f t="shared" ref="M324:M387" ca="1" si="102">B324-B323</f>
        <v>-0.43999999999999773</v>
      </c>
      <c r="N324">
        <f t="shared" ref="N324:N387" ca="1" si="103">MAX(M324,0)</f>
        <v>0</v>
      </c>
      <c r="O324">
        <f t="shared" ref="O324:O387" ca="1" si="104">MAX(-M324,0)</f>
        <v>0.43999999999999773</v>
      </c>
      <c r="P324">
        <f t="shared" ca="1" si="88"/>
        <v>0.93831147736959808</v>
      </c>
      <c r="Q324">
        <f t="shared" ca="1" si="89"/>
        <v>0.58287703137388613</v>
      </c>
      <c r="R324">
        <f t="shared" ca="1" si="86"/>
        <v>1.6097931928419371</v>
      </c>
      <c r="S324">
        <f t="shared" ca="1" si="87"/>
        <v>61.682787634561613</v>
      </c>
      <c r="T324">
        <f>70</f>
        <v>70</v>
      </c>
      <c r="U324">
        <f>30</f>
        <v>30</v>
      </c>
      <c r="V324">
        <f t="shared" ca="1" si="85"/>
        <v>109.17956238824897</v>
      </c>
      <c r="W324">
        <f t="shared" ca="1" si="95"/>
        <v>107.33117333782216</v>
      </c>
      <c r="X324">
        <f t="shared" ca="1" si="94"/>
        <v>1.8917911524721944</v>
      </c>
      <c r="Y324">
        <f t="shared" ca="1" si="96"/>
        <v>1.89634833948112</v>
      </c>
      <c r="Z324">
        <f t="shared" ca="1" si="97"/>
        <v>-4.5571870089256006E-3</v>
      </c>
      <c r="AA324">
        <f t="shared" ca="1" si="98"/>
        <v>98.18959999999997</v>
      </c>
    </row>
    <row r="325" spans="1:27" x14ac:dyDescent="0.25">
      <c r="A325" vm="950">
        <f ca="1"/>
        <v>45763</v>
      </c>
      <c r="B325" vm="951">
        <f ca="1"/>
        <v>111.44</v>
      </c>
      <c r="C325" vm="952">
        <f ca="1"/>
        <v>2133038</v>
      </c>
      <c r="D325">
        <f t="shared" ca="1" si="99"/>
        <v>237705754.72</v>
      </c>
      <c r="E325">
        <f ca="1">SUM($D$2:D325)/SUM($C$2:C325)</f>
        <v>96.736362407738923</v>
      </c>
      <c r="F325">
        <f ca="1">_xlfn.STDEV.P($B$2:B325)</f>
        <v>6.4336849993675269</v>
      </c>
      <c r="G325">
        <f t="shared" ca="1" si="100"/>
        <v>103.17004740710645</v>
      </c>
      <c r="H325">
        <f t="shared" ca="1" si="101"/>
        <v>90.302677408371395</v>
      </c>
      <c r="I325">
        <f t="shared" ca="1" si="90"/>
        <v>108.79549999999999</v>
      </c>
      <c r="J325">
        <f t="shared" ca="1" si="91"/>
        <v>2.2568503320009139</v>
      </c>
      <c r="K325">
        <f t="shared" ca="1" si="92"/>
        <v>113.30920066400182</v>
      </c>
      <c r="L325">
        <f t="shared" ca="1" si="93"/>
        <v>104.28179933599816</v>
      </c>
      <c r="M325">
        <f t="shared" ca="1" si="102"/>
        <v>-0.37000000000000455</v>
      </c>
      <c r="N325">
        <f t="shared" ca="1" si="103"/>
        <v>0</v>
      </c>
      <c r="O325">
        <f t="shared" ca="1" si="104"/>
        <v>0.37000000000000455</v>
      </c>
      <c r="P325">
        <f t="shared" ca="1" si="88"/>
        <v>0.87128922898605532</v>
      </c>
      <c r="Q325">
        <f t="shared" ca="1" si="89"/>
        <v>0.56767152913289454</v>
      </c>
      <c r="R325">
        <f t="shared" ca="1" si="86"/>
        <v>1.5348475029510991</v>
      </c>
      <c r="S325">
        <f t="shared" ca="1" si="87"/>
        <v>60.549895059336379</v>
      </c>
      <c r="T325">
        <f>70</f>
        <v>70</v>
      </c>
      <c r="U325">
        <f>30</f>
        <v>30</v>
      </c>
      <c r="V325">
        <f t="shared" ca="1" si="85"/>
        <v>109.52732202082606</v>
      </c>
      <c r="W325">
        <f t="shared" ca="1" si="95"/>
        <v>107.63553086835387</v>
      </c>
      <c r="X325">
        <f t="shared" ca="1" si="94"/>
        <v>1.9568863474938212</v>
      </c>
      <c r="Y325">
        <f t="shared" ca="1" si="96"/>
        <v>1.9084559410836603</v>
      </c>
      <c r="Z325">
        <f t="shared" ca="1" si="97"/>
        <v>4.8430406410160831E-2</v>
      </c>
      <c r="AA325">
        <f t="shared" ca="1" si="98"/>
        <v>98.334299999999971</v>
      </c>
    </row>
    <row r="326" spans="1:27" x14ac:dyDescent="0.25">
      <c r="A326" vm="953">
        <f ca="1"/>
        <v>45764</v>
      </c>
      <c r="B326" vm="954">
        <f ca="1"/>
        <v>112.1</v>
      </c>
      <c r="C326" vm="955">
        <f ca="1"/>
        <v>2055242</v>
      </c>
      <c r="D326">
        <f t="shared" ca="1" si="99"/>
        <v>230392628.19999999</v>
      </c>
      <c r="E326">
        <f ca="1">SUM($D$2:D326)/SUM($C$2:C326)</f>
        <v>96.782185676158448</v>
      </c>
      <c r="F326">
        <f ca="1">_xlfn.STDEV.P($B$2:B326)</f>
        <v>6.4845120162579777</v>
      </c>
      <c r="G326">
        <f t="shared" ca="1" si="100"/>
        <v>103.26669769241643</v>
      </c>
      <c r="H326">
        <f t="shared" ca="1" si="101"/>
        <v>90.297673659900468</v>
      </c>
      <c r="I326">
        <f t="shared" ca="1" si="90"/>
        <v>108.97649999999999</v>
      </c>
      <c r="J326">
        <f t="shared" ca="1" si="91"/>
        <v>2.37241887443796</v>
      </c>
      <c r="K326">
        <f t="shared" ca="1" si="92"/>
        <v>113.72133774887591</v>
      </c>
      <c r="L326">
        <f t="shared" ca="1" si="93"/>
        <v>104.23166225112406</v>
      </c>
      <c r="M326">
        <f t="shared" ca="1" si="102"/>
        <v>0.65999999999999659</v>
      </c>
      <c r="N326">
        <f t="shared" ca="1" si="103"/>
        <v>0.65999999999999659</v>
      </c>
      <c r="O326">
        <f t="shared" ca="1" si="104"/>
        <v>0</v>
      </c>
      <c r="P326">
        <f t="shared" ca="1" si="88"/>
        <v>0.85619714120133683</v>
      </c>
      <c r="Q326">
        <f t="shared" ca="1" si="89"/>
        <v>0.52712356276625916</v>
      </c>
      <c r="R326">
        <f t="shared" ca="1" si="86"/>
        <v>1.6242816707114225</v>
      </c>
      <c r="S326">
        <f t="shared" ca="1" si="87"/>
        <v>61.894334317820856</v>
      </c>
      <c r="T326">
        <f>70</f>
        <v>70</v>
      </c>
      <c r="U326">
        <f>30</f>
        <v>30</v>
      </c>
      <c r="V326">
        <f t="shared" ca="1" si="85"/>
        <v>109.92311863300667</v>
      </c>
      <c r="W326">
        <f t="shared" ca="1" si="95"/>
        <v>107.96623228551285</v>
      </c>
      <c r="X326">
        <f t="shared" ca="1" si="94"/>
        <v>1.8946459863569913</v>
      </c>
      <c r="Y326">
        <f t="shared" ca="1" si="96"/>
        <v>1.9056939501383265</v>
      </c>
      <c r="Z326">
        <f t="shared" ca="1" si="97"/>
        <v>-1.1047963781335213E-2</v>
      </c>
      <c r="AA326">
        <f t="shared" ca="1" si="98"/>
        <v>98.476499999999973</v>
      </c>
    </row>
    <row r="327" spans="1:27" x14ac:dyDescent="0.25">
      <c r="A327" vm="956">
        <f ca="1"/>
        <v>45768</v>
      </c>
      <c r="B327" vm="957">
        <f ca="1"/>
        <v>110.96</v>
      </c>
      <c r="C327" vm="958">
        <f ca="1"/>
        <v>2333943</v>
      </c>
      <c r="D327">
        <f t="shared" ca="1" si="99"/>
        <v>258974315.27999997</v>
      </c>
      <c r="E327">
        <f ca="1">SUM($D$2:D327)/SUM($C$2:C327)</f>
        <v>96.830044286968885</v>
      </c>
      <c r="F327">
        <f ca="1">_xlfn.STDEV.P($B$2:B327)</f>
        <v>6.5260645568845517</v>
      </c>
      <c r="G327">
        <f t="shared" ca="1" si="100"/>
        <v>103.35610884385343</v>
      </c>
      <c r="H327">
        <f t="shared" ca="1" si="101"/>
        <v>90.303979730084336</v>
      </c>
      <c r="I327">
        <f t="shared" ca="1" si="90"/>
        <v>109.1345</v>
      </c>
      <c r="J327">
        <f t="shared" ca="1" si="91"/>
        <v>2.3950595531547632</v>
      </c>
      <c r="K327">
        <f t="shared" ca="1" si="92"/>
        <v>113.92461910630954</v>
      </c>
      <c r="L327">
        <f t="shared" ca="1" si="93"/>
        <v>104.34438089369047</v>
      </c>
      <c r="M327">
        <f t="shared" ca="1" si="102"/>
        <v>-1.1400000000000006</v>
      </c>
      <c r="N327">
        <f t="shared" ca="1" si="103"/>
        <v>0</v>
      </c>
      <c r="O327">
        <f t="shared" ca="1" si="104"/>
        <v>1.1400000000000006</v>
      </c>
      <c r="P327">
        <f t="shared" ca="1" si="88"/>
        <v>0.79504020254409846</v>
      </c>
      <c r="Q327">
        <f t="shared" ca="1" si="89"/>
        <v>0.5709004511400978</v>
      </c>
      <c r="R327">
        <f t="shared" ca="1" si="86"/>
        <v>1.392607416855933</v>
      </c>
      <c r="S327">
        <f t="shared" ca="1" si="87"/>
        <v>58.204593325466</v>
      </c>
      <c r="T327">
        <f>70</f>
        <v>70</v>
      </c>
      <c r="U327">
        <f>30</f>
        <v>30</v>
      </c>
      <c r="V327">
        <f t="shared" ca="1" si="85"/>
        <v>110.08263884331333</v>
      </c>
      <c r="W327">
        <f t="shared" ca="1" si="95"/>
        <v>108.18799285695634</v>
      </c>
      <c r="X327">
        <f t="shared" ca="1" si="94"/>
        <v>2.0109574300662416</v>
      </c>
      <c r="Y327">
        <f t="shared" ca="1" si="96"/>
        <v>1.9267466461239096</v>
      </c>
      <c r="Z327">
        <f t="shared" ca="1" si="97"/>
        <v>8.4210783942332057E-2</v>
      </c>
      <c r="AA327">
        <f t="shared" ca="1" si="98"/>
        <v>98.599099999999979</v>
      </c>
    </row>
    <row r="328" spans="1:27" x14ac:dyDescent="0.25">
      <c r="A328" vm="959">
        <f ca="1"/>
        <v>45769</v>
      </c>
      <c r="B328" vm="960">
        <f ca="1"/>
        <v>113.3</v>
      </c>
      <c r="C328" vm="961">
        <f ca="1"/>
        <v>1833656</v>
      </c>
      <c r="D328">
        <f t="shared" ca="1" si="99"/>
        <v>207753224.79999998</v>
      </c>
      <c r="E328">
        <f ca="1">SUM($D$2:D328)/SUM($C$2:C328)</f>
        <v>96.873607571449313</v>
      </c>
      <c r="F328">
        <f ca="1">_xlfn.STDEV.P($B$2:B328)</f>
        <v>6.5840663425998178</v>
      </c>
      <c r="G328">
        <f t="shared" ca="1" si="100"/>
        <v>103.45767391404912</v>
      </c>
      <c r="H328">
        <f t="shared" ca="1" si="101"/>
        <v>90.289541228849501</v>
      </c>
      <c r="I328">
        <f t="shared" ca="1" si="90"/>
        <v>109.458</v>
      </c>
      <c r="J328">
        <f t="shared" ca="1" si="91"/>
        <v>2.5019731160994136</v>
      </c>
      <c r="K328">
        <f t="shared" ca="1" si="92"/>
        <v>114.46194623219883</v>
      </c>
      <c r="L328">
        <f t="shared" ca="1" si="93"/>
        <v>104.45405376780117</v>
      </c>
      <c r="M328">
        <f t="shared" ca="1" si="102"/>
        <v>2.3400000000000034</v>
      </c>
      <c r="N328">
        <f t="shared" ca="1" si="103"/>
        <v>2.3400000000000034</v>
      </c>
      <c r="O328">
        <f t="shared" ca="1" si="104"/>
        <v>0</v>
      </c>
      <c r="P328">
        <f t="shared" ca="1" si="88"/>
        <v>0.90539447379094884</v>
      </c>
      <c r="Q328">
        <f t="shared" ca="1" si="89"/>
        <v>0.53012184748723368</v>
      </c>
      <c r="R328">
        <f t="shared" ca="1" si="86"/>
        <v>1.7078988124758476</v>
      </c>
      <c r="S328">
        <f t="shared" ca="1" si="87"/>
        <v>63.070998244365924</v>
      </c>
      <c r="T328">
        <f>70</f>
        <v>70</v>
      </c>
      <c r="U328">
        <f>30</f>
        <v>30</v>
      </c>
      <c r="V328">
        <f t="shared" ca="1" si="85"/>
        <v>110.57761748280359</v>
      </c>
      <c r="W328">
        <f t="shared" ca="1" si="95"/>
        <v>108.56666005273735</v>
      </c>
      <c r="X328">
        <f t="shared" ca="1" si="94"/>
        <v>2.0169455135413727</v>
      </c>
      <c r="Y328">
        <f t="shared" ca="1" si="96"/>
        <v>1.9447864196074023</v>
      </c>
      <c r="Z328">
        <f t="shared" ca="1" si="97"/>
        <v>7.2159093933970464E-2</v>
      </c>
      <c r="AA328">
        <f t="shared" ca="1" si="98"/>
        <v>98.748499999999964</v>
      </c>
    </row>
    <row r="329" spans="1:27" x14ac:dyDescent="0.25">
      <c r="A329" vm="962">
        <f ca="1"/>
        <v>45770</v>
      </c>
      <c r="B329" vm="963">
        <f ca="1"/>
        <v>112.52</v>
      </c>
      <c r="C329" vm="964">
        <f ca="1"/>
        <v>2098373</v>
      </c>
      <c r="D329">
        <f t="shared" ca="1" si="99"/>
        <v>236108929.95999998</v>
      </c>
      <c r="E329">
        <f ca="1">SUM($D$2:D329)/SUM($C$2:C329)</f>
        <v>96.920824166337866</v>
      </c>
      <c r="F329">
        <f ca="1">_xlfn.STDEV.P($B$2:B329)</f>
        <v>6.6348581943565828</v>
      </c>
      <c r="G329">
        <f t="shared" ca="1" si="100"/>
        <v>103.55568236069445</v>
      </c>
      <c r="H329">
        <f t="shared" ca="1" si="101"/>
        <v>90.285965971981284</v>
      </c>
      <c r="I329">
        <f t="shared" ca="1" si="90"/>
        <v>109.8065</v>
      </c>
      <c r="J329">
        <f t="shared" ca="1" si="91"/>
        <v>2.4128150735079896</v>
      </c>
      <c r="K329">
        <f t="shared" ca="1" si="92"/>
        <v>114.63213014701599</v>
      </c>
      <c r="L329">
        <f t="shared" ca="1" si="93"/>
        <v>104.98086985298401</v>
      </c>
      <c r="M329">
        <f t="shared" ca="1" si="102"/>
        <v>-0.78000000000000114</v>
      </c>
      <c r="N329">
        <f t="shared" ca="1" si="103"/>
        <v>0</v>
      </c>
      <c r="O329">
        <f t="shared" ca="1" si="104"/>
        <v>0.78000000000000114</v>
      </c>
      <c r="P329">
        <f t="shared" ca="1" si="88"/>
        <v>0.84072343994873822</v>
      </c>
      <c r="Q329">
        <f t="shared" ca="1" si="89"/>
        <v>0.54797028695243133</v>
      </c>
      <c r="R329">
        <f t="shared" ca="1" si="86"/>
        <v>1.5342500496230747</v>
      </c>
      <c r="S329">
        <f t="shared" ca="1" si="87"/>
        <v>60.540594636715802</v>
      </c>
      <c r="T329">
        <f>70</f>
        <v>70</v>
      </c>
      <c r="U329">
        <f>30</f>
        <v>30</v>
      </c>
      <c r="V329">
        <f t="shared" ca="1" si="85"/>
        <v>110.87644556237225</v>
      </c>
      <c r="W329">
        <f t="shared" ca="1" si="95"/>
        <v>108.85950004883088</v>
      </c>
      <c r="X329">
        <f t="shared" ca="1" si="94"/>
        <v>1.9005322397564726</v>
      </c>
      <c r="Y329">
        <f t="shared" ca="1" si="96"/>
        <v>1.9359355836372165</v>
      </c>
      <c r="Z329">
        <f t="shared" ca="1" si="97"/>
        <v>-3.5403343880743954E-2</v>
      </c>
      <c r="AA329">
        <f t="shared" ca="1" si="98"/>
        <v>98.878999999999991</v>
      </c>
    </row>
    <row r="330" spans="1:27" x14ac:dyDescent="0.25">
      <c r="A330" vm="965">
        <f ca="1"/>
        <v>45771</v>
      </c>
      <c r="B330" vm="966">
        <f ca="1"/>
        <v>111.29</v>
      </c>
      <c r="C330" vm="967">
        <f ca="1"/>
        <v>2389269</v>
      </c>
      <c r="D330">
        <f t="shared" ca="1" si="99"/>
        <v>265901747.01000002</v>
      </c>
      <c r="E330">
        <f ca="1">SUM($D$2:D330)/SUM($C$2:C330)</f>
        <v>96.970028680979709</v>
      </c>
      <c r="F330">
        <f ca="1">_xlfn.STDEV.P($B$2:B330)</f>
        <v>6.6758932976484813</v>
      </c>
      <c r="G330">
        <f t="shared" ca="1" si="100"/>
        <v>103.64592197862819</v>
      </c>
      <c r="H330">
        <f t="shared" ca="1" si="101"/>
        <v>90.294135383331223</v>
      </c>
      <c r="I330">
        <f t="shared" ca="1" si="90"/>
        <v>109.998</v>
      </c>
      <c r="J330">
        <f t="shared" ca="1" si="91"/>
        <v>2.3683563032084858</v>
      </c>
      <c r="K330">
        <f t="shared" ca="1" si="92"/>
        <v>114.73471260641698</v>
      </c>
      <c r="L330">
        <f t="shared" ca="1" si="93"/>
        <v>105.26128739358303</v>
      </c>
      <c r="M330">
        <f t="shared" ca="1" si="102"/>
        <v>-1.2299999999999898</v>
      </c>
      <c r="N330">
        <f t="shared" ca="1" si="103"/>
        <v>0</v>
      </c>
      <c r="O330">
        <f t="shared" ca="1" si="104"/>
        <v>1.2299999999999898</v>
      </c>
      <c r="P330">
        <f t="shared" ca="1" si="88"/>
        <v>0.7806717656666855</v>
      </c>
      <c r="Q330">
        <f t="shared" ca="1" si="89"/>
        <v>0.59668669502725691</v>
      </c>
      <c r="R330">
        <f t="shared" ca="1" si="86"/>
        <v>1.3083445167669174</v>
      </c>
      <c r="S330">
        <f t="shared" ca="1" si="87"/>
        <v>56.678910243406527</v>
      </c>
      <c r="T330">
        <f>70</f>
        <v>70</v>
      </c>
      <c r="U330">
        <f>30</f>
        <v>30</v>
      </c>
      <c r="V330">
        <f t="shared" ca="1" si="85"/>
        <v>110.94006932200729</v>
      </c>
      <c r="W330">
        <f t="shared" ca="1" si="95"/>
        <v>109.03953708225082</v>
      </c>
      <c r="X330">
        <f t="shared" ca="1" si="94"/>
        <v>1.7206582247995641</v>
      </c>
      <c r="Y330">
        <f t="shared" ca="1" si="96"/>
        <v>1.8928801118696861</v>
      </c>
      <c r="Z330">
        <f t="shared" ca="1" si="97"/>
        <v>-0.17222188707012198</v>
      </c>
      <c r="AA330">
        <f t="shared" ca="1" si="98"/>
        <v>98.974900000000019</v>
      </c>
    </row>
    <row r="331" spans="1:27" x14ac:dyDescent="0.25">
      <c r="A331" vm="968">
        <f ca="1"/>
        <v>45772</v>
      </c>
      <c r="B331" vm="969">
        <f ca="1"/>
        <v>110.45</v>
      </c>
      <c r="C331" vm="970">
        <f ca="1"/>
        <v>2820849</v>
      </c>
      <c r="D331">
        <f t="shared" ca="1" si="99"/>
        <v>311562772.05000001</v>
      </c>
      <c r="E331">
        <f ca="1">SUM($D$2:D331)/SUM($C$2:C331)</f>
        <v>97.024306776762188</v>
      </c>
      <c r="F331">
        <f ca="1">_xlfn.STDEV.P($B$2:B331)</f>
        <v>6.7106386723073008</v>
      </c>
      <c r="G331">
        <f t="shared" ca="1" si="100"/>
        <v>103.73494544906949</v>
      </c>
      <c r="H331">
        <f t="shared" ca="1" si="101"/>
        <v>90.313668104454891</v>
      </c>
      <c r="I331">
        <f t="shared" ca="1" si="90"/>
        <v>110.12599999999998</v>
      </c>
      <c r="J331">
        <f t="shared" ca="1" si="91"/>
        <v>2.3170543913839348</v>
      </c>
      <c r="K331">
        <f t="shared" ca="1" si="92"/>
        <v>114.76010878276784</v>
      </c>
      <c r="L331">
        <f t="shared" ca="1" si="93"/>
        <v>105.49189121723211</v>
      </c>
      <c r="M331">
        <f t="shared" ca="1" si="102"/>
        <v>-0.84000000000000341</v>
      </c>
      <c r="N331">
        <f t="shared" ca="1" si="103"/>
        <v>0</v>
      </c>
      <c r="O331">
        <f t="shared" ca="1" si="104"/>
        <v>0.84000000000000341</v>
      </c>
      <c r="P331">
        <f t="shared" ca="1" si="88"/>
        <v>0.72490949669049365</v>
      </c>
      <c r="Q331">
        <f t="shared" ca="1" si="89"/>
        <v>0.61406621681102458</v>
      </c>
      <c r="R331">
        <f t="shared" ca="1" si="86"/>
        <v>1.1805070476846971</v>
      </c>
      <c r="S331">
        <f t="shared" ca="1" si="87"/>
        <v>54.139107183266454</v>
      </c>
      <c r="T331">
        <f>70</f>
        <v>70</v>
      </c>
      <c r="U331">
        <f>30</f>
        <v>30</v>
      </c>
      <c r="V331">
        <f t="shared" ca="1" si="85"/>
        <v>110.86467404169848</v>
      </c>
      <c r="W331">
        <f t="shared" ca="1" si="95"/>
        <v>109.14401581689891</v>
      </c>
      <c r="X331">
        <f t="shared" ca="1" si="94"/>
        <v>1.6143676635108193</v>
      </c>
      <c r="Y331">
        <f t="shared" ca="1" si="96"/>
        <v>1.8371776221979128</v>
      </c>
      <c r="Z331">
        <f t="shared" ca="1" si="97"/>
        <v>-0.22280995868709352</v>
      </c>
      <c r="AA331">
        <f t="shared" ca="1" si="98"/>
        <v>99.063600000000008</v>
      </c>
    </row>
    <row r="332" spans="1:27" x14ac:dyDescent="0.25">
      <c r="A332" vm="971">
        <f ca="1"/>
        <v>45775</v>
      </c>
      <c r="B332" vm="972">
        <f ca="1"/>
        <v>111.13</v>
      </c>
      <c r="C332" vm="973">
        <f ca="1"/>
        <v>2938240</v>
      </c>
      <c r="D332">
        <f t="shared" ca="1" si="99"/>
        <v>326526611.19999999</v>
      </c>
      <c r="E332">
        <f ca="1">SUM($D$2:D332)/SUM($C$2:C332)</f>
        <v>97.083220953565871</v>
      </c>
      <c r="F332">
        <f ca="1">_xlfn.STDEV.P($B$2:B332)</f>
        <v>6.7490977168509589</v>
      </c>
      <c r="G332">
        <f t="shared" ca="1" si="100"/>
        <v>103.83231867041683</v>
      </c>
      <c r="H332">
        <f t="shared" ca="1" si="101"/>
        <v>90.334123236714916</v>
      </c>
      <c r="I332">
        <f t="shared" ca="1" si="90"/>
        <v>110.24399999999999</v>
      </c>
      <c r="J332">
        <f t="shared" ca="1" si="91"/>
        <v>2.3044222931709273</v>
      </c>
      <c r="K332">
        <f t="shared" ca="1" si="92"/>
        <v>114.85284458634185</v>
      </c>
      <c r="L332">
        <f t="shared" ca="1" si="93"/>
        <v>105.63515541365813</v>
      </c>
      <c r="M332">
        <f t="shared" ca="1" si="102"/>
        <v>0.67999999999999261</v>
      </c>
      <c r="N332">
        <f t="shared" ca="1" si="103"/>
        <v>0.67999999999999261</v>
      </c>
      <c r="O332">
        <f t="shared" ca="1" si="104"/>
        <v>0</v>
      </c>
      <c r="P332">
        <f t="shared" ca="1" si="88"/>
        <v>0.7217016754983151</v>
      </c>
      <c r="Q332">
        <f t="shared" ca="1" si="89"/>
        <v>0.57020434418166566</v>
      </c>
      <c r="R332">
        <f t="shared" ca="1" si="86"/>
        <v>1.2656895424640657</v>
      </c>
      <c r="S332">
        <f t="shared" ca="1" si="87"/>
        <v>55.863326318201416</v>
      </c>
      <c r="T332">
        <f>70</f>
        <v>70</v>
      </c>
      <c r="U332">
        <f>30</f>
        <v>30</v>
      </c>
      <c r="V332">
        <f t="shared" ca="1" si="85"/>
        <v>110.9054934198987</v>
      </c>
      <c r="W332">
        <f t="shared" ca="1" si="95"/>
        <v>109.29112575638788</v>
      </c>
      <c r="X332">
        <f t="shared" ca="1" si="94"/>
        <v>1.5924663102104262</v>
      </c>
      <c r="Y332">
        <f t="shared" ca="1" si="96"/>
        <v>1.7882353598004157</v>
      </c>
      <c r="Z332">
        <f t="shared" ca="1" si="97"/>
        <v>-0.19576904958998953</v>
      </c>
      <c r="AA332">
        <f t="shared" ca="1" si="98"/>
        <v>99.169000000000011</v>
      </c>
    </row>
    <row r="333" spans="1:27" x14ac:dyDescent="0.25">
      <c r="A333" vm="974">
        <f ca="1"/>
        <v>45776</v>
      </c>
      <c r="B333" vm="975">
        <f ca="1"/>
        <v>112.13</v>
      </c>
      <c r="C333" vm="976">
        <f ca="1"/>
        <v>2000418</v>
      </c>
      <c r="D333">
        <f t="shared" ca="1" si="99"/>
        <v>224306870.34</v>
      </c>
      <c r="E333">
        <f ca="1">SUM($D$2:D333)/SUM($C$2:C333)</f>
        <v>97.125885706012511</v>
      </c>
      <c r="F333">
        <f ca="1">_xlfn.STDEV.P($B$2:B333)</f>
        <v>6.7935365697084267</v>
      </c>
      <c r="G333">
        <f t="shared" ca="1" si="100"/>
        <v>103.91942227572093</v>
      </c>
      <c r="H333">
        <f t="shared" ca="1" si="101"/>
        <v>90.332349136304089</v>
      </c>
      <c r="I333">
        <f t="shared" ca="1" si="90"/>
        <v>110.321</v>
      </c>
      <c r="J333">
        <f t="shared" ca="1" si="91"/>
        <v>2.3420142028424564</v>
      </c>
      <c r="K333">
        <f t="shared" ca="1" si="92"/>
        <v>115.00502840568491</v>
      </c>
      <c r="L333">
        <f t="shared" ca="1" si="93"/>
        <v>105.63697159431509</v>
      </c>
      <c r="M333">
        <f t="shared" ca="1" si="102"/>
        <v>1</v>
      </c>
      <c r="N333">
        <f t="shared" ca="1" si="103"/>
        <v>1</v>
      </c>
      <c r="O333">
        <f t="shared" ca="1" si="104"/>
        <v>0</v>
      </c>
      <c r="P333">
        <f t="shared" ca="1" si="88"/>
        <v>0.74158012724843547</v>
      </c>
      <c r="Q333">
        <f t="shared" ca="1" si="89"/>
        <v>0.5294754624544038</v>
      </c>
      <c r="R333">
        <f t="shared" ca="1" si="86"/>
        <v>1.400593945960805</v>
      </c>
      <c r="S333">
        <f t="shared" ca="1" si="87"/>
        <v>58.343642343904868</v>
      </c>
      <c r="T333">
        <f>70</f>
        <v>70</v>
      </c>
      <c r="U333">
        <f>30</f>
        <v>30</v>
      </c>
      <c r="V333">
        <f t="shared" ca="1" si="85"/>
        <v>111.09387904760661</v>
      </c>
      <c r="W333">
        <f t="shared" ca="1" si="95"/>
        <v>109.50141273739618</v>
      </c>
      <c r="X333">
        <f t="shared" ca="1" si="94"/>
        <v>1.6066180555139624</v>
      </c>
      <c r="Y333">
        <f t="shared" ca="1" si="96"/>
        <v>1.751911898943125</v>
      </c>
      <c r="Z333">
        <f t="shared" ca="1" si="97"/>
        <v>-0.14529384342916263</v>
      </c>
      <c r="AA333">
        <f t="shared" ca="1" si="98"/>
        <v>99.305300000000003</v>
      </c>
    </row>
    <row r="334" spans="1:27" x14ac:dyDescent="0.25">
      <c r="A334" vm="977">
        <f ca="1"/>
        <v>45777</v>
      </c>
      <c r="B334" vm="978">
        <f ca="1"/>
        <v>112.75</v>
      </c>
      <c r="C334" vm="979">
        <f ca="1"/>
        <v>4940839</v>
      </c>
      <c r="D334">
        <f t="shared" ca="1" si="99"/>
        <v>557079597.25</v>
      </c>
      <c r="E334">
        <f ca="1">SUM($D$2:D334)/SUM($C$2:C334)</f>
        <v>97.234545813019793</v>
      </c>
      <c r="F334">
        <f ca="1">_xlfn.STDEV.P($B$2:B334)</f>
        <v>6.841427790299738</v>
      </c>
      <c r="G334">
        <f t="shared" ca="1" si="100"/>
        <v>104.07597360331953</v>
      </c>
      <c r="H334">
        <f t="shared" ca="1" si="101"/>
        <v>90.39311802272006</v>
      </c>
      <c r="I334">
        <f t="shared" ca="1" si="90"/>
        <v>110.4555</v>
      </c>
      <c r="J334">
        <f t="shared" ca="1" si="91"/>
        <v>2.402692513783125</v>
      </c>
      <c r="K334">
        <f t="shared" ca="1" si="92"/>
        <v>115.26088502756625</v>
      </c>
      <c r="L334">
        <f t="shared" ca="1" si="93"/>
        <v>105.65011497243376</v>
      </c>
      <c r="M334">
        <f t="shared" ca="1" si="102"/>
        <v>0.62000000000000455</v>
      </c>
      <c r="N334">
        <f t="shared" ca="1" si="103"/>
        <v>0.62000000000000455</v>
      </c>
      <c r="O334">
        <f t="shared" ca="1" si="104"/>
        <v>0</v>
      </c>
      <c r="P334">
        <f t="shared" ca="1" si="88"/>
        <v>0.73289583244497614</v>
      </c>
      <c r="Q334">
        <f t="shared" ca="1" si="89"/>
        <v>0.49165578656480352</v>
      </c>
      <c r="R334">
        <f t="shared" ca="1" si="86"/>
        <v>1.4906685784493976</v>
      </c>
      <c r="S334">
        <f t="shared" ca="1" si="87"/>
        <v>59.850137884560908</v>
      </c>
      <c r="T334">
        <f>70</f>
        <v>70</v>
      </c>
      <c r="U334">
        <f>30</f>
        <v>30</v>
      </c>
      <c r="V334">
        <f t="shared" ca="1" si="85"/>
        <v>111.34866688643635</v>
      </c>
      <c r="W334">
        <f t="shared" ca="1" si="95"/>
        <v>109.74204883092239</v>
      </c>
      <c r="X334">
        <f t="shared" ca="1" si="94"/>
        <v>1.5842398724268349</v>
      </c>
      <c r="Y334">
        <f t="shared" ca="1" si="96"/>
        <v>1.718377493639867</v>
      </c>
      <c r="Z334">
        <f t="shared" ca="1" si="97"/>
        <v>-0.13413762121303208</v>
      </c>
      <c r="AA334">
        <f t="shared" ca="1" si="98"/>
        <v>99.457500000000024</v>
      </c>
    </row>
    <row r="335" spans="1:27" x14ac:dyDescent="0.25">
      <c r="A335" vm="980">
        <f ca="1"/>
        <v>45778</v>
      </c>
      <c r="B335" vm="981">
        <f ca="1"/>
        <v>112.56</v>
      </c>
      <c r="C335" vm="982">
        <f ca="1"/>
        <v>3265519</v>
      </c>
      <c r="D335">
        <f t="shared" ca="1" si="99"/>
        <v>367566818.63999999</v>
      </c>
      <c r="E335">
        <f ca="1">SUM($D$2:D335)/SUM($C$2:C335)</f>
        <v>97.304666785719007</v>
      </c>
      <c r="F335">
        <f ca="1">_xlfn.STDEV.P($B$2:B335)</f>
        <v>6.8870321769558691</v>
      </c>
      <c r="G335">
        <f t="shared" ca="1" si="100"/>
        <v>104.19169896267488</v>
      </c>
      <c r="H335">
        <f t="shared" ca="1" si="101"/>
        <v>90.417634608763137</v>
      </c>
      <c r="I335">
        <f t="shared" ca="1" si="90"/>
        <v>110.6045</v>
      </c>
      <c r="J335">
        <f t="shared" ca="1" si="91"/>
        <v>2.4376875906222448</v>
      </c>
      <c r="K335">
        <f t="shared" ca="1" si="92"/>
        <v>115.47987518124449</v>
      </c>
      <c r="L335">
        <f t="shared" ca="1" si="93"/>
        <v>105.72912481875551</v>
      </c>
      <c r="M335">
        <f t="shared" ca="1" si="102"/>
        <v>-0.18999999999999773</v>
      </c>
      <c r="N335">
        <f t="shared" ca="1" si="103"/>
        <v>0</v>
      </c>
      <c r="O335">
        <f t="shared" ca="1" si="104"/>
        <v>0.18999999999999773</v>
      </c>
      <c r="P335">
        <f t="shared" ca="1" si="88"/>
        <v>0.68054613012747789</v>
      </c>
      <c r="Q335">
        <f t="shared" ca="1" si="89"/>
        <v>0.4701089446673174</v>
      </c>
      <c r="R335">
        <f t="shared" ca="1" si="86"/>
        <v>1.4476349319604647</v>
      </c>
      <c r="S335">
        <f t="shared" ca="1" si="87"/>
        <v>59.144234013728628</v>
      </c>
      <c r="T335">
        <f>70</f>
        <v>70</v>
      </c>
      <c r="U335">
        <f>30</f>
        <v>30</v>
      </c>
      <c r="V335">
        <f t="shared" ref="V335:V398" ca="1" si="105">B335*(2/(12+1)) + V334*(1-(2/(12+1)))</f>
        <v>111.53502582698459</v>
      </c>
      <c r="W335">
        <f t="shared" ca="1" si="95"/>
        <v>109.95078595455776</v>
      </c>
      <c r="X335">
        <f t="shared" ca="1" si="94"/>
        <v>1.3468297304363404</v>
      </c>
      <c r="Y335">
        <f t="shared" ca="1" si="96"/>
        <v>1.6440679409991619</v>
      </c>
      <c r="Z335">
        <f t="shared" ca="1" si="97"/>
        <v>-0.29723821056282151</v>
      </c>
      <c r="AA335">
        <f t="shared" ca="1" si="98"/>
        <v>99.616900000000001</v>
      </c>
    </row>
    <row r="336" spans="1:27" x14ac:dyDescent="0.25">
      <c r="A336" vm="983">
        <f ca="1"/>
        <v>45779</v>
      </c>
      <c r="B336" vm="984">
        <f ca="1"/>
        <v>110.03</v>
      </c>
      <c r="C336" vm="985">
        <f ca="1"/>
        <v>3421767</v>
      </c>
      <c r="D336">
        <f t="shared" ca="1" si="99"/>
        <v>376497023.00999999</v>
      </c>
      <c r="E336">
        <f ca="1">SUM($D$2:D336)/SUM($C$2:C336)</f>
        <v>97.365385806710137</v>
      </c>
      <c r="F336">
        <f ca="1">_xlfn.STDEV.P($B$2:B336)</f>
        <v>6.9157423606079309</v>
      </c>
      <c r="G336">
        <f t="shared" ca="1" si="100"/>
        <v>104.28112816731807</v>
      </c>
      <c r="H336">
        <f t="shared" ca="1" si="101"/>
        <v>90.449643446102201</v>
      </c>
      <c r="I336">
        <f t="shared" ca="1" si="90"/>
        <v>110.47</v>
      </c>
      <c r="J336">
        <f t="shared" ca="1" si="91"/>
        <v>2.3885362176776579</v>
      </c>
      <c r="K336">
        <f t="shared" ca="1" si="92"/>
        <v>115.24707243535532</v>
      </c>
      <c r="L336">
        <f t="shared" ca="1" si="93"/>
        <v>105.69292756464468</v>
      </c>
      <c r="M336">
        <f t="shared" ca="1" si="102"/>
        <v>-2.5300000000000011</v>
      </c>
      <c r="N336">
        <f t="shared" ca="1" si="103"/>
        <v>0</v>
      </c>
      <c r="O336">
        <f t="shared" ca="1" si="104"/>
        <v>2.5300000000000011</v>
      </c>
      <c r="P336">
        <f t="shared" ca="1" si="88"/>
        <v>0.63193569226122948</v>
      </c>
      <c r="Q336">
        <f t="shared" ca="1" si="89"/>
        <v>0.61724402004822332</v>
      </c>
      <c r="R336">
        <f t="shared" ref="R336:R399" ca="1" si="106">IF(Q336=0,NA(),P336/Q336)</f>
        <v>1.0238020486806148</v>
      </c>
      <c r="S336">
        <f t="shared" ref="S336:S399" ca="1" si="107">100-(100/(1+R336))</f>
        <v>50.588052786489975</v>
      </c>
      <c r="T336">
        <f>70</f>
        <v>70</v>
      </c>
      <c r="U336">
        <f>30</f>
        <v>30</v>
      </c>
      <c r="V336">
        <f t="shared" ca="1" si="105"/>
        <v>111.3034833920639</v>
      </c>
      <c r="W336">
        <f t="shared" ca="1" si="95"/>
        <v>109.95665366162756</v>
      </c>
      <c r="X336">
        <f t="shared" ca="1" si="94"/>
        <v>1.1047923857949371</v>
      </c>
      <c r="Y336">
        <f t="shared" ca="1" si="96"/>
        <v>1.5362128299583171</v>
      </c>
      <c r="Z336">
        <f t="shared" ca="1" si="97"/>
        <v>-0.43142044416337999</v>
      </c>
      <c r="AA336">
        <f t="shared" ca="1" si="98"/>
        <v>99.752200000000016</v>
      </c>
    </row>
    <row r="337" spans="1:27" x14ac:dyDescent="0.25">
      <c r="A337" vm="986">
        <f ca="1"/>
        <v>45782</v>
      </c>
      <c r="B337" vm="987">
        <f ca="1"/>
        <v>109.52</v>
      </c>
      <c r="C337" vm="988">
        <f ca="1"/>
        <v>3225219</v>
      </c>
      <c r="D337">
        <f t="shared" ca="1" si="99"/>
        <v>353225984.88</v>
      </c>
      <c r="E337">
        <f ca="1">SUM($D$2:D337)/SUM($C$2:C337)</f>
        <v>97.419805579196307</v>
      </c>
      <c r="F337">
        <f ca="1">_xlfn.STDEV.P($B$2:B337)</f>
        <v>6.9410680861308265</v>
      </c>
      <c r="G337">
        <f t="shared" ca="1" si="100"/>
        <v>104.36087366532713</v>
      </c>
      <c r="H337">
        <f t="shared" ca="1" si="101"/>
        <v>90.478737493065481</v>
      </c>
      <c r="I337">
        <f t="shared" ca="1" si="90"/>
        <v>110.48000000000002</v>
      </c>
      <c r="J337">
        <f t="shared" ca="1" si="91"/>
        <v>2.3838822825051795</v>
      </c>
      <c r="K337">
        <f t="shared" ca="1" si="92"/>
        <v>115.24776456501037</v>
      </c>
      <c r="L337">
        <f t="shared" ca="1" si="93"/>
        <v>105.71223543498967</v>
      </c>
      <c r="M337">
        <f t="shared" ca="1" si="102"/>
        <v>-0.51000000000000512</v>
      </c>
      <c r="N337">
        <f t="shared" ca="1" si="103"/>
        <v>0</v>
      </c>
      <c r="O337">
        <f t="shared" ca="1" si="104"/>
        <v>0.51000000000000512</v>
      </c>
      <c r="P337">
        <f t="shared" ref="P337:P400" ca="1" si="108">(P336*13+N337)/14</f>
        <v>0.58679742852828454</v>
      </c>
      <c r="Q337">
        <f t="shared" ref="Q337:Q400" ca="1" si="109">(Q336*13+O337)/14</f>
        <v>0.60958373290192203</v>
      </c>
      <c r="R337">
        <f t="shared" ca="1" si="106"/>
        <v>0.96261989429218631</v>
      </c>
      <c r="S337">
        <f t="shared" ca="1" si="107"/>
        <v>49.047698797497034</v>
      </c>
      <c r="T337">
        <f>70</f>
        <v>70</v>
      </c>
      <c r="U337">
        <f>30</f>
        <v>30</v>
      </c>
      <c r="V337">
        <f t="shared" ca="1" si="105"/>
        <v>111.02910133174638</v>
      </c>
      <c r="W337">
        <f t="shared" ca="1" si="95"/>
        <v>109.92430894595144</v>
      </c>
      <c r="X337">
        <f t="shared" ca="1" si="94"/>
        <v>0.97835523673633418</v>
      </c>
      <c r="Y337">
        <f t="shared" ca="1" si="96"/>
        <v>1.4246413113139207</v>
      </c>
      <c r="Z337">
        <f t="shared" ca="1" si="97"/>
        <v>-0.44628607457758651</v>
      </c>
      <c r="AA337">
        <f t="shared" ca="1" si="98"/>
        <v>99.899200000000036</v>
      </c>
    </row>
    <row r="338" spans="1:27" x14ac:dyDescent="0.25">
      <c r="A338" vm="989">
        <f ca="1"/>
        <v>45783</v>
      </c>
      <c r="B338" vm="990">
        <f ca="1"/>
        <v>110.47</v>
      </c>
      <c r="C338" vm="991">
        <f ca="1"/>
        <v>2186858</v>
      </c>
      <c r="D338">
        <f t="shared" ca="1" si="99"/>
        <v>241582203.25999999</v>
      </c>
      <c r="E338">
        <f ca="1">SUM($D$2:D338)/SUM($C$2:C338)</f>
        <v>97.459303792806466</v>
      </c>
      <c r="F338">
        <f ca="1">_xlfn.STDEV.P($B$2:B338)</f>
        <v>6.9713190365112183</v>
      </c>
      <c r="G338">
        <f t="shared" ca="1" si="100"/>
        <v>104.43062282931768</v>
      </c>
      <c r="H338">
        <f t="shared" ca="1" si="101"/>
        <v>90.487984756295248</v>
      </c>
      <c r="I338">
        <f t="shared" ca="1" si="90"/>
        <v>110.73350000000001</v>
      </c>
      <c r="J338">
        <f t="shared" ca="1" si="91"/>
        <v>2.0632556669905018</v>
      </c>
      <c r="K338">
        <f t="shared" ca="1" si="92"/>
        <v>114.86001133398101</v>
      </c>
      <c r="L338">
        <f t="shared" ca="1" si="93"/>
        <v>106.60698866601901</v>
      </c>
      <c r="M338">
        <f t="shared" ca="1" si="102"/>
        <v>0.95000000000000284</v>
      </c>
      <c r="N338">
        <f t="shared" ca="1" si="103"/>
        <v>0.95000000000000284</v>
      </c>
      <c r="O338">
        <f t="shared" ca="1" si="104"/>
        <v>0</v>
      </c>
      <c r="P338">
        <f t="shared" ca="1" si="108"/>
        <v>0.61274046934769288</v>
      </c>
      <c r="Q338">
        <f t="shared" ca="1" si="109"/>
        <v>0.5660420376946419</v>
      </c>
      <c r="R338">
        <f t="shared" ca="1" si="106"/>
        <v>1.0824999355935521</v>
      </c>
      <c r="S338">
        <f t="shared" ca="1" si="107"/>
        <v>51.980790831814318</v>
      </c>
      <c r="T338">
        <f>70</f>
        <v>70</v>
      </c>
      <c r="U338">
        <f>30</f>
        <v>30</v>
      </c>
      <c r="V338">
        <f t="shared" ca="1" si="105"/>
        <v>110.94308574224692</v>
      </c>
      <c r="W338">
        <f t="shared" ca="1" si="95"/>
        <v>109.96473050551059</v>
      </c>
      <c r="X338">
        <f t="shared" ca="1" si="94"/>
        <v>0.91361553036009013</v>
      </c>
      <c r="Y338">
        <f t="shared" ca="1" si="96"/>
        <v>1.3224361551231547</v>
      </c>
      <c r="Z338">
        <f t="shared" ca="1" si="97"/>
        <v>-0.40882062476306458</v>
      </c>
      <c r="AA338">
        <f t="shared" ca="1" si="98"/>
        <v>100.05610000000003</v>
      </c>
    </row>
    <row r="339" spans="1:27" x14ac:dyDescent="0.25">
      <c r="A339" vm="992">
        <f ca="1"/>
        <v>45784</v>
      </c>
      <c r="B339" vm="993">
        <f ca="1"/>
        <v>111.04</v>
      </c>
      <c r="C339" vm="994">
        <f ca="1"/>
        <v>3555181</v>
      </c>
      <c r="D339">
        <f t="shared" ca="1" si="99"/>
        <v>394767298.24000001</v>
      </c>
      <c r="E339">
        <f ca="1">SUM($D$2:D339)/SUM($C$2:C339)</f>
        <v>97.525799249157117</v>
      </c>
      <c r="F339">
        <f ca="1">_xlfn.STDEV.P($B$2:B339)</f>
        <v>7.0043971249666255</v>
      </c>
      <c r="G339">
        <f t="shared" ca="1" si="100"/>
        <v>104.53019637412375</v>
      </c>
      <c r="H339">
        <f t="shared" ca="1" si="101"/>
        <v>90.521402124190487</v>
      </c>
      <c r="I339">
        <f t="shared" ca="1" si="90"/>
        <v>110.98300000000002</v>
      </c>
      <c r="J339">
        <f t="shared" ca="1" si="91"/>
        <v>1.7441212536313011</v>
      </c>
      <c r="K339">
        <f t="shared" ca="1" si="92"/>
        <v>114.47124250726262</v>
      </c>
      <c r="L339">
        <f t="shared" ca="1" si="93"/>
        <v>107.49475749273742</v>
      </c>
      <c r="M339">
        <f t="shared" ca="1" si="102"/>
        <v>0.57000000000000739</v>
      </c>
      <c r="N339">
        <f t="shared" ca="1" si="103"/>
        <v>0.57000000000000739</v>
      </c>
      <c r="O339">
        <f t="shared" ca="1" si="104"/>
        <v>0</v>
      </c>
      <c r="P339">
        <f t="shared" ca="1" si="108"/>
        <v>0.60968757868000112</v>
      </c>
      <c r="Q339">
        <f t="shared" ca="1" si="109"/>
        <v>0.52561046357359609</v>
      </c>
      <c r="R339">
        <f t="shared" ca="1" si="106"/>
        <v>1.1599608853575125</v>
      </c>
      <c r="S339">
        <f t="shared" ca="1" si="107"/>
        <v>53.702865325985663</v>
      </c>
      <c r="T339">
        <f>70</f>
        <v>70</v>
      </c>
      <c r="U339">
        <f>30</f>
        <v>30</v>
      </c>
      <c r="V339">
        <f t="shared" ca="1" si="105"/>
        <v>110.95799562805507</v>
      </c>
      <c r="W339">
        <f t="shared" ca="1" si="95"/>
        <v>110.04438009769498</v>
      </c>
      <c r="X339">
        <f t="shared" ca="1" si="94"/>
        <v>0.59003182273927735</v>
      </c>
      <c r="Y339">
        <f t="shared" ca="1" si="96"/>
        <v>1.1759552886463793</v>
      </c>
      <c r="Z339">
        <f t="shared" ca="1" si="97"/>
        <v>-0.58592346590710198</v>
      </c>
      <c r="AA339">
        <f t="shared" ca="1" si="98"/>
        <v>100.21960000000003</v>
      </c>
    </row>
    <row r="340" spans="1:27" x14ac:dyDescent="0.25">
      <c r="A340" vm="995">
        <f ca="1"/>
        <v>45785</v>
      </c>
      <c r="B340" vm="996">
        <f ca="1"/>
        <v>107.75</v>
      </c>
      <c r="C340" vm="997">
        <f ca="1"/>
        <v>3652455</v>
      </c>
      <c r="D340">
        <f t="shared" ca="1" si="99"/>
        <v>393552026.25</v>
      </c>
      <c r="E340">
        <f ca="1">SUM($D$2:D340)/SUM($C$2:C340)</f>
        <v>97.57697253584189</v>
      </c>
      <c r="F340">
        <f ca="1">_xlfn.STDEV.P($B$2:B340)</f>
        <v>7.0194609164330171</v>
      </c>
      <c r="G340">
        <f t="shared" ca="1" si="100"/>
        <v>104.59643345227491</v>
      </c>
      <c r="H340">
        <f t="shared" ca="1" si="101"/>
        <v>90.557511619408871</v>
      </c>
      <c r="I340">
        <f t="shared" ca="1" si="90"/>
        <v>111.08199999999999</v>
      </c>
      <c r="J340">
        <f t="shared" ca="1" si="91"/>
        <v>1.4667924188514199</v>
      </c>
      <c r="K340">
        <f t="shared" ca="1" si="92"/>
        <v>114.01558483770283</v>
      </c>
      <c r="L340">
        <f t="shared" ca="1" si="93"/>
        <v>108.14841516229716</v>
      </c>
      <c r="M340">
        <f t="shared" ca="1" si="102"/>
        <v>-3.2900000000000063</v>
      </c>
      <c r="N340">
        <f t="shared" ca="1" si="103"/>
        <v>0</v>
      </c>
      <c r="O340">
        <f t="shared" ca="1" si="104"/>
        <v>3.2900000000000063</v>
      </c>
      <c r="P340">
        <f t="shared" ca="1" si="108"/>
        <v>0.5661384659171439</v>
      </c>
      <c r="Q340">
        <f t="shared" ca="1" si="109"/>
        <v>0.72306685903262546</v>
      </c>
      <c r="R340">
        <f t="shared" ca="1" si="106"/>
        <v>0.78296835049882874</v>
      </c>
      <c r="S340">
        <f t="shared" ca="1" si="107"/>
        <v>43.913754850430983</v>
      </c>
      <c r="T340">
        <f>70</f>
        <v>70</v>
      </c>
      <c r="U340">
        <f>30</f>
        <v>30</v>
      </c>
      <c r="V340">
        <f t="shared" ca="1" si="105"/>
        <v>110.46445783912353</v>
      </c>
      <c r="W340">
        <f t="shared" ca="1" si="95"/>
        <v>109.87442601638425</v>
      </c>
      <c r="X340">
        <f t="shared" ca="1" si="94"/>
        <v>0.32420376893108482</v>
      </c>
      <c r="Y340">
        <f t="shared" ca="1" si="96"/>
        <v>1.0056049847033204</v>
      </c>
      <c r="Z340">
        <f t="shared" ca="1" si="97"/>
        <v>-0.68140121577223556</v>
      </c>
      <c r="AA340">
        <f t="shared" ca="1" si="98"/>
        <v>100.36960000000005</v>
      </c>
    </row>
    <row r="341" spans="1:27" x14ac:dyDescent="0.25">
      <c r="A341" vm="998">
        <f ca="1"/>
        <v>45786</v>
      </c>
      <c r="B341" vm="999">
        <f ca="1"/>
        <v>107.68</v>
      </c>
      <c r="C341" vm="1000">
        <f ca="1"/>
        <v>2248912</v>
      </c>
      <c r="D341">
        <f t="shared" ca="1" si="99"/>
        <v>242162844.16000003</v>
      </c>
      <c r="E341">
        <f ca="1">SUM($D$2:D341)/SUM($C$2:C341)</f>
        <v>97.608012179207947</v>
      </c>
      <c r="F341">
        <f ca="1">_xlfn.STDEV.P($B$2:B341)</f>
        <v>7.033936631034698</v>
      </c>
      <c r="G341">
        <f t="shared" ca="1" si="100"/>
        <v>104.64194881024264</v>
      </c>
      <c r="H341">
        <f t="shared" ca="1" si="101"/>
        <v>90.574075548173255</v>
      </c>
      <c r="I341">
        <f t="shared" ca="1" si="90"/>
        <v>111.05099999999997</v>
      </c>
      <c r="J341">
        <f t="shared" ca="1" si="91"/>
        <v>1.5337086115892919</v>
      </c>
      <c r="K341">
        <f t="shared" ca="1" si="92"/>
        <v>114.11841722317855</v>
      </c>
      <c r="L341">
        <f t="shared" ca="1" si="93"/>
        <v>107.98358277682139</v>
      </c>
      <c r="M341">
        <f t="shared" ca="1" si="102"/>
        <v>-6.9999999999993179E-2</v>
      </c>
      <c r="N341">
        <f t="shared" ca="1" si="103"/>
        <v>0</v>
      </c>
      <c r="O341">
        <f t="shared" ca="1" si="104"/>
        <v>6.9999999999993179E-2</v>
      </c>
      <c r="P341">
        <f t="shared" ca="1" si="108"/>
        <v>0.52570000406591932</v>
      </c>
      <c r="Q341">
        <f t="shared" ca="1" si="109"/>
        <v>0.67641922624458029</v>
      </c>
      <c r="R341">
        <f t="shared" ca="1" si="106"/>
        <v>0.77718075369406525</v>
      </c>
      <c r="S341">
        <f t="shared" ca="1" si="107"/>
        <v>43.731103438893868</v>
      </c>
      <c r="T341">
        <f>70</f>
        <v>70</v>
      </c>
      <c r="U341">
        <f>30</f>
        <v>30</v>
      </c>
      <c r="V341">
        <f t="shared" ca="1" si="105"/>
        <v>110.03607971002761</v>
      </c>
      <c r="W341">
        <f t="shared" ca="1" si="95"/>
        <v>109.71187594109652</v>
      </c>
      <c r="X341">
        <f t="shared" ca="1" si="94"/>
        <v>-0.21801711389791478</v>
      </c>
      <c r="Y341">
        <f t="shared" ca="1" si="96"/>
        <v>0.76088056498307344</v>
      </c>
      <c r="Z341">
        <f t="shared" ca="1" si="97"/>
        <v>-0.97889767888098822</v>
      </c>
      <c r="AA341">
        <f t="shared" ca="1" si="98"/>
        <v>100.52030000000005</v>
      </c>
    </row>
    <row r="342" spans="1:27" x14ac:dyDescent="0.25">
      <c r="A342" vm="1001">
        <f ca="1"/>
        <v>45789</v>
      </c>
      <c r="B342" vm="1002">
        <f ca="1"/>
        <v>103.54</v>
      </c>
      <c r="C342" vm="1003">
        <f ca="1"/>
        <v>3918415</v>
      </c>
      <c r="D342">
        <f t="shared" ca="1" si="99"/>
        <v>405712689.10000002</v>
      </c>
      <c r="E342">
        <f ca="1">SUM($D$2:D342)/SUM($C$2:C342)</f>
        <v>97.639597464110423</v>
      </c>
      <c r="F342">
        <f ca="1">_xlfn.STDEV.P($B$2:B342)</f>
        <v>7.0330284403606571</v>
      </c>
      <c r="G342">
        <f t="shared" ca="1" si="100"/>
        <v>104.67262590447108</v>
      </c>
      <c r="H342">
        <f t="shared" ca="1" si="101"/>
        <v>90.606569023749771</v>
      </c>
      <c r="I342">
        <f t="shared" ref="I342:I405" ca="1" si="110">AVERAGE(B323:B342)</f>
        <v>110.73599999999999</v>
      </c>
      <c r="J342">
        <f t="shared" ref="J342:J405" ca="1" si="111">_xlfn.STDEV.S(B323:B342)</f>
        <v>2.2671229158979149</v>
      </c>
      <c r="K342">
        <f t="shared" ref="K342:K405" ca="1" si="112">I342 + 2*J342</f>
        <v>115.27024583179582</v>
      </c>
      <c r="L342">
        <f t="shared" ref="L342:L405" ca="1" si="113">I342-2*J342</f>
        <v>106.20175416820416</v>
      </c>
      <c r="M342">
        <f t="shared" ca="1" si="102"/>
        <v>-4.1400000000000006</v>
      </c>
      <c r="N342">
        <f t="shared" ca="1" si="103"/>
        <v>0</v>
      </c>
      <c r="O342">
        <f t="shared" ca="1" si="104"/>
        <v>4.1400000000000006</v>
      </c>
      <c r="P342">
        <f t="shared" ca="1" si="108"/>
        <v>0.4881500037754965</v>
      </c>
      <c r="Q342">
        <f t="shared" ca="1" si="109"/>
        <v>0.92381785294139607</v>
      </c>
      <c r="R342">
        <f t="shared" ca="1" si="106"/>
        <v>0.52840503376422965</v>
      </c>
      <c r="S342">
        <f t="shared" ca="1" si="107"/>
        <v>34.572317029266003</v>
      </c>
      <c r="T342">
        <f>70</f>
        <v>70</v>
      </c>
      <c r="U342">
        <f>30</f>
        <v>30</v>
      </c>
      <c r="V342">
        <f t="shared" ca="1" si="105"/>
        <v>109.03668283156182</v>
      </c>
      <c r="W342">
        <f t="shared" ca="1" si="95"/>
        <v>109.25469994545973</v>
      </c>
      <c r="X342">
        <f t="shared" ca="1" si="94"/>
        <v>-0.87647487550013636</v>
      </c>
      <c r="Y342">
        <f t="shared" ca="1" si="96"/>
        <v>0.43340947688643155</v>
      </c>
      <c r="Z342">
        <f t="shared" ca="1" si="97"/>
        <v>-1.309884352386568</v>
      </c>
      <c r="AA342">
        <f t="shared" ca="1" si="98"/>
        <v>100.62880000000004</v>
      </c>
    </row>
    <row r="343" spans="1:27" x14ac:dyDescent="0.25">
      <c r="A343" vm="1004">
        <f ca="1"/>
        <v>45790</v>
      </c>
      <c r="B343" vm="1005">
        <f ca="1"/>
        <v>100.58</v>
      </c>
      <c r="C343" vm="1006">
        <f ca="1"/>
        <v>4495917</v>
      </c>
      <c r="D343">
        <f t="shared" ca="1" si="99"/>
        <v>452199331.86000001</v>
      </c>
      <c r="E343">
        <f ca="1">SUM($D$2:D343)/SUM($C$2:C343)</f>
        <v>97.657452224325496</v>
      </c>
      <c r="F343">
        <f ca="1">_xlfn.STDEV.P($B$2:B343)</f>
        <v>7.025652819326039</v>
      </c>
      <c r="G343">
        <f t="shared" ca="1" si="100"/>
        <v>104.68310504365154</v>
      </c>
      <c r="H343">
        <f t="shared" ca="1" si="101"/>
        <v>90.631799404999455</v>
      </c>
      <c r="I343">
        <f t="shared" ca="1" si="110"/>
        <v>110.1525</v>
      </c>
      <c r="J343">
        <f t="shared" ca="1" si="111"/>
        <v>3.1763913238304338</v>
      </c>
      <c r="K343">
        <f t="shared" ca="1" si="112"/>
        <v>116.50528264766088</v>
      </c>
      <c r="L343">
        <f t="shared" ca="1" si="113"/>
        <v>103.79971735233913</v>
      </c>
      <c r="M343">
        <f t="shared" ca="1" si="102"/>
        <v>-2.960000000000008</v>
      </c>
      <c r="N343">
        <f t="shared" ca="1" si="103"/>
        <v>0</v>
      </c>
      <c r="O343">
        <f t="shared" ca="1" si="104"/>
        <v>2.960000000000008</v>
      </c>
      <c r="P343">
        <f t="shared" ca="1" si="108"/>
        <v>0.45328214636296105</v>
      </c>
      <c r="Q343">
        <f t="shared" ca="1" si="109"/>
        <v>1.069259434874154</v>
      </c>
      <c r="R343">
        <f t="shared" ca="1" si="106"/>
        <v>0.42392157747601256</v>
      </c>
      <c r="S343">
        <f t="shared" ca="1" si="107"/>
        <v>29.771413270345917</v>
      </c>
      <c r="T343">
        <f>70</f>
        <v>70</v>
      </c>
      <c r="U343">
        <f>30</f>
        <v>30</v>
      </c>
      <c r="V343">
        <f t="shared" ca="1" si="105"/>
        <v>107.73565470362924</v>
      </c>
      <c r="W343">
        <f t="shared" ca="1" si="95"/>
        <v>108.61212957912937</v>
      </c>
      <c r="X343">
        <f t="shared" ca="1" si="94"/>
        <v>-1.4868736929890787</v>
      </c>
      <c r="Y343">
        <f t="shared" ca="1" si="96"/>
        <v>4.935284291132952E-2</v>
      </c>
      <c r="Z343">
        <f t="shared" ca="1" si="97"/>
        <v>-1.5362265359004081</v>
      </c>
      <c r="AA343">
        <f t="shared" ca="1" si="98"/>
        <v>100.72200000000004</v>
      </c>
    </row>
    <row r="344" spans="1:27" x14ac:dyDescent="0.25">
      <c r="A344" vm="1007">
        <f ca="1"/>
        <v>45791</v>
      </c>
      <c r="B344" vm="1008">
        <f ca="1"/>
        <v>99.27</v>
      </c>
      <c r="C344" vm="1009">
        <f ca="1"/>
        <v>3383905</v>
      </c>
      <c r="D344">
        <f t="shared" ca="1" si="99"/>
        <v>335920249.34999996</v>
      </c>
      <c r="E344">
        <f ca="1">SUM($D$2:D344)/SUM($C$2:C344)</f>
        <v>97.664788562732014</v>
      </c>
      <c r="F344">
        <f ca="1">_xlfn.STDEV.P($B$2:B344)</f>
        <v>7.0166234524322943</v>
      </c>
      <c r="G344">
        <f t="shared" ca="1" si="100"/>
        <v>104.68141201516431</v>
      </c>
      <c r="H344">
        <f t="shared" ca="1" si="101"/>
        <v>90.648165110299715</v>
      </c>
      <c r="I344">
        <f t="shared" ca="1" si="110"/>
        <v>109.52550000000001</v>
      </c>
      <c r="J344">
        <f t="shared" ca="1" si="111"/>
        <v>3.9704082714634348</v>
      </c>
      <c r="K344">
        <f t="shared" ca="1" si="112"/>
        <v>117.46631654292688</v>
      </c>
      <c r="L344">
        <f t="shared" ca="1" si="113"/>
        <v>101.58468345707314</v>
      </c>
      <c r="M344">
        <f t="shared" ca="1" si="102"/>
        <v>-1.3100000000000023</v>
      </c>
      <c r="N344">
        <f t="shared" ca="1" si="103"/>
        <v>0</v>
      </c>
      <c r="O344">
        <f t="shared" ca="1" si="104"/>
        <v>1.3100000000000023</v>
      </c>
      <c r="P344">
        <f t="shared" ca="1" si="108"/>
        <v>0.42090485019417806</v>
      </c>
      <c r="Q344">
        <f t="shared" ca="1" si="109"/>
        <v>1.0864551895260004</v>
      </c>
      <c r="R344">
        <f t="shared" ca="1" si="106"/>
        <v>0.38741114613094241</v>
      </c>
      <c r="S344">
        <f t="shared" ca="1" si="107"/>
        <v>27.923312221565425</v>
      </c>
      <c r="T344">
        <f>70</f>
        <v>70</v>
      </c>
      <c r="U344">
        <f>30</f>
        <v>30</v>
      </c>
      <c r="V344">
        <f t="shared" ca="1" si="105"/>
        <v>106.43324628768627</v>
      </c>
      <c r="W344">
        <f t="shared" ca="1" si="95"/>
        <v>107.92011998067535</v>
      </c>
      <c r="X344">
        <f t="shared" ca="1" si="94"/>
        <v>-1.7295864566286809</v>
      </c>
      <c r="Y344">
        <f t="shared" ca="1" si="96"/>
        <v>-0.30643501699667264</v>
      </c>
      <c r="Z344">
        <f t="shared" ca="1" si="97"/>
        <v>-1.4231514396320084</v>
      </c>
      <c r="AA344">
        <f t="shared" ca="1" si="98"/>
        <v>100.80630000000005</v>
      </c>
    </row>
    <row r="345" spans="1:27" x14ac:dyDescent="0.25">
      <c r="A345" vm="1010">
        <f ca="1"/>
        <v>45792</v>
      </c>
      <c r="B345" vm="1011">
        <f ca="1"/>
        <v>102.01</v>
      </c>
      <c r="C345" vm="1012">
        <f ca="1"/>
        <v>3497345</v>
      </c>
      <c r="D345">
        <f t="shared" ca="1" si="99"/>
        <v>356764163.45000005</v>
      </c>
      <c r="E345">
        <f ca="1">SUM($D$2:D345)/SUM($C$2:C345)</f>
        <v>97.685124336682037</v>
      </c>
      <c r="F345">
        <f ca="1">_xlfn.STDEV.P($B$2:B345)</f>
        <v>7.0119211205516514</v>
      </c>
      <c r="G345">
        <f t="shared" ca="1" si="100"/>
        <v>104.69704545723368</v>
      </c>
      <c r="H345">
        <f t="shared" ca="1" si="101"/>
        <v>90.673203216130389</v>
      </c>
      <c r="I345">
        <f t="shared" ca="1" si="110"/>
        <v>109.05400000000002</v>
      </c>
      <c r="J345">
        <f t="shared" ca="1" si="111"/>
        <v>4.279017841071771</v>
      </c>
      <c r="K345">
        <f t="shared" ca="1" si="112"/>
        <v>117.61203568214356</v>
      </c>
      <c r="L345">
        <f t="shared" ca="1" si="113"/>
        <v>100.49596431785648</v>
      </c>
      <c r="M345">
        <f t="shared" ca="1" si="102"/>
        <v>2.7400000000000091</v>
      </c>
      <c r="N345">
        <f t="shared" ca="1" si="103"/>
        <v>2.7400000000000091</v>
      </c>
      <c r="O345">
        <f t="shared" ca="1" si="104"/>
        <v>0</v>
      </c>
      <c r="P345">
        <f t="shared" ca="1" si="108"/>
        <v>0.58655450375173745</v>
      </c>
      <c r="Q345">
        <f t="shared" ca="1" si="109"/>
        <v>1.0088512474170004</v>
      </c>
      <c r="R345">
        <f t="shared" ca="1" si="106"/>
        <v>0.58140831490620137</v>
      </c>
      <c r="S345">
        <f t="shared" ca="1" si="107"/>
        <v>36.765224352616777</v>
      </c>
      <c r="T345">
        <f>70</f>
        <v>70</v>
      </c>
      <c r="U345">
        <f>30</f>
        <v>30</v>
      </c>
      <c r="V345">
        <f t="shared" ca="1" si="105"/>
        <v>105.75274685881146</v>
      </c>
      <c r="W345">
        <f t="shared" ca="1" si="95"/>
        <v>107.48233331544014</v>
      </c>
      <c r="X345">
        <f t="shared" ca="1" si="94"/>
        <v>-1.7181553004303254</v>
      </c>
      <c r="Y345">
        <f t="shared" ca="1" si="96"/>
        <v>-0.58877907368340321</v>
      </c>
      <c r="Z345">
        <f t="shared" ca="1" si="97"/>
        <v>-1.1293762267469223</v>
      </c>
      <c r="AA345">
        <f t="shared" ca="1" si="98"/>
        <v>100.93770000000006</v>
      </c>
    </row>
    <row r="346" spans="1:27" x14ac:dyDescent="0.25">
      <c r="A346" vm="1013">
        <f ca="1"/>
        <v>45793</v>
      </c>
      <c r="B346" vm="1014">
        <f ca="1"/>
        <v>104.29</v>
      </c>
      <c r="C346" vm="1015">
        <f ca="1"/>
        <v>2758882</v>
      </c>
      <c r="D346">
        <f t="shared" ca="1" si="99"/>
        <v>287723803.78000003</v>
      </c>
      <c r="E346">
        <f ca="1">SUM($D$2:D346)/SUM($C$2:C346)</f>
        <v>97.709418877146788</v>
      </c>
      <c r="F346">
        <f ca="1">_xlfn.STDEV.P($B$2:B346)</f>
        <v>7.0131182749664482</v>
      </c>
      <c r="G346">
        <f t="shared" ca="1" si="100"/>
        <v>104.72253715211323</v>
      </c>
      <c r="H346">
        <f t="shared" ca="1" si="101"/>
        <v>90.696300602180344</v>
      </c>
      <c r="I346">
        <f t="shared" ca="1" si="110"/>
        <v>108.6635</v>
      </c>
      <c r="J346">
        <f t="shared" ca="1" si="111"/>
        <v>4.3423111418496454</v>
      </c>
      <c r="K346">
        <f t="shared" ca="1" si="112"/>
        <v>117.3481222836993</v>
      </c>
      <c r="L346">
        <f t="shared" ca="1" si="113"/>
        <v>99.978877716300701</v>
      </c>
      <c r="M346">
        <f t="shared" ca="1" si="102"/>
        <v>2.2800000000000011</v>
      </c>
      <c r="N346">
        <f t="shared" ca="1" si="103"/>
        <v>2.2800000000000011</v>
      </c>
      <c r="O346">
        <f t="shared" ca="1" si="104"/>
        <v>0</v>
      </c>
      <c r="P346">
        <f t="shared" ca="1" si="108"/>
        <v>0.70751489634089915</v>
      </c>
      <c r="Q346">
        <f t="shared" ca="1" si="109"/>
        <v>0.93679044403007172</v>
      </c>
      <c r="R346">
        <f t="shared" ca="1" si="106"/>
        <v>0.75525417754815116</v>
      </c>
      <c r="S346">
        <f t="shared" ca="1" si="107"/>
        <v>43.028194275722363</v>
      </c>
      <c r="T346">
        <f>70</f>
        <v>70</v>
      </c>
      <c r="U346">
        <f>30</f>
        <v>30</v>
      </c>
      <c r="V346">
        <f t="shared" ca="1" si="105"/>
        <v>105.52770888053277</v>
      </c>
      <c r="W346">
        <f t="shared" ca="1" si="95"/>
        <v>107.2458641809631</v>
      </c>
      <c r="X346">
        <f t="shared" ca="1" si="94"/>
        <v>-1.6026675820363891</v>
      </c>
      <c r="Y346">
        <f t="shared" ca="1" si="96"/>
        <v>-0.79155677535400049</v>
      </c>
      <c r="Z346">
        <f t="shared" ca="1" si="97"/>
        <v>-0.81111080668238866</v>
      </c>
      <c r="AA346">
        <f t="shared" ca="1" si="98"/>
        <v>101.08990000000007</v>
      </c>
    </row>
    <row r="347" spans="1:27" x14ac:dyDescent="0.25">
      <c r="A347" vm="1016">
        <f ca="1"/>
        <v>45796</v>
      </c>
      <c r="B347" vm="1017">
        <f ca="1"/>
        <v>105.38</v>
      </c>
      <c r="C347" vm="1018">
        <f ca="1"/>
        <v>2047865</v>
      </c>
      <c r="D347">
        <f t="shared" ca="1" si="99"/>
        <v>215804013.69999999</v>
      </c>
      <c r="E347">
        <f ca="1">SUM($D$2:D347)/SUM($C$2:C347)</f>
        <v>97.730304929580115</v>
      </c>
      <c r="F347">
        <f ca="1">_xlfn.STDEV.P($B$2:B347)</f>
        <v>7.0178011791341008</v>
      </c>
      <c r="G347">
        <f t="shared" ca="1" si="100"/>
        <v>104.74810610871421</v>
      </c>
      <c r="H347">
        <f t="shared" ca="1" si="101"/>
        <v>90.712503750446018</v>
      </c>
      <c r="I347">
        <f t="shared" ca="1" si="110"/>
        <v>108.3845</v>
      </c>
      <c r="J347">
        <f t="shared" ca="1" si="111"/>
        <v>4.36618763610592</v>
      </c>
      <c r="K347">
        <f t="shared" ca="1" si="112"/>
        <v>117.11687527221184</v>
      </c>
      <c r="L347">
        <f t="shared" ca="1" si="113"/>
        <v>99.652124727788163</v>
      </c>
      <c r="M347">
        <f t="shared" ca="1" si="102"/>
        <v>1.0899999999999892</v>
      </c>
      <c r="N347">
        <f t="shared" ca="1" si="103"/>
        <v>1.0899999999999892</v>
      </c>
      <c r="O347">
        <f t="shared" ca="1" si="104"/>
        <v>0</v>
      </c>
      <c r="P347">
        <f t="shared" ca="1" si="108"/>
        <v>0.73483526088797702</v>
      </c>
      <c r="Q347">
        <f t="shared" ca="1" si="109"/>
        <v>0.86987684088506667</v>
      </c>
      <c r="R347">
        <f t="shared" ca="1" si="106"/>
        <v>0.84475781668162364</v>
      </c>
      <c r="S347">
        <f t="shared" ca="1" si="107"/>
        <v>45.792342444234002</v>
      </c>
      <c r="T347">
        <f>70</f>
        <v>70</v>
      </c>
      <c r="U347">
        <f>30</f>
        <v>30</v>
      </c>
      <c r="V347">
        <f t="shared" ca="1" si="105"/>
        <v>105.50498443737388</v>
      </c>
      <c r="W347">
        <f t="shared" ca="1" si="95"/>
        <v>107.10765201941027</v>
      </c>
      <c r="X347">
        <f t="shared" ca="1" si="94"/>
        <v>-1.4675969470321775</v>
      </c>
      <c r="Y347">
        <f t="shared" ca="1" si="96"/>
        <v>-0.92676480968963593</v>
      </c>
      <c r="Z347">
        <f t="shared" ca="1" si="97"/>
        <v>-0.54083213734254154</v>
      </c>
      <c r="AA347">
        <f t="shared" ca="1" si="98"/>
        <v>101.24340000000005</v>
      </c>
    </row>
    <row r="348" spans="1:27" x14ac:dyDescent="0.25">
      <c r="A348" vm="1019">
        <f ca="1"/>
        <v>45797</v>
      </c>
      <c r="B348" vm="1020">
        <f ca="1"/>
        <v>105.71</v>
      </c>
      <c r="C348" vm="1021">
        <f ca="1"/>
        <v>2177662</v>
      </c>
      <c r="D348">
        <f t="shared" ca="1" si="99"/>
        <v>230200650.01999998</v>
      </c>
      <c r="E348">
        <f ca="1">SUM($D$2:D348)/SUM($C$2:C348)</f>
        <v>97.753343094208333</v>
      </c>
      <c r="F348">
        <f ca="1">_xlfn.STDEV.P($B$2:B348)</f>
        <v>7.0235346307775135</v>
      </c>
      <c r="G348">
        <f t="shared" ca="1" si="100"/>
        <v>104.77687772498585</v>
      </c>
      <c r="H348">
        <f t="shared" ca="1" si="101"/>
        <v>90.729808463430814</v>
      </c>
      <c r="I348">
        <f t="shared" ca="1" si="110"/>
        <v>108.005</v>
      </c>
      <c r="J348">
        <f t="shared" ca="1" si="111"/>
        <v>4.244617024445259</v>
      </c>
      <c r="K348">
        <f t="shared" ca="1" si="112"/>
        <v>116.49423404889052</v>
      </c>
      <c r="L348">
        <f t="shared" ca="1" si="113"/>
        <v>99.515765951109472</v>
      </c>
      <c r="M348">
        <f t="shared" ca="1" si="102"/>
        <v>0.32999999999999829</v>
      </c>
      <c r="N348">
        <f t="shared" ca="1" si="103"/>
        <v>0.32999999999999829</v>
      </c>
      <c r="O348">
        <f t="shared" ca="1" si="104"/>
        <v>0</v>
      </c>
      <c r="P348">
        <f t="shared" ca="1" si="108"/>
        <v>0.70591845653883567</v>
      </c>
      <c r="Q348">
        <f t="shared" ca="1" si="109"/>
        <v>0.80774278082184758</v>
      </c>
      <c r="R348">
        <f t="shared" ca="1" si="106"/>
        <v>0.87393966656141508</v>
      </c>
      <c r="S348">
        <f t="shared" ca="1" si="107"/>
        <v>46.636489005275727</v>
      </c>
      <c r="T348">
        <f>70</f>
        <v>70</v>
      </c>
      <c r="U348">
        <f>30</f>
        <v>30</v>
      </c>
      <c r="V348">
        <f t="shared" ca="1" si="105"/>
        <v>105.53652529316251</v>
      </c>
      <c r="W348">
        <f t="shared" ca="1" si="95"/>
        <v>107.00412224019469</v>
      </c>
      <c r="X348">
        <f t="shared" ref="X348:X411" ca="1" si="114">V349-W349</f>
        <v>-1.3841359430028604</v>
      </c>
      <c r="Y348">
        <f t="shared" ca="1" si="96"/>
        <v>-1.0182390363522809</v>
      </c>
      <c r="Z348">
        <f t="shared" ca="1" si="97"/>
        <v>-0.3658969066505795</v>
      </c>
      <c r="AA348">
        <f t="shared" ca="1" si="98"/>
        <v>101.40380000000005</v>
      </c>
    </row>
    <row r="349" spans="1:27" x14ac:dyDescent="0.25">
      <c r="A349" vm="1022">
        <f ca="1"/>
        <v>45798</v>
      </c>
      <c r="B349" vm="1023">
        <f ca="1"/>
        <v>105.22</v>
      </c>
      <c r="C349" vm="1024">
        <f ca="1"/>
        <v>2741568</v>
      </c>
      <c r="D349">
        <f t="shared" ca="1" si="99"/>
        <v>288467784.95999998</v>
      </c>
      <c r="E349">
        <f ca="1">SUM($D$2:D349)/SUM($C$2:C349)</f>
        <v>97.780383963747482</v>
      </c>
      <c r="F349">
        <f ca="1">_xlfn.STDEV.P($B$2:B349)</f>
        <v>7.0274362707676987</v>
      </c>
      <c r="G349">
        <f t="shared" ca="1" si="100"/>
        <v>104.80782023451518</v>
      </c>
      <c r="H349">
        <f t="shared" ca="1" si="101"/>
        <v>90.752947692979788</v>
      </c>
      <c r="I349">
        <f t="shared" ca="1" si="110"/>
        <v>107.63999999999999</v>
      </c>
      <c r="J349">
        <f t="shared" ca="1" si="111"/>
        <v>4.148716986199342</v>
      </c>
      <c r="K349">
        <f t="shared" ca="1" si="112"/>
        <v>115.93743397239867</v>
      </c>
      <c r="L349">
        <f t="shared" ca="1" si="113"/>
        <v>99.342566027601308</v>
      </c>
      <c r="M349">
        <f t="shared" ca="1" si="102"/>
        <v>-0.48999999999999488</v>
      </c>
      <c r="N349">
        <f t="shared" ca="1" si="103"/>
        <v>0</v>
      </c>
      <c r="O349">
        <f t="shared" ca="1" si="104"/>
        <v>0.48999999999999488</v>
      </c>
      <c r="P349">
        <f t="shared" ca="1" si="108"/>
        <v>0.65549570964320458</v>
      </c>
      <c r="Q349">
        <f t="shared" ca="1" si="109"/>
        <v>0.78504686790600098</v>
      </c>
      <c r="R349">
        <f t="shared" ca="1" si="106"/>
        <v>0.83497652998940641</v>
      </c>
      <c r="S349">
        <f t="shared" ca="1" si="107"/>
        <v>45.503390171111711</v>
      </c>
      <c r="T349">
        <f>70</f>
        <v>70</v>
      </c>
      <c r="U349">
        <f>30</f>
        <v>30</v>
      </c>
      <c r="V349">
        <f t="shared" ca="1" si="105"/>
        <v>105.48782909421445</v>
      </c>
      <c r="W349">
        <f t="shared" ref="W349:W412" ca="1" si="115">B349*(2/(26+1)) + W348*(1-(2/(26+1)))</f>
        <v>106.87196503721731</v>
      </c>
      <c r="X349">
        <f t="shared" ca="1" si="114"/>
        <v>-1.4465623820909741</v>
      </c>
      <c r="Y349">
        <f t="shared" ca="1" si="96"/>
        <v>-1.1039037055000196</v>
      </c>
      <c r="Z349">
        <f t="shared" ca="1" si="97"/>
        <v>-0.3426586765909545</v>
      </c>
      <c r="AA349">
        <f t="shared" ca="1" si="98"/>
        <v>101.56020000000002</v>
      </c>
    </row>
    <row r="350" spans="1:27" x14ac:dyDescent="0.25">
      <c r="A350" vm="1025">
        <f ca="1"/>
        <v>45799</v>
      </c>
      <c r="B350" vm="1026">
        <f ca="1"/>
        <v>103.42</v>
      </c>
      <c r="C350" vm="1027">
        <f ca="1"/>
        <v>2266069</v>
      </c>
      <c r="D350">
        <f t="shared" ca="1" si="99"/>
        <v>234356855.97999999</v>
      </c>
      <c r="E350">
        <f ca="1">SUM($D$2:D350)/SUM($C$2:C350)</f>
        <v>97.797215354963498</v>
      </c>
      <c r="F350">
        <f ca="1">_xlfn.STDEV.P($B$2:B350)</f>
        <v>7.0258488983601355</v>
      </c>
      <c r="G350">
        <f t="shared" ca="1" si="100"/>
        <v>104.82306425332364</v>
      </c>
      <c r="H350">
        <f t="shared" ca="1" si="101"/>
        <v>90.77136645660336</v>
      </c>
      <c r="I350">
        <f t="shared" ca="1" si="110"/>
        <v>107.2465</v>
      </c>
      <c r="J350">
        <f t="shared" ca="1" si="111"/>
        <v>4.1575185855836754</v>
      </c>
      <c r="K350">
        <f t="shared" ca="1" si="112"/>
        <v>115.56153717116734</v>
      </c>
      <c r="L350">
        <f t="shared" ca="1" si="113"/>
        <v>98.93146282883265</v>
      </c>
      <c r="M350">
        <f t="shared" ca="1" si="102"/>
        <v>-1.7999999999999972</v>
      </c>
      <c r="N350">
        <f t="shared" ca="1" si="103"/>
        <v>0</v>
      </c>
      <c r="O350">
        <f t="shared" ca="1" si="104"/>
        <v>1.7999999999999972</v>
      </c>
      <c r="P350">
        <f t="shared" ca="1" si="108"/>
        <v>0.60867458752583281</v>
      </c>
      <c r="Q350">
        <f t="shared" ca="1" si="109"/>
        <v>0.85754352019842928</v>
      </c>
      <c r="R350">
        <f t="shared" ca="1" si="106"/>
        <v>0.70978856838075111</v>
      </c>
      <c r="S350">
        <f t="shared" ca="1" si="107"/>
        <v>41.513236285873269</v>
      </c>
      <c r="T350">
        <f>70</f>
        <v>70</v>
      </c>
      <c r="U350">
        <f>30</f>
        <v>30</v>
      </c>
      <c r="V350">
        <f t="shared" ca="1" si="105"/>
        <v>105.16970154125838</v>
      </c>
      <c r="W350">
        <f t="shared" ca="1" si="115"/>
        <v>106.61626392334935</v>
      </c>
      <c r="X350">
        <f t="shared" ca="1" si="114"/>
        <v>-1.4247419297287678</v>
      </c>
      <c r="Y350">
        <f t="shared" ca="1" si="96"/>
        <v>-1.1680713503457691</v>
      </c>
      <c r="Z350">
        <f t="shared" ca="1" si="97"/>
        <v>-0.25667057938299864</v>
      </c>
      <c r="AA350">
        <f t="shared" ca="1" si="98"/>
        <v>101.69850000000002</v>
      </c>
    </row>
    <row r="351" spans="1:27" x14ac:dyDescent="0.25">
      <c r="A351" vm="1028">
        <f ca="1"/>
        <v>45800</v>
      </c>
      <c r="B351" vm="1029">
        <f ca="1"/>
        <v>104.1</v>
      </c>
      <c r="C351" vm="1030">
        <f ca="1"/>
        <v>2116235</v>
      </c>
      <c r="D351">
        <f t="shared" ca="1" si="99"/>
        <v>220300063.5</v>
      </c>
      <c r="E351">
        <f ca="1">SUM($D$2:D351)/SUM($C$2:C351)</f>
        <v>97.81473337208898</v>
      </c>
      <c r="F351">
        <f ca="1">_xlfn.STDEV.P($B$2:B351)</f>
        <v>7.0260917381905443</v>
      </c>
      <c r="G351">
        <f t="shared" ca="1" si="100"/>
        <v>104.84082511027952</v>
      </c>
      <c r="H351">
        <f t="shared" ca="1" si="101"/>
        <v>90.788641633898436</v>
      </c>
      <c r="I351">
        <f t="shared" ca="1" si="110"/>
        <v>106.929</v>
      </c>
      <c r="J351">
        <f t="shared" ca="1" si="111"/>
        <v>4.1424387680892067</v>
      </c>
      <c r="K351">
        <f t="shared" ca="1" si="112"/>
        <v>115.21387753617842</v>
      </c>
      <c r="L351">
        <f t="shared" ca="1" si="113"/>
        <v>98.644122463821589</v>
      </c>
      <c r="M351">
        <f t="shared" ca="1" si="102"/>
        <v>0.67999999999999261</v>
      </c>
      <c r="N351">
        <f t="shared" ca="1" si="103"/>
        <v>0.67999999999999261</v>
      </c>
      <c r="O351">
        <f t="shared" ca="1" si="104"/>
        <v>0</v>
      </c>
      <c r="P351">
        <f t="shared" ca="1" si="108"/>
        <v>0.61376925984541564</v>
      </c>
      <c r="Q351">
        <f t="shared" ca="1" si="109"/>
        <v>0.79629041161282721</v>
      </c>
      <c r="R351">
        <f t="shared" ca="1" si="106"/>
        <v>0.77078569689451804</v>
      </c>
      <c r="S351">
        <f t="shared" ca="1" si="107"/>
        <v>43.527892632421242</v>
      </c>
      <c r="T351">
        <f>70</f>
        <v>70</v>
      </c>
      <c r="U351">
        <f>30</f>
        <v>30</v>
      </c>
      <c r="V351">
        <f t="shared" ca="1" si="105"/>
        <v>105.00513207337248</v>
      </c>
      <c r="W351">
        <f t="shared" ca="1" si="115"/>
        <v>106.42987400310125</v>
      </c>
      <c r="X351">
        <f t="shared" ca="1" si="114"/>
        <v>-1.4017801288213008</v>
      </c>
      <c r="Y351">
        <f t="shared" ca="1" si="96"/>
        <v>-1.2148131060408756</v>
      </c>
      <c r="Z351">
        <f t="shared" ca="1" si="97"/>
        <v>-0.18696702278042521</v>
      </c>
      <c r="AA351">
        <f t="shared" ca="1" si="98"/>
        <v>101.84390000000005</v>
      </c>
    </row>
    <row r="352" spans="1:27" x14ac:dyDescent="0.25">
      <c r="A352" vm="1031">
        <f ca="1"/>
        <v>45804</v>
      </c>
      <c r="B352" vm="1032">
        <f ca="1"/>
        <v>103.97</v>
      </c>
      <c r="C352" vm="1033">
        <f ca="1"/>
        <v>2638922</v>
      </c>
      <c r="D352">
        <f t="shared" ca="1" si="99"/>
        <v>274368720.33999997</v>
      </c>
      <c r="E352">
        <f ca="1">SUM($D$2:D352)/SUM($C$2:C352)</f>
        <v>97.835993182803605</v>
      </c>
      <c r="F352">
        <f ca="1">_xlfn.STDEV.P($B$2:B352)</f>
        <v>7.0259049899231885</v>
      </c>
      <c r="G352">
        <f t="shared" ca="1" si="100"/>
        <v>104.8618981727268</v>
      </c>
      <c r="H352">
        <f t="shared" ca="1" si="101"/>
        <v>90.810088192880414</v>
      </c>
      <c r="I352">
        <f t="shared" ca="1" si="110"/>
        <v>106.571</v>
      </c>
      <c r="J352">
        <f t="shared" ca="1" si="111"/>
        <v>4.0690111303543235</v>
      </c>
      <c r="K352">
        <f t="shared" ca="1" si="112"/>
        <v>114.70902226070865</v>
      </c>
      <c r="L352">
        <f t="shared" ca="1" si="113"/>
        <v>98.432977739291346</v>
      </c>
      <c r="M352">
        <f t="shared" ca="1" si="102"/>
        <v>-0.12999999999999545</v>
      </c>
      <c r="N352">
        <f t="shared" ca="1" si="103"/>
        <v>0</v>
      </c>
      <c r="O352">
        <f t="shared" ca="1" si="104"/>
        <v>0.12999999999999545</v>
      </c>
      <c r="P352">
        <f t="shared" ca="1" si="108"/>
        <v>0.56992859842788601</v>
      </c>
      <c r="Q352">
        <f t="shared" ca="1" si="109"/>
        <v>0.74869823935476787</v>
      </c>
      <c r="R352">
        <f t="shared" ca="1" si="106"/>
        <v>0.76122604337770783</v>
      </c>
      <c r="S352">
        <f t="shared" ca="1" si="107"/>
        <v>43.22137105796007</v>
      </c>
      <c r="T352">
        <f>70</f>
        <v>70</v>
      </c>
      <c r="U352">
        <f>30</f>
        <v>30</v>
      </c>
      <c r="V352">
        <f t="shared" ca="1" si="105"/>
        <v>104.84588098516133</v>
      </c>
      <c r="W352">
        <f t="shared" ca="1" si="115"/>
        <v>106.24766111398263</v>
      </c>
      <c r="X352">
        <f t="shared" ca="1" si="114"/>
        <v>-1.5161914799186462</v>
      </c>
      <c r="Y352">
        <f t="shared" ca="1" si="96"/>
        <v>-1.2750887808164297</v>
      </c>
      <c r="Z352">
        <f t="shared" ca="1" si="97"/>
        <v>-0.24110269910221649</v>
      </c>
      <c r="AA352">
        <f t="shared" ca="1" si="98"/>
        <v>101.99200000000005</v>
      </c>
    </row>
    <row r="353" spans="1:27" x14ac:dyDescent="0.25">
      <c r="A353" vm="1034">
        <f ca="1"/>
        <v>45805</v>
      </c>
      <c r="B353" vm="568">
        <f ca="1"/>
        <v>102.11</v>
      </c>
      <c r="C353" vm="1035">
        <f ca="1"/>
        <v>1945687</v>
      </c>
      <c r="D353">
        <f t="shared" ca="1" si="99"/>
        <v>198674099.56999999</v>
      </c>
      <c r="E353">
        <f ca="1">SUM($D$2:D353)/SUM($C$2:C353)</f>
        <v>97.846849676724801</v>
      </c>
      <c r="F353">
        <f ca="1">_xlfn.STDEV.P($B$2:B353)</f>
        <v>7.0211471042839477</v>
      </c>
      <c r="G353">
        <f t="shared" ca="1" si="100"/>
        <v>104.86799678100874</v>
      </c>
      <c r="H353">
        <f t="shared" ca="1" si="101"/>
        <v>90.825702572440861</v>
      </c>
      <c r="I353">
        <f t="shared" ca="1" si="110"/>
        <v>106.07000000000001</v>
      </c>
      <c r="J353">
        <f t="shared" ca="1" si="111"/>
        <v>3.9640370171939887</v>
      </c>
      <c r="K353">
        <f t="shared" ca="1" si="112"/>
        <v>113.99807403438798</v>
      </c>
      <c r="L353">
        <f t="shared" ca="1" si="113"/>
        <v>98.141925965612032</v>
      </c>
      <c r="M353">
        <f t="shared" ca="1" si="102"/>
        <v>-1.8599999999999994</v>
      </c>
      <c r="N353">
        <f t="shared" ca="1" si="103"/>
        <v>0</v>
      </c>
      <c r="O353">
        <f t="shared" ca="1" si="104"/>
        <v>1.8599999999999994</v>
      </c>
      <c r="P353">
        <f t="shared" ca="1" si="108"/>
        <v>0.52921941282589413</v>
      </c>
      <c r="Q353">
        <f t="shared" ca="1" si="109"/>
        <v>0.82807693654371295</v>
      </c>
      <c r="R353">
        <f t="shared" ca="1" si="106"/>
        <v>0.6390944965026899</v>
      </c>
      <c r="S353">
        <f t="shared" ca="1" si="107"/>
        <v>38.990704798674862</v>
      </c>
      <c r="T353">
        <f>70</f>
        <v>70</v>
      </c>
      <c r="U353">
        <f>30</f>
        <v>30</v>
      </c>
      <c r="V353">
        <f t="shared" ca="1" si="105"/>
        <v>104.42497621821343</v>
      </c>
      <c r="W353">
        <f t="shared" ca="1" si="115"/>
        <v>105.94116769813208</v>
      </c>
      <c r="X353">
        <f t="shared" ca="1" si="114"/>
        <v>-1.4872409261639348</v>
      </c>
      <c r="Y353">
        <f t="shared" ca="1" si="96"/>
        <v>-1.317519209885931</v>
      </c>
      <c r="Z353">
        <f t="shared" ca="1" si="97"/>
        <v>-0.16972171627800381</v>
      </c>
      <c r="AA353">
        <f t="shared" ca="1" si="98"/>
        <v>102.12080000000006</v>
      </c>
    </row>
    <row r="354" spans="1:27" x14ac:dyDescent="0.25">
      <c r="A354" vm="1036">
        <f ca="1"/>
        <v>45806</v>
      </c>
      <c r="B354" vm="1037">
        <f ca="1"/>
        <v>103.38</v>
      </c>
      <c r="C354" vm="1038">
        <f ca="1"/>
        <v>2762859</v>
      </c>
      <c r="D354">
        <f t="shared" ca="1" si="99"/>
        <v>285624363.42000002</v>
      </c>
      <c r="E354">
        <f ca="1">SUM($D$2:D354)/SUM($C$2:C354)</f>
        <v>97.8667357454719</v>
      </c>
      <c r="F354">
        <f ca="1">_xlfn.STDEV.P($B$2:B354)</f>
        <v>7.0193028286120294</v>
      </c>
      <c r="G354">
        <f t="shared" ca="1" si="100"/>
        <v>104.88603857408393</v>
      </c>
      <c r="H354">
        <f t="shared" ca="1" si="101"/>
        <v>90.847432916859873</v>
      </c>
      <c r="I354">
        <f t="shared" ca="1" si="110"/>
        <v>105.60149999999999</v>
      </c>
      <c r="J354">
        <f t="shared" ca="1" si="111"/>
        <v>3.6762542077500582</v>
      </c>
      <c r="K354">
        <f t="shared" ca="1" si="112"/>
        <v>112.9540084155001</v>
      </c>
      <c r="L354">
        <f t="shared" ca="1" si="113"/>
        <v>98.248991584499876</v>
      </c>
      <c r="M354">
        <f t="shared" ca="1" si="102"/>
        <v>1.269999999999996</v>
      </c>
      <c r="N354">
        <f t="shared" ca="1" si="103"/>
        <v>1.269999999999996</v>
      </c>
      <c r="O354">
        <f t="shared" ca="1" si="104"/>
        <v>0</v>
      </c>
      <c r="P354">
        <f t="shared" ca="1" si="108"/>
        <v>0.58213231190975867</v>
      </c>
      <c r="Q354">
        <f t="shared" ca="1" si="109"/>
        <v>0.76892858393344776</v>
      </c>
      <c r="R354">
        <f t="shared" ca="1" si="106"/>
        <v>0.75706941330216349</v>
      </c>
      <c r="S354">
        <f t="shared" ca="1" si="107"/>
        <v>43.087052086312212</v>
      </c>
      <c r="T354">
        <f>70</f>
        <v>70</v>
      </c>
      <c r="U354">
        <f>30</f>
        <v>30</v>
      </c>
      <c r="V354">
        <f t="shared" ca="1" si="105"/>
        <v>104.26421064618059</v>
      </c>
      <c r="W354">
        <f t="shared" ca="1" si="115"/>
        <v>105.75145157234452</v>
      </c>
      <c r="X354">
        <f t="shared" ca="1" si="114"/>
        <v>-1.3590632452887093</v>
      </c>
      <c r="Y354">
        <f t="shared" ca="1" si="96"/>
        <v>-1.3258280169664867</v>
      </c>
      <c r="Z354">
        <f t="shared" ca="1" si="97"/>
        <v>-3.3235228322222587E-2</v>
      </c>
      <c r="AA354">
        <f t="shared" ca="1" si="98"/>
        <v>102.26430000000003</v>
      </c>
    </row>
    <row r="355" spans="1:27" x14ac:dyDescent="0.25">
      <c r="A355" vm="1039">
        <f ca="1"/>
        <v>45807</v>
      </c>
      <c r="B355" vm="1040">
        <f ca="1"/>
        <v>104.49</v>
      </c>
      <c r="C355" vm="1041">
        <f ca="1"/>
        <v>6398572</v>
      </c>
      <c r="D355">
        <f t="shared" ca="1" si="99"/>
        <v>668586788.27999997</v>
      </c>
      <c r="E355">
        <f ca="1">SUM($D$2:D355)/SUM($C$2:C355)</f>
        <v>97.921408762896917</v>
      </c>
      <c r="F355">
        <f ca="1">_xlfn.STDEV.P($B$2:B355)</f>
        <v>7.0204889449960843</v>
      </c>
      <c r="G355">
        <f t="shared" ca="1" si="100"/>
        <v>104.94189770789301</v>
      </c>
      <c r="H355">
        <f t="shared" ca="1" si="101"/>
        <v>90.900919817900828</v>
      </c>
      <c r="I355">
        <f t="shared" ca="1" si="110"/>
        <v>105.19799999999998</v>
      </c>
      <c r="J355">
        <f t="shared" ca="1" si="111"/>
        <v>3.2954555631082414</v>
      </c>
      <c r="K355">
        <f t="shared" ca="1" si="112"/>
        <v>111.78891112621646</v>
      </c>
      <c r="L355">
        <f t="shared" ca="1" si="113"/>
        <v>98.607088873783496</v>
      </c>
      <c r="M355">
        <f t="shared" ca="1" si="102"/>
        <v>1.1099999999999994</v>
      </c>
      <c r="N355">
        <f t="shared" ca="1" si="103"/>
        <v>1.1099999999999994</v>
      </c>
      <c r="O355">
        <f t="shared" ca="1" si="104"/>
        <v>0</v>
      </c>
      <c r="P355">
        <f t="shared" ca="1" si="108"/>
        <v>0.61983714677334734</v>
      </c>
      <c r="Q355">
        <f t="shared" ca="1" si="109"/>
        <v>0.71400511365248731</v>
      </c>
      <c r="R355">
        <f t="shared" ca="1" si="106"/>
        <v>0.86811303577725862</v>
      </c>
      <c r="S355">
        <f t="shared" ca="1" si="107"/>
        <v>46.470048607956215</v>
      </c>
      <c r="T355">
        <f>70</f>
        <v>70</v>
      </c>
      <c r="U355">
        <f>30</f>
        <v>30</v>
      </c>
      <c r="V355">
        <f t="shared" ca="1" si="105"/>
        <v>104.2989474698451</v>
      </c>
      <c r="W355">
        <f t="shared" ca="1" si="115"/>
        <v>105.65801071513381</v>
      </c>
      <c r="X355">
        <f t="shared" ca="1" si="114"/>
        <v>-1.2934076463660631</v>
      </c>
      <c r="Y355">
        <f t="shared" ca="1" si="96"/>
        <v>-1.3193439428464022</v>
      </c>
      <c r="Z355">
        <f t="shared" ca="1" si="97"/>
        <v>2.5936296480339127E-2</v>
      </c>
      <c r="AA355">
        <f t="shared" ca="1" si="98"/>
        <v>102.41680000000004</v>
      </c>
    </row>
    <row r="356" spans="1:27" x14ac:dyDescent="0.25">
      <c r="A356" vm="1042">
        <f ca="1"/>
        <v>45810</v>
      </c>
      <c r="B356" vm="1043">
        <f ca="1"/>
        <v>103.86</v>
      </c>
      <c r="C356" vm="1044">
        <f ca="1"/>
        <v>2292241</v>
      </c>
      <c r="D356">
        <f t="shared" ca="1" si="99"/>
        <v>238072150.25999999</v>
      </c>
      <c r="E356">
        <f ca="1">SUM($D$2:D356)/SUM($C$2:C356)</f>
        <v>97.938918483479839</v>
      </c>
      <c r="F356">
        <f ca="1">_xlfn.STDEV.P($B$2:B356)</f>
        <v>7.019815734747711</v>
      </c>
      <c r="G356">
        <f t="shared" ca="1" si="100"/>
        <v>104.95873421822755</v>
      </c>
      <c r="H356">
        <f t="shared" ca="1" si="101"/>
        <v>90.919102748732129</v>
      </c>
      <c r="I356">
        <f t="shared" ca="1" si="110"/>
        <v>104.8895</v>
      </c>
      <c r="J356">
        <f t="shared" ca="1" si="111"/>
        <v>3.1024531465141894</v>
      </c>
      <c r="K356">
        <f t="shared" ca="1" si="112"/>
        <v>111.09440629302837</v>
      </c>
      <c r="L356">
        <f t="shared" ca="1" si="113"/>
        <v>98.684593706971626</v>
      </c>
      <c r="M356">
        <f t="shared" ca="1" si="102"/>
        <v>-0.62999999999999545</v>
      </c>
      <c r="N356">
        <f t="shared" ca="1" si="103"/>
        <v>0</v>
      </c>
      <c r="O356">
        <f t="shared" ca="1" si="104"/>
        <v>0.62999999999999545</v>
      </c>
      <c r="P356">
        <f t="shared" ca="1" si="108"/>
        <v>0.57556306486096542</v>
      </c>
      <c r="Q356">
        <f t="shared" ca="1" si="109"/>
        <v>0.708004748391595</v>
      </c>
      <c r="R356">
        <f t="shared" ca="1" si="106"/>
        <v>0.81293672982913878</v>
      </c>
      <c r="S356">
        <f t="shared" ca="1" si="107"/>
        <v>44.840877039639132</v>
      </c>
      <c r="T356">
        <f>70</f>
        <v>70</v>
      </c>
      <c r="U356">
        <f>30</f>
        <v>30</v>
      </c>
      <c r="V356">
        <f t="shared" ca="1" si="105"/>
        <v>104.23141708986894</v>
      </c>
      <c r="W356">
        <f t="shared" ca="1" si="115"/>
        <v>105.524824736235</v>
      </c>
      <c r="X356">
        <f t="shared" ca="1" si="114"/>
        <v>-1.2766870757415774</v>
      </c>
      <c r="Y356">
        <f t="shared" ca="1" si="96"/>
        <v>-1.3108125694254373</v>
      </c>
      <c r="Z356">
        <f t="shared" ca="1" si="97"/>
        <v>3.4125493683859975E-2</v>
      </c>
      <c r="AA356">
        <f t="shared" ca="1" si="98"/>
        <v>102.57170000000004</v>
      </c>
    </row>
    <row r="357" spans="1:27" x14ac:dyDescent="0.25">
      <c r="A357" vm="1045">
        <f ca="1"/>
        <v>45811</v>
      </c>
      <c r="B357" vm="1046">
        <f ca="1"/>
        <v>103.24</v>
      </c>
      <c r="C357" vm="1047">
        <f ca="1"/>
        <v>2316659</v>
      </c>
      <c r="D357">
        <f t="shared" ca="1" si="99"/>
        <v>239171875.16</v>
      </c>
      <c r="E357">
        <f ca="1">SUM($D$2:D357)/SUM($C$2:C357)</f>
        <v>97.954668096378725</v>
      </c>
      <c r="F357">
        <f ca="1">_xlfn.STDEV.P($B$2:B357)</f>
        <v>7.0174966363817957</v>
      </c>
      <c r="G357">
        <f t="shared" ca="1" si="100"/>
        <v>104.97216473276052</v>
      </c>
      <c r="H357">
        <f t="shared" ca="1" si="101"/>
        <v>90.937171459996932</v>
      </c>
      <c r="I357">
        <f t="shared" ca="1" si="110"/>
        <v>104.57549999999999</v>
      </c>
      <c r="J357">
        <f t="shared" ca="1" si="111"/>
        <v>2.9216658460182403</v>
      </c>
      <c r="K357">
        <f t="shared" ca="1" si="112"/>
        <v>110.41883169203648</v>
      </c>
      <c r="L357">
        <f t="shared" ca="1" si="113"/>
        <v>98.732168307963505</v>
      </c>
      <c r="M357">
        <f t="shared" ca="1" si="102"/>
        <v>-0.62000000000000455</v>
      </c>
      <c r="N357">
        <f t="shared" ca="1" si="103"/>
        <v>0</v>
      </c>
      <c r="O357">
        <f t="shared" ca="1" si="104"/>
        <v>0.62000000000000455</v>
      </c>
      <c r="P357">
        <f t="shared" ca="1" si="108"/>
        <v>0.53445141737089652</v>
      </c>
      <c r="Q357">
        <f t="shared" ca="1" si="109"/>
        <v>0.7017186949350529</v>
      </c>
      <c r="R357">
        <f t="shared" ca="1" si="106"/>
        <v>0.76163200614223669</v>
      </c>
      <c r="S357">
        <f t="shared" ca="1" si="107"/>
        <v>43.23445552116867</v>
      </c>
      <c r="T357">
        <f>70</f>
        <v>70</v>
      </c>
      <c r="U357">
        <f>30</f>
        <v>30</v>
      </c>
      <c r="V357">
        <f t="shared" ca="1" si="105"/>
        <v>104.07889138373527</v>
      </c>
      <c r="W357">
        <f t="shared" ca="1" si="115"/>
        <v>105.35557845947685</v>
      </c>
      <c r="X357">
        <f t="shared" ca="1" si="114"/>
        <v>-1.3312030152723651</v>
      </c>
      <c r="Y357">
        <f t="shared" ca="1" si="96"/>
        <v>-1.314890658594823</v>
      </c>
      <c r="Z357">
        <f t="shared" ca="1" si="97"/>
        <v>-1.631235667754205E-2</v>
      </c>
      <c r="AA357">
        <f t="shared" ca="1" si="98"/>
        <v>102.72410000000004</v>
      </c>
    </row>
    <row r="358" spans="1:27" x14ac:dyDescent="0.25">
      <c r="A358" vm="1048">
        <f ca="1"/>
        <v>45812</v>
      </c>
      <c r="B358" vm="1049">
        <f ca="1"/>
        <v>102.21</v>
      </c>
      <c r="C358" vm="1050">
        <f ca="1"/>
        <v>1845717</v>
      </c>
      <c r="D358">
        <f t="shared" ca="1" si="99"/>
        <v>188650734.56999999</v>
      </c>
      <c r="E358">
        <f ca="1">SUM($D$2:D358)/SUM($C$2:C358)</f>
        <v>97.964716916130342</v>
      </c>
      <c r="F358">
        <f ca="1">_xlfn.STDEV.P($B$2:B358)</f>
        <v>7.0128442023800934</v>
      </c>
      <c r="G358">
        <f t="shared" ca="1" si="100"/>
        <v>104.97756111851044</v>
      </c>
      <c r="H358">
        <f t="shared" ca="1" si="101"/>
        <v>90.951872713750248</v>
      </c>
      <c r="I358">
        <f t="shared" ca="1" si="110"/>
        <v>104.16249999999998</v>
      </c>
      <c r="J358">
        <f t="shared" ca="1" si="111"/>
        <v>2.6119721828937106</v>
      </c>
      <c r="K358">
        <f t="shared" ca="1" si="112"/>
        <v>109.3864443657874</v>
      </c>
      <c r="L358">
        <f t="shared" ca="1" si="113"/>
        <v>98.938555634212562</v>
      </c>
      <c r="M358">
        <f t="shared" ca="1" si="102"/>
        <v>-1.0300000000000011</v>
      </c>
      <c r="N358">
        <f t="shared" ca="1" si="103"/>
        <v>0</v>
      </c>
      <c r="O358">
        <f t="shared" ca="1" si="104"/>
        <v>1.0300000000000011</v>
      </c>
      <c r="P358">
        <f t="shared" ca="1" si="108"/>
        <v>0.49627631613011819</v>
      </c>
      <c r="Q358">
        <f t="shared" ca="1" si="109"/>
        <v>0.72516735958254919</v>
      </c>
      <c r="R358">
        <f t="shared" ca="1" si="106"/>
        <v>0.68436107826999448</v>
      </c>
      <c r="S358">
        <f t="shared" ca="1" si="107"/>
        <v>40.63030707007912</v>
      </c>
      <c r="T358">
        <f>70</f>
        <v>70</v>
      </c>
      <c r="U358">
        <f>30</f>
        <v>30</v>
      </c>
      <c r="V358">
        <f t="shared" ca="1" si="105"/>
        <v>103.79136963239138</v>
      </c>
      <c r="W358">
        <f t="shared" ca="1" si="115"/>
        <v>105.12257264766374</v>
      </c>
      <c r="X358">
        <f t="shared" ca="1" si="114"/>
        <v>-1.3539582041893823</v>
      </c>
      <c r="Y358">
        <f t="shared" ref="Y358:Y421" ca="1" si="116">X358*(2/(9+1)) + Y357*(1-(2/(9+1)))</f>
        <v>-1.322704167713735</v>
      </c>
      <c r="Z358">
        <f t="shared" ref="Z358:Z421" ca="1" si="117">X358-Y358</f>
        <v>-3.1254036475647284E-2</v>
      </c>
      <c r="AA358">
        <f t="shared" ref="AA358:AA421" ca="1" si="118">AVERAGE(B259:B358)</f>
        <v>102.85610000000003</v>
      </c>
    </row>
    <row r="359" spans="1:27" x14ac:dyDescent="0.25">
      <c r="A359" vm="1051">
        <f ca="1"/>
        <v>45813</v>
      </c>
      <c r="B359" vm="1052">
        <f ca="1"/>
        <v>102.27</v>
      </c>
      <c r="C359" vm="1053">
        <f ca="1"/>
        <v>2734457</v>
      </c>
      <c r="D359">
        <f t="shared" ca="1" si="99"/>
        <v>279652917.38999999</v>
      </c>
      <c r="E359">
        <f ca="1">SUM($D$2:D359)/SUM($C$2:C359)</f>
        <v>97.979726635343951</v>
      </c>
      <c r="F359">
        <f ca="1">_xlfn.STDEV.P($B$2:B359)</f>
        <v>7.0083078233634852</v>
      </c>
      <c r="G359">
        <f t="shared" ca="1" si="100"/>
        <v>104.98803445870743</v>
      </c>
      <c r="H359">
        <f t="shared" ca="1" si="101"/>
        <v>90.97141881198047</v>
      </c>
      <c r="I359">
        <f t="shared" ca="1" si="110"/>
        <v>103.724</v>
      </c>
      <c r="J359">
        <f t="shared" ca="1" si="111"/>
        <v>2.0782264706133202</v>
      </c>
      <c r="K359">
        <f t="shared" ca="1" si="112"/>
        <v>107.88045294122665</v>
      </c>
      <c r="L359">
        <f t="shared" ca="1" si="113"/>
        <v>99.567547058773357</v>
      </c>
      <c r="M359">
        <f t="shared" ca="1" si="102"/>
        <v>6.0000000000002274E-2</v>
      </c>
      <c r="N359">
        <f t="shared" ca="1" si="103"/>
        <v>6.0000000000002274E-2</v>
      </c>
      <c r="O359">
        <f t="shared" ca="1" si="104"/>
        <v>0</v>
      </c>
      <c r="P359">
        <f t="shared" ca="1" si="108"/>
        <v>0.46511372212082419</v>
      </c>
      <c r="Q359">
        <f t="shared" ca="1" si="109"/>
        <v>0.67336969104093847</v>
      </c>
      <c r="R359">
        <f t="shared" ca="1" si="106"/>
        <v>0.69072565681092846</v>
      </c>
      <c r="S359">
        <f t="shared" ca="1" si="107"/>
        <v>40.853798724139864</v>
      </c>
      <c r="T359">
        <f>70</f>
        <v>70</v>
      </c>
      <c r="U359">
        <f>30</f>
        <v>30</v>
      </c>
      <c r="V359">
        <f t="shared" ca="1" si="105"/>
        <v>103.55731276586964</v>
      </c>
      <c r="W359">
        <f t="shared" ca="1" si="115"/>
        <v>104.91127097005902</v>
      </c>
      <c r="X359">
        <f t="shared" ca="1" si="114"/>
        <v>-1.4090061931792093</v>
      </c>
      <c r="Y359">
        <f t="shared" ca="1" si="116"/>
        <v>-1.3399645728068299</v>
      </c>
      <c r="Z359">
        <f t="shared" ca="1" si="117"/>
        <v>-6.9041620372379375E-2</v>
      </c>
      <c r="AA359">
        <f t="shared" ca="1" si="118"/>
        <v>102.99730000000004</v>
      </c>
    </row>
    <row r="360" spans="1:27" x14ac:dyDescent="0.25">
      <c r="A360" vm="1054">
        <f ca="1"/>
        <v>45814</v>
      </c>
      <c r="B360" vm="1055">
        <f ca="1"/>
        <v>101.61</v>
      </c>
      <c r="C360" vm="1056">
        <f ca="1"/>
        <v>1694578</v>
      </c>
      <c r="D360">
        <f t="shared" ca="1" si="99"/>
        <v>172186070.58000001</v>
      </c>
      <c r="E360">
        <f ca="1">SUM($D$2:D360)/SUM($C$2:C360)</f>
        <v>97.987553059007951</v>
      </c>
      <c r="F360">
        <f ca="1">_xlfn.STDEV.P($B$2:B360)</f>
        <v>7.0025075000822516</v>
      </c>
      <c r="G360">
        <f t="shared" ca="1" si="100"/>
        <v>104.9900605590902</v>
      </c>
      <c r="H360">
        <f t="shared" ca="1" si="101"/>
        <v>90.985045558925705</v>
      </c>
      <c r="I360">
        <f t="shared" ca="1" si="110"/>
        <v>103.41699999999999</v>
      </c>
      <c r="J360">
        <f t="shared" ca="1" si="111"/>
        <v>1.8978772074970616</v>
      </c>
      <c r="K360">
        <f t="shared" ca="1" si="112"/>
        <v>107.21275441499411</v>
      </c>
      <c r="L360">
        <f t="shared" ca="1" si="113"/>
        <v>99.621245585005866</v>
      </c>
      <c r="M360">
        <f t="shared" ca="1" si="102"/>
        <v>-0.65999999999999659</v>
      </c>
      <c r="N360">
        <f t="shared" ca="1" si="103"/>
        <v>0</v>
      </c>
      <c r="O360">
        <f t="shared" ca="1" si="104"/>
        <v>0.65999999999999659</v>
      </c>
      <c r="P360">
        <f t="shared" ca="1" si="108"/>
        <v>0.43189131339790821</v>
      </c>
      <c r="Q360">
        <f t="shared" ca="1" si="109"/>
        <v>0.67241471310944256</v>
      </c>
      <c r="R360">
        <f t="shared" ca="1" si="106"/>
        <v>0.64229902317383314</v>
      </c>
      <c r="S360">
        <f t="shared" ca="1" si="107"/>
        <v>39.109748840534223</v>
      </c>
      <c r="T360">
        <f>70</f>
        <v>70</v>
      </c>
      <c r="U360">
        <f>30</f>
        <v>30</v>
      </c>
      <c r="V360">
        <f t="shared" ca="1" si="105"/>
        <v>103.25772618650508</v>
      </c>
      <c r="W360">
        <f t="shared" ca="1" si="115"/>
        <v>104.66673237968429</v>
      </c>
      <c r="X360">
        <f t="shared" ca="1" si="114"/>
        <v>-1.4759639487332947</v>
      </c>
      <c r="Y360">
        <f t="shared" ca="1" si="116"/>
        <v>-1.3671644479921228</v>
      </c>
      <c r="Z360">
        <f t="shared" ca="1" si="117"/>
        <v>-0.10879950074117195</v>
      </c>
      <c r="AA360">
        <f t="shared" ca="1" si="118"/>
        <v>103.12870000000004</v>
      </c>
    </row>
    <row r="361" spans="1:27" x14ac:dyDescent="0.25">
      <c r="A361" vm="1057">
        <f ca="1"/>
        <v>45817</v>
      </c>
      <c r="B361" vm="1058">
        <f ca="1"/>
        <v>101.11</v>
      </c>
      <c r="C361" vm="1059">
        <f ca="1"/>
        <v>1781808</v>
      </c>
      <c r="D361">
        <f t="shared" ca="1" si="99"/>
        <v>180158606.88</v>
      </c>
      <c r="E361">
        <f ca="1">SUM($D$2:D361)/SUM($C$2:C361)</f>
        <v>97.994615178550276</v>
      </c>
      <c r="F361">
        <f ca="1">_xlfn.STDEV.P($B$2:B361)</f>
        <v>6.9958793294210668</v>
      </c>
      <c r="G361">
        <f t="shared" ca="1" si="100"/>
        <v>104.99049450797135</v>
      </c>
      <c r="H361">
        <f t="shared" ca="1" si="101"/>
        <v>90.998735849129204</v>
      </c>
      <c r="I361">
        <f t="shared" ca="1" si="110"/>
        <v>103.0885</v>
      </c>
      <c r="J361">
        <f t="shared" ca="1" si="111"/>
        <v>1.6768964911720883</v>
      </c>
      <c r="K361">
        <f t="shared" ca="1" si="112"/>
        <v>106.44229298234417</v>
      </c>
      <c r="L361">
        <f t="shared" ca="1" si="113"/>
        <v>99.734707017655822</v>
      </c>
      <c r="M361">
        <f t="shared" ca="1" si="102"/>
        <v>-0.5</v>
      </c>
      <c r="N361">
        <f t="shared" ca="1" si="103"/>
        <v>0</v>
      </c>
      <c r="O361">
        <f t="shared" ca="1" si="104"/>
        <v>0.5</v>
      </c>
      <c r="P361">
        <f t="shared" ca="1" si="108"/>
        <v>0.40104193386948622</v>
      </c>
      <c r="Q361">
        <f t="shared" ca="1" si="109"/>
        <v>0.66009937645876804</v>
      </c>
      <c r="R361">
        <f t="shared" ca="1" si="106"/>
        <v>0.60754781502893396</v>
      </c>
      <c r="S361">
        <f t="shared" ca="1" si="107"/>
        <v>37.79345219774995</v>
      </c>
      <c r="T361">
        <f>70</f>
        <v>70</v>
      </c>
      <c r="U361">
        <f>30</f>
        <v>30</v>
      </c>
      <c r="V361">
        <f t="shared" ca="1" si="105"/>
        <v>102.92730677319661</v>
      </c>
      <c r="W361">
        <f t="shared" ca="1" si="115"/>
        <v>104.4032707219299</v>
      </c>
      <c r="X361">
        <f t="shared" ca="1" si="114"/>
        <v>-1.4086976438399574</v>
      </c>
      <c r="Y361">
        <f t="shared" ca="1" si="116"/>
        <v>-1.3754710871616898</v>
      </c>
      <c r="Z361">
        <f t="shared" ca="1" si="117"/>
        <v>-3.3226556678267682E-2</v>
      </c>
      <c r="AA361">
        <f t="shared" ca="1" si="118"/>
        <v>103.24610000000004</v>
      </c>
    </row>
    <row r="362" spans="1:27" x14ac:dyDescent="0.25">
      <c r="A362" vm="1060">
        <f ca="1"/>
        <v>45818</v>
      </c>
      <c r="B362" vm="1061">
        <f ca="1"/>
        <v>102.4</v>
      </c>
      <c r="C362" vm="1062">
        <f ca="1"/>
        <v>2311885</v>
      </c>
      <c r="D362">
        <f t="shared" ca="1" si="99"/>
        <v>236737024</v>
      </c>
      <c r="E362">
        <f ca="1">SUM($D$2:D362)/SUM($C$2:C362)</f>
        <v>98.007505286890819</v>
      </c>
      <c r="F362">
        <f ca="1">_xlfn.STDEV.P($B$2:B362)</f>
        <v>6.9916060372703059</v>
      </c>
      <c r="G362">
        <f t="shared" ca="1" si="100"/>
        <v>104.99911132416112</v>
      </c>
      <c r="H362">
        <f t="shared" ca="1" si="101"/>
        <v>91.015899249620517</v>
      </c>
      <c r="I362">
        <f t="shared" ca="1" si="110"/>
        <v>103.03149999999998</v>
      </c>
      <c r="J362">
        <f t="shared" ca="1" si="111"/>
        <v>1.6801136396402661</v>
      </c>
      <c r="K362">
        <f t="shared" ca="1" si="112"/>
        <v>106.39172727928052</v>
      </c>
      <c r="L362">
        <f t="shared" ca="1" si="113"/>
        <v>99.671272720719443</v>
      </c>
      <c r="M362">
        <f t="shared" ca="1" si="102"/>
        <v>1.2900000000000063</v>
      </c>
      <c r="N362">
        <f t="shared" ca="1" si="103"/>
        <v>1.2900000000000063</v>
      </c>
      <c r="O362">
        <f t="shared" ca="1" si="104"/>
        <v>0</v>
      </c>
      <c r="P362">
        <f t="shared" ca="1" si="108"/>
        <v>0.46453893859309481</v>
      </c>
      <c r="Q362">
        <f t="shared" ca="1" si="109"/>
        <v>0.61294942099742744</v>
      </c>
      <c r="R362">
        <f t="shared" ca="1" si="106"/>
        <v>0.7578748305809142</v>
      </c>
      <c r="S362">
        <f t="shared" ca="1" si="107"/>
        <v>43.11312827264635</v>
      </c>
      <c r="T362">
        <f>70</f>
        <v>70</v>
      </c>
      <c r="U362">
        <f>30</f>
        <v>30</v>
      </c>
      <c r="V362">
        <f t="shared" ca="1" si="105"/>
        <v>102.84618265424328</v>
      </c>
      <c r="W362">
        <f t="shared" ca="1" si="115"/>
        <v>104.25488029808324</v>
      </c>
      <c r="X362">
        <f t="shared" ca="1" si="114"/>
        <v>-1.3279767765435793</v>
      </c>
      <c r="Y362">
        <f t="shared" ca="1" si="116"/>
        <v>-1.3659722250380677</v>
      </c>
      <c r="Z362">
        <f t="shared" ca="1" si="117"/>
        <v>3.7995448494488437E-2</v>
      </c>
      <c r="AA362">
        <f t="shared" ca="1" si="118"/>
        <v>103.36780000000003</v>
      </c>
    </row>
    <row r="363" spans="1:27" x14ac:dyDescent="0.25">
      <c r="A363" vm="1063">
        <f ca="1"/>
        <v>45819</v>
      </c>
      <c r="B363" vm="1064">
        <f ca="1"/>
        <v>102.55</v>
      </c>
      <c r="C363" vm="1065">
        <f ca="1"/>
        <v>2439137</v>
      </c>
      <c r="D363">
        <f t="shared" ca="1" si="99"/>
        <v>250133499.34999999</v>
      </c>
      <c r="E363">
        <f ca="1">SUM($D$2:D363)/SUM($C$2:C363)</f>
        <v>98.021485007545877</v>
      </c>
      <c r="F363">
        <f ca="1">_xlfn.STDEV.P($B$2:B363)</f>
        <v>6.9876372365157016</v>
      </c>
      <c r="G363">
        <f t="shared" ca="1" si="100"/>
        <v>105.00912224406157</v>
      </c>
      <c r="H363">
        <f t="shared" ca="1" si="101"/>
        <v>91.033847771030182</v>
      </c>
      <c r="I363">
        <f t="shared" ca="1" si="110"/>
        <v>103.13</v>
      </c>
      <c r="J363">
        <f t="shared" ca="1" si="111"/>
        <v>1.5838128544416903</v>
      </c>
      <c r="K363">
        <f t="shared" ca="1" si="112"/>
        <v>106.29762570888337</v>
      </c>
      <c r="L363">
        <f t="shared" ca="1" si="113"/>
        <v>99.962374291116618</v>
      </c>
      <c r="M363">
        <f t="shared" ca="1" si="102"/>
        <v>0.14999999999999147</v>
      </c>
      <c r="N363">
        <f t="shared" ca="1" si="103"/>
        <v>0.14999999999999147</v>
      </c>
      <c r="O363">
        <f t="shared" ca="1" si="104"/>
        <v>0</v>
      </c>
      <c r="P363">
        <f t="shared" ca="1" si="108"/>
        <v>0.44207187155073024</v>
      </c>
      <c r="Q363">
        <f t="shared" ca="1" si="109"/>
        <v>0.56916731949761112</v>
      </c>
      <c r="R363">
        <f t="shared" ca="1" si="106"/>
        <v>0.77669932268939013</v>
      </c>
      <c r="S363">
        <f t="shared" ca="1" si="107"/>
        <v>43.715856294339112</v>
      </c>
      <c r="T363">
        <f>70</f>
        <v>70</v>
      </c>
      <c r="U363">
        <f>30</f>
        <v>30</v>
      </c>
      <c r="V363">
        <f t="shared" ca="1" si="105"/>
        <v>102.80061609205201</v>
      </c>
      <c r="W363">
        <f t="shared" ca="1" si="115"/>
        <v>104.12859286859559</v>
      </c>
      <c r="X363">
        <f t="shared" ca="1" si="114"/>
        <v>-1.1530760767923596</v>
      </c>
      <c r="Y363">
        <f t="shared" ca="1" si="116"/>
        <v>-1.3233929953889261</v>
      </c>
      <c r="Z363">
        <f t="shared" ca="1" si="117"/>
        <v>0.1703169185965665</v>
      </c>
      <c r="AA363">
        <f t="shared" ca="1" si="118"/>
        <v>103.47110000000002</v>
      </c>
    </row>
    <row r="364" spans="1:27" x14ac:dyDescent="0.25">
      <c r="A364" vm="1066">
        <f ca="1"/>
        <v>45820</v>
      </c>
      <c r="B364" vm="1067">
        <f ca="1"/>
        <v>103.76</v>
      </c>
      <c r="C364" vm="1068">
        <f ca="1"/>
        <v>1902564</v>
      </c>
      <c r="D364">
        <f t="shared" ca="1" si="99"/>
        <v>197410040.64000002</v>
      </c>
      <c r="E364">
        <f ca="1">SUM($D$2:D364)/SUM($C$2:C364)</f>
        <v>98.03522749586449</v>
      </c>
      <c r="F364">
        <f ca="1">_xlfn.STDEV.P($B$2:B364)</f>
        <v>6.986495000835129</v>
      </c>
      <c r="G364">
        <f t="shared" ca="1" si="100"/>
        <v>105.02172249669962</v>
      </c>
      <c r="H364">
        <f t="shared" ca="1" si="101"/>
        <v>91.048732495029356</v>
      </c>
      <c r="I364">
        <f t="shared" ca="1" si="110"/>
        <v>103.3545</v>
      </c>
      <c r="J364">
        <f t="shared" ca="1" si="111"/>
        <v>1.3008113864653446</v>
      </c>
      <c r="K364">
        <f t="shared" ca="1" si="112"/>
        <v>105.95612277293068</v>
      </c>
      <c r="L364">
        <f t="shared" ca="1" si="113"/>
        <v>100.75287722706932</v>
      </c>
      <c r="M364">
        <f t="shared" ca="1" si="102"/>
        <v>1.210000000000008</v>
      </c>
      <c r="N364">
        <f t="shared" ca="1" si="103"/>
        <v>1.210000000000008</v>
      </c>
      <c r="O364">
        <f t="shared" ca="1" si="104"/>
        <v>0</v>
      </c>
      <c r="P364">
        <f t="shared" ca="1" si="108"/>
        <v>0.49692388072567867</v>
      </c>
      <c r="Q364">
        <f t="shared" ca="1" si="109"/>
        <v>0.52851251096206753</v>
      </c>
      <c r="R364">
        <f t="shared" ca="1" si="106"/>
        <v>0.94023106439072346</v>
      </c>
      <c r="S364">
        <f t="shared" ca="1" si="107"/>
        <v>48.459746967610648</v>
      </c>
      <c r="T364">
        <f>70</f>
        <v>70</v>
      </c>
      <c r="U364">
        <f>30</f>
        <v>30</v>
      </c>
      <c r="V364">
        <f t="shared" ca="1" si="105"/>
        <v>102.94821361635171</v>
      </c>
      <c r="W364">
        <f t="shared" ca="1" si="115"/>
        <v>104.10128969314407</v>
      </c>
      <c r="X364">
        <f t="shared" ca="1" si="114"/>
        <v>-0.98695072995830913</v>
      </c>
      <c r="Y364">
        <f t="shared" ca="1" si="116"/>
        <v>-1.2561045423028028</v>
      </c>
      <c r="Z364">
        <f t="shared" ca="1" si="117"/>
        <v>0.26915381234449365</v>
      </c>
      <c r="AA364">
        <f t="shared" ca="1" si="118"/>
        <v>103.57220000000001</v>
      </c>
    </row>
    <row r="365" spans="1:27" x14ac:dyDescent="0.25">
      <c r="A365" vm="1069">
        <f ca="1"/>
        <v>45821</v>
      </c>
      <c r="B365" vm="1070">
        <f ca="1"/>
        <v>103.96</v>
      </c>
      <c r="C365" vm="1071">
        <f ca="1"/>
        <v>3337359</v>
      </c>
      <c r="D365">
        <f t="shared" ca="1" si="99"/>
        <v>346951841.63999999</v>
      </c>
      <c r="E365">
        <f ca="1">SUM($D$2:D365)/SUM($C$2:C365)</f>
        <v>98.060012022801956</v>
      </c>
      <c r="F365">
        <f ca="1">_xlfn.STDEV.P($B$2:B365)</f>
        <v>6.9858340507757299</v>
      </c>
      <c r="G365">
        <f t="shared" ca="1" si="100"/>
        <v>105.04584607357769</v>
      </c>
      <c r="H365">
        <f t="shared" ca="1" si="101"/>
        <v>91.07417797202622</v>
      </c>
      <c r="I365">
        <f t="shared" ca="1" si="110"/>
        <v>103.45199999999997</v>
      </c>
      <c r="J365">
        <f t="shared" ca="1" si="111"/>
        <v>1.2673827154290924</v>
      </c>
      <c r="K365">
        <f t="shared" ca="1" si="112"/>
        <v>105.98676543085816</v>
      </c>
      <c r="L365">
        <f t="shared" ca="1" si="113"/>
        <v>100.91723456914178</v>
      </c>
      <c r="M365">
        <f t="shared" ca="1" si="102"/>
        <v>0.19999999999998863</v>
      </c>
      <c r="N365">
        <f t="shared" ca="1" si="103"/>
        <v>0.19999999999998863</v>
      </c>
      <c r="O365">
        <f t="shared" ca="1" si="104"/>
        <v>0</v>
      </c>
      <c r="P365">
        <f t="shared" ca="1" si="108"/>
        <v>0.47571503210241511</v>
      </c>
      <c r="Q365">
        <f t="shared" ca="1" si="109"/>
        <v>0.49076161732191986</v>
      </c>
      <c r="R365">
        <f t="shared" ca="1" si="106"/>
        <v>0.96934033818371168</v>
      </c>
      <c r="S365">
        <f t="shared" ca="1" si="107"/>
        <v>49.221575336120793</v>
      </c>
      <c r="T365">
        <f>70</f>
        <v>70</v>
      </c>
      <c r="U365">
        <f>30</f>
        <v>30</v>
      </c>
      <c r="V365">
        <f t="shared" ca="1" si="105"/>
        <v>103.10387305998991</v>
      </c>
      <c r="W365">
        <f t="shared" ca="1" si="115"/>
        <v>104.09082378994822</v>
      </c>
      <c r="X365">
        <f t="shared" ca="1" si="114"/>
        <v>-1.0314171877953555</v>
      </c>
      <c r="Y365">
        <f t="shared" ca="1" si="116"/>
        <v>-1.2111670714013134</v>
      </c>
      <c r="Z365">
        <f t="shared" ca="1" si="117"/>
        <v>0.17974988360595789</v>
      </c>
      <c r="AA365">
        <f t="shared" ca="1" si="118"/>
        <v>103.6797</v>
      </c>
    </row>
    <row r="366" spans="1:27" x14ac:dyDescent="0.25">
      <c r="A366" vm="1072">
        <f ca="1"/>
        <v>45824</v>
      </c>
      <c r="B366" vm="1073">
        <f ca="1"/>
        <v>101.63</v>
      </c>
      <c r="C366" vm="1074">
        <f ca="1"/>
        <v>2737989</v>
      </c>
      <c r="D366">
        <f t="shared" ca="1" si="99"/>
        <v>278261822.06999999</v>
      </c>
      <c r="E366">
        <f ca="1">SUM($D$2:D366)/SUM($C$2:C366)</f>
        <v>98.072222048186546</v>
      </c>
      <c r="F366">
        <f ca="1">_xlfn.STDEV.P($B$2:B366)</f>
        <v>6.9800520206189072</v>
      </c>
      <c r="G366">
        <f t="shared" ca="1" si="100"/>
        <v>105.05227406880546</v>
      </c>
      <c r="H366">
        <f t="shared" ca="1" si="101"/>
        <v>91.092170027567633</v>
      </c>
      <c r="I366">
        <f t="shared" ca="1" si="110"/>
        <v>103.31899999999999</v>
      </c>
      <c r="J366">
        <f t="shared" ca="1" si="111"/>
        <v>1.3135444215436411</v>
      </c>
      <c r="K366">
        <f t="shared" ca="1" si="112"/>
        <v>105.94608884308727</v>
      </c>
      <c r="L366">
        <f t="shared" ca="1" si="113"/>
        <v>100.69191115691271</v>
      </c>
      <c r="M366">
        <f t="shared" ca="1" si="102"/>
        <v>-2.3299999999999983</v>
      </c>
      <c r="N366">
        <f t="shared" ca="1" si="103"/>
        <v>0</v>
      </c>
      <c r="O366">
        <f t="shared" ca="1" si="104"/>
        <v>2.3299999999999983</v>
      </c>
      <c r="P366">
        <f t="shared" ca="1" si="108"/>
        <v>0.44173538695224263</v>
      </c>
      <c r="Q366">
        <f t="shared" ca="1" si="109"/>
        <v>0.62213578751321119</v>
      </c>
      <c r="R366">
        <f t="shared" ca="1" si="106"/>
        <v>0.71003050430186399</v>
      </c>
      <c r="S366">
        <f t="shared" ca="1" si="107"/>
        <v>41.521511020748754</v>
      </c>
      <c r="T366">
        <f>70</f>
        <v>70</v>
      </c>
      <c r="U366">
        <f>30</f>
        <v>30</v>
      </c>
      <c r="V366">
        <f t="shared" ca="1" si="105"/>
        <v>102.87712335845299</v>
      </c>
      <c r="W366">
        <f t="shared" ca="1" si="115"/>
        <v>103.90854054624835</v>
      </c>
      <c r="X366">
        <f t="shared" ca="1" si="114"/>
        <v>-1.076837720997645</v>
      </c>
      <c r="Y366">
        <f t="shared" ca="1" si="116"/>
        <v>-1.1843012013205798</v>
      </c>
      <c r="Z366">
        <f t="shared" ca="1" si="117"/>
        <v>0.10746348032293485</v>
      </c>
      <c r="AA366">
        <f t="shared" ca="1" si="118"/>
        <v>103.78829999999999</v>
      </c>
    </row>
    <row r="367" spans="1:27" x14ac:dyDescent="0.25">
      <c r="A367" vm="1075">
        <f ca="1"/>
        <v>45825</v>
      </c>
      <c r="B367" vm="1076">
        <f ca="1"/>
        <v>101.35</v>
      </c>
      <c r="C367" vm="1077">
        <f ca="1"/>
        <v>2844894</v>
      </c>
      <c r="D367">
        <f t="shared" ca="1" si="99"/>
        <v>288330006.89999998</v>
      </c>
      <c r="E367">
        <f ca="1">SUM($D$2:D367)/SUM($C$2:C367)</f>
        <v>98.083829131576238</v>
      </c>
      <c r="F367">
        <f ca="1">_xlfn.STDEV.P($B$2:B367)</f>
        <v>6.9738111751343688</v>
      </c>
      <c r="G367">
        <f t="shared" ca="1" si="100"/>
        <v>105.05764030671061</v>
      </c>
      <c r="H367">
        <f t="shared" ca="1" si="101"/>
        <v>91.110017956441865</v>
      </c>
      <c r="I367">
        <f t="shared" ca="1" si="110"/>
        <v>103.11749999999999</v>
      </c>
      <c r="J367">
        <f t="shared" ca="1" si="111"/>
        <v>1.289630199953296</v>
      </c>
      <c r="K367">
        <f t="shared" ca="1" si="112"/>
        <v>105.69676039990658</v>
      </c>
      <c r="L367">
        <f t="shared" ca="1" si="113"/>
        <v>100.53823960009341</v>
      </c>
      <c r="M367">
        <f t="shared" ca="1" si="102"/>
        <v>-0.28000000000000114</v>
      </c>
      <c r="N367">
        <f t="shared" ca="1" si="103"/>
        <v>0</v>
      </c>
      <c r="O367">
        <f t="shared" ca="1" si="104"/>
        <v>0.28000000000000114</v>
      </c>
      <c r="P367">
        <f t="shared" ca="1" si="108"/>
        <v>0.41018285931279674</v>
      </c>
      <c r="Q367">
        <f t="shared" ca="1" si="109"/>
        <v>0.59769751697655338</v>
      </c>
      <c r="R367">
        <f t="shared" ca="1" si="106"/>
        <v>0.68627164688202558</v>
      </c>
      <c r="S367">
        <f t="shared" ca="1" si="107"/>
        <v>40.697573736175045</v>
      </c>
      <c r="T367">
        <f>70</f>
        <v>70</v>
      </c>
      <c r="U367">
        <f>30</f>
        <v>30</v>
      </c>
      <c r="V367">
        <f t="shared" ca="1" si="105"/>
        <v>102.64218130330639</v>
      </c>
      <c r="W367">
        <f t="shared" ca="1" si="115"/>
        <v>103.71901902430403</v>
      </c>
      <c r="X367">
        <f t="shared" ca="1" si="114"/>
        <v>-1.1496106433527444</v>
      </c>
      <c r="Y367">
        <f t="shared" ca="1" si="116"/>
        <v>-1.1773630897270129</v>
      </c>
      <c r="Z367">
        <f t="shared" ca="1" si="117"/>
        <v>2.7752446374268436E-2</v>
      </c>
      <c r="AA367">
        <f t="shared" ca="1" si="118"/>
        <v>103.8942</v>
      </c>
    </row>
    <row r="368" spans="1:27" x14ac:dyDescent="0.25">
      <c r="A368" vm="1078">
        <f ca="1"/>
        <v>45826</v>
      </c>
      <c r="B368" vm="1079">
        <f ca="1"/>
        <v>100.73</v>
      </c>
      <c r="C368" vm="1080">
        <f ca="1"/>
        <v>2620595</v>
      </c>
      <c r="D368">
        <f t="shared" ca="1" si="99"/>
        <v>263972534.35000002</v>
      </c>
      <c r="E368">
        <f ca="1">SUM($D$2:D368)/SUM($C$2:C368)</f>
        <v>98.092432745941707</v>
      </c>
      <c r="F368">
        <f ca="1">_xlfn.STDEV.P($B$2:B368)</f>
        <v>6.9666645795734725</v>
      </c>
      <c r="G368">
        <f t="shared" ca="1" si="100"/>
        <v>105.05909732551518</v>
      </c>
      <c r="H368">
        <f t="shared" ca="1" si="101"/>
        <v>91.125768166368232</v>
      </c>
      <c r="I368">
        <f t="shared" ca="1" si="110"/>
        <v>102.8685</v>
      </c>
      <c r="J368">
        <f t="shared" ca="1" si="111"/>
        <v>1.2426384281672176</v>
      </c>
      <c r="K368">
        <f t="shared" ca="1" si="112"/>
        <v>105.35377685633443</v>
      </c>
      <c r="L368">
        <f t="shared" ca="1" si="113"/>
        <v>100.38322314366556</v>
      </c>
      <c r="M368">
        <f t="shared" ca="1" si="102"/>
        <v>-0.61999999999999034</v>
      </c>
      <c r="N368">
        <f t="shared" ca="1" si="103"/>
        <v>0</v>
      </c>
      <c r="O368">
        <f t="shared" ca="1" si="104"/>
        <v>0.61999999999999034</v>
      </c>
      <c r="P368">
        <f t="shared" ca="1" si="108"/>
        <v>0.38088408364759696</v>
      </c>
      <c r="Q368">
        <f t="shared" ca="1" si="109"/>
        <v>0.59929055147822752</v>
      </c>
      <c r="R368">
        <f t="shared" ca="1" si="106"/>
        <v>0.63555829923915397</v>
      </c>
      <c r="S368">
        <f t="shared" ca="1" si="107"/>
        <v>38.858798218003578</v>
      </c>
      <c r="T368">
        <f>70</f>
        <v>70</v>
      </c>
      <c r="U368">
        <f>30</f>
        <v>30</v>
      </c>
      <c r="V368">
        <f t="shared" ca="1" si="105"/>
        <v>102.34799956433618</v>
      </c>
      <c r="W368">
        <f t="shared" ca="1" si="115"/>
        <v>103.49761020768892</v>
      </c>
      <c r="X368">
        <f t="shared" ca="1" si="114"/>
        <v>-1.1743801905728048</v>
      </c>
      <c r="Y368">
        <f t="shared" ca="1" si="116"/>
        <v>-1.1767665098961713</v>
      </c>
      <c r="Z368">
        <f t="shared" ca="1" si="117"/>
        <v>2.3863193233664148E-3</v>
      </c>
      <c r="AA368">
        <f t="shared" ca="1" si="118"/>
        <v>103.99549999999999</v>
      </c>
    </row>
    <row r="369" spans="1:27" x14ac:dyDescent="0.25">
      <c r="A369" vm="1081">
        <f ca="1"/>
        <v>45828</v>
      </c>
      <c r="B369" vm="844">
        <f ca="1"/>
        <v>100.97</v>
      </c>
      <c r="C369" vm="1082">
        <f ca="1"/>
        <v>7504224</v>
      </c>
      <c r="D369">
        <f t="shared" ca="1" si="99"/>
        <v>757701497.27999997</v>
      </c>
      <c r="E369">
        <f ca="1">SUM($D$2:D369)/SUM($C$2:C369)</f>
        <v>98.118976947235481</v>
      </c>
      <c r="F369">
        <f ca="1">_xlfn.STDEV.P($B$2:B369)</f>
        <v>6.9598721939704893</v>
      </c>
      <c r="G369">
        <f t="shared" ca="1" si="100"/>
        <v>105.07884914120596</v>
      </c>
      <c r="H369">
        <f t="shared" ca="1" si="101"/>
        <v>91.159104753264998</v>
      </c>
      <c r="I369">
        <f t="shared" ca="1" si="110"/>
        <v>102.65599999999999</v>
      </c>
      <c r="J369">
        <f t="shared" ca="1" si="111"/>
        <v>1.1812232731590713</v>
      </c>
      <c r="K369">
        <f t="shared" ca="1" si="112"/>
        <v>105.01844654631813</v>
      </c>
      <c r="L369">
        <f t="shared" ca="1" si="113"/>
        <v>100.29355345368185</v>
      </c>
      <c r="M369">
        <f t="shared" ca="1" si="102"/>
        <v>0.23999999999999488</v>
      </c>
      <c r="N369">
        <f t="shared" ca="1" si="103"/>
        <v>0.23999999999999488</v>
      </c>
      <c r="O369">
        <f t="shared" ca="1" si="104"/>
        <v>0</v>
      </c>
      <c r="P369">
        <f t="shared" ca="1" si="108"/>
        <v>0.37082093481562539</v>
      </c>
      <c r="Q369">
        <f t="shared" ca="1" si="109"/>
        <v>0.55648408351549705</v>
      </c>
      <c r="R369">
        <f t="shared" ca="1" si="106"/>
        <v>0.66636395505335011</v>
      </c>
      <c r="S369">
        <f t="shared" ca="1" si="107"/>
        <v>39.989100402259716</v>
      </c>
      <c r="T369">
        <f>70</f>
        <v>70</v>
      </c>
      <c r="U369">
        <f>30</f>
        <v>30</v>
      </c>
      <c r="V369">
        <f t="shared" ca="1" si="105"/>
        <v>102.13599963136139</v>
      </c>
      <c r="W369">
        <f t="shared" ca="1" si="115"/>
        <v>103.31037982193419</v>
      </c>
      <c r="X369">
        <f t="shared" ca="1" si="114"/>
        <v>-1.1660443065933777</v>
      </c>
      <c r="Y369">
        <f t="shared" ca="1" si="116"/>
        <v>-1.1746220692356126</v>
      </c>
      <c r="Z369">
        <f t="shared" ca="1" si="117"/>
        <v>8.5777626422349762E-3</v>
      </c>
      <c r="AA369">
        <f t="shared" ca="1" si="118"/>
        <v>104.05629999999999</v>
      </c>
    </row>
    <row r="370" spans="1:27" x14ac:dyDescent="0.25">
      <c r="A370" vm="1083">
        <f ca="1"/>
        <v>45831</v>
      </c>
      <c r="B370" vm="1084">
        <f ca="1"/>
        <v>101.15</v>
      </c>
      <c r="C370" vm="1085">
        <f ca="1"/>
        <v>3957784</v>
      </c>
      <c r="D370">
        <f t="shared" ca="1" si="99"/>
        <v>400329851.60000002</v>
      </c>
      <c r="E370">
        <f ca="1">SUM($D$2:D370)/SUM($C$2:C370)</f>
        <v>98.133651739475908</v>
      </c>
      <c r="F370">
        <f ca="1">_xlfn.STDEV.P($B$2:B370)</f>
        <v>6.9533606795441036</v>
      </c>
      <c r="G370">
        <f t="shared" ca="1" si="100"/>
        <v>105.08701241902001</v>
      </c>
      <c r="H370">
        <f t="shared" ca="1" si="101"/>
        <v>91.180291059931804</v>
      </c>
      <c r="I370">
        <f t="shared" ca="1" si="110"/>
        <v>102.54249999999999</v>
      </c>
      <c r="J370">
        <f t="shared" ca="1" si="111"/>
        <v>1.2125912879362708</v>
      </c>
      <c r="K370">
        <f t="shared" ca="1" si="112"/>
        <v>104.96768257587253</v>
      </c>
      <c r="L370">
        <f t="shared" ca="1" si="113"/>
        <v>100.11731742412745</v>
      </c>
      <c r="M370">
        <f t="shared" ca="1" si="102"/>
        <v>0.18000000000000682</v>
      </c>
      <c r="N370">
        <f t="shared" ca="1" si="103"/>
        <v>0.18000000000000682</v>
      </c>
      <c r="O370">
        <f t="shared" ca="1" si="104"/>
        <v>0</v>
      </c>
      <c r="P370">
        <f t="shared" ca="1" si="108"/>
        <v>0.3571908680430812</v>
      </c>
      <c r="Q370">
        <f t="shared" ca="1" si="109"/>
        <v>0.51673522040724729</v>
      </c>
      <c r="R370">
        <f t="shared" ca="1" si="106"/>
        <v>0.69124544628789453</v>
      </c>
      <c r="S370">
        <f t="shared" ca="1" si="107"/>
        <v>40.87197679113374</v>
      </c>
      <c r="T370">
        <f>70</f>
        <v>70</v>
      </c>
      <c r="U370">
        <f>30</f>
        <v>30</v>
      </c>
      <c r="V370">
        <f t="shared" ca="1" si="105"/>
        <v>101.98430738038272</v>
      </c>
      <c r="W370">
        <f t="shared" ca="1" si="115"/>
        <v>103.15035168697609</v>
      </c>
      <c r="X370">
        <f t="shared" ca="1" si="114"/>
        <v>-1.2228062857366524</v>
      </c>
      <c r="Y370">
        <f t="shared" ca="1" si="116"/>
        <v>-1.1842589125358207</v>
      </c>
      <c r="Z370">
        <f t="shared" ca="1" si="117"/>
        <v>-3.8547373200831681E-2</v>
      </c>
      <c r="AA370">
        <f t="shared" ca="1" si="118"/>
        <v>104.13390000000001</v>
      </c>
    </row>
    <row r="371" spans="1:27" x14ac:dyDescent="0.25">
      <c r="A371" vm="1086">
        <f ca="1"/>
        <v>45832</v>
      </c>
      <c r="B371" vm="1087">
        <f ca="1"/>
        <v>100.19</v>
      </c>
      <c r="C371" vm="1088">
        <f ca="1"/>
        <v>2952898</v>
      </c>
      <c r="D371">
        <f t="shared" ca="1" si="99"/>
        <v>295850850.62</v>
      </c>
      <c r="E371">
        <f ca="1">SUM($D$2:D371)/SUM($C$2:C371)</f>
        <v>98.14105306982853</v>
      </c>
      <c r="F371">
        <f ca="1">_xlfn.STDEV.P($B$2:B371)</f>
        <v>6.9456000700508111</v>
      </c>
      <c r="G371">
        <f t="shared" ca="1" si="100"/>
        <v>105.08665313987935</v>
      </c>
      <c r="H371">
        <f t="shared" ca="1" si="101"/>
        <v>91.195452999777714</v>
      </c>
      <c r="I371">
        <f t="shared" ca="1" si="110"/>
        <v>102.34700000000001</v>
      </c>
      <c r="J371">
        <f t="shared" ca="1" si="111"/>
        <v>1.2624374919387609</v>
      </c>
      <c r="K371">
        <f t="shared" ca="1" si="112"/>
        <v>104.87187498387753</v>
      </c>
      <c r="L371">
        <f t="shared" ca="1" si="113"/>
        <v>99.822125016122484</v>
      </c>
      <c r="M371">
        <f t="shared" ca="1" si="102"/>
        <v>-0.96000000000000796</v>
      </c>
      <c r="N371">
        <f t="shared" ca="1" si="103"/>
        <v>0</v>
      </c>
      <c r="O371">
        <f t="shared" ca="1" si="104"/>
        <v>0.96000000000000796</v>
      </c>
      <c r="P371">
        <f t="shared" ca="1" si="108"/>
        <v>0.33167723461143256</v>
      </c>
      <c r="Q371">
        <f t="shared" ca="1" si="109"/>
        <v>0.5483969903781587</v>
      </c>
      <c r="R371">
        <f t="shared" ca="1" si="106"/>
        <v>0.60481228094034134</v>
      </c>
      <c r="S371">
        <f t="shared" ca="1" si="107"/>
        <v>37.687416037591078</v>
      </c>
      <c r="T371">
        <f>70</f>
        <v>70</v>
      </c>
      <c r="U371">
        <f>30</f>
        <v>30</v>
      </c>
      <c r="V371">
        <f t="shared" ca="1" si="105"/>
        <v>101.70826009109307</v>
      </c>
      <c r="W371">
        <f t="shared" ca="1" si="115"/>
        <v>102.93106637682972</v>
      </c>
      <c r="X371">
        <f t="shared" ca="1" si="114"/>
        <v>-1.4240550581624376</v>
      </c>
      <c r="Y371">
        <f t="shared" ca="1" si="116"/>
        <v>-1.2322181416611442</v>
      </c>
      <c r="Z371">
        <f t="shared" ca="1" si="117"/>
        <v>-0.19183691650129342</v>
      </c>
      <c r="AA371">
        <f t="shared" ca="1" si="118"/>
        <v>104.2101</v>
      </c>
    </row>
    <row r="372" spans="1:27" x14ac:dyDescent="0.25">
      <c r="A372" vm="1089">
        <f ca="1"/>
        <v>45833</v>
      </c>
      <c r="B372" vm="1090">
        <f ca="1"/>
        <v>98.05</v>
      </c>
      <c r="C372" vm="1091">
        <f ca="1"/>
        <v>4397192</v>
      </c>
      <c r="D372">
        <f t="shared" ca="1" si="99"/>
        <v>431144675.59999996</v>
      </c>
      <c r="E372">
        <f ca="1">SUM($D$2:D372)/SUM($C$2:C372)</f>
        <v>98.140567654790615</v>
      </c>
      <c r="F372">
        <f ca="1">_xlfn.STDEV.P($B$2:B372)</f>
        <v>6.9363453655908707</v>
      </c>
      <c r="G372">
        <f t="shared" ca="1" si="100"/>
        <v>105.07691302038148</v>
      </c>
      <c r="H372">
        <f t="shared" ca="1" si="101"/>
        <v>91.204222289199748</v>
      </c>
      <c r="I372">
        <f t="shared" ca="1" si="110"/>
        <v>102.051</v>
      </c>
      <c r="J372">
        <f t="shared" ca="1" si="111"/>
        <v>1.527967001572591</v>
      </c>
      <c r="K372">
        <f t="shared" ca="1" si="112"/>
        <v>105.10693400314518</v>
      </c>
      <c r="L372">
        <f t="shared" ca="1" si="113"/>
        <v>98.995065996854819</v>
      </c>
      <c r="M372">
        <f t="shared" ca="1" si="102"/>
        <v>-2.1400000000000006</v>
      </c>
      <c r="N372">
        <f t="shared" ca="1" si="103"/>
        <v>0</v>
      </c>
      <c r="O372">
        <f t="shared" ca="1" si="104"/>
        <v>2.1400000000000006</v>
      </c>
      <c r="P372">
        <f t="shared" ca="1" si="108"/>
        <v>0.30798600356775879</v>
      </c>
      <c r="Q372">
        <f t="shared" ca="1" si="109"/>
        <v>0.66208291963686172</v>
      </c>
      <c r="R372">
        <f t="shared" ca="1" si="106"/>
        <v>0.46517738856136404</v>
      </c>
      <c r="S372">
        <f t="shared" ca="1" si="107"/>
        <v>31.74887847662697</v>
      </c>
      <c r="T372">
        <f>70</f>
        <v>70</v>
      </c>
      <c r="U372">
        <f>30</f>
        <v>30</v>
      </c>
      <c r="V372">
        <f t="shared" ca="1" si="105"/>
        <v>101.14545084630952</v>
      </c>
      <c r="W372">
        <f t="shared" ca="1" si="115"/>
        <v>102.56950590447195</v>
      </c>
      <c r="X372">
        <f t="shared" ca="1" si="114"/>
        <v>-1.5367821014229577</v>
      </c>
      <c r="Y372">
        <f t="shared" ca="1" si="116"/>
        <v>-1.2931309336135071</v>
      </c>
      <c r="Z372">
        <f t="shared" ca="1" si="117"/>
        <v>-0.24365116780945062</v>
      </c>
      <c r="AA372">
        <f t="shared" ca="1" si="118"/>
        <v>104.252</v>
      </c>
    </row>
    <row r="373" spans="1:27" x14ac:dyDescent="0.25">
      <c r="A373" vm="1092">
        <f ca="1"/>
        <v>45834</v>
      </c>
      <c r="B373" vm="1093">
        <f ca="1"/>
        <v>98.41</v>
      </c>
      <c r="C373" vm="1094">
        <f ca="1"/>
        <v>2655622</v>
      </c>
      <c r="D373">
        <f t="shared" ca="1" si="99"/>
        <v>261339761.01999998</v>
      </c>
      <c r="E373">
        <f ca="1">SUM($D$2:D373)/SUM($C$2:C373)</f>
        <v>98.141432350215865</v>
      </c>
      <c r="F373">
        <f ca="1">_xlfn.STDEV.P($B$2:B373)</f>
        <v>6.9272583891488813</v>
      </c>
      <c r="G373">
        <f t="shared" ca="1" si="100"/>
        <v>105.06869073936474</v>
      </c>
      <c r="H373">
        <f t="shared" ca="1" si="101"/>
        <v>91.21417396106699</v>
      </c>
      <c r="I373">
        <f t="shared" ca="1" si="110"/>
        <v>101.86600000000001</v>
      </c>
      <c r="J373">
        <f t="shared" ca="1" si="111"/>
        <v>1.7309547107091838</v>
      </c>
      <c r="K373">
        <f t="shared" ca="1" si="112"/>
        <v>105.32790942141838</v>
      </c>
      <c r="L373">
        <f t="shared" ca="1" si="113"/>
        <v>98.404090578581645</v>
      </c>
      <c r="M373">
        <f t="shared" ca="1" si="102"/>
        <v>0.35999999999999943</v>
      </c>
      <c r="N373">
        <f t="shared" ca="1" si="103"/>
        <v>0.35999999999999943</v>
      </c>
      <c r="O373">
        <f t="shared" ca="1" si="104"/>
        <v>0</v>
      </c>
      <c r="P373">
        <f t="shared" ca="1" si="108"/>
        <v>0.31170128902720456</v>
      </c>
      <c r="Q373">
        <f t="shared" ca="1" si="109"/>
        <v>0.61479128251994297</v>
      </c>
      <c r="R373">
        <f t="shared" ca="1" si="106"/>
        <v>0.50700343009026549</v>
      </c>
      <c r="S373">
        <f t="shared" ca="1" si="107"/>
        <v>33.643150371588561</v>
      </c>
      <c r="T373">
        <f>70</f>
        <v>70</v>
      </c>
      <c r="U373">
        <f>30</f>
        <v>30</v>
      </c>
      <c r="V373">
        <f t="shared" ca="1" si="105"/>
        <v>100.72461225456959</v>
      </c>
      <c r="W373">
        <f t="shared" ca="1" si="115"/>
        <v>102.26139435599255</v>
      </c>
      <c r="X373">
        <f t="shared" ca="1" si="114"/>
        <v>-1.6283285643601317</v>
      </c>
      <c r="Y373">
        <f t="shared" ca="1" si="116"/>
        <v>-1.3601704597628321</v>
      </c>
      <c r="Z373">
        <f t="shared" ca="1" si="117"/>
        <v>-0.26815810459729961</v>
      </c>
      <c r="AA373">
        <f t="shared" ca="1" si="118"/>
        <v>104.2987</v>
      </c>
    </row>
    <row r="374" spans="1:27" x14ac:dyDescent="0.25">
      <c r="A374" vm="1095">
        <f ca="1"/>
        <v>45835</v>
      </c>
      <c r="B374" vm="1096">
        <f ca="1"/>
        <v>98.15</v>
      </c>
      <c r="C374" vm="1097">
        <f ca="1"/>
        <v>2880053</v>
      </c>
      <c r="D374">
        <f t="shared" ca="1" si="99"/>
        <v>282677201.94999999</v>
      </c>
      <c r="E374">
        <f ca="1">SUM($D$2:D374)/SUM($C$2:C374)</f>
        <v>98.1414620669035</v>
      </c>
      <c r="F374">
        <f ca="1">_xlfn.STDEV.P($B$2:B374)</f>
        <v>6.91810791168193</v>
      </c>
      <c r="G374">
        <f t="shared" ca="1" si="100"/>
        <v>105.05956997858543</v>
      </c>
      <c r="H374">
        <f t="shared" ca="1" si="101"/>
        <v>91.223354155221571</v>
      </c>
      <c r="I374">
        <f t="shared" ca="1" si="110"/>
        <v>101.60450000000002</v>
      </c>
      <c r="J374">
        <f t="shared" ca="1" si="111"/>
        <v>1.8789231938589317</v>
      </c>
      <c r="K374">
        <f t="shared" ca="1" si="112"/>
        <v>105.36234638771788</v>
      </c>
      <c r="L374">
        <f t="shared" ca="1" si="113"/>
        <v>97.846653612282154</v>
      </c>
      <c r="M374">
        <f t="shared" ca="1" si="102"/>
        <v>-0.25999999999999091</v>
      </c>
      <c r="N374">
        <f t="shared" ca="1" si="103"/>
        <v>0</v>
      </c>
      <c r="O374">
        <f t="shared" ca="1" si="104"/>
        <v>0.25999999999999091</v>
      </c>
      <c r="P374">
        <f t="shared" ca="1" si="108"/>
        <v>0.28943691123954712</v>
      </c>
      <c r="Q374">
        <f t="shared" ca="1" si="109"/>
        <v>0.58944904805423215</v>
      </c>
      <c r="R374">
        <f t="shared" ca="1" si="106"/>
        <v>0.49102956768693862</v>
      </c>
      <c r="S374">
        <f t="shared" ca="1" si="107"/>
        <v>32.932248851958164</v>
      </c>
      <c r="T374">
        <f>70</f>
        <v>70</v>
      </c>
      <c r="U374">
        <f>30</f>
        <v>30</v>
      </c>
      <c r="V374">
        <f t="shared" ca="1" si="105"/>
        <v>100.3285180615589</v>
      </c>
      <c r="W374">
        <f t="shared" ca="1" si="115"/>
        <v>101.95684662591903</v>
      </c>
      <c r="X374">
        <f t="shared" ca="1" si="114"/>
        <v>-1.5059979747598078</v>
      </c>
      <c r="Y374">
        <f t="shared" ca="1" si="116"/>
        <v>-1.3893359627622273</v>
      </c>
      <c r="Z374">
        <f t="shared" ca="1" si="117"/>
        <v>-0.11666201199758053</v>
      </c>
      <c r="AA374">
        <f t="shared" ca="1" si="118"/>
        <v>104.324</v>
      </c>
    </row>
    <row r="375" spans="1:27" x14ac:dyDescent="0.25">
      <c r="A375" vm="1098">
        <f ca="1"/>
        <v>45838</v>
      </c>
      <c r="B375" vm="1099">
        <f ca="1"/>
        <v>100.35</v>
      </c>
      <c r="C375" vm="1100">
        <f ca="1"/>
        <v>2930483</v>
      </c>
      <c r="D375">
        <f t="shared" ca="1" si="99"/>
        <v>294073969.05000001</v>
      </c>
      <c r="E375">
        <f ca="1">SUM($D$2:D375)/SUM($C$2:C375)</f>
        <v>98.149229048304704</v>
      </c>
      <c r="F375">
        <f ca="1">_xlfn.STDEV.P($B$2:B375)</f>
        <v>6.9106524004913963</v>
      </c>
      <c r="G375">
        <f t="shared" ca="1" si="100"/>
        <v>105.05988144879611</v>
      </c>
      <c r="H375">
        <f t="shared" ca="1" si="101"/>
        <v>91.238576647813304</v>
      </c>
      <c r="I375">
        <f t="shared" ca="1" si="110"/>
        <v>101.39750000000001</v>
      </c>
      <c r="J375">
        <f t="shared" ca="1" si="111"/>
        <v>1.7691415551349365</v>
      </c>
      <c r="K375">
        <f t="shared" ca="1" si="112"/>
        <v>104.93578311026988</v>
      </c>
      <c r="L375">
        <f t="shared" ca="1" si="113"/>
        <v>97.859216889730135</v>
      </c>
      <c r="M375">
        <f t="shared" ca="1" si="102"/>
        <v>2.1999999999999886</v>
      </c>
      <c r="N375">
        <f t="shared" ca="1" si="103"/>
        <v>2.1999999999999886</v>
      </c>
      <c r="O375">
        <f t="shared" ca="1" si="104"/>
        <v>0</v>
      </c>
      <c r="P375">
        <f t="shared" ca="1" si="108"/>
        <v>0.42590570329386435</v>
      </c>
      <c r="Q375">
        <f t="shared" ca="1" si="109"/>
        <v>0.54734554462178697</v>
      </c>
      <c r="R375">
        <f t="shared" ca="1" si="106"/>
        <v>0.77812947867907289</v>
      </c>
      <c r="S375">
        <f t="shared" ca="1" si="107"/>
        <v>43.761125835286499</v>
      </c>
      <c r="T375">
        <f>70</f>
        <v>70</v>
      </c>
      <c r="U375">
        <f>30</f>
        <v>30</v>
      </c>
      <c r="V375">
        <f t="shared" ca="1" si="105"/>
        <v>100.33182297516522</v>
      </c>
      <c r="W375">
        <f t="shared" ca="1" si="115"/>
        <v>101.83782094992503</v>
      </c>
      <c r="X375">
        <f t="shared" ca="1" si="114"/>
        <v>-1.358690555844916</v>
      </c>
      <c r="Y375">
        <f t="shared" ca="1" si="116"/>
        <v>-1.383206881378765</v>
      </c>
      <c r="Z375">
        <f t="shared" ca="1" si="117"/>
        <v>2.4516325533848971E-2</v>
      </c>
      <c r="AA375">
        <f t="shared" ca="1" si="118"/>
        <v>104.3784</v>
      </c>
    </row>
    <row r="376" spans="1:27" x14ac:dyDescent="0.25">
      <c r="A376" vm="1101">
        <f ca="1"/>
        <v>45839</v>
      </c>
      <c r="B376" vm="1102">
        <f ca="1"/>
        <v>100.78</v>
      </c>
      <c r="C376" vm="1103">
        <f ca="1"/>
        <v>2749128</v>
      </c>
      <c r="D376">
        <f t="shared" ca="1" si="99"/>
        <v>277057119.83999997</v>
      </c>
      <c r="E376">
        <f ca="1">SUM($D$2:D376)/SUM($C$2:C376)</f>
        <v>98.157879837855489</v>
      </c>
      <c r="F376">
        <f ca="1">_xlfn.STDEV.P($B$2:B376)</f>
        <v>6.9037592261865255</v>
      </c>
      <c r="G376">
        <f t="shared" ca="1" si="100"/>
        <v>105.06163906404201</v>
      </c>
      <c r="H376">
        <f t="shared" ca="1" si="101"/>
        <v>91.254120611668966</v>
      </c>
      <c r="I376">
        <f t="shared" ca="1" si="110"/>
        <v>101.24350000000001</v>
      </c>
      <c r="J376">
        <f t="shared" ca="1" si="111"/>
        <v>1.6750562441460375</v>
      </c>
      <c r="K376">
        <f t="shared" ca="1" si="112"/>
        <v>104.59361248829208</v>
      </c>
      <c r="L376">
        <f t="shared" ca="1" si="113"/>
        <v>97.893387511707942</v>
      </c>
      <c r="M376">
        <f t="shared" ca="1" si="102"/>
        <v>0.43000000000000682</v>
      </c>
      <c r="N376">
        <f t="shared" ca="1" si="103"/>
        <v>0.43000000000000682</v>
      </c>
      <c r="O376">
        <f t="shared" ca="1" si="104"/>
        <v>0</v>
      </c>
      <c r="P376">
        <f t="shared" ca="1" si="108"/>
        <v>0.42619815305858882</v>
      </c>
      <c r="Q376">
        <f t="shared" ca="1" si="109"/>
        <v>0.50824943429165936</v>
      </c>
      <c r="R376">
        <f t="shared" ca="1" si="106"/>
        <v>0.83856099840539056</v>
      </c>
      <c r="S376">
        <f t="shared" ca="1" si="107"/>
        <v>45.609637054886193</v>
      </c>
      <c r="T376">
        <f>70</f>
        <v>70</v>
      </c>
      <c r="U376">
        <f>30</f>
        <v>30</v>
      </c>
      <c r="V376">
        <f t="shared" ca="1" si="105"/>
        <v>100.40077328667827</v>
      </c>
      <c r="W376">
        <f t="shared" ca="1" si="115"/>
        <v>101.75946384252319</v>
      </c>
      <c r="X376">
        <f t="shared" ca="1" si="114"/>
        <v>-1.2963990959447074</v>
      </c>
      <c r="Y376">
        <f t="shared" ca="1" si="116"/>
        <v>-1.3658453242919535</v>
      </c>
      <c r="Z376">
        <f t="shared" ca="1" si="117"/>
        <v>6.9446228347246119E-2</v>
      </c>
      <c r="AA376">
        <f t="shared" ca="1" si="118"/>
        <v>104.4243</v>
      </c>
    </row>
    <row r="377" spans="1:27" x14ac:dyDescent="0.25">
      <c r="A377" vm="1104">
        <f ca="1"/>
        <v>45840</v>
      </c>
      <c r="B377" vm="850">
        <f ca="1"/>
        <v>99.92</v>
      </c>
      <c r="C377" vm="1105">
        <f ca="1"/>
        <v>2485839</v>
      </c>
      <c r="D377">
        <f t="shared" ca="1" si="99"/>
        <v>248385032.88</v>
      </c>
      <c r="E377">
        <f ca="1">SUM($D$2:D377)/SUM($C$2:C377)</f>
        <v>98.163103761954289</v>
      </c>
      <c r="F377">
        <f ca="1">_xlfn.STDEV.P($B$2:B377)</f>
        <v>6.8958791794556946</v>
      </c>
      <c r="G377">
        <f t="shared" ca="1" si="100"/>
        <v>105.05898294140998</v>
      </c>
      <c r="H377">
        <f t="shared" ca="1" si="101"/>
        <v>91.267224582498599</v>
      </c>
      <c r="I377">
        <f t="shared" ca="1" si="110"/>
        <v>101.07750000000001</v>
      </c>
      <c r="J377">
        <f t="shared" ca="1" si="111"/>
        <v>1.6307081929414333</v>
      </c>
      <c r="K377">
        <f t="shared" ca="1" si="112"/>
        <v>104.33891638588288</v>
      </c>
      <c r="L377">
        <f t="shared" ca="1" si="113"/>
        <v>97.816083614117147</v>
      </c>
      <c r="M377">
        <f t="shared" ca="1" si="102"/>
        <v>-0.85999999999999943</v>
      </c>
      <c r="N377">
        <f t="shared" ca="1" si="103"/>
        <v>0</v>
      </c>
      <c r="O377">
        <f t="shared" ca="1" si="104"/>
        <v>0.85999999999999943</v>
      </c>
      <c r="P377">
        <f t="shared" ca="1" si="108"/>
        <v>0.39575542784011819</v>
      </c>
      <c r="Q377">
        <f t="shared" ca="1" si="109"/>
        <v>0.53337447469939792</v>
      </c>
      <c r="R377">
        <f t="shared" ca="1" si="106"/>
        <v>0.74198419049423048</v>
      </c>
      <c r="S377">
        <f t="shared" ca="1" si="107"/>
        <v>42.594197728265087</v>
      </c>
      <c r="T377">
        <f>70</f>
        <v>70</v>
      </c>
      <c r="U377">
        <f>30</f>
        <v>30</v>
      </c>
      <c r="V377">
        <f t="shared" ca="1" si="105"/>
        <v>100.32680816565085</v>
      </c>
      <c r="W377">
        <f t="shared" ca="1" si="115"/>
        <v>101.62320726159555</v>
      </c>
      <c r="X377">
        <f t="shared" ca="1" si="114"/>
        <v>-1.2017103556132724</v>
      </c>
      <c r="Y377">
        <f t="shared" ca="1" si="116"/>
        <v>-1.3330183305562173</v>
      </c>
      <c r="Z377">
        <f t="shared" ca="1" si="117"/>
        <v>0.13130797494294488</v>
      </c>
      <c r="AA377">
        <f t="shared" ca="1" si="118"/>
        <v>104.46930000000002</v>
      </c>
    </row>
    <row r="378" spans="1:27" x14ac:dyDescent="0.25">
      <c r="A378" vm="1106">
        <f ca="1"/>
        <v>45841</v>
      </c>
      <c r="B378" vm="1107">
        <f ca="1"/>
        <v>100.31</v>
      </c>
      <c r="C378" vm="1108">
        <f ca="1"/>
        <v>1316576</v>
      </c>
      <c r="D378">
        <f t="shared" ca="1" si="99"/>
        <v>132065738.56</v>
      </c>
      <c r="E378">
        <f ca="1">SUM($D$2:D378)/SUM($C$2:C378)</f>
        <v>98.166469373335133</v>
      </c>
      <c r="F378">
        <f ca="1">_xlfn.STDEV.P($B$2:B378)</f>
        <v>6.8884436281708421</v>
      </c>
      <c r="G378">
        <f t="shared" ca="1" si="100"/>
        <v>105.05491300150598</v>
      </c>
      <c r="H378">
        <f t="shared" ca="1" si="101"/>
        <v>91.278025745164285</v>
      </c>
      <c r="I378">
        <f t="shared" ca="1" si="110"/>
        <v>100.98250000000002</v>
      </c>
      <c r="J378">
        <f t="shared" ca="1" si="111"/>
        <v>1.6165423627379256</v>
      </c>
      <c r="K378">
        <f t="shared" ca="1" si="112"/>
        <v>104.21558472547586</v>
      </c>
      <c r="L378">
        <f t="shared" ca="1" si="113"/>
        <v>97.749415274524168</v>
      </c>
      <c r="M378">
        <f t="shared" ca="1" si="102"/>
        <v>0.39000000000000057</v>
      </c>
      <c r="N378">
        <f t="shared" ca="1" si="103"/>
        <v>0.39000000000000057</v>
      </c>
      <c r="O378">
        <f t="shared" ca="1" si="104"/>
        <v>0</v>
      </c>
      <c r="P378">
        <f t="shared" ca="1" si="108"/>
        <v>0.39534432585153834</v>
      </c>
      <c r="Q378">
        <f t="shared" ca="1" si="109"/>
        <v>0.49527629793515521</v>
      </c>
      <c r="R378">
        <f t="shared" ca="1" si="106"/>
        <v>0.79822985170047323</v>
      </c>
      <c r="S378">
        <f t="shared" ca="1" si="107"/>
        <v>44.389756456641926</v>
      </c>
      <c r="T378">
        <f>70</f>
        <v>70</v>
      </c>
      <c r="U378">
        <f>30</f>
        <v>30</v>
      </c>
      <c r="V378">
        <f t="shared" ca="1" si="105"/>
        <v>100.32422229401224</v>
      </c>
      <c r="W378">
        <f t="shared" ca="1" si="115"/>
        <v>101.52593264962552</v>
      </c>
      <c r="X378">
        <f t="shared" ca="1" si="114"/>
        <v>-1.1616925635517106</v>
      </c>
      <c r="Y378">
        <f t="shared" ca="1" si="116"/>
        <v>-1.298753177155316</v>
      </c>
      <c r="Z378">
        <f t="shared" ca="1" si="117"/>
        <v>0.13706061360360544</v>
      </c>
      <c r="AA378">
        <f t="shared" ca="1" si="118"/>
        <v>104.51160000000002</v>
      </c>
    </row>
    <row r="379" spans="1:27" x14ac:dyDescent="0.25">
      <c r="A379" vm="1109">
        <f ca="1"/>
        <v>45845</v>
      </c>
      <c r="B379" vm="1110">
        <f ca="1"/>
        <v>99.71</v>
      </c>
      <c r="C379" vm="1111">
        <f ca="1"/>
        <v>1800719</v>
      </c>
      <c r="D379">
        <f t="shared" ca="1" si="99"/>
        <v>179549691.48999998</v>
      </c>
      <c r="E379">
        <f ca="1">SUM($D$2:D379)/SUM($C$2:C379)</f>
        <v>98.169771836527332</v>
      </c>
      <c r="F379">
        <f ca="1">_xlfn.STDEV.P($B$2:B379)</f>
        <v>6.8804134313913492</v>
      </c>
      <c r="G379">
        <f t="shared" ca="1" si="100"/>
        <v>105.05018526791868</v>
      </c>
      <c r="H379">
        <f t="shared" ca="1" si="101"/>
        <v>91.289358405135985</v>
      </c>
      <c r="I379">
        <f t="shared" ca="1" si="110"/>
        <v>100.8545</v>
      </c>
      <c r="J379">
        <f t="shared" ca="1" si="111"/>
        <v>1.6105718990797222</v>
      </c>
      <c r="K379">
        <f t="shared" ca="1" si="112"/>
        <v>104.07564379815945</v>
      </c>
      <c r="L379">
        <f t="shared" ca="1" si="113"/>
        <v>97.633356201840556</v>
      </c>
      <c r="M379">
        <f t="shared" ca="1" si="102"/>
        <v>-0.60000000000000853</v>
      </c>
      <c r="N379">
        <f t="shared" ca="1" si="103"/>
        <v>0</v>
      </c>
      <c r="O379">
        <f t="shared" ca="1" si="104"/>
        <v>0.60000000000000853</v>
      </c>
      <c r="P379">
        <f t="shared" ca="1" si="108"/>
        <v>0.36710544543357132</v>
      </c>
      <c r="Q379">
        <f t="shared" ca="1" si="109"/>
        <v>0.50275656236835897</v>
      </c>
      <c r="R379">
        <f t="shared" ca="1" si="106"/>
        <v>0.73018528829187324</v>
      </c>
      <c r="S379">
        <f t="shared" ca="1" si="107"/>
        <v>42.20272205717049</v>
      </c>
      <c r="T379">
        <f>70</f>
        <v>70</v>
      </c>
      <c r="U379">
        <f>30</f>
        <v>30</v>
      </c>
      <c r="V379">
        <f t="shared" ca="1" si="105"/>
        <v>100.2297265564719</v>
      </c>
      <c r="W379">
        <f t="shared" ca="1" si="115"/>
        <v>101.39141912002361</v>
      </c>
      <c r="X379">
        <f t="shared" ca="1" si="114"/>
        <v>-1.1490097627792579</v>
      </c>
      <c r="Y379">
        <f t="shared" ca="1" si="116"/>
        <v>-1.2688044942801044</v>
      </c>
      <c r="Z379">
        <f t="shared" ca="1" si="117"/>
        <v>0.11979473150084652</v>
      </c>
      <c r="AA379">
        <f t="shared" ca="1" si="118"/>
        <v>104.54170000000001</v>
      </c>
    </row>
    <row r="380" spans="1:27" x14ac:dyDescent="0.25">
      <c r="A380" vm="1112">
        <f ca="1"/>
        <v>45846</v>
      </c>
      <c r="B380" vm="1113">
        <f ca="1"/>
        <v>99.31</v>
      </c>
      <c r="C380" vm="1114">
        <f ca="1"/>
        <v>3451218</v>
      </c>
      <c r="D380">
        <f t="shared" ca="1" si="99"/>
        <v>342740459.57999998</v>
      </c>
      <c r="E380">
        <f ca="1">SUM($D$2:D380)/SUM($C$2:C380)</f>
        <v>98.174428380522627</v>
      </c>
      <c r="F380">
        <f ca="1">_xlfn.STDEV.P($B$2:B380)</f>
        <v>6.8720773974512062</v>
      </c>
      <c r="G380">
        <f t="shared" ca="1" si="100"/>
        <v>105.04650577797383</v>
      </c>
      <c r="H380">
        <f t="shared" ca="1" si="101"/>
        <v>91.30235098307142</v>
      </c>
      <c r="I380">
        <f t="shared" ca="1" si="110"/>
        <v>100.73949999999999</v>
      </c>
      <c r="J380">
        <f t="shared" ca="1" si="111"/>
        <v>1.6357051432912577</v>
      </c>
      <c r="K380">
        <f t="shared" ca="1" si="112"/>
        <v>104.01091028658252</v>
      </c>
      <c r="L380">
        <f t="shared" ca="1" si="113"/>
        <v>97.46808971341747</v>
      </c>
      <c r="M380">
        <f t="shared" ca="1" si="102"/>
        <v>-0.39999999999999147</v>
      </c>
      <c r="N380">
        <f t="shared" ca="1" si="103"/>
        <v>0</v>
      </c>
      <c r="O380">
        <f t="shared" ca="1" si="104"/>
        <v>0.39999999999999147</v>
      </c>
      <c r="P380">
        <f t="shared" ca="1" si="108"/>
        <v>0.3408836279026019</v>
      </c>
      <c r="Q380">
        <f t="shared" ca="1" si="109"/>
        <v>0.49541680791347559</v>
      </c>
      <c r="R380">
        <f t="shared" ca="1" si="106"/>
        <v>0.6880744101886368</v>
      </c>
      <c r="S380">
        <f t="shared" ca="1" si="107"/>
        <v>40.760905208660006</v>
      </c>
      <c r="T380">
        <f>70</f>
        <v>70</v>
      </c>
      <c r="U380">
        <f>30</f>
        <v>30</v>
      </c>
      <c r="V380">
        <f t="shared" ca="1" si="105"/>
        <v>100.08823016316853</v>
      </c>
      <c r="W380">
        <f t="shared" ca="1" si="115"/>
        <v>101.23723992594779</v>
      </c>
      <c r="X380">
        <f t="shared" ca="1" si="114"/>
        <v>-1.0733293945070699</v>
      </c>
      <c r="Y380">
        <f t="shared" ca="1" si="116"/>
        <v>-1.2297094743254975</v>
      </c>
      <c r="Z380">
        <f t="shared" ca="1" si="117"/>
        <v>0.15638007981842761</v>
      </c>
      <c r="AA380">
        <f t="shared" ca="1" si="118"/>
        <v>104.57170000000001</v>
      </c>
    </row>
    <row r="381" spans="1:27" x14ac:dyDescent="0.25">
      <c r="A381" vm="1115">
        <f ca="1"/>
        <v>45847</v>
      </c>
      <c r="B381" vm="1116">
        <f ca="1"/>
        <v>99.97</v>
      </c>
      <c r="C381" vm="1117">
        <f ca="1"/>
        <v>2782533</v>
      </c>
      <c r="D381">
        <f t="shared" ca="1" si="99"/>
        <v>278169824.00999999</v>
      </c>
      <c r="E381">
        <f ca="1">SUM($D$2:D381)/SUM($C$2:C381)</f>
        <v>98.1803210895646</v>
      </c>
      <c r="F381">
        <f ca="1">_xlfn.STDEV.P($B$2:B381)</f>
        <v>6.8643517076014504</v>
      </c>
      <c r="G381">
        <f t="shared" ca="1" si="100"/>
        <v>105.04467279716604</v>
      </c>
      <c r="H381">
        <f t="shared" ca="1" si="101"/>
        <v>91.315969381963157</v>
      </c>
      <c r="I381">
        <f t="shared" ca="1" si="110"/>
        <v>100.6825</v>
      </c>
      <c r="J381">
        <f t="shared" ca="1" si="111"/>
        <v>1.6419656865444765</v>
      </c>
      <c r="K381">
        <f t="shared" ca="1" si="112"/>
        <v>103.96643137308895</v>
      </c>
      <c r="L381">
        <f t="shared" ca="1" si="113"/>
        <v>97.398568626911057</v>
      </c>
      <c r="M381">
        <f t="shared" ca="1" si="102"/>
        <v>0.65999999999999659</v>
      </c>
      <c r="N381">
        <f t="shared" ca="1" si="103"/>
        <v>0.65999999999999659</v>
      </c>
      <c r="O381">
        <f t="shared" ca="1" si="104"/>
        <v>0</v>
      </c>
      <c r="P381">
        <f t="shared" ca="1" si="108"/>
        <v>0.36367765448098721</v>
      </c>
      <c r="Q381">
        <f t="shared" ca="1" si="109"/>
        <v>0.46002989306251302</v>
      </c>
      <c r="R381">
        <f t="shared" ca="1" si="106"/>
        <v>0.79055222272602921</v>
      </c>
      <c r="S381">
        <f t="shared" ca="1" si="107"/>
        <v>44.151307774897042</v>
      </c>
      <c r="T381">
        <f>70</f>
        <v>70</v>
      </c>
      <c r="U381">
        <f>30</f>
        <v>30</v>
      </c>
      <c r="V381">
        <f t="shared" ca="1" si="105"/>
        <v>100.07004090729644</v>
      </c>
      <c r="W381">
        <f t="shared" ca="1" si="115"/>
        <v>101.14337030180351</v>
      </c>
      <c r="X381">
        <f t="shared" ca="1" si="114"/>
        <v>-0.9140546969205019</v>
      </c>
      <c r="Y381">
        <f t="shared" ca="1" si="116"/>
        <v>-1.1665785188444984</v>
      </c>
      <c r="Z381">
        <f t="shared" ca="1" si="117"/>
        <v>0.25252382192399647</v>
      </c>
      <c r="AA381">
        <f t="shared" ca="1" si="118"/>
        <v>104.62569999999998</v>
      </c>
    </row>
    <row r="382" spans="1:27" x14ac:dyDescent="0.25">
      <c r="A382" vm="1118">
        <f ca="1"/>
        <v>45848</v>
      </c>
      <c r="B382" vm="1119">
        <f ca="1"/>
        <v>101.07</v>
      </c>
      <c r="C382" vm="1120">
        <f ca="1"/>
        <v>1851807</v>
      </c>
      <c r="D382">
        <f t="shared" ca="1" si="99"/>
        <v>187162133.48999998</v>
      </c>
      <c r="E382">
        <f ca="1">SUM($D$2:D382)/SUM($C$2:C382)</f>
        <v>98.186618612444875</v>
      </c>
      <c r="F382">
        <f ca="1">_xlfn.STDEV.P($B$2:B382)</f>
        <v>6.8579834503386223</v>
      </c>
      <c r="G382">
        <f t="shared" ca="1" si="100"/>
        <v>105.0446020627835</v>
      </c>
      <c r="H382">
        <f t="shared" ca="1" si="101"/>
        <v>91.328635162106252</v>
      </c>
      <c r="I382">
        <f t="shared" ca="1" si="110"/>
        <v>100.616</v>
      </c>
      <c r="J382">
        <f t="shared" ca="1" si="111"/>
        <v>1.5950066820516684</v>
      </c>
      <c r="K382">
        <f t="shared" ca="1" si="112"/>
        <v>103.80601336410334</v>
      </c>
      <c r="L382">
        <f t="shared" ca="1" si="113"/>
        <v>97.425986635896663</v>
      </c>
      <c r="M382">
        <f t="shared" ca="1" si="102"/>
        <v>1.0999999999999943</v>
      </c>
      <c r="N382">
        <f t="shared" ca="1" si="103"/>
        <v>1.0999999999999943</v>
      </c>
      <c r="O382">
        <f t="shared" ca="1" si="104"/>
        <v>0</v>
      </c>
      <c r="P382">
        <f t="shared" ca="1" si="108"/>
        <v>0.41627210773234491</v>
      </c>
      <c r="Q382">
        <f t="shared" ca="1" si="109"/>
        <v>0.42717061498661923</v>
      </c>
      <c r="R382">
        <f t="shared" ca="1" si="106"/>
        <v>0.9744867580495542</v>
      </c>
      <c r="S382">
        <f t="shared" ca="1" si="107"/>
        <v>49.353927245993575</v>
      </c>
      <c r="T382">
        <f>70</f>
        <v>70</v>
      </c>
      <c r="U382">
        <f>30</f>
        <v>30</v>
      </c>
      <c r="V382">
        <f t="shared" ca="1" si="105"/>
        <v>100.22388076771239</v>
      </c>
      <c r="W382">
        <f t="shared" ca="1" si="115"/>
        <v>101.13793546463289</v>
      </c>
      <c r="X382">
        <f t="shared" ca="1" si="114"/>
        <v>-0.81714084898892736</v>
      </c>
      <c r="Y382">
        <f t="shared" ca="1" si="116"/>
        <v>-1.0966909848733841</v>
      </c>
      <c r="Z382">
        <f t="shared" ca="1" si="117"/>
        <v>0.27955013588445676</v>
      </c>
      <c r="AA382">
        <f t="shared" ca="1" si="118"/>
        <v>104.67979999999997</v>
      </c>
    </row>
    <row r="383" spans="1:27" x14ac:dyDescent="0.25">
      <c r="A383" vm="1121">
        <f ca="1"/>
        <v>45849</v>
      </c>
      <c r="B383" vm="677">
        <f ca="1"/>
        <v>100.59</v>
      </c>
      <c r="C383" vm="1122">
        <f ca="1"/>
        <v>1853687</v>
      </c>
      <c r="D383">
        <f t="shared" ca="1" si="99"/>
        <v>186462375.33000001</v>
      </c>
      <c r="E383">
        <f ca="1">SUM($D$2:D383)/SUM($C$2:C383)</f>
        <v>98.191850243971516</v>
      </c>
      <c r="F383">
        <f ca="1">_xlfn.STDEV.P($B$2:B383)</f>
        <v>6.850993495648324</v>
      </c>
      <c r="G383">
        <f t="shared" ca="1" si="100"/>
        <v>105.04284373961984</v>
      </c>
      <c r="H383">
        <f t="shared" ca="1" si="101"/>
        <v>91.340856748323191</v>
      </c>
      <c r="I383">
        <f t="shared" ca="1" si="110"/>
        <v>100.51799999999999</v>
      </c>
      <c r="J383">
        <f t="shared" ca="1" si="111"/>
        <v>1.528761452597287</v>
      </c>
      <c r="K383">
        <f t="shared" ca="1" si="112"/>
        <v>103.57552290519456</v>
      </c>
      <c r="L383">
        <f t="shared" ca="1" si="113"/>
        <v>97.460477094805412</v>
      </c>
      <c r="M383">
        <f t="shared" ca="1" si="102"/>
        <v>-0.47999999999998977</v>
      </c>
      <c r="N383">
        <f t="shared" ca="1" si="103"/>
        <v>0</v>
      </c>
      <c r="O383">
        <f t="shared" ca="1" si="104"/>
        <v>0.47999999999998977</v>
      </c>
      <c r="P383">
        <f t="shared" ca="1" si="108"/>
        <v>0.3865383857514631</v>
      </c>
      <c r="Q383">
        <f t="shared" ca="1" si="109"/>
        <v>0.43094414248757429</v>
      </c>
      <c r="R383">
        <f t="shared" ca="1" si="106"/>
        <v>0.8969570476586961</v>
      </c>
      <c r="S383">
        <f t="shared" ca="1" si="107"/>
        <v>47.283993528781167</v>
      </c>
      <c r="T383">
        <f>70</f>
        <v>70</v>
      </c>
      <c r="U383">
        <f>30</f>
        <v>30</v>
      </c>
      <c r="V383">
        <f t="shared" ca="1" si="105"/>
        <v>100.28020680344893</v>
      </c>
      <c r="W383">
        <f t="shared" ca="1" si="115"/>
        <v>101.09734765243786</v>
      </c>
      <c r="X383">
        <f t="shared" ca="1" si="114"/>
        <v>-0.69839477611957079</v>
      </c>
      <c r="Y383">
        <f t="shared" ca="1" si="116"/>
        <v>-1.0170317431226215</v>
      </c>
      <c r="Z383">
        <f t="shared" ca="1" si="117"/>
        <v>0.31863696700305066</v>
      </c>
      <c r="AA383">
        <f t="shared" ca="1" si="118"/>
        <v>104.73649999999998</v>
      </c>
    </row>
    <row r="384" spans="1:27" x14ac:dyDescent="0.25">
      <c r="A384" vm="1123">
        <f ca="1"/>
        <v>45852</v>
      </c>
      <c r="B384" vm="1124">
        <f ca="1"/>
        <v>101.01</v>
      </c>
      <c r="C384" vm="1125">
        <f ca="1"/>
        <v>1409864</v>
      </c>
      <c r="D384">
        <f t="shared" ca="1" si="99"/>
        <v>142410362.64000002</v>
      </c>
      <c r="E384">
        <f ca="1">SUM($D$2:D384)/SUM($C$2:C384)</f>
        <v>98.196508259331239</v>
      </c>
      <c r="F384">
        <f ca="1">_xlfn.STDEV.P($B$2:B384)</f>
        <v>6.8445714687849835</v>
      </c>
      <c r="G384">
        <f t="shared" ca="1" si="100"/>
        <v>105.04107972811622</v>
      </c>
      <c r="H384">
        <f t="shared" ca="1" si="101"/>
        <v>91.351936790546262</v>
      </c>
      <c r="I384">
        <f t="shared" ca="1" si="110"/>
        <v>100.38049999999998</v>
      </c>
      <c r="J384">
        <f t="shared" ca="1" si="111"/>
        <v>1.3329526978617208</v>
      </c>
      <c r="K384">
        <f t="shared" ca="1" si="112"/>
        <v>103.04640539572343</v>
      </c>
      <c r="L384">
        <f t="shared" ca="1" si="113"/>
        <v>97.714594604276542</v>
      </c>
      <c r="M384">
        <f t="shared" ca="1" si="102"/>
        <v>0.42000000000000171</v>
      </c>
      <c r="N384">
        <f t="shared" ca="1" si="103"/>
        <v>0.42000000000000171</v>
      </c>
      <c r="O384">
        <f t="shared" ca="1" si="104"/>
        <v>0</v>
      </c>
      <c r="P384">
        <f t="shared" ca="1" si="108"/>
        <v>0.3889285010549301</v>
      </c>
      <c r="Q384">
        <f t="shared" ca="1" si="109"/>
        <v>0.40016241802417613</v>
      </c>
      <c r="R384">
        <f t="shared" ca="1" si="106"/>
        <v>0.97192660663958874</v>
      </c>
      <c r="S384">
        <f t="shared" ca="1" si="107"/>
        <v>49.288173472940457</v>
      </c>
      <c r="T384">
        <f>70</f>
        <v>70</v>
      </c>
      <c r="U384">
        <f>30</f>
        <v>30</v>
      </c>
      <c r="V384">
        <f t="shared" ca="1" si="105"/>
        <v>100.39248267984141</v>
      </c>
      <c r="W384">
        <f t="shared" ca="1" si="115"/>
        <v>101.09087745596098</v>
      </c>
      <c r="X384">
        <f t="shared" ca="1" si="114"/>
        <v>-0.68195959337440115</v>
      </c>
      <c r="Y384">
        <f t="shared" ca="1" si="116"/>
        <v>-0.95001731317297744</v>
      </c>
      <c r="Z384">
        <f t="shared" ca="1" si="117"/>
        <v>0.26805771979857629</v>
      </c>
      <c r="AA384">
        <f t="shared" ca="1" si="118"/>
        <v>104.78899999999997</v>
      </c>
    </row>
    <row r="385" spans="1:27" x14ac:dyDescent="0.25">
      <c r="A385" vm="1126">
        <f ca="1"/>
        <v>45853</v>
      </c>
      <c r="B385" vm="1127">
        <f ca="1"/>
        <v>99.95</v>
      </c>
      <c r="C385" vm="1128">
        <f ca="1"/>
        <v>1731322</v>
      </c>
      <c r="D385">
        <f t="shared" ca="1" si="99"/>
        <v>173045633.90000001</v>
      </c>
      <c r="E385">
        <f ca="1">SUM($D$2:D385)/SUM($C$2:C385)</f>
        <v>98.200060158217923</v>
      </c>
      <c r="F385">
        <f ca="1">_xlfn.STDEV.P($B$2:B385)</f>
        <v>6.8369133737962668</v>
      </c>
      <c r="G385">
        <f t="shared" ca="1" si="100"/>
        <v>105.03697353201419</v>
      </c>
      <c r="H385">
        <f t="shared" ca="1" si="101"/>
        <v>91.363146784421659</v>
      </c>
      <c r="I385">
        <f t="shared" ca="1" si="110"/>
        <v>100.17999999999999</v>
      </c>
      <c r="J385">
        <f t="shared" ca="1" si="111"/>
        <v>1.0343317191612937</v>
      </c>
      <c r="K385">
        <f t="shared" ca="1" si="112"/>
        <v>102.24866343832258</v>
      </c>
      <c r="L385">
        <f t="shared" ca="1" si="113"/>
        <v>98.111336561677405</v>
      </c>
      <c r="M385">
        <f t="shared" ca="1" si="102"/>
        <v>-1.0600000000000023</v>
      </c>
      <c r="N385">
        <f t="shared" ca="1" si="103"/>
        <v>0</v>
      </c>
      <c r="O385">
        <f t="shared" ca="1" si="104"/>
        <v>1.0600000000000023</v>
      </c>
      <c r="P385">
        <f t="shared" ca="1" si="108"/>
        <v>0.3611478938367208</v>
      </c>
      <c r="Q385">
        <f t="shared" ca="1" si="109"/>
        <v>0.44729367387959229</v>
      </c>
      <c r="R385">
        <f t="shared" ca="1" si="106"/>
        <v>0.80740666574671649</v>
      </c>
      <c r="S385">
        <f t="shared" ca="1" si="107"/>
        <v>44.672108444014313</v>
      </c>
      <c r="T385">
        <f>70</f>
        <v>70</v>
      </c>
      <c r="U385">
        <f>30</f>
        <v>30</v>
      </c>
      <c r="V385">
        <f t="shared" ca="1" si="105"/>
        <v>100.32440842140427</v>
      </c>
      <c r="W385">
        <f t="shared" ca="1" si="115"/>
        <v>101.00636801477867</v>
      </c>
      <c r="X385">
        <f t="shared" ca="1" si="114"/>
        <v>-0.62062764571510343</v>
      </c>
      <c r="Y385">
        <f t="shared" ca="1" si="116"/>
        <v>-0.88413937968140266</v>
      </c>
      <c r="Z385">
        <f t="shared" ca="1" si="117"/>
        <v>0.26351173396629923</v>
      </c>
      <c r="AA385">
        <f t="shared" ca="1" si="118"/>
        <v>104.83589999999998</v>
      </c>
    </row>
    <row r="386" spans="1:27" x14ac:dyDescent="0.25">
      <c r="A386" vm="1129">
        <f ca="1"/>
        <v>45854</v>
      </c>
      <c r="B386" vm="1130">
        <f ca="1"/>
        <v>100.46</v>
      </c>
      <c r="C386" vm="1131">
        <f ca="1"/>
        <v>1865373</v>
      </c>
      <c r="D386">
        <f t="shared" ca="1" si="99"/>
        <v>187395371.57999998</v>
      </c>
      <c r="E386">
        <f ca="1">SUM($D$2:D386)/SUM($C$2:C386)</f>
        <v>98.2049816276581</v>
      </c>
      <c r="F386">
        <f ca="1">_xlfn.STDEV.P($B$2:B386)</f>
        <v>6.8298262537268952</v>
      </c>
      <c r="G386">
        <f t="shared" ca="1" si="100"/>
        <v>105.03480788138499</v>
      </c>
      <c r="H386">
        <f t="shared" ca="1" si="101"/>
        <v>91.375155373931207</v>
      </c>
      <c r="I386">
        <f t="shared" ca="1" si="110"/>
        <v>100.1215</v>
      </c>
      <c r="J386">
        <f t="shared" ca="1" si="111"/>
        <v>0.97964695574208605</v>
      </c>
      <c r="K386">
        <f t="shared" ca="1" si="112"/>
        <v>102.08079391148416</v>
      </c>
      <c r="L386">
        <f t="shared" ca="1" si="113"/>
        <v>98.162206088515831</v>
      </c>
      <c r="M386">
        <f t="shared" ca="1" si="102"/>
        <v>0.50999999999999091</v>
      </c>
      <c r="N386">
        <f t="shared" ca="1" si="103"/>
        <v>0.50999999999999091</v>
      </c>
      <c r="O386">
        <f t="shared" ca="1" si="104"/>
        <v>0</v>
      </c>
      <c r="P386">
        <f t="shared" ca="1" si="108"/>
        <v>0.37178018713409727</v>
      </c>
      <c r="Q386">
        <f t="shared" ca="1" si="109"/>
        <v>0.41534412574533569</v>
      </c>
      <c r="R386">
        <f t="shared" ca="1" si="106"/>
        <v>0.89511362768628822</v>
      </c>
      <c r="S386">
        <f t="shared" ca="1" si="107"/>
        <v>47.232715474645026</v>
      </c>
      <c r="T386">
        <f>70</f>
        <v>70</v>
      </c>
      <c r="U386">
        <f>30</f>
        <v>30</v>
      </c>
      <c r="V386">
        <f t="shared" ca="1" si="105"/>
        <v>100.34526866426515</v>
      </c>
      <c r="W386">
        <f t="shared" ca="1" si="115"/>
        <v>100.96589630998025</v>
      </c>
      <c r="X386">
        <f t="shared" ca="1" si="114"/>
        <v>-0.55433477907931206</v>
      </c>
      <c r="Y386">
        <f t="shared" ca="1" si="116"/>
        <v>-0.81817845956098467</v>
      </c>
      <c r="Z386">
        <f t="shared" ca="1" si="117"/>
        <v>0.26384368048167262</v>
      </c>
      <c r="AA386">
        <f t="shared" ca="1" si="118"/>
        <v>104.88289999999998</v>
      </c>
    </row>
    <row r="387" spans="1:27" x14ac:dyDescent="0.25">
      <c r="A387" vm="1132">
        <f ca="1"/>
        <v>45855</v>
      </c>
      <c r="B387" vm="477">
        <f ca="1"/>
        <v>100.6</v>
      </c>
      <c r="C387" vm="1133">
        <f ca="1"/>
        <v>2131709</v>
      </c>
      <c r="D387">
        <f t="shared" ref="D387:D450" ca="1" si="119">B387*C387</f>
        <v>214449925.39999998</v>
      </c>
      <c r="E387">
        <f ca="1">SUM($D$2:D387)/SUM($C$2:C387)</f>
        <v>98.210927143498893</v>
      </c>
      <c r="F387">
        <f ca="1">_xlfn.STDEV.P($B$2:B387)</f>
        <v>6.8229257687643292</v>
      </c>
      <c r="G387">
        <f t="shared" ref="G387:G450" ca="1" si="120">E387 + F387</f>
        <v>105.03385291226323</v>
      </c>
      <c r="H387">
        <f t="shared" ref="H387:H450" ca="1" si="121">E387 - F387</f>
        <v>91.388001374734557</v>
      </c>
      <c r="I387">
        <f t="shared" ca="1" si="110"/>
        <v>100.08399999999999</v>
      </c>
      <c r="J387">
        <f t="shared" ca="1" si="111"/>
        <v>0.94384655309508525</v>
      </c>
      <c r="K387">
        <f t="shared" ca="1" si="112"/>
        <v>101.97169310619016</v>
      </c>
      <c r="L387">
        <f t="shared" ca="1" si="113"/>
        <v>98.196306893809819</v>
      </c>
      <c r="M387">
        <f t="shared" ca="1" si="102"/>
        <v>0.14000000000000057</v>
      </c>
      <c r="N387">
        <f t="shared" ca="1" si="103"/>
        <v>0.14000000000000057</v>
      </c>
      <c r="O387">
        <f t="shared" ca="1" si="104"/>
        <v>0</v>
      </c>
      <c r="P387">
        <f t="shared" ca="1" si="108"/>
        <v>0.35522445948166181</v>
      </c>
      <c r="Q387">
        <f t="shared" ca="1" si="109"/>
        <v>0.38567668819209738</v>
      </c>
      <c r="R387">
        <f t="shared" ca="1" si="106"/>
        <v>0.92104208098969165</v>
      </c>
      <c r="S387">
        <f t="shared" ca="1" si="107"/>
        <v>47.944919588392608</v>
      </c>
      <c r="T387">
        <f>70</f>
        <v>70</v>
      </c>
      <c r="U387">
        <f>30</f>
        <v>30</v>
      </c>
      <c r="V387">
        <f t="shared" ca="1" si="105"/>
        <v>100.38445810053204</v>
      </c>
      <c r="W387">
        <f t="shared" ca="1" si="115"/>
        <v>100.93879287961136</v>
      </c>
      <c r="X387">
        <f t="shared" ca="1" si="114"/>
        <v>-0.45778811970276934</v>
      </c>
      <c r="Y387">
        <f t="shared" ca="1" si="116"/>
        <v>-0.74610039158934172</v>
      </c>
      <c r="Z387">
        <f t="shared" ca="1" si="117"/>
        <v>0.28831227188657238</v>
      </c>
      <c r="AA387">
        <f t="shared" ca="1" si="118"/>
        <v>104.90629999999999</v>
      </c>
    </row>
    <row r="388" spans="1:27" x14ac:dyDescent="0.25">
      <c r="A388" vm="1134">
        <f ca="1"/>
        <v>45856</v>
      </c>
      <c r="B388" vm="1135">
        <f ca="1"/>
        <v>101.08</v>
      </c>
      <c r="C388" vm="1136">
        <f ca="1"/>
        <v>1813453</v>
      </c>
      <c r="D388">
        <f t="shared" ca="1" si="119"/>
        <v>183303829.24000001</v>
      </c>
      <c r="E388">
        <f ca="1">SUM($D$2:D388)/SUM($C$2:C388)</f>
        <v>98.216973370720339</v>
      </c>
      <c r="F388">
        <f ca="1">_xlfn.STDEV.P($B$2:B388)</f>
        <v>6.8166686836110912</v>
      </c>
      <c r="G388">
        <f t="shared" ca="1" si="120"/>
        <v>105.03364205433144</v>
      </c>
      <c r="H388">
        <f t="shared" ca="1" si="121"/>
        <v>91.400304687109241</v>
      </c>
      <c r="I388">
        <f t="shared" ca="1" si="110"/>
        <v>100.10149999999999</v>
      </c>
      <c r="J388">
        <f t="shared" ca="1" si="111"/>
        <v>0.95956829657376308</v>
      </c>
      <c r="K388">
        <f t="shared" ca="1" si="112"/>
        <v>102.02063659314751</v>
      </c>
      <c r="L388">
        <f t="shared" ca="1" si="113"/>
        <v>98.18236340685246</v>
      </c>
      <c r="M388">
        <f t="shared" ref="M388:M451" ca="1" si="122">B388-B387</f>
        <v>0.48000000000000398</v>
      </c>
      <c r="N388">
        <f t="shared" ref="N388:N451" ca="1" si="123">MAX(M388,0)</f>
        <v>0.48000000000000398</v>
      </c>
      <c r="O388">
        <f t="shared" ref="O388:O451" ca="1" si="124">MAX(-M388,0)</f>
        <v>0</v>
      </c>
      <c r="P388">
        <f t="shared" ca="1" si="108"/>
        <v>0.36413699809011479</v>
      </c>
      <c r="Q388">
        <f t="shared" ca="1" si="109"/>
        <v>0.35812835332123327</v>
      </c>
      <c r="R388">
        <f t="shared" ca="1" si="106"/>
        <v>1.016777908571489</v>
      </c>
      <c r="S388">
        <f t="shared" ca="1" si="107"/>
        <v>50.415958259463807</v>
      </c>
      <c r="T388">
        <f>70</f>
        <v>70</v>
      </c>
      <c r="U388">
        <f>30</f>
        <v>30</v>
      </c>
      <c r="V388">
        <f t="shared" ca="1" si="105"/>
        <v>100.49146454660404</v>
      </c>
      <c r="W388">
        <f t="shared" ca="1" si="115"/>
        <v>100.9492526663068</v>
      </c>
      <c r="X388">
        <f t="shared" ca="1" si="114"/>
        <v>-0.29795483250231314</v>
      </c>
      <c r="Y388">
        <f t="shared" ca="1" si="116"/>
        <v>-0.65647127977193598</v>
      </c>
      <c r="Z388">
        <f t="shared" ca="1" si="117"/>
        <v>0.35851644726962284</v>
      </c>
      <c r="AA388">
        <f t="shared" ca="1" si="118"/>
        <v>104.92029999999998</v>
      </c>
    </row>
    <row r="389" spans="1:27" x14ac:dyDescent="0.25">
      <c r="A389" vm="1137">
        <f ca="1"/>
        <v>45859</v>
      </c>
      <c r="B389" vm="1138">
        <f ca="1"/>
        <v>102.07</v>
      </c>
      <c r="C389" vm="1139">
        <f ca="1"/>
        <v>1667769</v>
      </c>
      <c r="D389">
        <f t="shared" ca="1" si="119"/>
        <v>170229181.82999998</v>
      </c>
      <c r="E389">
        <f ca="1">SUM($D$2:D389)/SUM($C$2:C389)</f>
        <v>98.224426413369315</v>
      </c>
      <c r="F389">
        <f ca="1">_xlfn.STDEV.P($B$2:B389)</f>
        <v>6.8119822196587529</v>
      </c>
      <c r="G389">
        <f t="shared" ca="1" si="120"/>
        <v>105.03640863302807</v>
      </c>
      <c r="H389">
        <f t="shared" ca="1" si="121"/>
        <v>91.412444193710556</v>
      </c>
      <c r="I389">
        <f t="shared" ca="1" si="110"/>
        <v>100.15649999999998</v>
      </c>
      <c r="J389">
        <f t="shared" ca="1" si="111"/>
        <v>1.0401127216240598</v>
      </c>
      <c r="K389">
        <f t="shared" ca="1" si="112"/>
        <v>102.2367254432481</v>
      </c>
      <c r="L389">
        <f t="shared" ca="1" si="113"/>
        <v>98.076274556751855</v>
      </c>
      <c r="M389">
        <f t="shared" ca="1" si="122"/>
        <v>0.98999999999999488</v>
      </c>
      <c r="N389">
        <f t="shared" ca="1" si="123"/>
        <v>0.98999999999999488</v>
      </c>
      <c r="O389">
        <f t="shared" ca="1" si="124"/>
        <v>0</v>
      </c>
      <c r="P389">
        <f t="shared" ca="1" si="108"/>
        <v>0.40884149822653482</v>
      </c>
      <c r="Q389">
        <f t="shared" ca="1" si="109"/>
        <v>0.33254775665543085</v>
      </c>
      <c r="R389">
        <f t="shared" ca="1" si="106"/>
        <v>1.2294219102195167</v>
      </c>
      <c r="S389">
        <f t="shared" ca="1" si="107"/>
        <v>55.145322856294328</v>
      </c>
      <c r="T389">
        <f>70</f>
        <v>70</v>
      </c>
      <c r="U389">
        <f>30</f>
        <v>30</v>
      </c>
      <c r="V389">
        <f t="shared" ca="1" si="105"/>
        <v>100.7343161548188</v>
      </c>
      <c r="W389">
        <f t="shared" ca="1" si="115"/>
        <v>101.03227098732111</v>
      </c>
      <c r="X389">
        <f t="shared" ca="1" si="114"/>
        <v>-4.808026466717763E-2</v>
      </c>
      <c r="Y389">
        <f t="shared" ca="1" si="116"/>
        <v>-0.53479307675098431</v>
      </c>
      <c r="Z389">
        <f t="shared" ca="1" si="117"/>
        <v>0.48671281208380668</v>
      </c>
      <c r="AA389">
        <f t="shared" ca="1" si="118"/>
        <v>104.93129999999999</v>
      </c>
    </row>
    <row r="390" spans="1:27" x14ac:dyDescent="0.25">
      <c r="A390" vm="1140">
        <f ca="1"/>
        <v>45860</v>
      </c>
      <c r="B390" vm="1141">
        <f ca="1"/>
        <v>103.59</v>
      </c>
      <c r="C390" vm="1142">
        <f ca="1"/>
        <v>1663862</v>
      </c>
      <c r="D390">
        <f t="shared" ca="1" si="119"/>
        <v>172359464.58000001</v>
      </c>
      <c r="E390">
        <f ca="1">SUM($D$2:D390)/SUM($C$2:C390)</f>
        <v>98.234760970306738</v>
      </c>
      <c r="F390">
        <f ca="1">_xlfn.STDEV.P($B$2:B390)</f>
        <v>6.8103927310502614</v>
      </c>
      <c r="G390">
        <f t="shared" ca="1" si="120"/>
        <v>105.04515370135699</v>
      </c>
      <c r="H390">
        <f t="shared" ca="1" si="121"/>
        <v>91.424368239256481</v>
      </c>
      <c r="I390">
        <f t="shared" ca="1" si="110"/>
        <v>100.27849999999998</v>
      </c>
      <c r="J390">
        <f t="shared" ca="1" si="111"/>
        <v>1.2785488278760249</v>
      </c>
      <c r="K390">
        <f t="shared" ca="1" si="112"/>
        <v>102.83559765575203</v>
      </c>
      <c r="L390">
        <f t="shared" ca="1" si="113"/>
        <v>97.721402344247934</v>
      </c>
      <c r="M390">
        <f t="shared" ca="1" si="122"/>
        <v>1.5200000000000102</v>
      </c>
      <c r="N390">
        <f t="shared" ca="1" si="123"/>
        <v>1.5200000000000102</v>
      </c>
      <c r="O390">
        <f t="shared" ca="1" si="124"/>
        <v>0</v>
      </c>
      <c r="P390">
        <f t="shared" ca="1" si="108"/>
        <v>0.48820996263892591</v>
      </c>
      <c r="Q390">
        <f t="shared" ca="1" si="109"/>
        <v>0.30879434546575718</v>
      </c>
      <c r="R390">
        <f t="shared" ca="1" si="106"/>
        <v>1.5810197622063145</v>
      </c>
      <c r="S390">
        <f t="shared" ca="1" si="107"/>
        <v>61.255624050504082</v>
      </c>
      <c r="T390">
        <f>70</f>
        <v>70</v>
      </c>
      <c r="U390">
        <f>30</f>
        <v>30</v>
      </c>
      <c r="V390">
        <f t="shared" ca="1" si="105"/>
        <v>101.17365213100052</v>
      </c>
      <c r="W390">
        <f t="shared" ca="1" si="115"/>
        <v>101.2217323956677</v>
      </c>
      <c r="X390">
        <f t="shared" ca="1" si="114"/>
        <v>6.5275368419236202E-2</v>
      </c>
      <c r="Y390">
        <f t="shared" ca="1" si="116"/>
        <v>-0.41477938771694023</v>
      </c>
      <c r="Z390">
        <f t="shared" ca="1" si="117"/>
        <v>0.48005475613617643</v>
      </c>
      <c r="AA390">
        <f t="shared" ca="1" si="118"/>
        <v>104.9676</v>
      </c>
    </row>
    <row r="391" spans="1:27" x14ac:dyDescent="0.25">
      <c r="A391" vm="1143">
        <f ca="1"/>
        <v>45861</v>
      </c>
      <c r="B391" vm="1064">
        <f ca="1"/>
        <v>102.55</v>
      </c>
      <c r="C391" vm="1144">
        <f ca="1"/>
        <v>2563086</v>
      </c>
      <c r="D391">
        <f t="shared" ca="1" si="119"/>
        <v>262844469.29999998</v>
      </c>
      <c r="E391">
        <f ca="1">SUM($D$2:D391)/SUM($C$2:C391)</f>
        <v>98.247526527725071</v>
      </c>
      <c r="F391">
        <f ca="1">_xlfn.STDEV.P($B$2:B391)</f>
        <v>6.8065727433744607</v>
      </c>
      <c r="G391">
        <f t="shared" ca="1" si="120"/>
        <v>105.05409927109953</v>
      </c>
      <c r="H391">
        <f t="shared" ca="1" si="121"/>
        <v>91.440953784350611</v>
      </c>
      <c r="I391">
        <f t="shared" ca="1" si="110"/>
        <v>100.39649999999997</v>
      </c>
      <c r="J391">
        <f t="shared" ca="1" si="111"/>
        <v>1.3752024731308703</v>
      </c>
      <c r="K391">
        <f t="shared" ca="1" si="112"/>
        <v>103.14690494626171</v>
      </c>
      <c r="L391">
        <f t="shared" ca="1" si="113"/>
        <v>97.646095053738236</v>
      </c>
      <c r="M391">
        <f t="shared" ca="1" si="122"/>
        <v>-1.0400000000000063</v>
      </c>
      <c r="N391">
        <f t="shared" ca="1" si="123"/>
        <v>0</v>
      </c>
      <c r="O391">
        <f t="shared" ca="1" si="124"/>
        <v>1.0400000000000063</v>
      </c>
      <c r="P391">
        <f t="shared" ca="1" si="108"/>
        <v>0.45333782245043119</v>
      </c>
      <c r="Q391">
        <f t="shared" ca="1" si="109"/>
        <v>0.36102332078963212</v>
      </c>
      <c r="R391">
        <f t="shared" ca="1" si="106"/>
        <v>1.2557023226612849</v>
      </c>
      <c r="S391">
        <f t="shared" ca="1" si="107"/>
        <v>55.667909282453685</v>
      </c>
      <c r="T391">
        <f>70</f>
        <v>70</v>
      </c>
      <c r="U391">
        <f>30</f>
        <v>30</v>
      </c>
      <c r="V391">
        <f t="shared" ca="1" si="105"/>
        <v>101.38539795700045</v>
      </c>
      <c r="W391">
        <f t="shared" ca="1" si="115"/>
        <v>101.32012258858121</v>
      </c>
      <c r="X391">
        <f t="shared" ca="1" si="114"/>
        <v>0.11345684313458548</v>
      </c>
      <c r="Y391">
        <f t="shared" ca="1" si="116"/>
        <v>-0.3091321415466351</v>
      </c>
      <c r="Z391">
        <f t="shared" ca="1" si="117"/>
        <v>0.42258898468122058</v>
      </c>
      <c r="AA391">
        <f t="shared" ca="1" si="118"/>
        <v>104.9939</v>
      </c>
    </row>
    <row r="392" spans="1:27" x14ac:dyDescent="0.25">
      <c r="A392" vm="1145">
        <f ca="1"/>
        <v>45862</v>
      </c>
      <c r="B392" vm="1146">
        <f ca="1"/>
        <v>102.05</v>
      </c>
      <c r="C392" vm="1147">
        <f ca="1"/>
        <v>2467810</v>
      </c>
      <c r="D392">
        <f t="shared" ca="1" si="119"/>
        <v>251840010.5</v>
      </c>
      <c r="E392">
        <f ca="1">SUM($D$2:D392)/SUM($C$2:C392)</f>
        <v>98.258326295677975</v>
      </c>
      <c r="F392">
        <f ca="1">_xlfn.STDEV.P($B$2:B392)</f>
        <v>6.8018353172408137</v>
      </c>
      <c r="G392">
        <f t="shared" ca="1" si="120"/>
        <v>105.06016161291879</v>
      </c>
      <c r="H392">
        <f t="shared" ca="1" si="121"/>
        <v>91.456490978437159</v>
      </c>
      <c r="I392">
        <f t="shared" ca="1" si="110"/>
        <v>100.59649999999998</v>
      </c>
      <c r="J392">
        <f t="shared" ca="1" si="111"/>
        <v>1.3050600913771218</v>
      </c>
      <c r="K392">
        <f t="shared" ca="1" si="112"/>
        <v>103.20662018275422</v>
      </c>
      <c r="L392">
        <f t="shared" ca="1" si="113"/>
        <v>97.986379817245734</v>
      </c>
      <c r="M392">
        <f t="shared" ca="1" si="122"/>
        <v>-0.5</v>
      </c>
      <c r="N392">
        <f t="shared" ca="1" si="123"/>
        <v>0</v>
      </c>
      <c r="O392">
        <f t="shared" ca="1" si="124"/>
        <v>0.5</v>
      </c>
      <c r="P392">
        <f t="shared" ca="1" si="108"/>
        <v>0.4209565494182575</v>
      </c>
      <c r="Q392">
        <f t="shared" ca="1" si="109"/>
        <v>0.37095022644751552</v>
      </c>
      <c r="R392">
        <f t="shared" ca="1" si="106"/>
        <v>1.1348060181810327</v>
      </c>
      <c r="S392">
        <f t="shared" ca="1" si="107"/>
        <v>53.157336475374343</v>
      </c>
      <c r="T392">
        <f>70</f>
        <v>70</v>
      </c>
      <c r="U392">
        <f>30</f>
        <v>30</v>
      </c>
      <c r="V392">
        <f t="shared" ca="1" si="105"/>
        <v>101.48764442515423</v>
      </c>
      <c r="W392">
        <f t="shared" ca="1" si="115"/>
        <v>101.37418758201964</v>
      </c>
      <c r="X392">
        <f t="shared" ca="1" si="114"/>
        <v>0.16666504306103036</v>
      </c>
      <c r="Y392">
        <f t="shared" ca="1" si="116"/>
        <v>-0.21397270462510204</v>
      </c>
      <c r="Z392">
        <f t="shared" ca="1" si="117"/>
        <v>0.3806377476861324</v>
      </c>
      <c r="AA392">
        <f t="shared" ca="1" si="118"/>
        <v>104.9992</v>
      </c>
    </row>
    <row r="393" spans="1:27" x14ac:dyDescent="0.25">
      <c r="A393" vm="1148">
        <f ca="1"/>
        <v>45863</v>
      </c>
      <c r="B393" vm="1149">
        <f ca="1"/>
        <v>102.26</v>
      </c>
      <c r="C393" vm="1150">
        <f ca="1"/>
        <v>1375737</v>
      </c>
      <c r="D393">
        <f t="shared" ca="1" si="119"/>
        <v>140682865.62</v>
      </c>
      <c r="E393">
        <f ca="1">SUM($D$2:D393)/SUM($C$2:C393)</f>
        <v>98.264652256737421</v>
      </c>
      <c r="F393">
        <f ca="1">_xlfn.STDEV.P($B$2:B393)</f>
        <v>6.7974676453076688</v>
      </c>
      <c r="G393">
        <f t="shared" ca="1" si="120"/>
        <v>105.06211990204508</v>
      </c>
      <c r="H393">
        <f t="shared" ca="1" si="121"/>
        <v>91.467184611429758</v>
      </c>
      <c r="I393">
        <f t="shared" ca="1" si="110"/>
        <v>100.78899999999999</v>
      </c>
      <c r="J393">
        <f t="shared" ca="1" si="111"/>
        <v>1.2482783933756203</v>
      </c>
      <c r="K393">
        <f t="shared" ca="1" si="112"/>
        <v>103.28555678675123</v>
      </c>
      <c r="L393">
        <f t="shared" ca="1" si="113"/>
        <v>98.292443213248745</v>
      </c>
      <c r="M393">
        <f t="shared" ca="1" si="122"/>
        <v>0.21000000000000796</v>
      </c>
      <c r="N393">
        <f t="shared" ca="1" si="123"/>
        <v>0.21000000000000796</v>
      </c>
      <c r="O393">
        <f t="shared" ca="1" si="124"/>
        <v>0</v>
      </c>
      <c r="P393">
        <f t="shared" ca="1" si="108"/>
        <v>0.4058882244598111</v>
      </c>
      <c r="Q393">
        <f t="shared" ca="1" si="109"/>
        <v>0.34445378170126439</v>
      </c>
      <c r="R393">
        <f t="shared" ca="1" si="106"/>
        <v>1.1783532247929482</v>
      </c>
      <c r="S393">
        <f t="shared" ca="1" si="107"/>
        <v>54.093762727803259</v>
      </c>
      <c r="T393">
        <f>70</f>
        <v>70</v>
      </c>
      <c r="U393">
        <f>30</f>
        <v>30</v>
      </c>
      <c r="V393">
        <f t="shared" ca="1" si="105"/>
        <v>101.60646835974589</v>
      </c>
      <c r="W393">
        <f t="shared" ca="1" si="115"/>
        <v>101.43980331668486</v>
      </c>
      <c r="X393">
        <f t="shared" ca="1" si="114"/>
        <v>0.10434480034743387</v>
      </c>
      <c r="Y393">
        <f t="shared" ca="1" si="116"/>
        <v>-0.15030920363059488</v>
      </c>
      <c r="Z393">
        <f t="shared" ca="1" si="117"/>
        <v>0.25465400397802873</v>
      </c>
      <c r="AA393">
        <f t="shared" ca="1" si="118"/>
        <v>104.98159999999999</v>
      </c>
    </row>
    <row r="394" spans="1:27" x14ac:dyDescent="0.25">
      <c r="A394" vm="1151">
        <f ca="1"/>
        <v>45866</v>
      </c>
      <c r="B394" vm="1152">
        <f ca="1"/>
        <v>100.98</v>
      </c>
      <c r="C394" vm="1153">
        <f ca="1"/>
        <v>1995248</v>
      </c>
      <c r="D394">
        <f t="shared" ca="1" si="119"/>
        <v>201480143.04000002</v>
      </c>
      <c r="E394">
        <f ca="1">SUM($D$2:D394)/SUM($C$2:C394)</f>
        <v>98.270863480824062</v>
      </c>
      <c r="F394">
        <f ca="1">_xlfn.STDEV.P($B$2:B394)</f>
        <v>6.7911136108344614</v>
      </c>
      <c r="G394">
        <f t="shared" ca="1" si="120"/>
        <v>105.06197709165852</v>
      </c>
      <c r="H394">
        <f t="shared" ca="1" si="121"/>
        <v>91.479749869989604</v>
      </c>
      <c r="I394">
        <f t="shared" ca="1" si="110"/>
        <v>100.93049999999998</v>
      </c>
      <c r="J394">
        <f t="shared" ca="1" si="111"/>
        <v>1.0828202698703537</v>
      </c>
      <c r="K394">
        <f t="shared" ca="1" si="112"/>
        <v>103.09614053974069</v>
      </c>
      <c r="L394">
        <f t="shared" ca="1" si="113"/>
        <v>98.764859460259274</v>
      </c>
      <c r="M394">
        <f t="shared" ca="1" si="122"/>
        <v>-1.2800000000000011</v>
      </c>
      <c r="N394">
        <f t="shared" ca="1" si="123"/>
        <v>0</v>
      </c>
      <c r="O394">
        <f t="shared" ca="1" si="124"/>
        <v>1.2800000000000011</v>
      </c>
      <c r="P394">
        <f t="shared" ca="1" si="108"/>
        <v>0.37689620842696747</v>
      </c>
      <c r="Q394">
        <f t="shared" ca="1" si="109"/>
        <v>0.4112785115797456</v>
      </c>
      <c r="R394">
        <f t="shared" ca="1" si="106"/>
        <v>0.91640141124632646</v>
      </c>
      <c r="S394">
        <f t="shared" ca="1" si="107"/>
        <v>47.81886539367278</v>
      </c>
      <c r="T394">
        <f>70</f>
        <v>70</v>
      </c>
      <c r="U394">
        <f>30</f>
        <v>30</v>
      </c>
      <c r="V394">
        <f t="shared" ca="1" si="105"/>
        <v>101.51008861209267</v>
      </c>
      <c r="W394">
        <f t="shared" ca="1" si="115"/>
        <v>101.40574381174524</v>
      </c>
      <c r="X394">
        <f t="shared" ca="1" si="114"/>
        <v>0.15484210533993803</v>
      </c>
      <c r="Y394">
        <f t="shared" ca="1" si="116"/>
        <v>-8.9278941836488296E-2</v>
      </c>
      <c r="Z394">
        <f t="shared" ca="1" si="117"/>
        <v>0.24412104717642633</v>
      </c>
      <c r="AA394">
        <f t="shared" ca="1" si="118"/>
        <v>104.96989999999998</v>
      </c>
    </row>
    <row r="395" spans="1:27" x14ac:dyDescent="0.25">
      <c r="A395" vm="1154">
        <f ca="1"/>
        <v>45867</v>
      </c>
      <c r="B395" vm="1155">
        <f ca="1"/>
        <v>102.24</v>
      </c>
      <c r="C395" vm="1156">
        <f ca="1"/>
        <v>1265041</v>
      </c>
      <c r="D395">
        <f t="shared" ca="1" si="119"/>
        <v>129337791.83999999</v>
      </c>
      <c r="E395">
        <f ca="1">SUM($D$2:D395)/SUM($C$2:C395)</f>
        <v>98.276611604352709</v>
      </c>
      <c r="F395">
        <f ca="1">_xlfn.STDEV.P($B$2:B395)</f>
        <v>6.7867151585812611</v>
      </c>
      <c r="G395">
        <f t="shared" ca="1" si="120"/>
        <v>105.06332676293397</v>
      </c>
      <c r="H395">
        <f t="shared" ca="1" si="121"/>
        <v>91.48989644577145</v>
      </c>
      <c r="I395">
        <f t="shared" ca="1" si="110"/>
        <v>101.02499999999998</v>
      </c>
      <c r="J395">
        <f t="shared" ca="1" si="111"/>
        <v>1.1115825607995493</v>
      </c>
      <c r="K395">
        <f t="shared" ca="1" si="112"/>
        <v>103.24816512159907</v>
      </c>
      <c r="L395">
        <f t="shared" ca="1" si="113"/>
        <v>98.801834878400882</v>
      </c>
      <c r="M395">
        <f t="shared" ca="1" si="122"/>
        <v>1.2599999999999909</v>
      </c>
      <c r="N395">
        <f t="shared" ca="1" si="123"/>
        <v>1.2599999999999909</v>
      </c>
      <c r="O395">
        <f t="shared" ca="1" si="124"/>
        <v>0</v>
      </c>
      <c r="P395">
        <f t="shared" ca="1" si="108"/>
        <v>0.4399750506821834</v>
      </c>
      <c r="Q395">
        <f t="shared" ca="1" si="109"/>
        <v>0.38190147503833521</v>
      </c>
      <c r="R395">
        <f t="shared" ca="1" si="106"/>
        <v>1.152064287361076</v>
      </c>
      <c r="S395">
        <f t="shared" ca="1" si="107"/>
        <v>53.532986636461999</v>
      </c>
      <c r="T395">
        <f>70</f>
        <v>70</v>
      </c>
      <c r="U395">
        <f>30</f>
        <v>30</v>
      </c>
      <c r="V395">
        <f t="shared" ca="1" si="105"/>
        <v>101.62238267177072</v>
      </c>
      <c r="W395">
        <f t="shared" ca="1" si="115"/>
        <v>101.46754056643078</v>
      </c>
      <c r="X395">
        <f t="shared" ca="1" si="114"/>
        <v>0.22056116645555335</v>
      </c>
      <c r="Y395">
        <f t="shared" ca="1" si="116"/>
        <v>-2.7310920178079963E-2</v>
      </c>
      <c r="Z395">
        <f t="shared" ca="1" si="117"/>
        <v>0.2478720866336333</v>
      </c>
      <c r="AA395">
        <f t="shared" ca="1" si="118"/>
        <v>104.99029999999999</v>
      </c>
    </row>
    <row r="396" spans="1:27" x14ac:dyDescent="0.25">
      <c r="A396" vm="1157">
        <f ca="1"/>
        <v>45868</v>
      </c>
      <c r="B396" vm="1158">
        <f ca="1"/>
        <v>102.59</v>
      </c>
      <c r="C396" vm="1159">
        <f ca="1"/>
        <v>1565213</v>
      </c>
      <c r="D396">
        <f t="shared" ca="1" si="119"/>
        <v>160575201.67000002</v>
      </c>
      <c r="E396">
        <f ca="1">SUM($D$2:D396)/SUM($C$2:C396)</f>
        <v>98.284326676243438</v>
      </c>
      <c r="F396">
        <f ca="1">_xlfn.STDEV.P($B$2:B396)</f>
        <v>6.7829561441067998</v>
      </c>
      <c r="G396">
        <f t="shared" ca="1" si="120"/>
        <v>105.06728282035024</v>
      </c>
      <c r="H396">
        <f t="shared" ca="1" si="121"/>
        <v>91.501370532136633</v>
      </c>
      <c r="I396">
        <f t="shared" ca="1" si="110"/>
        <v>101.11549999999998</v>
      </c>
      <c r="J396">
        <f t="shared" ca="1" si="111"/>
        <v>1.1630743063559024</v>
      </c>
      <c r="K396">
        <f t="shared" ca="1" si="112"/>
        <v>103.44164861271179</v>
      </c>
      <c r="L396">
        <f t="shared" ca="1" si="113"/>
        <v>98.789351387288178</v>
      </c>
      <c r="M396">
        <f t="shared" ca="1" si="122"/>
        <v>0.35000000000000853</v>
      </c>
      <c r="N396">
        <f t="shared" ca="1" si="123"/>
        <v>0.35000000000000853</v>
      </c>
      <c r="O396">
        <f t="shared" ca="1" si="124"/>
        <v>0</v>
      </c>
      <c r="P396">
        <f t="shared" ca="1" si="108"/>
        <v>0.43354826134774233</v>
      </c>
      <c r="Q396">
        <f t="shared" ca="1" si="109"/>
        <v>0.35462279824988269</v>
      </c>
      <c r="R396">
        <f t="shared" ca="1" si="106"/>
        <v>1.2225617289338666</v>
      </c>
      <c r="S396">
        <f t="shared" ca="1" si="107"/>
        <v>55.006873960720696</v>
      </c>
      <c r="T396">
        <f>70</f>
        <v>70</v>
      </c>
      <c r="U396">
        <f>30</f>
        <v>30</v>
      </c>
      <c r="V396">
        <f t="shared" ca="1" si="105"/>
        <v>101.77124687611368</v>
      </c>
      <c r="W396">
        <f t="shared" ca="1" si="115"/>
        <v>101.55068570965813</v>
      </c>
      <c r="X396">
        <f t="shared" ca="1" si="114"/>
        <v>0.3421295343785431</v>
      </c>
      <c r="Y396">
        <f t="shared" ca="1" si="116"/>
        <v>4.6577170733244654E-2</v>
      </c>
      <c r="Z396">
        <f t="shared" ca="1" si="117"/>
        <v>0.29555236364529847</v>
      </c>
      <c r="AA396">
        <f t="shared" ca="1" si="118"/>
        <v>105.00709999999999</v>
      </c>
    </row>
    <row r="397" spans="1:27" x14ac:dyDescent="0.25">
      <c r="A397" vm="1160">
        <f ca="1"/>
        <v>45869</v>
      </c>
      <c r="B397" vm="1161">
        <f ca="1"/>
        <v>103.5</v>
      </c>
      <c r="C397" vm="1162">
        <f ca="1"/>
        <v>3483197</v>
      </c>
      <c r="D397">
        <f t="shared" ca="1" si="119"/>
        <v>360510889.5</v>
      </c>
      <c r="E397">
        <f ca="1">SUM($D$2:D397)/SUM($C$2:C397)</f>
        <v>98.305004801110172</v>
      </c>
      <c r="F397">
        <f ca="1">_xlfn.STDEV.P($B$2:B397)</f>
        <v>6.7810622069480768</v>
      </c>
      <c r="G397">
        <f t="shared" ca="1" si="120"/>
        <v>105.08606700805825</v>
      </c>
      <c r="H397">
        <f t="shared" ca="1" si="121"/>
        <v>91.523942594162094</v>
      </c>
      <c r="I397">
        <f t="shared" ca="1" si="110"/>
        <v>101.29449999999999</v>
      </c>
      <c r="J397">
        <f t="shared" ca="1" si="111"/>
        <v>1.242194471595796</v>
      </c>
      <c r="K397">
        <f t="shared" ca="1" si="112"/>
        <v>103.77888894319157</v>
      </c>
      <c r="L397">
        <f t="shared" ca="1" si="113"/>
        <v>98.810111056808395</v>
      </c>
      <c r="M397">
        <f t="shared" ca="1" si="122"/>
        <v>0.90999999999999659</v>
      </c>
      <c r="N397">
        <f t="shared" ca="1" si="123"/>
        <v>0.90999999999999659</v>
      </c>
      <c r="O397">
        <f t="shared" ca="1" si="124"/>
        <v>0</v>
      </c>
      <c r="P397">
        <f t="shared" ca="1" si="108"/>
        <v>0.4675805283943319</v>
      </c>
      <c r="Q397">
        <f t="shared" ca="1" si="109"/>
        <v>0.32929259837489105</v>
      </c>
      <c r="R397">
        <f t="shared" ca="1" si="106"/>
        <v>1.4199545653376746</v>
      </c>
      <c r="S397">
        <f t="shared" ca="1" si="107"/>
        <v>58.676910123704637</v>
      </c>
      <c r="T397">
        <f>70</f>
        <v>70</v>
      </c>
      <c r="U397">
        <f>30</f>
        <v>30</v>
      </c>
      <c r="V397">
        <f t="shared" ca="1" si="105"/>
        <v>102.03720889517311</v>
      </c>
      <c r="W397">
        <f t="shared" ca="1" si="115"/>
        <v>101.69507936079457</v>
      </c>
      <c r="X397">
        <f t="shared" ca="1" si="114"/>
        <v>0.50846224959596498</v>
      </c>
      <c r="Y397">
        <f t="shared" ca="1" si="116"/>
        <v>0.13895418650578872</v>
      </c>
      <c r="Z397">
        <f t="shared" ca="1" si="117"/>
        <v>0.36950806309017625</v>
      </c>
      <c r="AA397">
        <f t="shared" ca="1" si="118"/>
        <v>105.00569999999998</v>
      </c>
    </row>
    <row r="398" spans="1:27" x14ac:dyDescent="0.25">
      <c r="A398" vm="1163">
        <f ca="1"/>
        <v>45870</v>
      </c>
      <c r="B398" vm="1164">
        <f ca="1"/>
        <v>104.44</v>
      </c>
      <c r="C398" vm="1165">
        <f ca="1"/>
        <v>2272580</v>
      </c>
      <c r="D398">
        <f t="shared" ca="1" si="119"/>
        <v>237348255.19999999</v>
      </c>
      <c r="E398">
        <f ca="1">SUM($D$2:D398)/SUM($C$2:C398)</f>
        <v>98.320833098916296</v>
      </c>
      <c r="F398">
        <f ca="1">_xlfn.STDEV.P($B$2:B398)</f>
        <v>6.7813900488432166</v>
      </c>
      <c r="G398">
        <f t="shared" ca="1" si="120"/>
        <v>105.10222314775952</v>
      </c>
      <c r="H398">
        <f t="shared" ca="1" si="121"/>
        <v>91.539443050073075</v>
      </c>
      <c r="I398">
        <f t="shared" ca="1" si="110"/>
        <v>101.501</v>
      </c>
      <c r="J398">
        <f t="shared" ca="1" si="111"/>
        <v>1.4028163401566605</v>
      </c>
      <c r="K398">
        <f t="shared" ca="1" si="112"/>
        <v>104.30663268031333</v>
      </c>
      <c r="L398">
        <f t="shared" ca="1" si="113"/>
        <v>98.695367319686682</v>
      </c>
      <c r="M398">
        <f t="shared" ca="1" si="122"/>
        <v>0.93999999999999773</v>
      </c>
      <c r="N398">
        <f t="shared" ca="1" si="123"/>
        <v>0.93999999999999773</v>
      </c>
      <c r="O398">
        <f t="shared" ca="1" si="124"/>
        <v>0</v>
      </c>
      <c r="P398">
        <f t="shared" ca="1" si="108"/>
        <v>0.50132477636616513</v>
      </c>
      <c r="Q398">
        <f t="shared" ca="1" si="109"/>
        <v>0.3057716984909703</v>
      </c>
      <c r="R398">
        <f t="shared" ca="1" si="106"/>
        <v>1.6395394957750469</v>
      </c>
      <c r="S398">
        <f t="shared" ca="1" si="107"/>
        <v>62.114603642012547</v>
      </c>
      <c r="T398">
        <f>70</f>
        <v>70</v>
      </c>
      <c r="U398">
        <f>30</f>
        <v>30</v>
      </c>
      <c r="V398">
        <f t="shared" ca="1" si="105"/>
        <v>102.40686906514648</v>
      </c>
      <c r="W398">
        <f t="shared" ca="1" si="115"/>
        <v>101.89840681555052</v>
      </c>
      <c r="X398">
        <f t="shared" ca="1" si="114"/>
        <v>0.70637577576805199</v>
      </c>
      <c r="Y398">
        <f t="shared" ca="1" si="116"/>
        <v>0.25243850435824139</v>
      </c>
      <c r="Z398">
        <f t="shared" ca="1" si="117"/>
        <v>0.45393727140981061</v>
      </c>
      <c r="AA398">
        <f t="shared" ca="1" si="118"/>
        <v>104.98349999999999</v>
      </c>
    </row>
    <row r="399" spans="1:27" x14ac:dyDescent="0.25">
      <c r="A399" vm="1166">
        <f ca="1"/>
        <v>45873</v>
      </c>
      <c r="B399" vm="1167">
        <f ca="1"/>
        <v>105.36</v>
      </c>
      <c r="C399" vm="1168">
        <f ca="1"/>
        <v>2345153</v>
      </c>
      <c r="D399">
        <f t="shared" ca="1" si="119"/>
        <v>247085320.08000001</v>
      </c>
      <c r="E399">
        <f ca="1">SUM($D$2:D399)/SUM($C$2:C399)</f>
        <v>98.339524356564965</v>
      </c>
      <c r="F399">
        <f ca="1">_xlfn.STDEV.P($B$2:B399)</f>
        <v>6.7841741346720541</v>
      </c>
      <c r="G399">
        <f t="shared" ca="1" si="120"/>
        <v>105.12369849123702</v>
      </c>
      <c r="H399">
        <f t="shared" ca="1" si="121"/>
        <v>91.555350221892908</v>
      </c>
      <c r="I399">
        <f t="shared" ca="1" si="110"/>
        <v>101.78349999999999</v>
      </c>
      <c r="J399">
        <f t="shared" ca="1" si="111"/>
        <v>1.580773544819118</v>
      </c>
      <c r="K399">
        <f t="shared" ca="1" si="112"/>
        <v>104.94504708963822</v>
      </c>
      <c r="L399">
        <f t="shared" ca="1" si="113"/>
        <v>98.621952910361756</v>
      </c>
      <c r="M399">
        <f t="shared" ca="1" si="122"/>
        <v>0.92000000000000171</v>
      </c>
      <c r="N399">
        <f t="shared" ca="1" si="123"/>
        <v>0.92000000000000171</v>
      </c>
      <c r="O399">
        <f t="shared" ca="1" si="124"/>
        <v>0</v>
      </c>
      <c r="P399">
        <f t="shared" ca="1" si="108"/>
        <v>0.53123014948286773</v>
      </c>
      <c r="Q399">
        <f t="shared" ca="1" si="109"/>
        <v>0.28393086288447245</v>
      </c>
      <c r="R399">
        <f t="shared" ca="1" si="106"/>
        <v>1.8709841687728677</v>
      </c>
      <c r="S399">
        <f t="shared" ca="1" si="107"/>
        <v>65.168738620128806</v>
      </c>
      <c r="T399">
        <f>70</f>
        <v>70</v>
      </c>
      <c r="U399">
        <f>30</f>
        <v>30</v>
      </c>
      <c r="V399">
        <f t="shared" ref="V399:V462" ca="1" si="125">B399*(2/(12+1)) + V398*(1-(2/(12+1)))</f>
        <v>102.86119690127779</v>
      </c>
      <c r="W399">
        <f t="shared" ca="1" si="115"/>
        <v>102.15482112550974</v>
      </c>
      <c r="X399">
        <f t="shared" ca="1" si="114"/>
        <v>0.75925531022460291</v>
      </c>
      <c r="Y399">
        <f t="shared" ca="1" si="116"/>
        <v>0.35380186553151372</v>
      </c>
      <c r="Z399">
        <f t="shared" ca="1" si="117"/>
        <v>0.40545344469308919</v>
      </c>
      <c r="AA399">
        <f t="shared" ca="1" si="118"/>
        <v>104.99939999999997</v>
      </c>
    </row>
    <row r="400" spans="1:27" x14ac:dyDescent="0.25">
      <c r="A400" vm="1169">
        <f ca="1"/>
        <v>45874</v>
      </c>
      <c r="B400" vm="1170">
        <f ca="1"/>
        <v>104.18</v>
      </c>
      <c r="C400" vm="1171">
        <f ca="1"/>
        <v>2515949</v>
      </c>
      <c r="D400">
        <f t="shared" ca="1" si="119"/>
        <v>262111566.82000002</v>
      </c>
      <c r="E400">
        <f ca="1">SUM($D$2:D400)/SUM($C$2:C400)</f>
        <v>98.356114903785226</v>
      </c>
      <c r="F400">
        <f ca="1">_xlfn.STDEV.P($B$2:B400)</f>
        <v>6.7837513325183014</v>
      </c>
      <c r="G400">
        <f t="shared" ca="1" si="120"/>
        <v>105.13986623630353</v>
      </c>
      <c r="H400">
        <f t="shared" ca="1" si="121"/>
        <v>91.572363571266919</v>
      </c>
      <c r="I400">
        <f t="shared" ca="1" si="110"/>
        <v>102.027</v>
      </c>
      <c r="J400">
        <f t="shared" ca="1" si="111"/>
        <v>1.5545725423645198</v>
      </c>
      <c r="K400">
        <f t="shared" ca="1" si="112"/>
        <v>105.13614508472904</v>
      </c>
      <c r="L400">
        <f t="shared" ca="1" si="113"/>
        <v>98.917854915270965</v>
      </c>
      <c r="M400">
        <f t="shared" ca="1" si="122"/>
        <v>-1.1799999999999926</v>
      </c>
      <c r="N400">
        <f t="shared" ca="1" si="123"/>
        <v>0</v>
      </c>
      <c r="O400">
        <f t="shared" ca="1" si="124"/>
        <v>1.1799999999999926</v>
      </c>
      <c r="P400">
        <f t="shared" ca="1" si="108"/>
        <v>0.49328513880552005</v>
      </c>
      <c r="Q400">
        <f t="shared" ca="1" si="109"/>
        <v>0.34793580124986673</v>
      </c>
      <c r="R400">
        <f t="shared" ref="R400:R463" ca="1" si="126">IF(Q400=0,NA(),P400/Q400)</f>
        <v>1.4177475759422415</v>
      </c>
      <c r="S400">
        <f t="shared" ref="S400:S463" ca="1" si="127">100-(100/(1+R400))</f>
        <v>58.639189220972284</v>
      </c>
      <c r="T400">
        <f>70</f>
        <v>70</v>
      </c>
      <c r="U400">
        <f>30</f>
        <v>30</v>
      </c>
      <c r="V400">
        <f t="shared" ca="1" si="125"/>
        <v>103.06408968569659</v>
      </c>
      <c r="W400">
        <f t="shared" ca="1" si="115"/>
        <v>102.30483437547198</v>
      </c>
      <c r="X400">
        <f t="shared" ca="1" si="114"/>
        <v>0.78963950035182506</v>
      </c>
      <c r="Y400">
        <f t="shared" ca="1" si="116"/>
        <v>0.44096939249557598</v>
      </c>
      <c r="Z400">
        <f t="shared" ca="1" si="117"/>
        <v>0.34867010785624908</v>
      </c>
      <c r="AA400">
        <f t="shared" ca="1" si="118"/>
        <v>105.01479999999998</v>
      </c>
    </row>
    <row r="401" spans="1:27" x14ac:dyDescent="0.25">
      <c r="A401" vm="1172">
        <f ca="1"/>
        <v>45875</v>
      </c>
      <c r="B401" vm="1173">
        <f ca="1"/>
        <v>104.15</v>
      </c>
      <c r="C401" vm="1174">
        <f ca="1"/>
        <v>1993167</v>
      </c>
      <c r="D401">
        <f t="shared" ca="1" si="119"/>
        <v>207588343.05000001</v>
      </c>
      <c r="E401">
        <f ca="1">SUM($D$2:D401)/SUM($C$2:C401)</f>
        <v>98.36912402620132</v>
      </c>
      <c r="F401">
        <f ca="1">_xlfn.STDEV.P($B$2:B401)</f>
        <v>6.7832176391444197</v>
      </c>
      <c r="G401">
        <f t="shared" ca="1" si="120"/>
        <v>105.15234166534574</v>
      </c>
      <c r="H401">
        <f t="shared" ca="1" si="121"/>
        <v>91.585906387056895</v>
      </c>
      <c r="I401">
        <f t="shared" ca="1" si="110"/>
        <v>102.236</v>
      </c>
      <c r="J401">
        <f t="shared" ca="1" si="111"/>
        <v>1.5444208589221031</v>
      </c>
      <c r="K401">
        <f t="shared" ca="1" si="112"/>
        <v>105.32484171784421</v>
      </c>
      <c r="L401">
        <f t="shared" ca="1" si="113"/>
        <v>99.1471582821558</v>
      </c>
      <c r="M401">
        <f t="shared" ca="1" si="122"/>
        <v>-3.0000000000001137E-2</v>
      </c>
      <c r="N401">
        <f t="shared" ca="1" si="123"/>
        <v>0</v>
      </c>
      <c r="O401">
        <f t="shared" ca="1" si="124"/>
        <v>3.0000000000001137E-2</v>
      </c>
      <c r="P401">
        <f t="shared" ref="P401:P464" ca="1" si="128">(P400*13+N401)/14</f>
        <v>0.45805048603369719</v>
      </c>
      <c r="Q401">
        <f t="shared" ref="Q401:Q464" ca="1" si="129">(Q400*13+O401)/14</f>
        <v>0.32522610116059064</v>
      </c>
      <c r="R401">
        <f t="shared" ca="1" si="126"/>
        <v>1.4084062884224668</v>
      </c>
      <c r="S401">
        <f t="shared" ca="1" si="127"/>
        <v>58.478766443721113</v>
      </c>
      <c r="T401">
        <f>70</f>
        <v>70</v>
      </c>
      <c r="U401">
        <f>30</f>
        <v>30</v>
      </c>
      <c r="V401">
        <f t="shared" ca="1" si="125"/>
        <v>103.23115281097404</v>
      </c>
      <c r="W401">
        <f t="shared" ca="1" si="115"/>
        <v>102.44151331062221</v>
      </c>
      <c r="X401">
        <f t="shared" ca="1" si="114"/>
        <v>0.87225230457853797</v>
      </c>
      <c r="Y401">
        <f t="shared" ca="1" si="116"/>
        <v>0.52722597491216838</v>
      </c>
      <c r="Z401">
        <f t="shared" ca="1" si="117"/>
        <v>0.34502632966636959</v>
      </c>
      <c r="AA401">
        <f t="shared" ca="1" si="118"/>
        <v>105.0106</v>
      </c>
    </row>
    <row r="402" spans="1:27" x14ac:dyDescent="0.25">
      <c r="A402" vm="1175">
        <f ca="1"/>
        <v>45876</v>
      </c>
      <c r="B402" vm="1176">
        <f ca="1"/>
        <v>105</v>
      </c>
      <c r="C402" vm="1177">
        <f ca="1"/>
        <v>2577713</v>
      </c>
      <c r="D402">
        <f t="shared" ca="1" si="119"/>
        <v>270659865</v>
      </c>
      <c r="E402">
        <f ca="1">SUM($D$2:D402)/SUM($C$2:C402)</f>
        <v>98.388323115000958</v>
      </c>
      <c r="F402">
        <f ca="1">_xlfn.STDEV.P($B$2:B402)</f>
        <v>6.7848237376909895</v>
      </c>
      <c r="G402">
        <f t="shared" ca="1" si="120"/>
        <v>105.17314685269194</v>
      </c>
      <c r="H402">
        <f t="shared" ca="1" si="121"/>
        <v>91.603499377309973</v>
      </c>
      <c r="I402">
        <f t="shared" ca="1" si="110"/>
        <v>102.4325</v>
      </c>
      <c r="J402">
        <f t="shared" ca="1" si="111"/>
        <v>1.6355809365482352</v>
      </c>
      <c r="K402">
        <f t="shared" ca="1" si="112"/>
        <v>105.70366187309648</v>
      </c>
      <c r="L402">
        <f t="shared" ca="1" si="113"/>
        <v>99.16133812690353</v>
      </c>
      <c r="M402">
        <f t="shared" ca="1" si="122"/>
        <v>0.84999999999999432</v>
      </c>
      <c r="N402">
        <f t="shared" ca="1" si="123"/>
        <v>0.84999999999999432</v>
      </c>
      <c r="O402">
        <f t="shared" ca="1" si="124"/>
        <v>0</v>
      </c>
      <c r="P402">
        <f t="shared" ca="1" si="128"/>
        <v>0.4860468798884327</v>
      </c>
      <c r="Q402">
        <f t="shared" ca="1" si="129"/>
        <v>0.30199566536340561</v>
      </c>
      <c r="R402">
        <f t="shared" ca="1" si="126"/>
        <v>1.6094498551942777</v>
      </c>
      <c r="S402">
        <f t="shared" ca="1" si="127"/>
        <v>61.677746057873627</v>
      </c>
      <c r="T402">
        <f>70</f>
        <v>70</v>
      </c>
      <c r="U402">
        <f>30</f>
        <v>30</v>
      </c>
      <c r="V402">
        <f t="shared" ca="1" si="125"/>
        <v>103.50328314774725</v>
      </c>
      <c r="W402">
        <f t="shared" ca="1" si="115"/>
        <v>102.63103084316872</v>
      </c>
      <c r="X402">
        <f t="shared" ca="1" si="114"/>
        <v>0.88555575741055748</v>
      </c>
      <c r="Y402">
        <f t="shared" ca="1" si="116"/>
        <v>0.59889193141184627</v>
      </c>
      <c r="Z402">
        <f t="shared" ca="1" si="117"/>
        <v>0.28666382599871121</v>
      </c>
      <c r="AA402">
        <f t="shared" ca="1" si="118"/>
        <v>104.9965</v>
      </c>
    </row>
    <row r="403" spans="1:27" x14ac:dyDescent="0.25">
      <c r="A403" vm="1178">
        <f ca="1"/>
        <v>45877</v>
      </c>
      <c r="B403" vm="1179">
        <f ca="1"/>
        <v>104.48</v>
      </c>
      <c r="C403" vm="1180">
        <f ca="1"/>
        <v>2796477</v>
      </c>
      <c r="D403">
        <f t="shared" ca="1" si="119"/>
        <v>292175916.96000004</v>
      </c>
      <c r="E403">
        <f ca="1">SUM($D$2:D403)/SUM($C$2:C403)</f>
        <v>98.407397969021119</v>
      </c>
      <c r="F403">
        <f ca="1">_xlfn.STDEV.P($B$2:B403)</f>
        <v>6.7850157369770283</v>
      </c>
      <c r="G403">
        <f t="shared" ca="1" si="120"/>
        <v>105.19241370599815</v>
      </c>
      <c r="H403">
        <f t="shared" ca="1" si="121"/>
        <v>91.622382232044089</v>
      </c>
      <c r="I403">
        <f t="shared" ca="1" si="110"/>
        <v>102.627</v>
      </c>
      <c r="J403">
        <f t="shared" ca="1" si="111"/>
        <v>1.6362379829481131</v>
      </c>
      <c r="K403">
        <f t="shared" ca="1" si="112"/>
        <v>105.89947596589622</v>
      </c>
      <c r="L403">
        <f t="shared" ca="1" si="113"/>
        <v>99.354524034103775</v>
      </c>
      <c r="M403">
        <f t="shared" ca="1" si="122"/>
        <v>-0.51999999999999602</v>
      </c>
      <c r="N403">
        <f t="shared" ca="1" si="123"/>
        <v>0</v>
      </c>
      <c r="O403">
        <f t="shared" ca="1" si="124"/>
        <v>0.51999999999999602</v>
      </c>
      <c r="P403">
        <f t="shared" ca="1" si="128"/>
        <v>0.45132924561068755</v>
      </c>
      <c r="Q403">
        <f t="shared" ca="1" si="129"/>
        <v>0.31756740355173346</v>
      </c>
      <c r="R403">
        <f t="shared" ca="1" si="126"/>
        <v>1.4212077201971505</v>
      </c>
      <c r="S403">
        <f t="shared" ca="1" si="127"/>
        <v>58.698297892484277</v>
      </c>
      <c r="T403">
        <f>70</f>
        <v>70</v>
      </c>
      <c r="U403">
        <f>30</f>
        <v>30</v>
      </c>
      <c r="V403">
        <f t="shared" ca="1" si="125"/>
        <v>103.65354727886307</v>
      </c>
      <c r="W403">
        <f t="shared" ca="1" si="115"/>
        <v>102.76799152145252</v>
      </c>
      <c r="X403">
        <f t="shared" ca="1" si="114"/>
        <v>0.85716893831984464</v>
      </c>
      <c r="Y403">
        <f t="shared" ca="1" si="116"/>
        <v>0.6505473327934459</v>
      </c>
      <c r="Z403">
        <f t="shared" ca="1" si="117"/>
        <v>0.20662160552639874</v>
      </c>
      <c r="AA403">
        <f t="shared" ca="1" si="118"/>
        <v>104.96510000000001</v>
      </c>
    </row>
    <row r="404" spans="1:27" x14ac:dyDescent="0.25">
      <c r="A404" vm="1181">
        <f ca="1"/>
        <v>45880</v>
      </c>
      <c r="B404" vm="1182">
        <f ca="1"/>
        <v>104.12</v>
      </c>
      <c r="C404" vm="1183">
        <f ca="1"/>
        <v>2357182</v>
      </c>
      <c r="D404">
        <f t="shared" ca="1" si="119"/>
        <v>245429789.84</v>
      </c>
      <c r="E404">
        <f ca="1">SUM($D$2:D404)/SUM($C$2:C404)</f>
        <v>98.42243615419946</v>
      </c>
      <c r="F404">
        <f ca="1">_xlfn.STDEV.P($B$2:B404)</f>
        <v>6.7842876391525273</v>
      </c>
      <c r="G404">
        <f t="shared" ca="1" si="120"/>
        <v>105.20672379335198</v>
      </c>
      <c r="H404">
        <f t="shared" ca="1" si="121"/>
        <v>91.638148515046936</v>
      </c>
      <c r="I404">
        <f t="shared" ca="1" si="110"/>
        <v>102.7825</v>
      </c>
      <c r="J404">
        <f t="shared" ca="1" si="111"/>
        <v>1.6221975835267435</v>
      </c>
      <c r="K404">
        <f t="shared" ca="1" si="112"/>
        <v>106.02689516705348</v>
      </c>
      <c r="L404">
        <f t="shared" ca="1" si="113"/>
        <v>99.538104832946516</v>
      </c>
      <c r="M404">
        <f t="shared" ca="1" si="122"/>
        <v>-0.35999999999999943</v>
      </c>
      <c r="N404">
        <f t="shared" ca="1" si="123"/>
        <v>0</v>
      </c>
      <c r="O404">
        <f t="shared" ca="1" si="124"/>
        <v>0.35999999999999943</v>
      </c>
      <c r="P404">
        <f t="shared" ca="1" si="128"/>
        <v>0.41909144235278128</v>
      </c>
      <c r="Q404">
        <f t="shared" ca="1" si="129"/>
        <v>0.32059830329803818</v>
      </c>
      <c r="R404">
        <f t="shared" ca="1" si="126"/>
        <v>1.307216657235958</v>
      </c>
      <c r="S404">
        <f t="shared" ca="1" si="127"/>
        <v>56.657733166767336</v>
      </c>
      <c r="T404">
        <f>70</f>
        <v>70</v>
      </c>
      <c r="U404">
        <f>30</f>
        <v>30</v>
      </c>
      <c r="V404">
        <f t="shared" ca="1" si="125"/>
        <v>103.72530923596106</v>
      </c>
      <c r="W404">
        <f t="shared" ca="1" si="115"/>
        <v>102.86814029764122</v>
      </c>
      <c r="X404">
        <f t="shared" ca="1" si="114"/>
        <v>0.79085825170096768</v>
      </c>
      <c r="Y404">
        <f t="shared" ca="1" si="116"/>
        <v>0.67860951657495028</v>
      </c>
      <c r="Z404">
        <f t="shared" ca="1" si="117"/>
        <v>0.11224873512601741</v>
      </c>
      <c r="AA404">
        <f t="shared" ca="1" si="118"/>
        <v>104.92820000000002</v>
      </c>
    </row>
    <row r="405" spans="1:27" x14ac:dyDescent="0.25">
      <c r="A405" vm="1184">
        <f ca="1"/>
        <v>45881</v>
      </c>
      <c r="B405" vm="1185">
        <f ca="1"/>
        <v>103.69</v>
      </c>
      <c r="C405" vm="1186">
        <f ca="1"/>
        <v>2578774</v>
      </c>
      <c r="D405">
        <f t="shared" ca="1" si="119"/>
        <v>267393076.06</v>
      </c>
      <c r="E405">
        <f ca="1">SUM($D$2:D405)/SUM($C$2:C405)</f>
        <v>98.437562794999366</v>
      </c>
      <c r="F405">
        <f ca="1">_xlfn.STDEV.P($B$2:B405)</f>
        <v>6.7825449302373304</v>
      </c>
      <c r="G405">
        <f t="shared" ca="1" si="120"/>
        <v>105.2201077252367</v>
      </c>
      <c r="H405">
        <f t="shared" ca="1" si="121"/>
        <v>91.65501786476203</v>
      </c>
      <c r="I405">
        <f t="shared" ca="1" si="110"/>
        <v>102.9695</v>
      </c>
      <c r="J405">
        <f t="shared" ca="1" si="111"/>
        <v>1.4885544913385658</v>
      </c>
      <c r="K405">
        <f t="shared" ca="1" si="112"/>
        <v>105.94660898267713</v>
      </c>
      <c r="L405">
        <f t="shared" ca="1" si="113"/>
        <v>99.992391017322859</v>
      </c>
      <c r="M405">
        <f t="shared" ca="1" si="122"/>
        <v>-0.43000000000000682</v>
      </c>
      <c r="N405">
        <f t="shared" ca="1" si="123"/>
        <v>0</v>
      </c>
      <c r="O405">
        <f t="shared" ca="1" si="124"/>
        <v>0.43000000000000682</v>
      </c>
      <c r="P405">
        <f t="shared" ca="1" si="128"/>
        <v>0.38915633932758265</v>
      </c>
      <c r="Q405">
        <f t="shared" ca="1" si="129"/>
        <v>0.32841271020532165</v>
      </c>
      <c r="R405">
        <f t="shared" ca="1" si="126"/>
        <v>1.1849612613479072</v>
      </c>
      <c r="S405">
        <f t="shared" ca="1" si="127"/>
        <v>54.232598184230604</v>
      </c>
      <c r="T405">
        <f>70</f>
        <v>70</v>
      </c>
      <c r="U405">
        <f>30</f>
        <v>30</v>
      </c>
      <c r="V405">
        <f t="shared" ca="1" si="125"/>
        <v>103.71987704581321</v>
      </c>
      <c r="W405">
        <f t="shared" ca="1" si="115"/>
        <v>102.92901879411224</v>
      </c>
      <c r="X405">
        <f t="shared" ca="1" si="114"/>
        <v>0.72749964250725441</v>
      </c>
      <c r="Y405">
        <f t="shared" ca="1" si="116"/>
        <v>0.68838754176141115</v>
      </c>
      <c r="Z405">
        <f t="shared" ca="1" si="117"/>
        <v>3.9112100745843259E-2</v>
      </c>
      <c r="AA405">
        <f t="shared" ca="1" si="118"/>
        <v>104.89020000000001</v>
      </c>
    </row>
    <row r="406" spans="1:27" x14ac:dyDescent="0.25">
      <c r="A406" vm="1187">
        <f ca="1"/>
        <v>45882</v>
      </c>
      <c r="B406" vm="1188">
        <f ca="1"/>
        <v>103.66</v>
      </c>
      <c r="C406" vm="1189">
        <f ca="1"/>
        <v>2728415</v>
      </c>
      <c r="D406">
        <f t="shared" ca="1" si="119"/>
        <v>282827498.89999998</v>
      </c>
      <c r="E406">
        <f ca="1">SUM($D$2:D406)/SUM($C$2:C406)</f>
        <v>98.453382032427342</v>
      </c>
      <c r="F406">
        <f ca="1">_xlfn.STDEV.P($B$2:B406)</f>
        <v>6.7807120201403794</v>
      </c>
      <c r="G406">
        <f t="shared" ca="1" si="120"/>
        <v>105.23409405256773</v>
      </c>
      <c r="H406">
        <f t="shared" ca="1" si="121"/>
        <v>91.672670012286957</v>
      </c>
      <c r="I406">
        <f t="shared" ref="I406:I469" ca="1" si="130">AVERAGE(B387:B406)</f>
        <v>103.12950000000001</v>
      </c>
      <c r="J406">
        <f t="shared" ref="J406:J469" ca="1" si="131">_xlfn.STDEV.S(B387:B406)</f>
        <v>1.3720383414928021</v>
      </c>
      <c r="K406">
        <f t="shared" ref="K406:K469" ca="1" si="132">I406 + 2*J406</f>
        <v>105.87357668298561</v>
      </c>
      <c r="L406">
        <f t="shared" ref="L406:L469" ca="1" si="133">I406-2*J406</f>
        <v>100.3854233170144</v>
      </c>
      <c r="M406">
        <f t="shared" ca="1" si="122"/>
        <v>-3.0000000000001137E-2</v>
      </c>
      <c r="N406">
        <f t="shared" ca="1" si="123"/>
        <v>0</v>
      </c>
      <c r="O406">
        <f t="shared" ca="1" si="124"/>
        <v>3.0000000000001137E-2</v>
      </c>
      <c r="P406">
        <f t="shared" ca="1" si="128"/>
        <v>0.361359457947041</v>
      </c>
      <c r="Q406">
        <f t="shared" ca="1" si="129"/>
        <v>0.3070975166192273</v>
      </c>
      <c r="R406">
        <f t="shared" ca="1" si="126"/>
        <v>1.1766928691744958</v>
      </c>
      <c r="S406">
        <f t="shared" ca="1" si="127"/>
        <v>54.058745992067919</v>
      </c>
      <c r="T406">
        <f>70</f>
        <v>70</v>
      </c>
      <c r="U406">
        <f>30</f>
        <v>30</v>
      </c>
      <c r="V406">
        <f t="shared" ca="1" si="125"/>
        <v>103.71066519261117</v>
      </c>
      <c r="W406">
        <f t="shared" ca="1" si="115"/>
        <v>102.98316555010392</v>
      </c>
      <c r="X406">
        <f t="shared" ca="1" si="114"/>
        <v>0.60575144849499907</v>
      </c>
      <c r="Y406">
        <f t="shared" ca="1" si="116"/>
        <v>0.67186032310812882</v>
      </c>
      <c r="Z406">
        <f t="shared" ca="1" si="117"/>
        <v>-6.6108874613129753E-2</v>
      </c>
      <c r="AA406">
        <f t="shared" ca="1" si="118"/>
        <v>104.84200000000001</v>
      </c>
    </row>
    <row r="407" spans="1:27" x14ac:dyDescent="0.25">
      <c r="A407" vm="1190">
        <f ca="1"/>
        <v>45883</v>
      </c>
      <c r="B407" vm="1191">
        <f ca="1"/>
        <v>102.86</v>
      </c>
      <c r="C407" vm="1192">
        <f ca="1"/>
        <v>2171761</v>
      </c>
      <c r="D407">
        <f t="shared" ca="1" si="119"/>
        <v>223387336.46000001</v>
      </c>
      <c r="E407">
        <f ca="1">SUM($D$2:D407)/SUM($C$2:C407)</f>
        <v>98.46398124143164</v>
      </c>
      <c r="F407">
        <f ca="1">_xlfn.STDEV.P($B$2:B407)</f>
        <v>6.7772352543897778</v>
      </c>
      <c r="G407">
        <f t="shared" ca="1" si="120"/>
        <v>105.24121649582142</v>
      </c>
      <c r="H407">
        <f t="shared" ca="1" si="121"/>
        <v>91.68674598704186</v>
      </c>
      <c r="I407">
        <f t="shared" ca="1" si="130"/>
        <v>103.24250000000002</v>
      </c>
      <c r="J407">
        <f t="shared" ca="1" si="131"/>
        <v>1.2394008527043268</v>
      </c>
      <c r="K407">
        <f t="shared" ca="1" si="132"/>
        <v>105.72130170540868</v>
      </c>
      <c r="L407">
        <f t="shared" ca="1" si="133"/>
        <v>100.76369829459136</v>
      </c>
      <c r="M407">
        <f t="shared" ca="1" si="122"/>
        <v>-0.79999999999999716</v>
      </c>
      <c r="N407">
        <f t="shared" ca="1" si="123"/>
        <v>0</v>
      </c>
      <c r="O407">
        <f t="shared" ca="1" si="124"/>
        <v>0.79999999999999716</v>
      </c>
      <c r="P407">
        <f t="shared" ca="1" si="128"/>
        <v>0.33554806809368093</v>
      </c>
      <c r="Q407">
        <f t="shared" ca="1" si="129"/>
        <v>0.34230483686071089</v>
      </c>
      <c r="R407">
        <f t="shared" ca="1" si="126"/>
        <v>0.98026096029201193</v>
      </c>
      <c r="S407">
        <f t="shared" ca="1" si="127"/>
        <v>49.501605088829372</v>
      </c>
      <c r="T407">
        <f>70</f>
        <v>70</v>
      </c>
      <c r="U407">
        <f>30</f>
        <v>30</v>
      </c>
      <c r="V407">
        <f t="shared" ca="1" si="125"/>
        <v>103.57979362451715</v>
      </c>
      <c r="W407">
        <f t="shared" ca="1" si="115"/>
        <v>102.97404217602215</v>
      </c>
      <c r="X407">
        <f t="shared" ca="1" si="114"/>
        <v>0.3367378896706299</v>
      </c>
      <c r="Y407">
        <f t="shared" ca="1" si="116"/>
        <v>0.60483583642062899</v>
      </c>
      <c r="Z407">
        <f t="shared" ca="1" si="117"/>
        <v>-0.26809794674999909</v>
      </c>
      <c r="AA407">
        <f t="shared" ca="1" si="118"/>
        <v>104.79260000000001</v>
      </c>
    </row>
    <row r="408" spans="1:27" x14ac:dyDescent="0.25">
      <c r="A408" vm="1193">
        <f ca="1"/>
        <v>45884</v>
      </c>
      <c r="B408" vm="1194">
        <f ca="1"/>
        <v>100.77</v>
      </c>
      <c r="C408" vm="1195">
        <f ca="1"/>
        <v>3098753</v>
      </c>
      <c r="D408">
        <f t="shared" ca="1" si="119"/>
        <v>312261339.81</v>
      </c>
      <c r="E408">
        <f ca="1">SUM($D$2:D408)/SUM($C$2:C408)</f>
        <v>98.471868351272391</v>
      </c>
      <c r="F408">
        <f ca="1">_xlfn.STDEV.P($B$2:B408)</f>
        <v>6.7706264129277667</v>
      </c>
      <c r="G408">
        <f t="shared" ca="1" si="120"/>
        <v>105.24249476420016</v>
      </c>
      <c r="H408">
        <f t="shared" ca="1" si="121"/>
        <v>91.701241938344623</v>
      </c>
      <c r="I408">
        <f t="shared" ca="1" si="130"/>
        <v>103.227</v>
      </c>
      <c r="J408">
        <f t="shared" ca="1" si="131"/>
        <v>1.2694428947998793</v>
      </c>
      <c r="K408">
        <f t="shared" ca="1" si="132"/>
        <v>105.76588578959976</v>
      </c>
      <c r="L408">
        <f t="shared" ca="1" si="133"/>
        <v>100.68811421040024</v>
      </c>
      <c r="M408">
        <f t="shared" ca="1" si="122"/>
        <v>-2.0900000000000034</v>
      </c>
      <c r="N408">
        <f t="shared" ca="1" si="123"/>
        <v>0</v>
      </c>
      <c r="O408">
        <f t="shared" ca="1" si="124"/>
        <v>2.0900000000000034</v>
      </c>
      <c r="P408">
        <f t="shared" ca="1" si="128"/>
        <v>0.31158034894413233</v>
      </c>
      <c r="Q408">
        <f t="shared" ca="1" si="129"/>
        <v>0.46714020565637465</v>
      </c>
      <c r="R408">
        <f t="shared" ca="1" si="126"/>
        <v>0.66699535850555502</v>
      </c>
      <c r="S408">
        <f t="shared" ca="1" si="127"/>
        <v>40.011830573032299</v>
      </c>
      <c r="T408">
        <f>70</f>
        <v>70</v>
      </c>
      <c r="U408">
        <f>30</f>
        <v>30</v>
      </c>
      <c r="V408">
        <f t="shared" ca="1" si="125"/>
        <v>103.14751768228373</v>
      </c>
      <c r="W408">
        <f t="shared" ca="1" si="115"/>
        <v>102.8107797926131</v>
      </c>
      <c r="X408">
        <f t="shared" ca="1" si="114"/>
        <v>3.9969569911704639E-2</v>
      </c>
      <c r="Y408">
        <f t="shared" ca="1" si="116"/>
        <v>0.49186258311884418</v>
      </c>
      <c r="Z408">
        <f t="shared" ca="1" si="117"/>
        <v>-0.45189301320713954</v>
      </c>
      <c r="AA408">
        <f t="shared" ca="1" si="118"/>
        <v>104.73200000000001</v>
      </c>
    </row>
    <row r="409" spans="1:27" x14ac:dyDescent="0.25">
      <c r="A409" vm="1196">
        <f ca="1"/>
        <v>45887</v>
      </c>
      <c r="B409" vm="1197">
        <f ca="1"/>
        <v>99.74</v>
      </c>
      <c r="C409" vm="1198">
        <f ca="1"/>
        <v>2789322</v>
      </c>
      <c r="D409">
        <f t="shared" ca="1" si="119"/>
        <v>278206976.27999997</v>
      </c>
      <c r="E409">
        <f ca="1">SUM($D$2:D409)/SUM($C$2:C409)</f>
        <v>98.475760559623822</v>
      </c>
      <c r="F409">
        <f ca="1">_xlfn.STDEV.P($B$2:B409)</f>
        <v>6.7630812840332357</v>
      </c>
      <c r="G409">
        <f t="shared" ca="1" si="120"/>
        <v>105.23884184365706</v>
      </c>
      <c r="H409">
        <f t="shared" ca="1" si="121"/>
        <v>91.712679275590588</v>
      </c>
      <c r="I409">
        <f t="shared" ca="1" si="130"/>
        <v>103.1105</v>
      </c>
      <c r="J409">
        <f t="shared" ca="1" si="131"/>
        <v>1.4719713777251611</v>
      </c>
      <c r="K409">
        <f t="shared" ca="1" si="132"/>
        <v>106.05444275545032</v>
      </c>
      <c r="L409">
        <f t="shared" ca="1" si="133"/>
        <v>100.16655724454968</v>
      </c>
      <c r="M409">
        <f t="shared" ca="1" si="122"/>
        <v>-1.0300000000000011</v>
      </c>
      <c r="N409">
        <f t="shared" ca="1" si="123"/>
        <v>0</v>
      </c>
      <c r="O409">
        <f t="shared" ca="1" si="124"/>
        <v>1.0300000000000011</v>
      </c>
      <c r="P409">
        <f t="shared" ca="1" si="128"/>
        <v>0.28932460973383717</v>
      </c>
      <c r="Q409">
        <f t="shared" ca="1" si="129"/>
        <v>0.50734447668091942</v>
      </c>
      <c r="R409">
        <f t="shared" ca="1" si="126"/>
        <v>0.57027251311893168</v>
      </c>
      <c r="S409">
        <f t="shared" ca="1" si="127"/>
        <v>36.316786312856991</v>
      </c>
      <c r="T409">
        <f>70</f>
        <v>70</v>
      </c>
      <c r="U409">
        <f>30</f>
        <v>30</v>
      </c>
      <c r="V409">
        <f t="shared" ca="1" si="125"/>
        <v>102.62328419270162</v>
      </c>
      <c r="W409">
        <f t="shared" ca="1" si="115"/>
        <v>102.58331462278991</v>
      </c>
      <c r="X409">
        <f t="shared" ca="1" si="114"/>
        <v>-8.4506687106397749E-2</v>
      </c>
      <c r="Y409">
        <f t="shared" ca="1" si="116"/>
        <v>0.37658872907379581</v>
      </c>
      <c r="Z409">
        <f t="shared" ca="1" si="117"/>
        <v>-0.46109541618019356</v>
      </c>
      <c r="AA409">
        <f t="shared" ca="1" si="118"/>
        <v>104.67390000000002</v>
      </c>
    </row>
    <row r="410" spans="1:27" x14ac:dyDescent="0.25">
      <c r="A410" vm="1199">
        <f ca="1"/>
        <v>45888</v>
      </c>
      <c r="B410" vm="1200">
        <f ca="1"/>
        <v>101.1</v>
      </c>
      <c r="C410" vm="1201">
        <f ca="1"/>
        <v>3948355</v>
      </c>
      <c r="D410">
        <f t="shared" ca="1" si="119"/>
        <v>399178690.5</v>
      </c>
      <c r="E410">
        <f ca="1">SUM($D$2:D410)/SUM($C$2:C410)</f>
        <v>98.487112497135996</v>
      </c>
      <c r="F410">
        <f ca="1">_xlfn.STDEV.P($B$2:B410)</f>
        <v>6.7568972710367792</v>
      </c>
      <c r="G410">
        <f t="shared" ca="1" si="120"/>
        <v>105.24400976817277</v>
      </c>
      <c r="H410">
        <f t="shared" ca="1" si="121"/>
        <v>91.730215226099219</v>
      </c>
      <c r="I410">
        <f t="shared" ca="1" si="130"/>
        <v>102.98600000000002</v>
      </c>
      <c r="J410">
        <f t="shared" ca="1" si="131"/>
        <v>1.5333053391800016</v>
      </c>
      <c r="K410">
        <f t="shared" ca="1" si="132"/>
        <v>106.05261067836003</v>
      </c>
      <c r="L410">
        <f t="shared" ca="1" si="133"/>
        <v>99.919389321640011</v>
      </c>
      <c r="M410">
        <f t="shared" ca="1" si="122"/>
        <v>1.3599999999999994</v>
      </c>
      <c r="N410">
        <f t="shared" ca="1" si="123"/>
        <v>1.3599999999999994</v>
      </c>
      <c r="O410">
        <f t="shared" ca="1" si="124"/>
        <v>0</v>
      </c>
      <c r="P410">
        <f t="shared" ca="1" si="128"/>
        <v>0.36580142332427734</v>
      </c>
      <c r="Q410">
        <f t="shared" ca="1" si="129"/>
        <v>0.47110558548942516</v>
      </c>
      <c r="R410">
        <f t="shared" ca="1" si="126"/>
        <v>0.77647439255947526</v>
      </c>
      <c r="S410">
        <f t="shared" ca="1" si="127"/>
        <v>43.70872981967171</v>
      </c>
      <c r="T410">
        <f>70</f>
        <v>70</v>
      </c>
      <c r="U410">
        <f>30</f>
        <v>30</v>
      </c>
      <c r="V410">
        <f t="shared" ca="1" si="125"/>
        <v>102.38893277843982</v>
      </c>
      <c r="W410">
        <f t="shared" ca="1" si="115"/>
        <v>102.47343946554622</v>
      </c>
      <c r="X410">
        <f t="shared" ca="1" si="114"/>
        <v>-0.12841820827888739</v>
      </c>
      <c r="Y410">
        <f t="shared" ca="1" si="116"/>
        <v>0.27558734160325921</v>
      </c>
      <c r="Z410">
        <f t="shared" ca="1" si="117"/>
        <v>-0.4040055498821466</v>
      </c>
      <c r="AA410">
        <f t="shared" ca="1" si="118"/>
        <v>104.61030000000002</v>
      </c>
    </row>
    <row r="411" spans="1:27" x14ac:dyDescent="0.25">
      <c r="A411" vm="1202">
        <f ca="1"/>
        <v>45889</v>
      </c>
      <c r="B411" vm="1203">
        <f ca="1"/>
        <v>101.76</v>
      </c>
      <c r="C411" vm="1204">
        <f ca="1"/>
        <v>3216440</v>
      </c>
      <c r="D411">
        <f t="shared" ca="1" si="119"/>
        <v>327304934.40000004</v>
      </c>
      <c r="E411">
        <f ca="1">SUM($D$2:D411)/SUM($C$2:C411)</f>
        <v>98.498605384336756</v>
      </c>
      <c r="F411">
        <f ca="1">_xlfn.STDEV.P($B$2:B411)</f>
        <v>6.7516132852525761</v>
      </c>
      <c r="G411">
        <f t="shared" ca="1" si="120"/>
        <v>105.25021866958933</v>
      </c>
      <c r="H411">
        <f t="shared" ca="1" si="121"/>
        <v>91.746992099084181</v>
      </c>
      <c r="I411">
        <f t="shared" ca="1" si="130"/>
        <v>102.94649999999999</v>
      </c>
      <c r="J411">
        <f t="shared" ca="1" si="131"/>
        <v>1.5551485798029598</v>
      </c>
      <c r="K411">
        <f t="shared" ca="1" si="132"/>
        <v>106.05679715960591</v>
      </c>
      <c r="L411">
        <f t="shared" ca="1" si="133"/>
        <v>99.836202840394066</v>
      </c>
      <c r="M411">
        <f t="shared" ca="1" si="122"/>
        <v>0.6600000000000108</v>
      </c>
      <c r="N411">
        <f t="shared" ca="1" si="123"/>
        <v>0.6600000000000108</v>
      </c>
      <c r="O411">
        <f t="shared" ca="1" si="124"/>
        <v>0</v>
      </c>
      <c r="P411">
        <f t="shared" ca="1" si="128"/>
        <v>0.38681560737254406</v>
      </c>
      <c r="Q411">
        <f t="shared" ca="1" si="129"/>
        <v>0.43745518652589477</v>
      </c>
      <c r="R411">
        <f t="shared" ca="1" si="126"/>
        <v>0.88424053317206897</v>
      </c>
      <c r="S411">
        <f t="shared" ca="1" si="127"/>
        <v>46.928219492416574</v>
      </c>
      <c r="T411">
        <f>70</f>
        <v>70</v>
      </c>
      <c r="U411">
        <f>30</f>
        <v>30</v>
      </c>
      <c r="V411">
        <f t="shared" ca="1" si="125"/>
        <v>102.29217388944909</v>
      </c>
      <c r="W411">
        <f t="shared" ca="1" si="115"/>
        <v>102.42059209772798</v>
      </c>
      <c r="X411">
        <f t="shared" ca="1" si="114"/>
        <v>-0.18209910710888266</v>
      </c>
      <c r="Y411">
        <f t="shared" ca="1" si="116"/>
        <v>0.18405005186083084</v>
      </c>
      <c r="Z411">
        <f t="shared" ca="1" si="117"/>
        <v>-0.36614915896971351</v>
      </c>
      <c r="AA411">
        <f t="shared" ca="1" si="118"/>
        <v>104.54900000000002</v>
      </c>
    </row>
    <row r="412" spans="1:27" x14ac:dyDescent="0.25">
      <c r="A412" vm="1205">
        <f ca="1"/>
        <v>45890</v>
      </c>
      <c r="B412" vm="1206">
        <f ca="1"/>
        <v>101.5</v>
      </c>
      <c r="C412" vm="1207">
        <f ca="1"/>
        <v>2282712</v>
      </c>
      <c r="D412">
        <f t="shared" ca="1" si="119"/>
        <v>231695268</v>
      </c>
      <c r="E412">
        <f ca="1">SUM($D$2:D412)/SUM($C$2:C412)</f>
        <v>98.506066707552947</v>
      </c>
      <c r="F412">
        <f ca="1">_xlfn.STDEV.P($B$2:B412)</f>
        <v>6.7459704299451282</v>
      </c>
      <c r="G412">
        <f t="shared" ca="1" si="120"/>
        <v>105.25203713749808</v>
      </c>
      <c r="H412">
        <f t="shared" ca="1" si="121"/>
        <v>91.760096277607815</v>
      </c>
      <c r="I412">
        <f t="shared" ca="1" si="130"/>
        <v>102.91899999999998</v>
      </c>
      <c r="J412">
        <f t="shared" ca="1" si="131"/>
        <v>1.5765515332021689</v>
      </c>
      <c r="K412">
        <f t="shared" ca="1" si="132"/>
        <v>106.07210306640432</v>
      </c>
      <c r="L412">
        <f t="shared" ca="1" si="133"/>
        <v>99.765896933595641</v>
      </c>
      <c r="M412">
        <f t="shared" ca="1" si="122"/>
        <v>-0.26000000000000512</v>
      </c>
      <c r="N412">
        <f t="shared" ca="1" si="123"/>
        <v>0</v>
      </c>
      <c r="O412">
        <f t="shared" ca="1" si="124"/>
        <v>0.26000000000000512</v>
      </c>
      <c r="P412">
        <f t="shared" ca="1" si="128"/>
        <v>0.35918592113164804</v>
      </c>
      <c r="Q412">
        <f t="shared" ca="1" si="129"/>
        <v>0.42477981605975978</v>
      </c>
      <c r="R412">
        <f t="shared" ca="1" si="126"/>
        <v>0.84558142254366497</v>
      </c>
      <c r="S412">
        <f t="shared" ca="1" si="127"/>
        <v>45.816533056463363</v>
      </c>
      <c r="T412">
        <f>70</f>
        <v>70</v>
      </c>
      <c r="U412">
        <f>30</f>
        <v>30</v>
      </c>
      <c r="V412">
        <f t="shared" ca="1" si="125"/>
        <v>102.17030098337999</v>
      </c>
      <c r="W412">
        <f t="shared" ca="1" si="115"/>
        <v>102.35240009048887</v>
      </c>
      <c r="X412">
        <f t="shared" ref="X412:X475" ca="1" si="134">V413-W413</f>
        <v>-0.21011577591174557</v>
      </c>
      <c r="Y412">
        <f t="shared" ca="1" si="116"/>
        <v>0.10521688630631557</v>
      </c>
      <c r="Z412">
        <f t="shared" ca="1" si="117"/>
        <v>-0.31533266221806111</v>
      </c>
      <c r="AA412">
        <f t="shared" ca="1" si="118"/>
        <v>104.47630000000001</v>
      </c>
    </row>
    <row r="413" spans="1:27" x14ac:dyDescent="0.25">
      <c r="A413" vm="1208">
        <f ca="1"/>
        <v>45891</v>
      </c>
      <c r="B413" vm="1209">
        <f ca="1"/>
        <v>101.65</v>
      </c>
      <c r="C413" vm="1210">
        <f ca="1"/>
        <v>2753050</v>
      </c>
      <c r="D413">
        <f t="shared" ca="1" si="119"/>
        <v>279847532.5</v>
      </c>
      <c r="E413">
        <f ca="1">SUM($D$2:D413)/SUM($C$2:C413)</f>
        <v>98.515464566343255</v>
      </c>
      <c r="F413">
        <f ca="1">_xlfn.STDEV.P($B$2:B413)</f>
        <v>6.7405452100267471</v>
      </c>
      <c r="G413">
        <f t="shared" ca="1" si="120"/>
        <v>105.25600977637001</v>
      </c>
      <c r="H413">
        <f t="shared" ca="1" si="121"/>
        <v>91.774919356316502</v>
      </c>
      <c r="I413">
        <f t="shared" ca="1" si="130"/>
        <v>102.88849999999999</v>
      </c>
      <c r="J413">
        <f t="shared" ca="1" si="131"/>
        <v>1.5957551421456282</v>
      </c>
      <c r="K413">
        <f t="shared" ca="1" si="132"/>
        <v>106.08001028429125</v>
      </c>
      <c r="L413">
        <f t="shared" ca="1" si="133"/>
        <v>99.696989715708739</v>
      </c>
      <c r="M413">
        <f t="shared" ca="1" si="122"/>
        <v>0.15000000000000568</v>
      </c>
      <c r="N413">
        <f t="shared" ca="1" si="123"/>
        <v>0.15000000000000568</v>
      </c>
      <c r="O413">
        <f t="shared" ca="1" si="124"/>
        <v>0</v>
      </c>
      <c r="P413">
        <f t="shared" ca="1" si="128"/>
        <v>0.34424406962224502</v>
      </c>
      <c r="Q413">
        <f t="shared" ca="1" si="129"/>
        <v>0.39443840062691976</v>
      </c>
      <c r="R413">
        <f t="shared" ca="1" si="126"/>
        <v>0.87274481661801706</v>
      </c>
      <c r="S413">
        <f t="shared" ca="1" si="127"/>
        <v>46.60244198107587</v>
      </c>
      <c r="T413">
        <f>70</f>
        <v>70</v>
      </c>
      <c r="U413">
        <f>30</f>
        <v>30</v>
      </c>
      <c r="V413">
        <f t="shared" ca="1" si="125"/>
        <v>102.09025467824461</v>
      </c>
      <c r="W413">
        <f t="shared" ref="W413:W476" ca="1" si="135">B413*(2/(26+1)) + W412*(1-(2/(26+1)))</f>
        <v>102.30037045415635</v>
      </c>
      <c r="X413">
        <f t="shared" ca="1" si="134"/>
        <v>-0.36528421128821265</v>
      </c>
      <c r="Y413">
        <f t="shared" ca="1" si="116"/>
        <v>1.1116666787409926E-2</v>
      </c>
      <c r="Z413">
        <f t="shared" ca="1" si="117"/>
        <v>-0.37640087807562256</v>
      </c>
      <c r="AA413">
        <f t="shared" ca="1" si="118"/>
        <v>104.38690000000003</v>
      </c>
    </row>
    <row r="414" spans="1:27" x14ac:dyDescent="0.25">
      <c r="A414" vm="1211">
        <f ca="1"/>
        <v>45894</v>
      </c>
      <c r="B414" vm="1127">
        <f ca="1"/>
        <v>99.95</v>
      </c>
      <c r="C414" vm="1212">
        <f ca="1"/>
        <v>2498894</v>
      </c>
      <c r="D414">
        <f t="shared" ca="1" si="119"/>
        <v>249764455.30000001</v>
      </c>
      <c r="E414">
        <f ca="1">SUM($D$2:D414)/SUM($C$2:C414)</f>
        <v>98.519346283215228</v>
      </c>
      <c r="F414">
        <f ca="1">_xlfn.STDEV.P($B$2:B414)</f>
        <v>6.7332597336790245</v>
      </c>
      <c r="G414">
        <f t="shared" ca="1" si="120"/>
        <v>105.25260601689425</v>
      </c>
      <c r="H414">
        <f t="shared" ca="1" si="121"/>
        <v>91.786086549536208</v>
      </c>
      <c r="I414">
        <f t="shared" ca="1" si="130"/>
        <v>102.83699999999999</v>
      </c>
      <c r="J414">
        <f t="shared" ca="1" si="131"/>
        <v>1.6752316414847179</v>
      </c>
      <c r="K414">
        <f t="shared" ca="1" si="132"/>
        <v>106.18746328296942</v>
      </c>
      <c r="L414">
        <f t="shared" ca="1" si="133"/>
        <v>99.48653671703056</v>
      </c>
      <c r="M414">
        <f t="shared" ca="1" si="122"/>
        <v>-1.7000000000000028</v>
      </c>
      <c r="N414">
        <f t="shared" ca="1" si="123"/>
        <v>0</v>
      </c>
      <c r="O414">
        <f t="shared" ca="1" si="124"/>
        <v>1.7000000000000028</v>
      </c>
      <c r="P414">
        <f t="shared" ca="1" si="128"/>
        <v>0.31965520750637039</v>
      </c>
      <c r="Q414">
        <f t="shared" ca="1" si="129"/>
        <v>0.48769280058213998</v>
      </c>
      <c r="R414">
        <f t="shared" ca="1" si="126"/>
        <v>0.65544376936631088</v>
      </c>
      <c r="S414">
        <f t="shared" ca="1" si="127"/>
        <v>39.593236659268044</v>
      </c>
      <c r="T414">
        <f>70</f>
        <v>70</v>
      </c>
      <c r="U414">
        <f>30</f>
        <v>30</v>
      </c>
      <c r="V414">
        <f t="shared" ca="1" si="125"/>
        <v>101.76098472774544</v>
      </c>
      <c r="W414">
        <f t="shared" ca="1" si="135"/>
        <v>102.12626893903365</v>
      </c>
      <c r="X414">
        <f t="shared" ca="1" si="134"/>
        <v>-0.50103971807847358</v>
      </c>
      <c r="Y414">
        <f t="shared" ca="1" si="116"/>
        <v>-9.1314610185766781E-2</v>
      </c>
      <c r="Z414">
        <f t="shared" ca="1" si="117"/>
        <v>-0.40972510789270677</v>
      </c>
      <c r="AA414">
        <f t="shared" ca="1" si="118"/>
        <v>104.28580000000002</v>
      </c>
    </row>
    <row r="415" spans="1:27" x14ac:dyDescent="0.25">
      <c r="A415" vm="1213">
        <f ca="1"/>
        <v>45895</v>
      </c>
      <c r="B415" vm="1214">
        <f ca="1"/>
        <v>99.72</v>
      </c>
      <c r="C415" vm="1215">
        <f ca="1"/>
        <v>3309463</v>
      </c>
      <c r="D415">
        <f t="shared" ca="1" si="119"/>
        <v>330019650.36000001</v>
      </c>
      <c r="E415">
        <f ca="1">SUM($D$2:D415)/SUM($C$2:C415)</f>
        <v>98.523633608893931</v>
      </c>
      <c r="F415">
        <f ca="1">_xlfn.STDEV.P($B$2:B415)</f>
        <v>6.7258247898898222</v>
      </c>
      <c r="G415">
        <f t="shared" ca="1" si="120"/>
        <v>105.24945839878376</v>
      </c>
      <c r="H415">
        <f t="shared" ca="1" si="121"/>
        <v>91.797808819004103</v>
      </c>
      <c r="I415">
        <f t="shared" ca="1" si="130"/>
        <v>102.71099999999998</v>
      </c>
      <c r="J415">
        <f t="shared" ca="1" si="131"/>
        <v>1.8117072495010724</v>
      </c>
      <c r="K415">
        <f t="shared" ca="1" si="132"/>
        <v>106.33441449900212</v>
      </c>
      <c r="L415">
        <f t="shared" ca="1" si="133"/>
        <v>99.087585500997847</v>
      </c>
      <c r="M415">
        <f t="shared" ca="1" si="122"/>
        <v>-0.23000000000000398</v>
      </c>
      <c r="N415">
        <f t="shared" ca="1" si="123"/>
        <v>0</v>
      </c>
      <c r="O415">
        <f t="shared" ca="1" si="124"/>
        <v>0.23000000000000398</v>
      </c>
      <c r="P415">
        <f t="shared" ca="1" si="128"/>
        <v>0.2968226926844868</v>
      </c>
      <c r="Q415">
        <f t="shared" ca="1" si="129"/>
        <v>0.46928617196913031</v>
      </c>
      <c r="R415">
        <f t="shared" ca="1" si="126"/>
        <v>0.63249827166015837</v>
      </c>
      <c r="S415">
        <f t="shared" ca="1" si="127"/>
        <v>38.744192422142255</v>
      </c>
      <c r="T415">
        <f>70</f>
        <v>70</v>
      </c>
      <c r="U415">
        <f>30</f>
        <v>30</v>
      </c>
      <c r="V415">
        <f t="shared" ca="1" si="125"/>
        <v>101.44698707732306</v>
      </c>
      <c r="W415">
        <f t="shared" ca="1" si="135"/>
        <v>101.94802679540153</v>
      </c>
      <c r="X415">
        <f t="shared" ca="1" si="134"/>
        <v>-0.5737707878648024</v>
      </c>
      <c r="Y415">
        <f t="shared" ca="1" si="116"/>
        <v>-0.18780584572157391</v>
      </c>
      <c r="Z415">
        <f t="shared" ca="1" si="117"/>
        <v>-0.38596494214322852</v>
      </c>
      <c r="AA415">
        <f t="shared" ca="1" si="118"/>
        <v>104.18720000000003</v>
      </c>
    </row>
    <row r="416" spans="1:27" x14ac:dyDescent="0.25">
      <c r="A416" vm="1216">
        <f ca="1"/>
        <v>45896</v>
      </c>
      <c r="B416" vm="1217">
        <f ca="1"/>
        <v>100.07</v>
      </c>
      <c r="C416" vm="1218">
        <f ca="1"/>
        <v>4313818</v>
      </c>
      <c r="D416">
        <f t="shared" ca="1" si="119"/>
        <v>431683767.25999999</v>
      </c>
      <c r="E416">
        <f ca="1">SUM($D$2:D416)/SUM($C$2:C416)</f>
        <v>98.530797824744411</v>
      </c>
      <c r="F416">
        <f ca="1">_xlfn.STDEV.P($B$2:B416)</f>
        <v>6.7186833284197887</v>
      </c>
      <c r="G416">
        <f t="shared" ca="1" si="120"/>
        <v>105.2494811531642</v>
      </c>
      <c r="H416">
        <f t="shared" ca="1" si="121"/>
        <v>91.812114496324625</v>
      </c>
      <c r="I416">
        <f t="shared" ca="1" si="130"/>
        <v>102.58500000000001</v>
      </c>
      <c r="J416">
        <f t="shared" ca="1" si="131"/>
        <v>1.9057544437833551</v>
      </c>
      <c r="K416">
        <f t="shared" ca="1" si="132"/>
        <v>106.39650888756672</v>
      </c>
      <c r="L416">
        <f t="shared" ca="1" si="133"/>
        <v>98.773491112433291</v>
      </c>
      <c r="M416">
        <f t="shared" ca="1" si="122"/>
        <v>0.34999999999999432</v>
      </c>
      <c r="N416">
        <f t="shared" ca="1" si="123"/>
        <v>0.34999999999999432</v>
      </c>
      <c r="O416">
        <f t="shared" ca="1" si="124"/>
        <v>0</v>
      </c>
      <c r="P416">
        <f t="shared" ca="1" si="128"/>
        <v>0.3006210717784516</v>
      </c>
      <c r="Q416">
        <f t="shared" ca="1" si="129"/>
        <v>0.43576573111419242</v>
      </c>
      <c r="R416">
        <f t="shared" ca="1" si="126"/>
        <v>0.68986854705119949</v>
      </c>
      <c r="S416">
        <f t="shared" ca="1" si="127"/>
        <v>40.823799475705492</v>
      </c>
      <c r="T416">
        <f>70</f>
        <v>70</v>
      </c>
      <c r="U416">
        <f>30</f>
        <v>30</v>
      </c>
      <c r="V416">
        <f t="shared" ca="1" si="125"/>
        <v>101.23514291158105</v>
      </c>
      <c r="W416">
        <f t="shared" ca="1" si="135"/>
        <v>101.80891369944585</v>
      </c>
      <c r="X416">
        <f t="shared" ca="1" si="134"/>
        <v>-0.77578207287842815</v>
      </c>
      <c r="Y416">
        <f t="shared" ca="1" si="116"/>
        <v>-0.30540109115294478</v>
      </c>
      <c r="Z416">
        <f t="shared" ca="1" si="117"/>
        <v>-0.47038098172548337</v>
      </c>
      <c r="AA416">
        <f t="shared" ca="1" si="118"/>
        <v>104.06070000000001</v>
      </c>
    </row>
    <row r="417" spans="1:27" x14ac:dyDescent="0.25">
      <c r="A417" vm="1219">
        <f ca="1"/>
        <v>45897</v>
      </c>
      <c r="B417" vm="1220">
        <f ca="1"/>
        <v>98.17</v>
      </c>
      <c r="C417" vm="1221">
        <f ca="1"/>
        <v>2400163</v>
      </c>
      <c r="D417">
        <f t="shared" ca="1" si="119"/>
        <v>235624001.71000001</v>
      </c>
      <c r="E417">
        <f ca="1">SUM($D$2:D417)/SUM($C$2:C417)</f>
        <v>98.529870181382549</v>
      </c>
      <c r="F417">
        <f ca="1">_xlfn.STDEV.P($B$2:B417)</f>
        <v>6.7106345104277878</v>
      </c>
      <c r="G417">
        <f t="shared" ca="1" si="120"/>
        <v>105.24050469181034</v>
      </c>
      <c r="H417">
        <f t="shared" ca="1" si="121"/>
        <v>91.819235670954754</v>
      </c>
      <c r="I417">
        <f t="shared" ca="1" si="130"/>
        <v>102.3185</v>
      </c>
      <c r="J417">
        <f t="shared" ca="1" si="131"/>
        <v>2.1304886392809674</v>
      </c>
      <c r="K417">
        <f t="shared" ca="1" si="132"/>
        <v>106.57947727856194</v>
      </c>
      <c r="L417">
        <f t="shared" ca="1" si="133"/>
        <v>98.057522721438062</v>
      </c>
      <c r="M417">
        <f t="shared" ca="1" si="122"/>
        <v>-1.8999999999999915</v>
      </c>
      <c r="N417">
        <f t="shared" ca="1" si="123"/>
        <v>0</v>
      </c>
      <c r="O417">
        <f t="shared" ca="1" si="124"/>
        <v>1.8999999999999915</v>
      </c>
      <c r="P417">
        <f t="shared" ca="1" si="128"/>
        <v>0.27914813807999078</v>
      </c>
      <c r="Q417">
        <f t="shared" ca="1" si="129"/>
        <v>0.54035389317746374</v>
      </c>
      <c r="R417">
        <f t="shared" ca="1" si="126"/>
        <v>0.51660243704085351</v>
      </c>
      <c r="S417">
        <f t="shared" ca="1" si="127"/>
        <v>34.063141692481508</v>
      </c>
      <c r="T417">
        <f>70</f>
        <v>70</v>
      </c>
      <c r="U417">
        <f>30</f>
        <v>30</v>
      </c>
      <c r="V417">
        <f t="shared" ca="1" si="125"/>
        <v>100.76358246364551</v>
      </c>
      <c r="W417">
        <f t="shared" ca="1" si="135"/>
        <v>101.53936453652393</v>
      </c>
      <c r="X417">
        <f t="shared" ca="1" si="134"/>
        <v>-0.92042587654574959</v>
      </c>
      <c r="Y417">
        <f t="shared" ca="1" si="116"/>
        <v>-0.42840604823150574</v>
      </c>
      <c r="Z417">
        <f t="shared" ca="1" si="117"/>
        <v>-0.49201982831424385</v>
      </c>
      <c r="AA417">
        <f t="shared" ca="1" si="118"/>
        <v>103.94920000000002</v>
      </c>
    </row>
    <row r="418" spans="1:27" x14ac:dyDescent="0.25">
      <c r="A418" vm="1222">
        <f ca="1"/>
        <v>45898</v>
      </c>
      <c r="B418" vm="1223">
        <f ca="1"/>
        <v>98.23</v>
      </c>
      <c r="C418" vm="1224">
        <f ca="1"/>
        <v>4220120</v>
      </c>
      <c r="D418">
        <f t="shared" ca="1" si="119"/>
        <v>414542387.60000002</v>
      </c>
      <c r="E418">
        <f ca="1">SUM($D$2:D418)/SUM($C$2:C418)</f>
        <v>98.528520672938171</v>
      </c>
      <c r="F418">
        <f ca="1">_xlfn.STDEV.P($B$2:B418)</f>
        <v>6.7026241453637034</v>
      </c>
      <c r="G418">
        <f t="shared" ca="1" si="120"/>
        <v>105.23114481830187</v>
      </c>
      <c r="H418">
        <f t="shared" ca="1" si="121"/>
        <v>91.825896527574471</v>
      </c>
      <c r="I418">
        <f t="shared" ca="1" si="130"/>
        <v>102.00800000000001</v>
      </c>
      <c r="J418">
        <f t="shared" ca="1" si="131"/>
        <v>2.2539733337982701</v>
      </c>
      <c r="K418">
        <f t="shared" ca="1" si="132"/>
        <v>106.51594666759655</v>
      </c>
      <c r="L418">
        <f t="shared" ca="1" si="133"/>
        <v>97.500053332403468</v>
      </c>
      <c r="M418">
        <f t="shared" ca="1" si="122"/>
        <v>6.0000000000002274E-2</v>
      </c>
      <c r="N418">
        <f t="shared" ca="1" si="123"/>
        <v>6.0000000000002274E-2</v>
      </c>
      <c r="O418">
        <f t="shared" ca="1" si="124"/>
        <v>0</v>
      </c>
      <c r="P418">
        <f t="shared" ca="1" si="128"/>
        <v>0.26349469964570588</v>
      </c>
      <c r="Q418">
        <f t="shared" ca="1" si="129"/>
        <v>0.50175718652193058</v>
      </c>
      <c r="R418">
        <f t="shared" ca="1" si="126"/>
        <v>0.5251438479081737</v>
      </c>
      <c r="S418">
        <f t="shared" ca="1" si="127"/>
        <v>34.432414268886177</v>
      </c>
      <c r="T418">
        <f>70</f>
        <v>70</v>
      </c>
      <c r="U418">
        <f>30</f>
        <v>30</v>
      </c>
      <c r="V418">
        <f t="shared" ca="1" si="125"/>
        <v>100.37380054616159</v>
      </c>
      <c r="W418">
        <f t="shared" ca="1" si="135"/>
        <v>101.29422642270734</v>
      </c>
      <c r="X418">
        <f t="shared" ca="1" si="134"/>
        <v>-1.1054268523358814</v>
      </c>
      <c r="Y418">
        <f t="shared" ca="1" si="116"/>
        <v>-0.56381020905238088</v>
      </c>
      <c r="Z418">
        <f t="shared" ca="1" si="117"/>
        <v>-0.54161664328350057</v>
      </c>
      <c r="AA418">
        <f t="shared" ca="1" si="118"/>
        <v>103.87750000000004</v>
      </c>
    </row>
    <row r="419" spans="1:27" x14ac:dyDescent="0.25">
      <c r="A419" vm="1225">
        <f ca="1"/>
        <v>45902</v>
      </c>
      <c r="B419" vm="1226">
        <f ca="1"/>
        <v>97.2</v>
      </c>
      <c r="C419" vm="1227">
        <f ca="1"/>
        <v>3019315</v>
      </c>
      <c r="D419">
        <f t="shared" ca="1" si="119"/>
        <v>293477418</v>
      </c>
      <c r="E419">
        <f ca="1">SUM($D$2:D419)/SUM($C$2:C419)</f>
        <v>98.524256859641966</v>
      </c>
      <c r="F419">
        <f ca="1">_xlfn.STDEV.P($B$2:B419)</f>
        <v>6.6946563753145512</v>
      </c>
      <c r="G419">
        <f t="shared" ca="1" si="120"/>
        <v>105.21891323495652</v>
      </c>
      <c r="H419">
        <f t="shared" ca="1" si="121"/>
        <v>91.829600484327415</v>
      </c>
      <c r="I419">
        <f t="shared" ca="1" si="130"/>
        <v>101.60000000000001</v>
      </c>
      <c r="J419">
        <f t="shared" ca="1" si="131"/>
        <v>2.3516981546376905</v>
      </c>
      <c r="K419">
        <f t="shared" ca="1" si="132"/>
        <v>106.30339630927539</v>
      </c>
      <c r="L419">
        <f t="shared" ca="1" si="133"/>
        <v>96.896603690724632</v>
      </c>
      <c r="M419">
        <f t="shared" ca="1" si="122"/>
        <v>-1.0300000000000011</v>
      </c>
      <c r="N419">
        <f t="shared" ca="1" si="123"/>
        <v>0</v>
      </c>
      <c r="O419">
        <f t="shared" ca="1" si="124"/>
        <v>1.0300000000000011</v>
      </c>
      <c r="P419">
        <f t="shared" ca="1" si="128"/>
        <v>0.2446736496710126</v>
      </c>
      <c r="Q419">
        <f t="shared" ca="1" si="129"/>
        <v>0.53948881605607846</v>
      </c>
      <c r="R419">
        <f t="shared" ca="1" si="126"/>
        <v>0.45352867823969756</v>
      </c>
      <c r="S419">
        <f t="shared" ca="1" si="127"/>
        <v>31.201907814364247</v>
      </c>
      <c r="T419">
        <f>70</f>
        <v>70</v>
      </c>
      <c r="U419">
        <f>30</f>
        <v>30</v>
      </c>
      <c r="V419">
        <f t="shared" ca="1" si="125"/>
        <v>99.885523539059804</v>
      </c>
      <c r="W419">
        <f t="shared" ca="1" si="135"/>
        <v>100.99095039139569</v>
      </c>
      <c r="X419">
        <f t="shared" ca="1" si="134"/>
        <v>-1.1859213279283125</v>
      </c>
      <c r="Y419">
        <f t="shared" ca="1" si="116"/>
        <v>-0.6882324328275673</v>
      </c>
      <c r="Z419">
        <f t="shared" ca="1" si="117"/>
        <v>-0.49768889510074521</v>
      </c>
      <c r="AA419">
        <f t="shared" ca="1" si="118"/>
        <v>103.78900000000003</v>
      </c>
    </row>
    <row r="420" spans="1:27" x14ac:dyDescent="0.25">
      <c r="A420" vm="1228">
        <f ca="1"/>
        <v>45903</v>
      </c>
      <c r="B420" vm="1229">
        <f ca="1"/>
        <v>97.85</v>
      </c>
      <c r="C420" vm="1230">
        <f ca="1"/>
        <v>4306674</v>
      </c>
      <c r="D420">
        <f t="shared" ca="1" si="119"/>
        <v>421408050.89999998</v>
      </c>
      <c r="E420">
        <f ca="1">SUM($D$2:D420)/SUM($C$2:C420)</f>
        <v>98.521184265463248</v>
      </c>
      <c r="F420">
        <f ca="1">_xlfn.STDEV.P($B$2:B420)</f>
        <v>6.6866644716329757</v>
      </c>
      <c r="G420">
        <f t="shared" ca="1" si="120"/>
        <v>105.20784873709623</v>
      </c>
      <c r="H420">
        <f t="shared" ca="1" si="121"/>
        <v>91.834519793830268</v>
      </c>
      <c r="I420">
        <f t="shared" ca="1" si="130"/>
        <v>101.2835</v>
      </c>
      <c r="J420">
        <f t="shared" ca="1" si="131"/>
        <v>2.4113967889346242</v>
      </c>
      <c r="K420">
        <f t="shared" ca="1" si="132"/>
        <v>106.10629357786925</v>
      </c>
      <c r="L420">
        <f t="shared" ca="1" si="133"/>
        <v>96.460706422130755</v>
      </c>
      <c r="M420">
        <f t="shared" ca="1" si="122"/>
        <v>0.64999999999999147</v>
      </c>
      <c r="N420">
        <f t="shared" ca="1" si="123"/>
        <v>0.64999999999999147</v>
      </c>
      <c r="O420">
        <f t="shared" ca="1" si="124"/>
        <v>0</v>
      </c>
      <c r="P420">
        <f t="shared" ca="1" si="128"/>
        <v>0.27362553183736826</v>
      </c>
      <c r="Q420">
        <f t="shared" ca="1" si="129"/>
        <v>0.50095390062350142</v>
      </c>
      <c r="R420">
        <f t="shared" ca="1" si="126"/>
        <v>0.5462090054530091</v>
      </c>
      <c r="S420">
        <f t="shared" ca="1" si="127"/>
        <v>35.325690351478741</v>
      </c>
      <c r="T420">
        <f>70</f>
        <v>70</v>
      </c>
      <c r="U420">
        <f>30</f>
        <v>30</v>
      </c>
      <c r="V420">
        <f t="shared" ca="1" si="125"/>
        <v>99.572366071512135</v>
      </c>
      <c r="W420">
        <f t="shared" ca="1" si="135"/>
        <v>100.75828739944045</v>
      </c>
      <c r="X420">
        <f t="shared" ca="1" si="134"/>
        <v>-1.2394606312793286</v>
      </c>
      <c r="Y420">
        <f t="shared" ca="1" si="116"/>
        <v>-0.79847807251791958</v>
      </c>
      <c r="Z420">
        <f t="shared" ca="1" si="117"/>
        <v>-0.44098255876140902</v>
      </c>
      <c r="AA420">
        <f t="shared" ca="1" si="118"/>
        <v>103.70980000000002</v>
      </c>
    </row>
    <row r="421" spans="1:27" x14ac:dyDescent="0.25">
      <c r="A421" vm="1231">
        <f ca="1"/>
        <v>45904</v>
      </c>
      <c r="B421" vm="1232">
        <f ca="1"/>
        <v>97.8</v>
      </c>
      <c r="C421" vm="1233">
        <f ca="1"/>
        <v>2033303</v>
      </c>
      <c r="D421">
        <f t="shared" ca="1" si="119"/>
        <v>198857033.40000001</v>
      </c>
      <c r="E421">
        <f ca="1">SUM($D$2:D421)/SUM($C$2:C421)</f>
        <v>98.519635973719403</v>
      </c>
      <c r="F421">
        <f ca="1">_xlfn.STDEV.P($B$2:B421)</f>
        <v>6.6786998228894143</v>
      </c>
      <c r="G421">
        <f t="shared" ca="1" si="120"/>
        <v>105.19833579660882</v>
      </c>
      <c r="H421">
        <f t="shared" ca="1" si="121"/>
        <v>91.84093615082999</v>
      </c>
      <c r="I421">
        <f t="shared" ca="1" si="130"/>
        <v>100.96600000000001</v>
      </c>
      <c r="J421">
        <f t="shared" ca="1" si="131"/>
        <v>2.4320630185741061</v>
      </c>
      <c r="K421">
        <f t="shared" ca="1" si="132"/>
        <v>105.83012603714822</v>
      </c>
      <c r="L421">
        <f t="shared" ca="1" si="133"/>
        <v>96.101873962851798</v>
      </c>
      <c r="M421">
        <f t="shared" ca="1" si="122"/>
        <v>-4.9999999999997158E-2</v>
      </c>
      <c r="N421">
        <f t="shared" ca="1" si="123"/>
        <v>0</v>
      </c>
      <c r="O421">
        <f t="shared" ca="1" si="124"/>
        <v>4.9999999999997158E-2</v>
      </c>
      <c r="P421">
        <f t="shared" ca="1" si="128"/>
        <v>0.25408085099184197</v>
      </c>
      <c r="Q421">
        <f t="shared" ca="1" si="129"/>
        <v>0.46874290772182253</v>
      </c>
      <c r="R421">
        <f t="shared" ca="1" si="126"/>
        <v>0.54204735006385918</v>
      </c>
      <c r="S421">
        <f t="shared" ca="1" si="127"/>
        <v>35.151148247257908</v>
      </c>
      <c r="T421">
        <f>70</f>
        <v>70</v>
      </c>
      <c r="U421">
        <f>30</f>
        <v>30</v>
      </c>
      <c r="V421">
        <f t="shared" ca="1" si="125"/>
        <v>99.299694368202566</v>
      </c>
      <c r="W421">
        <f t="shared" ca="1" si="135"/>
        <v>100.53915499948189</v>
      </c>
      <c r="X421">
        <f t="shared" ca="1" si="134"/>
        <v>-1.2473394514969982</v>
      </c>
      <c r="Y421">
        <f t="shared" ca="1" si="116"/>
        <v>-0.88825034831373539</v>
      </c>
      <c r="Z421">
        <f t="shared" ca="1" si="117"/>
        <v>-0.35908910318326281</v>
      </c>
      <c r="AA421">
        <f t="shared" ca="1" si="118"/>
        <v>103.6048</v>
      </c>
    </row>
    <row r="422" spans="1:27" x14ac:dyDescent="0.25">
      <c r="A422" vm="1234">
        <f ca="1"/>
        <v>45905</v>
      </c>
      <c r="B422" vm="1090">
        <f ca="1"/>
        <v>98.05</v>
      </c>
      <c r="C422" vm="1235">
        <f ca="1"/>
        <v>1724666</v>
      </c>
      <c r="D422">
        <f t="shared" ca="1" si="119"/>
        <v>169103501.29999998</v>
      </c>
      <c r="E422">
        <f ca="1">SUM($D$2:D422)/SUM($C$2:C422)</f>
        <v>98.518782322074756</v>
      </c>
      <c r="F422">
        <f ca="1">_xlfn.STDEV.P($B$2:B422)</f>
        <v>6.6707789223928549</v>
      </c>
      <c r="G422">
        <f t="shared" ca="1" si="120"/>
        <v>105.18956124446761</v>
      </c>
      <c r="H422">
        <f t="shared" ca="1" si="121"/>
        <v>91.8480033996819</v>
      </c>
      <c r="I422">
        <f t="shared" ca="1" si="130"/>
        <v>100.61850000000001</v>
      </c>
      <c r="J422">
        <f t="shared" ca="1" si="131"/>
        <v>2.3192382483547442</v>
      </c>
      <c r="K422">
        <f t="shared" ca="1" si="132"/>
        <v>105.2569764967095</v>
      </c>
      <c r="L422">
        <f t="shared" ca="1" si="133"/>
        <v>95.980023503290525</v>
      </c>
      <c r="M422">
        <f t="shared" ca="1" si="122"/>
        <v>0.25</v>
      </c>
      <c r="N422">
        <f t="shared" ca="1" si="123"/>
        <v>0.25</v>
      </c>
      <c r="O422">
        <f t="shared" ca="1" si="124"/>
        <v>0</v>
      </c>
      <c r="P422">
        <f t="shared" ca="1" si="128"/>
        <v>0.25378936163528182</v>
      </c>
      <c r="Q422">
        <f t="shared" ca="1" si="129"/>
        <v>0.43526127145597809</v>
      </c>
      <c r="R422">
        <f t="shared" ca="1" si="126"/>
        <v>0.58307361182477691</v>
      </c>
      <c r="S422">
        <f t="shared" ca="1" si="127"/>
        <v>36.831743481130971</v>
      </c>
      <c r="T422">
        <f>70</f>
        <v>70</v>
      </c>
      <c r="U422">
        <f>30</f>
        <v>30</v>
      </c>
      <c r="V422">
        <f t="shared" ca="1" si="125"/>
        <v>99.107433696171412</v>
      </c>
      <c r="W422">
        <f t="shared" ca="1" si="135"/>
        <v>100.35477314766841</v>
      </c>
      <c r="X422">
        <f t="shared" ca="1" si="134"/>
        <v>-1.3509785334168782</v>
      </c>
      <c r="Y422">
        <f t="shared" ref="Y422:Y485" ca="1" si="136">X422*(2/(9+1)) + Y421*(1-(2/(9+1)))</f>
        <v>-0.98079598533436407</v>
      </c>
      <c r="Z422">
        <f t="shared" ref="Z422:Z485" ca="1" si="137">X422-Y422</f>
        <v>-0.37018254808251416</v>
      </c>
      <c r="AA422">
        <f t="shared" ref="AA422:AA485" ca="1" si="138">AVERAGE(B323:B422)</f>
        <v>103.48690000000001</v>
      </c>
    </row>
    <row r="423" spans="1:27" x14ac:dyDescent="0.25">
      <c r="A423" vm="1236">
        <f ca="1"/>
        <v>45908</v>
      </c>
      <c r="B423" vm="1237">
        <f ca="1"/>
        <v>96.65</v>
      </c>
      <c r="C423" vm="1238">
        <f ca="1"/>
        <v>2189394</v>
      </c>
      <c r="D423">
        <f t="shared" ca="1" si="119"/>
        <v>211604930.10000002</v>
      </c>
      <c r="E423">
        <f ca="1">SUM($D$2:D423)/SUM($C$2:C423)</f>
        <v>98.514480068618511</v>
      </c>
      <c r="F423">
        <f ca="1">_xlfn.STDEV.P($B$2:B423)</f>
        <v>6.6630862198789336</v>
      </c>
      <c r="G423">
        <f t="shared" ca="1" si="120"/>
        <v>105.17756628849745</v>
      </c>
      <c r="H423">
        <f t="shared" ca="1" si="121"/>
        <v>91.851393848739576</v>
      </c>
      <c r="I423">
        <f t="shared" ca="1" si="130"/>
        <v>100.227</v>
      </c>
      <c r="J423">
        <f t="shared" ca="1" si="131"/>
        <v>2.2938225967286914</v>
      </c>
      <c r="K423">
        <f t="shared" ca="1" si="132"/>
        <v>104.81464519345738</v>
      </c>
      <c r="L423">
        <f t="shared" ca="1" si="133"/>
        <v>95.639354806542627</v>
      </c>
      <c r="M423">
        <f t="shared" ca="1" si="122"/>
        <v>-1.3999999999999915</v>
      </c>
      <c r="N423">
        <f t="shared" ca="1" si="123"/>
        <v>0</v>
      </c>
      <c r="O423">
        <f t="shared" ca="1" si="124"/>
        <v>1.3999999999999915</v>
      </c>
      <c r="P423">
        <f t="shared" ca="1" si="128"/>
        <v>0.23566155008990455</v>
      </c>
      <c r="Q423">
        <f t="shared" ca="1" si="129"/>
        <v>0.50417118063769339</v>
      </c>
      <c r="R423">
        <f t="shared" ca="1" si="126"/>
        <v>0.46742368294798514</v>
      </c>
      <c r="S423">
        <f t="shared" ca="1" si="127"/>
        <v>31.853355535938533</v>
      </c>
      <c r="T423">
        <f>70</f>
        <v>70</v>
      </c>
      <c r="U423">
        <f>30</f>
        <v>30</v>
      </c>
      <c r="V423">
        <f t="shared" ca="1" si="125"/>
        <v>98.729366973683497</v>
      </c>
      <c r="W423">
        <f t="shared" ca="1" si="135"/>
        <v>100.08034550710038</v>
      </c>
      <c r="X423">
        <f t="shared" ca="1" si="134"/>
        <v>-1.3904566912353857</v>
      </c>
      <c r="Y423">
        <f t="shared" ca="1" si="136"/>
        <v>-1.0627281265145685</v>
      </c>
      <c r="Z423">
        <f t="shared" ca="1" si="137"/>
        <v>-0.32772856472081724</v>
      </c>
      <c r="AA423">
        <f t="shared" ca="1" si="138"/>
        <v>103.3309</v>
      </c>
    </row>
    <row r="424" spans="1:27" x14ac:dyDescent="0.25">
      <c r="A424" vm="1239">
        <f ca="1"/>
        <v>45909</v>
      </c>
      <c r="B424" vm="1240">
        <f ca="1"/>
        <v>96.98</v>
      </c>
      <c r="C424" vm="1241">
        <f ca="1"/>
        <v>1282697</v>
      </c>
      <c r="D424">
        <f t="shared" ca="1" si="119"/>
        <v>124395955.06</v>
      </c>
      <c r="E424">
        <f ca="1">SUM($D$2:D424)/SUM($C$2:C424)</f>
        <v>98.512413197893139</v>
      </c>
      <c r="F424">
        <f ca="1">_xlfn.STDEV.P($B$2:B424)</f>
        <v>6.6553106781974352</v>
      </c>
      <c r="G424">
        <f t="shared" ca="1" si="120"/>
        <v>105.16772387609058</v>
      </c>
      <c r="H424">
        <f t="shared" ca="1" si="121"/>
        <v>91.857102519695701</v>
      </c>
      <c r="I424">
        <f t="shared" ca="1" si="130"/>
        <v>99.86999999999999</v>
      </c>
      <c r="J424">
        <f t="shared" ca="1" si="131"/>
        <v>2.210136933123803</v>
      </c>
      <c r="K424">
        <f t="shared" ca="1" si="132"/>
        <v>104.2902738662476</v>
      </c>
      <c r="L424">
        <f t="shared" ca="1" si="133"/>
        <v>95.449726133752378</v>
      </c>
      <c r="M424">
        <f t="shared" ca="1" si="122"/>
        <v>0.32999999999999829</v>
      </c>
      <c r="N424">
        <f t="shared" ca="1" si="123"/>
        <v>0.32999999999999829</v>
      </c>
      <c r="O424">
        <f t="shared" ca="1" si="124"/>
        <v>0</v>
      </c>
      <c r="P424">
        <f t="shared" ca="1" si="128"/>
        <v>0.24240001079776841</v>
      </c>
      <c r="Q424">
        <f t="shared" ca="1" si="129"/>
        <v>0.46815895344928676</v>
      </c>
      <c r="R424">
        <f t="shared" ca="1" si="126"/>
        <v>0.51777288250458797</v>
      </c>
      <c r="S424">
        <f t="shared" ca="1" si="127"/>
        <v>34.113989548302712</v>
      </c>
      <c r="T424">
        <f>70</f>
        <v>70</v>
      </c>
      <c r="U424">
        <f>30</f>
        <v>30</v>
      </c>
      <c r="V424">
        <f t="shared" ca="1" si="125"/>
        <v>98.460233593116811</v>
      </c>
      <c r="W424">
        <f t="shared" ca="1" si="135"/>
        <v>99.850690284352197</v>
      </c>
      <c r="X424">
        <f t="shared" ca="1" si="134"/>
        <v>-1.3975640035862398</v>
      </c>
      <c r="Y424">
        <f t="shared" ca="1" si="136"/>
        <v>-1.1296953019289029</v>
      </c>
      <c r="Z424">
        <f t="shared" ca="1" si="137"/>
        <v>-0.26786870165733689</v>
      </c>
      <c r="AA424">
        <f t="shared" ca="1" si="138"/>
        <v>103.18260000000001</v>
      </c>
    </row>
    <row r="425" spans="1:27" x14ac:dyDescent="0.25">
      <c r="A425" vm="1242">
        <f ca="1"/>
        <v>45910</v>
      </c>
      <c r="B425" vm="1243">
        <f ca="1"/>
        <v>97.08</v>
      </c>
      <c r="C425" vm="1244">
        <f ca="1"/>
        <v>1603960</v>
      </c>
      <c r="D425">
        <f t="shared" ca="1" si="119"/>
        <v>155712436.80000001</v>
      </c>
      <c r="E425">
        <f ca="1">SUM($D$2:D425)/SUM($C$2:C425)</f>
        <v>98.510004629625428</v>
      </c>
      <c r="F425">
        <f ca="1">_xlfn.STDEV.P($B$2:B425)</f>
        <v>6.6475368607789358</v>
      </c>
      <c r="G425">
        <f t="shared" ca="1" si="120"/>
        <v>105.15754149040437</v>
      </c>
      <c r="H425">
        <f t="shared" ca="1" si="121"/>
        <v>91.862467768846486</v>
      </c>
      <c r="I425">
        <f t="shared" ca="1" si="130"/>
        <v>99.539500000000004</v>
      </c>
      <c r="J425">
        <f t="shared" ca="1" si="131"/>
        <v>2.1003319913014242</v>
      </c>
      <c r="K425">
        <f t="shared" ca="1" si="132"/>
        <v>103.74016398260285</v>
      </c>
      <c r="L425">
        <f t="shared" ca="1" si="133"/>
        <v>95.338836017397156</v>
      </c>
      <c r="M425">
        <f t="shared" ca="1" si="122"/>
        <v>9.9999999999994316E-2</v>
      </c>
      <c r="N425">
        <f t="shared" ca="1" si="123"/>
        <v>9.9999999999994316E-2</v>
      </c>
      <c r="O425">
        <f t="shared" ca="1" si="124"/>
        <v>0</v>
      </c>
      <c r="P425">
        <f t="shared" ca="1" si="128"/>
        <v>0.23222858145507025</v>
      </c>
      <c r="Q425">
        <f t="shared" ca="1" si="129"/>
        <v>0.43471902820290914</v>
      </c>
      <c r="R425">
        <f t="shared" ca="1" si="126"/>
        <v>0.53420385671886306</v>
      </c>
      <c r="S425">
        <f t="shared" ca="1" si="127"/>
        <v>34.819613728604637</v>
      </c>
      <c r="T425">
        <f>70</f>
        <v>70</v>
      </c>
      <c r="U425">
        <f>30</f>
        <v>30</v>
      </c>
      <c r="V425">
        <f t="shared" ca="1" si="125"/>
        <v>98.247889963406536</v>
      </c>
      <c r="W425">
        <f t="shared" ca="1" si="135"/>
        <v>99.645453966992775</v>
      </c>
      <c r="X425">
        <f t="shared" ca="1" si="134"/>
        <v>-1.3377470659285251</v>
      </c>
      <c r="Y425">
        <f t="shared" ca="1" si="136"/>
        <v>-1.1713056547288274</v>
      </c>
      <c r="Z425">
        <f t="shared" ca="1" si="137"/>
        <v>-0.16644141119969769</v>
      </c>
      <c r="AA425">
        <f t="shared" ca="1" si="138"/>
        <v>103.039</v>
      </c>
    </row>
    <row r="426" spans="1:27" x14ac:dyDescent="0.25">
      <c r="A426" vm="1245">
        <f ca="1"/>
        <v>45911</v>
      </c>
      <c r="B426" vm="266">
        <f ca="1"/>
        <v>97.7</v>
      </c>
      <c r="C426" vm="1246">
        <f ca="1"/>
        <v>1689992</v>
      </c>
      <c r="D426">
        <f t="shared" ca="1" si="119"/>
        <v>165112218.40000001</v>
      </c>
      <c r="E426">
        <f ca="1">SUM($D$2:D426)/SUM($C$2:C426)</f>
        <v>98.508572110202707</v>
      </c>
      <c r="F426">
        <f ca="1">_xlfn.STDEV.P($B$2:B426)</f>
        <v>6.6397120104303715</v>
      </c>
      <c r="G426">
        <f t="shared" ca="1" si="120"/>
        <v>105.14828412063308</v>
      </c>
      <c r="H426">
        <f t="shared" ca="1" si="121"/>
        <v>91.868860099772334</v>
      </c>
      <c r="I426">
        <f t="shared" ca="1" si="130"/>
        <v>99.241500000000002</v>
      </c>
      <c r="J426">
        <f t="shared" ca="1" si="131"/>
        <v>1.8979997088347615</v>
      </c>
      <c r="K426">
        <f t="shared" ca="1" si="132"/>
        <v>103.03749941766952</v>
      </c>
      <c r="L426">
        <f t="shared" ca="1" si="133"/>
        <v>95.445500582330482</v>
      </c>
      <c r="M426">
        <f t="shared" ca="1" si="122"/>
        <v>0.62000000000000455</v>
      </c>
      <c r="N426">
        <f t="shared" ca="1" si="123"/>
        <v>0.62000000000000455</v>
      </c>
      <c r="O426">
        <f t="shared" ca="1" si="124"/>
        <v>0</v>
      </c>
      <c r="P426">
        <f t="shared" ca="1" si="128"/>
        <v>0.25992653992256554</v>
      </c>
      <c r="Q426">
        <f t="shared" ca="1" si="129"/>
        <v>0.40366766904555851</v>
      </c>
      <c r="R426">
        <f t="shared" ca="1" si="126"/>
        <v>0.64391220762649148</v>
      </c>
      <c r="S426">
        <f t="shared" ca="1" si="127"/>
        <v>39.16950094045368</v>
      </c>
      <c r="T426">
        <f>70</f>
        <v>70</v>
      </c>
      <c r="U426">
        <f>30</f>
        <v>30</v>
      </c>
      <c r="V426">
        <f t="shared" ca="1" si="125"/>
        <v>98.163599199805532</v>
      </c>
      <c r="W426">
        <f t="shared" ca="1" si="135"/>
        <v>99.501346265734057</v>
      </c>
      <c r="X426">
        <f t="shared" ca="1" si="134"/>
        <v>-1.2876027749895371</v>
      </c>
      <c r="Y426">
        <f t="shared" ca="1" si="136"/>
        <v>-1.1945650787809694</v>
      </c>
      <c r="Z426">
        <f t="shared" ca="1" si="137"/>
        <v>-9.3037696208567722E-2</v>
      </c>
      <c r="AA426">
        <f t="shared" ca="1" si="138"/>
        <v>102.895</v>
      </c>
    </row>
    <row r="427" spans="1:27" x14ac:dyDescent="0.25">
      <c r="A427" vm="1247">
        <f ca="1"/>
        <v>45912</v>
      </c>
      <c r="B427" vm="1248">
        <f ca="1"/>
        <v>97.55</v>
      </c>
      <c r="C427" vm="1249">
        <f ca="1"/>
        <v>1249463</v>
      </c>
      <c r="D427">
        <f t="shared" ca="1" si="119"/>
        <v>121885115.64999999</v>
      </c>
      <c r="E427">
        <f ca="1">SUM($D$2:D427)/SUM($C$2:C427)</f>
        <v>98.507320384771504</v>
      </c>
      <c r="F427">
        <f ca="1">_xlfn.STDEV.P($B$2:B427)</f>
        <v>6.6319211725994833</v>
      </c>
      <c r="G427">
        <f t="shared" ca="1" si="120"/>
        <v>105.13924155737098</v>
      </c>
      <c r="H427">
        <f t="shared" ca="1" si="121"/>
        <v>91.875399212172027</v>
      </c>
      <c r="I427">
        <f t="shared" ca="1" si="130"/>
        <v>98.975999999999985</v>
      </c>
      <c r="J427">
        <f t="shared" ca="1" si="131"/>
        <v>1.7290624170645958</v>
      </c>
      <c r="K427">
        <f t="shared" ca="1" si="132"/>
        <v>102.43412483412918</v>
      </c>
      <c r="L427">
        <f t="shared" ca="1" si="133"/>
        <v>95.517875165870791</v>
      </c>
      <c r="M427">
        <f t="shared" ca="1" si="122"/>
        <v>-0.15000000000000568</v>
      </c>
      <c r="N427">
        <f t="shared" ca="1" si="123"/>
        <v>0</v>
      </c>
      <c r="O427">
        <f t="shared" ca="1" si="124"/>
        <v>0.15000000000000568</v>
      </c>
      <c r="P427">
        <f t="shared" ca="1" si="128"/>
        <v>0.24136035849952514</v>
      </c>
      <c r="Q427">
        <f t="shared" ca="1" si="129"/>
        <v>0.38554854982801906</v>
      </c>
      <c r="R427">
        <f t="shared" ca="1" si="126"/>
        <v>0.62601806856020681</v>
      </c>
      <c r="S427">
        <f t="shared" ca="1" si="127"/>
        <v>38.500068398042352</v>
      </c>
      <c r="T427">
        <f>70</f>
        <v>70</v>
      </c>
      <c r="U427">
        <f>30</f>
        <v>30</v>
      </c>
      <c r="V427">
        <f t="shared" ca="1" si="125"/>
        <v>98.069199322912368</v>
      </c>
      <c r="W427">
        <f t="shared" ca="1" si="135"/>
        <v>99.356802097901905</v>
      </c>
      <c r="X427">
        <f t="shared" ca="1" si="134"/>
        <v>-1.2775170453366087</v>
      </c>
      <c r="Y427">
        <f t="shared" ca="1" si="136"/>
        <v>-1.2111554720920974</v>
      </c>
      <c r="Z427">
        <f t="shared" ca="1" si="137"/>
        <v>-6.6361573244511307E-2</v>
      </c>
      <c r="AA427">
        <f t="shared" ca="1" si="138"/>
        <v>102.76089999999998</v>
      </c>
    </row>
    <row r="428" spans="1:27" x14ac:dyDescent="0.25">
      <c r="A428" vm="1250">
        <f ca="1"/>
        <v>45915</v>
      </c>
      <c r="B428" vm="1251">
        <f ca="1"/>
        <v>97</v>
      </c>
      <c r="C428" vm="1252">
        <f ca="1"/>
        <v>1351898</v>
      </c>
      <c r="D428">
        <f t="shared" ca="1" si="119"/>
        <v>131134106</v>
      </c>
      <c r="E428">
        <f ca="1">SUM($D$2:D428)/SUM($C$2:C428)</f>
        <v>98.505193728933392</v>
      </c>
      <c r="F428">
        <f ca="1">_xlfn.STDEV.P($B$2:B428)</f>
        <v>6.6242491079812815</v>
      </c>
      <c r="G428">
        <f t="shared" ca="1" si="120"/>
        <v>105.12944283691468</v>
      </c>
      <c r="H428">
        <f t="shared" ca="1" si="121"/>
        <v>91.880944620952107</v>
      </c>
      <c r="I428">
        <f t="shared" ca="1" si="130"/>
        <v>98.787499999999994</v>
      </c>
      <c r="J428">
        <f t="shared" ca="1" si="131"/>
        <v>1.728689418392777</v>
      </c>
      <c r="K428">
        <f t="shared" ca="1" si="132"/>
        <v>102.24487883678555</v>
      </c>
      <c r="L428">
        <f t="shared" ca="1" si="133"/>
        <v>95.330121163214443</v>
      </c>
      <c r="M428">
        <f t="shared" ca="1" si="122"/>
        <v>-0.54999999999999716</v>
      </c>
      <c r="N428">
        <f t="shared" ca="1" si="123"/>
        <v>0</v>
      </c>
      <c r="O428">
        <f t="shared" ca="1" si="124"/>
        <v>0.54999999999999716</v>
      </c>
      <c r="P428">
        <f t="shared" ca="1" si="128"/>
        <v>0.2241203328924162</v>
      </c>
      <c r="Q428">
        <f t="shared" ca="1" si="129"/>
        <v>0.39729508198316038</v>
      </c>
      <c r="R428">
        <f t="shared" ca="1" si="126"/>
        <v>0.56411554800448216</v>
      </c>
      <c r="S428">
        <f t="shared" ca="1" si="127"/>
        <v>36.066104497470647</v>
      </c>
      <c r="T428">
        <f>70</f>
        <v>70</v>
      </c>
      <c r="U428">
        <f>30</f>
        <v>30</v>
      </c>
      <c r="V428">
        <f t="shared" ca="1" si="125"/>
        <v>97.904707119387382</v>
      </c>
      <c r="W428">
        <f t="shared" ca="1" si="135"/>
        <v>99.182224164723991</v>
      </c>
      <c r="X428">
        <f t="shared" ca="1" si="134"/>
        <v>-1.3691305956616588</v>
      </c>
      <c r="Y428">
        <f t="shared" ca="1" si="136"/>
        <v>-1.2427504968060097</v>
      </c>
      <c r="Z428">
        <f t="shared" ca="1" si="137"/>
        <v>-0.12638009885564916</v>
      </c>
      <c r="AA428">
        <f t="shared" ca="1" si="138"/>
        <v>102.59789999999997</v>
      </c>
    </row>
    <row r="429" spans="1:27" x14ac:dyDescent="0.25">
      <c r="A429" vm="1253">
        <f ca="1"/>
        <v>45916</v>
      </c>
      <c r="B429" vm="1254">
        <f ca="1"/>
        <v>95.57</v>
      </c>
      <c r="C429" vm="1255">
        <f ca="1"/>
        <v>2116706</v>
      </c>
      <c r="D429">
        <f t="shared" ca="1" si="119"/>
        <v>202293592.41999999</v>
      </c>
      <c r="E429">
        <f ca="1">SUM($D$2:D429)/SUM($C$2:C429)</f>
        <v>98.498723990836837</v>
      </c>
      <c r="F429">
        <f ca="1">_xlfn.STDEV.P($B$2:B429)</f>
        <v>6.617338815223091</v>
      </c>
      <c r="G429">
        <f t="shared" ca="1" si="120"/>
        <v>105.11606280605993</v>
      </c>
      <c r="H429">
        <f t="shared" ca="1" si="121"/>
        <v>91.881385175613744</v>
      </c>
      <c r="I429">
        <f t="shared" ca="1" si="130"/>
        <v>98.578999999999994</v>
      </c>
      <c r="J429">
        <f t="shared" ca="1" si="131"/>
        <v>1.8546467957112771</v>
      </c>
      <c r="K429">
        <f t="shared" ca="1" si="132"/>
        <v>102.28829359142254</v>
      </c>
      <c r="L429">
        <f t="shared" ca="1" si="133"/>
        <v>94.869706408577443</v>
      </c>
      <c r="M429">
        <f t="shared" ca="1" si="122"/>
        <v>-1.4300000000000068</v>
      </c>
      <c r="N429">
        <f t="shared" ca="1" si="123"/>
        <v>0</v>
      </c>
      <c r="O429">
        <f t="shared" ca="1" si="124"/>
        <v>1.4300000000000068</v>
      </c>
      <c r="P429">
        <f t="shared" ca="1" si="128"/>
        <v>0.20811173768581503</v>
      </c>
      <c r="Q429">
        <f t="shared" ca="1" si="129"/>
        <v>0.47105971898436366</v>
      </c>
      <c r="R429">
        <f t="shared" ca="1" si="126"/>
        <v>0.44179480710963337</v>
      </c>
      <c r="S429">
        <f t="shared" ca="1" si="127"/>
        <v>30.642002934890542</v>
      </c>
      <c r="T429">
        <f>70</f>
        <v>70</v>
      </c>
      <c r="U429">
        <f>30</f>
        <v>30</v>
      </c>
      <c r="V429">
        <f t="shared" ca="1" si="125"/>
        <v>97.545521408712403</v>
      </c>
      <c r="W429">
        <f t="shared" ca="1" si="135"/>
        <v>98.914652004374062</v>
      </c>
      <c r="X429">
        <f t="shared" ca="1" si="134"/>
        <v>-1.359094139697973</v>
      </c>
      <c r="Y429">
        <f t="shared" ca="1" si="136"/>
        <v>-1.2660192253844025</v>
      </c>
      <c r="Z429">
        <f t="shared" ca="1" si="137"/>
        <v>-9.3074914313570511E-2</v>
      </c>
      <c r="AA429">
        <f t="shared" ca="1" si="138"/>
        <v>102.42839999999997</v>
      </c>
    </row>
    <row r="430" spans="1:27" x14ac:dyDescent="0.25">
      <c r="A430" vm="1256">
        <f ca="1"/>
        <v>45917</v>
      </c>
      <c r="B430" vm="1257">
        <f ca="1"/>
        <v>96.4</v>
      </c>
      <c r="C430" vm="1258">
        <f ca="1"/>
        <v>1879757</v>
      </c>
      <c r="D430">
        <f t="shared" ca="1" si="119"/>
        <v>181208574.80000001</v>
      </c>
      <c r="E430">
        <f ca="1">SUM($D$2:D430)/SUM($C$2:C430)</f>
        <v>98.494623865369817</v>
      </c>
      <c r="F430">
        <f ca="1">_xlfn.STDEV.P($B$2:B430)</f>
        <v>6.6099373928307612</v>
      </c>
      <c r="G430">
        <f t="shared" ca="1" si="120"/>
        <v>105.10456125820058</v>
      </c>
      <c r="H430">
        <f t="shared" ca="1" si="121"/>
        <v>91.884686472539059</v>
      </c>
      <c r="I430">
        <f t="shared" ca="1" si="130"/>
        <v>98.343999999999994</v>
      </c>
      <c r="J430">
        <f t="shared" ca="1" si="131"/>
        <v>1.8157596641336486</v>
      </c>
      <c r="K430">
        <f t="shared" ca="1" si="132"/>
        <v>101.9755193282673</v>
      </c>
      <c r="L430">
        <f t="shared" ca="1" si="133"/>
        <v>94.712480671732692</v>
      </c>
      <c r="M430">
        <f t="shared" ca="1" si="122"/>
        <v>0.83000000000001251</v>
      </c>
      <c r="N430">
        <f t="shared" ca="1" si="123"/>
        <v>0.83000000000001251</v>
      </c>
      <c r="O430">
        <f t="shared" ca="1" si="124"/>
        <v>0</v>
      </c>
      <c r="P430">
        <f t="shared" ca="1" si="128"/>
        <v>0.25253232785111485</v>
      </c>
      <c r="Q430">
        <f t="shared" ca="1" si="129"/>
        <v>0.43741259619976625</v>
      </c>
      <c r="R430">
        <f t="shared" ca="1" si="126"/>
        <v>0.57733208884497556</v>
      </c>
      <c r="S430">
        <f t="shared" ca="1" si="127"/>
        <v>36.601809658721606</v>
      </c>
      <c r="T430">
        <f>70</f>
        <v>70</v>
      </c>
      <c r="U430">
        <f>30</f>
        <v>30</v>
      </c>
      <c r="V430">
        <f t="shared" ca="1" si="125"/>
        <v>97.36928734583357</v>
      </c>
      <c r="W430">
        <f t="shared" ca="1" si="135"/>
        <v>98.728381485531543</v>
      </c>
      <c r="X430">
        <f t="shared" ca="1" si="134"/>
        <v>-1.3397311711828479</v>
      </c>
      <c r="Y430">
        <f t="shared" ca="1" si="136"/>
        <v>-1.2807616145440917</v>
      </c>
      <c r="Z430">
        <f t="shared" ca="1" si="137"/>
        <v>-5.8969556638756249E-2</v>
      </c>
      <c r="AA430">
        <f t="shared" ca="1" si="138"/>
        <v>102.27949999999996</v>
      </c>
    </row>
    <row r="431" spans="1:27" x14ac:dyDescent="0.25">
      <c r="A431" vm="1259">
        <f ca="1"/>
        <v>45918</v>
      </c>
      <c r="B431" vm="1260">
        <f ca="1"/>
        <v>96.35</v>
      </c>
      <c r="C431" vm="1261">
        <f ca="1"/>
        <v>1815705</v>
      </c>
      <c r="D431">
        <f t="shared" ca="1" si="119"/>
        <v>174943176.75</v>
      </c>
      <c r="E431">
        <f ca="1">SUM($D$2:D431)/SUM($C$2:C431)</f>
        <v>98.490584456953428</v>
      </c>
      <c r="F431">
        <f ca="1">_xlfn.STDEV.P($B$2:B431)</f>
        <v>6.6025846082776196</v>
      </c>
      <c r="G431">
        <f t="shared" ca="1" si="120"/>
        <v>105.09316906523105</v>
      </c>
      <c r="H431">
        <f t="shared" ca="1" si="121"/>
        <v>91.887999848675804</v>
      </c>
      <c r="I431">
        <f t="shared" ca="1" si="130"/>
        <v>98.073499999999996</v>
      </c>
      <c r="J431">
        <f t="shared" ca="1" si="131"/>
        <v>1.6778158577840359</v>
      </c>
      <c r="K431">
        <f t="shared" ca="1" si="132"/>
        <v>101.42913171556806</v>
      </c>
      <c r="L431">
        <f t="shared" ca="1" si="133"/>
        <v>94.71786828443193</v>
      </c>
      <c r="M431">
        <f t="shared" ca="1" si="122"/>
        <v>-5.0000000000011369E-2</v>
      </c>
      <c r="N431">
        <f t="shared" ca="1" si="123"/>
        <v>0</v>
      </c>
      <c r="O431">
        <f t="shared" ca="1" si="124"/>
        <v>5.0000000000011369E-2</v>
      </c>
      <c r="P431">
        <f t="shared" ca="1" si="128"/>
        <v>0.23449430443317806</v>
      </c>
      <c r="Q431">
        <f t="shared" ca="1" si="129"/>
        <v>0.40974026789978379</v>
      </c>
      <c r="R431">
        <f t="shared" ca="1" si="126"/>
        <v>0.57229987580945252</v>
      </c>
      <c r="S431">
        <f t="shared" ca="1" si="127"/>
        <v>36.398901037553081</v>
      </c>
      <c r="T431">
        <f>70</f>
        <v>70</v>
      </c>
      <c r="U431">
        <f>30</f>
        <v>30</v>
      </c>
      <c r="V431">
        <f t="shared" ca="1" si="125"/>
        <v>97.212473908013024</v>
      </c>
      <c r="W431">
        <f t="shared" ca="1" si="135"/>
        <v>98.552205079195872</v>
      </c>
      <c r="X431">
        <f t="shared" ca="1" si="134"/>
        <v>-1.310888604156105</v>
      </c>
      <c r="Y431">
        <f t="shared" ca="1" si="136"/>
        <v>-1.2867870124664944</v>
      </c>
      <c r="Z431">
        <f t="shared" ca="1" si="137"/>
        <v>-2.4101591689610569E-2</v>
      </c>
      <c r="AA431">
        <f t="shared" ca="1" si="138"/>
        <v>102.13849999999996</v>
      </c>
    </row>
    <row r="432" spans="1:27" x14ac:dyDescent="0.25">
      <c r="A432" vm="1262">
        <f ca="1"/>
        <v>45919</v>
      </c>
      <c r="B432" vm="1263">
        <f ca="1"/>
        <v>96.33</v>
      </c>
      <c r="C432" vm="1264">
        <f ca="1"/>
        <v>4091681</v>
      </c>
      <c r="D432">
        <f t="shared" ca="1" si="119"/>
        <v>394151630.73000002</v>
      </c>
      <c r="E432">
        <f ca="1">SUM($D$2:D432)/SUM($C$2:C432)</f>
        <v>98.481452688108703</v>
      </c>
      <c r="F432">
        <f ca="1">_xlfn.STDEV.P($B$2:B432)</f>
        <v>6.5952660167051302</v>
      </c>
      <c r="G432">
        <f t="shared" ca="1" si="120"/>
        <v>105.07671870481383</v>
      </c>
      <c r="H432">
        <f t="shared" ca="1" si="121"/>
        <v>91.886186671403578</v>
      </c>
      <c r="I432">
        <f t="shared" ca="1" si="130"/>
        <v>97.814999999999998</v>
      </c>
      <c r="J432">
        <f t="shared" ca="1" si="131"/>
        <v>1.5122082145691871</v>
      </c>
      <c r="K432">
        <f t="shared" ca="1" si="132"/>
        <v>100.83941642913837</v>
      </c>
      <c r="L432">
        <f t="shared" ca="1" si="133"/>
        <v>94.790583570861628</v>
      </c>
      <c r="M432">
        <f t="shared" ca="1" si="122"/>
        <v>-1.9999999999996021E-2</v>
      </c>
      <c r="N432">
        <f t="shared" ca="1" si="123"/>
        <v>0</v>
      </c>
      <c r="O432">
        <f t="shared" ca="1" si="124"/>
        <v>1.9999999999996021E-2</v>
      </c>
      <c r="P432">
        <f t="shared" ca="1" si="128"/>
        <v>0.21774471125937961</v>
      </c>
      <c r="Q432">
        <f t="shared" ca="1" si="129"/>
        <v>0.38190167733551322</v>
      </c>
      <c r="R432">
        <f t="shared" ca="1" si="126"/>
        <v>0.57015908591593767</v>
      </c>
      <c r="S432">
        <f t="shared" ca="1" si="127"/>
        <v>36.312185881683497</v>
      </c>
      <c r="T432">
        <f>70</f>
        <v>70</v>
      </c>
      <c r="U432">
        <f>30</f>
        <v>30</v>
      </c>
      <c r="V432">
        <f t="shared" ca="1" si="125"/>
        <v>97.076708691395623</v>
      </c>
      <c r="W432">
        <f t="shared" ca="1" si="135"/>
        <v>98.387597295551728</v>
      </c>
      <c r="X432">
        <f t="shared" ca="1" si="134"/>
        <v>-1.250218346751609</v>
      </c>
      <c r="Y432">
        <f t="shared" ca="1" si="136"/>
        <v>-1.2794732793235175</v>
      </c>
      <c r="Z432">
        <f t="shared" ca="1" si="137"/>
        <v>2.9254932571908476E-2</v>
      </c>
      <c r="AA432">
        <f t="shared" ca="1" si="138"/>
        <v>101.99049999999997</v>
      </c>
    </row>
    <row r="433" spans="1:27" x14ac:dyDescent="0.25">
      <c r="A433" vm="1265">
        <f ca="1"/>
        <v>45922</v>
      </c>
      <c r="B433" vm="686">
        <f ca="1"/>
        <v>96.62</v>
      </c>
      <c r="C433" vm="1266">
        <f ca="1"/>
        <v>1938992</v>
      </c>
      <c r="D433">
        <f t="shared" ca="1" si="119"/>
        <v>187345407.04000002</v>
      </c>
      <c r="E433">
        <f ca="1">SUM($D$2:D433)/SUM($C$2:C433)</f>
        <v>98.477731848595624</v>
      </c>
      <c r="F433">
        <f ca="1">_xlfn.STDEV.P($B$2:B433)</f>
        <v>6.5878440711793411</v>
      </c>
      <c r="G433">
        <f t="shared" ca="1" si="120"/>
        <v>105.06557591977497</v>
      </c>
      <c r="H433">
        <f t="shared" ca="1" si="121"/>
        <v>91.889887777416277</v>
      </c>
      <c r="I433">
        <f t="shared" ca="1" si="130"/>
        <v>97.563499999999976</v>
      </c>
      <c r="J433">
        <f t="shared" ca="1" si="131"/>
        <v>1.2334046802502239</v>
      </c>
      <c r="K433">
        <f t="shared" ca="1" si="132"/>
        <v>100.03030936050042</v>
      </c>
      <c r="L433">
        <f t="shared" ca="1" si="133"/>
        <v>95.096690639499528</v>
      </c>
      <c r="M433">
        <f t="shared" ca="1" si="122"/>
        <v>0.29000000000000625</v>
      </c>
      <c r="N433">
        <f t="shared" ca="1" si="123"/>
        <v>0.29000000000000625</v>
      </c>
      <c r="O433">
        <f t="shared" ca="1" si="124"/>
        <v>0</v>
      </c>
      <c r="P433">
        <f t="shared" ca="1" si="128"/>
        <v>0.22290580331228152</v>
      </c>
      <c r="Q433">
        <f t="shared" ca="1" si="129"/>
        <v>0.35462298609726223</v>
      </c>
      <c r="R433">
        <f t="shared" ca="1" si="126"/>
        <v>0.62857122084902095</v>
      </c>
      <c r="S433">
        <f t="shared" ca="1" si="127"/>
        <v>38.596483396122437</v>
      </c>
      <c r="T433">
        <f>70</f>
        <v>70</v>
      </c>
      <c r="U433">
        <f>30</f>
        <v>30</v>
      </c>
      <c r="V433">
        <f t="shared" ca="1" si="125"/>
        <v>97.006445815796297</v>
      </c>
      <c r="W433">
        <f t="shared" ca="1" si="135"/>
        <v>98.256664162547906</v>
      </c>
      <c r="X433">
        <f t="shared" ca="1" si="134"/>
        <v>-1.034477052810729</v>
      </c>
      <c r="Y433">
        <f t="shared" ca="1" si="136"/>
        <v>-1.2304740340209599</v>
      </c>
      <c r="Z433">
        <f t="shared" ca="1" si="137"/>
        <v>0.1959969812102309</v>
      </c>
      <c r="AA433">
        <f t="shared" ca="1" si="138"/>
        <v>101.83539999999999</v>
      </c>
    </row>
    <row r="434" spans="1:27" x14ac:dyDescent="0.25">
      <c r="A434" vm="1267">
        <f ca="1"/>
        <v>45923</v>
      </c>
      <c r="B434" vm="1268">
        <f ca="1"/>
        <v>98.55</v>
      </c>
      <c r="C434" vm="1269">
        <f ca="1"/>
        <v>2204294</v>
      </c>
      <c r="D434">
        <f t="shared" ca="1" si="119"/>
        <v>217233173.69999999</v>
      </c>
      <c r="E434">
        <f ca="1">SUM($D$2:D434)/SUM($C$2:C434)</f>
        <v>98.47789569752851</v>
      </c>
      <c r="F434">
        <f ca="1">_xlfn.STDEV.P($B$2:B434)</f>
        <v>6.5803509854150857</v>
      </c>
      <c r="G434">
        <f t="shared" ca="1" si="120"/>
        <v>105.05824668294359</v>
      </c>
      <c r="H434">
        <f t="shared" ca="1" si="121"/>
        <v>91.897544712113429</v>
      </c>
      <c r="I434">
        <f t="shared" ca="1" si="130"/>
        <v>97.493499999999983</v>
      </c>
      <c r="J434">
        <f t="shared" ca="1" si="131"/>
        <v>1.1258740464283963</v>
      </c>
      <c r="K434">
        <f t="shared" ca="1" si="132"/>
        <v>99.74524809285677</v>
      </c>
      <c r="L434">
        <f t="shared" ca="1" si="133"/>
        <v>95.241751907143197</v>
      </c>
      <c r="M434">
        <f t="shared" ca="1" si="122"/>
        <v>1.9299999999999926</v>
      </c>
      <c r="N434">
        <f t="shared" ca="1" si="123"/>
        <v>1.9299999999999926</v>
      </c>
      <c r="O434">
        <f t="shared" ca="1" si="124"/>
        <v>0</v>
      </c>
      <c r="P434">
        <f t="shared" ca="1" si="128"/>
        <v>0.34484110307568944</v>
      </c>
      <c r="Q434">
        <f t="shared" ca="1" si="129"/>
        <v>0.32929277280460062</v>
      </c>
      <c r="R434">
        <f t="shared" ca="1" si="126"/>
        <v>1.0472173444277657</v>
      </c>
      <c r="S434">
        <f t="shared" ca="1" si="127"/>
        <v>51.153207903310431</v>
      </c>
      <c r="T434">
        <f>70</f>
        <v>70</v>
      </c>
      <c r="U434">
        <f>30</f>
        <v>30</v>
      </c>
      <c r="V434">
        <f t="shared" ca="1" si="125"/>
        <v>97.243915690289185</v>
      </c>
      <c r="W434">
        <f t="shared" ca="1" si="135"/>
        <v>98.278392743099914</v>
      </c>
      <c r="X434">
        <f t="shared" ca="1" si="134"/>
        <v>-0.83291932048884121</v>
      </c>
      <c r="Y434">
        <f t="shared" ca="1" si="136"/>
        <v>-1.1509630913145363</v>
      </c>
      <c r="Z434">
        <f t="shared" ca="1" si="137"/>
        <v>0.31804377082569513</v>
      </c>
      <c r="AA434">
        <f t="shared" ca="1" si="138"/>
        <v>101.69339999999997</v>
      </c>
    </row>
    <row r="435" spans="1:27" x14ac:dyDescent="0.25">
      <c r="A435" vm="1270">
        <f ca="1"/>
        <v>45924</v>
      </c>
      <c r="B435" vm="1271">
        <f ca="1"/>
        <v>98.81</v>
      </c>
      <c r="C435" vm="1272">
        <f ca="1"/>
        <v>1611788</v>
      </c>
      <c r="D435">
        <f t="shared" ca="1" si="119"/>
        <v>159260772.28</v>
      </c>
      <c r="E435">
        <f ca="1">SUM($D$2:D435)/SUM($C$2:C435)</f>
        <v>98.478445352538614</v>
      </c>
      <c r="F435">
        <f ca="1">_xlfn.STDEV.P($B$2:B435)</f>
        <v>6.5729698677549209</v>
      </c>
      <c r="G435">
        <f t="shared" ca="1" si="120"/>
        <v>105.05141522029353</v>
      </c>
      <c r="H435">
        <f t="shared" ca="1" si="121"/>
        <v>91.905475484783693</v>
      </c>
      <c r="I435">
        <f t="shared" ca="1" si="130"/>
        <v>97.447999999999993</v>
      </c>
      <c r="J435">
        <f t="shared" ca="1" si="131"/>
        <v>1.0467674551986972</v>
      </c>
      <c r="K435">
        <f t="shared" ca="1" si="132"/>
        <v>99.541534910397388</v>
      </c>
      <c r="L435">
        <f t="shared" ca="1" si="133"/>
        <v>95.354465089602598</v>
      </c>
      <c r="M435">
        <f t="shared" ca="1" si="122"/>
        <v>0.26000000000000512</v>
      </c>
      <c r="N435">
        <f t="shared" ca="1" si="123"/>
        <v>0.26000000000000512</v>
      </c>
      <c r="O435">
        <f t="shared" ca="1" si="124"/>
        <v>0</v>
      </c>
      <c r="P435">
        <f t="shared" ca="1" si="128"/>
        <v>0.33878102428456913</v>
      </c>
      <c r="Q435">
        <f t="shared" ca="1" si="129"/>
        <v>0.30577186046141486</v>
      </c>
      <c r="R435">
        <f t="shared" ca="1" si="126"/>
        <v>1.1079535696101757</v>
      </c>
      <c r="S435">
        <f t="shared" ca="1" si="127"/>
        <v>52.56062493895773</v>
      </c>
      <c r="T435">
        <f>70</f>
        <v>70</v>
      </c>
      <c r="U435">
        <f>30</f>
        <v>30</v>
      </c>
      <c r="V435">
        <f t="shared" ca="1" si="125"/>
        <v>97.484851737937007</v>
      </c>
      <c r="W435">
        <f t="shared" ca="1" si="135"/>
        <v>98.317771058425848</v>
      </c>
      <c r="X435">
        <f t="shared" ca="1" si="134"/>
        <v>-0.70220691686925818</v>
      </c>
      <c r="Y435">
        <f t="shared" ca="1" si="136"/>
        <v>-1.0612118564254807</v>
      </c>
      <c r="Z435">
        <f t="shared" ca="1" si="137"/>
        <v>0.35900493955622248</v>
      </c>
      <c r="AA435">
        <f t="shared" ca="1" si="138"/>
        <v>101.55589999999997</v>
      </c>
    </row>
    <row r="436" spans="1:27" x14ac:dyDescent="0.25">
      <c r="A436" vm="1273">
        <f ca="1"/>
        <v>45925</v>
      </c>
      <c r="B436" vm="1274">
        <f ca="1"/>
        <v>98.35</v>
      </c>
      <c r="C436" vm="1275">
        <f ca="1"/>
        <v>1848471</v>
      </c>
      <c r="D436">
        <f t="shared" ca="1" si="119"/>
        <v>181797122.84999999</v>
      </c>
      <c r="E436">
        <f ca="1">SUM($D$2:D436)/SUM($C$2:C436)</f>
        <v>98.478202011559105</v>
      </c>
      <c r="F436">
        <f ca="1">_xlfn.STDEV.P($B$2:B436)</f>
        <v>6.5654771770244817</v>
      </c>
      <c r="G436">
        <f t="shared" ca="1" si="120"/>
        <v>105.04367918858358</v>
      </c>
      <c r="H436">
        <f t="shared" ca="1" si="121"/>
        <v>91.912724834534629</v>
      </c>
      <c r="I436">
        <f t="shared" ca="1" si="130"/>
        <v>97.361999999999995</v>
      </c>
      <c r="J436">
        <f t="shared" ca="1" si="131"/>
        <v>0.87688203611612303</v>
      </c>
      <c r="K436">
        <f t="shared" ca="1" si="132"/>
        <v>99.115764072232238</v>
      </c>
      <c r="L436">
        <f t="shared" ca="1" si="133"/>
        <v>95.608235927767751</v>
      </c>
      <c r="M436">
        <f t="shared" ca="1" si="122"/>
        <v>-0.46000000000000796</v>
      </c>
      <c r="N436">
        <f t="shared" ca="1" si="123"/>
        <v>0</v>
      </c>
      <c r="O436">
        <f t="shared" ca="1" si="124"/>
        <v>0.46000000000000796</v>
      </c>
      <c r="P436">
        <f t="shared" ca="1" si="128"/>
        <v>0.31458237969281422</v>
      </c>
      <c r="Q436">
        <f t="shared" ca="1" si="129"/>
        <v>0.31678815614274292</v>
      </c>
      <c r="R436">
        <f t="shared" ca="1" si="126"/>
        <v>0.99303706149628024</v>
      </c>
      <c r="S436">
        <f t="shared" ca="1" si="127"/>
        <v>49.82531838874857</v>
      </c>
      <c r="T436">
        <f>70</f>
        <v>70</v>
      </c>
      <c r="U436">
        <f>30</f>
        <v>30</v>
      </c>
      <c r="V436">
        <f t="shared" ca="1" si="125"/>
        <v>97.617951470562076</v>
      </c>
      <c r="W436">
        <f t="shared" ca="1" si="135"/>
        <v>98.320158387431334</v>
      </c>
      <c r="X436">
        <f t="shared" ca="1" si="134"/>
        <v>-0.49048401469586622</v>
      </c>
      <c r="Y436">
        <f t="shared" ca="1" si="136"/>
        <v>-0.94706628807955784</v>
      </c>
      <c r="Z436">
        <f t="shared" ca="1" si="137"/>
        <v>0.45658227338369162</v>
      </c>
      <c r="AA436">
        <f t="shared" ca="1" si="138"/>
        <v>101.43909999999998</v>
      </c>
    </row>
    <row r="437" spans="1:27" x14ac:dyDescent="0.25">
      <c r="A437" vm="1276">
        <f ca="1"/>
        <v>45926</v>
      </c>
      <c r="B437" vm="1277">
        <f ca="1"/>
        <v>99.62</v>
      </c>
      <c r="C437" vm="1278">
        <f ca="1"/>
        <v>1947302</v>
      </c>
      <c r="D437">
        <f t="shared" ca="1" si="119"/>
        <v>193990225.24000001</v>
      </c>
      <c r="E437">
        <f ca="1">SUM($D$2:D437)/SUM($C$2:C437)</f>
        <v>98.480476275662895</v>
      </c>
      <c r="F437">
        <f ca="1">_xlfn.STDEV.P($B$2:B437)</f>
        <v>6.5585648300634158</v>
      </c>
      <c r="G437">
        <f t="shared" ca="1" si="120"/>
        <v>105.03904110572631</v>
      </c>
      <c r="H437">
        <f t="shared" ca="1" si="121"/>
        <v>91.921911445599477</v>
      </c>
      <c r="I437">
        <f t="shared" ca="1" si="130"/>
        <v>97.4345</v>
      </c>
      <c r="J437">
        <f t="shared" ca="1" si="131"/>
        <v>0.99868584702729835</v>
      </c>
      <c r="K437">
        <f t="shared" ca="1" si="132"/>
        <v>99.431871694054593</v>
      </c>
      <c r="L437">
        <f t="shared" ca="1" si="133"/>
        <v>95.437128305945407</v>
      </c>
      <c r="M437">
        <f t="shared" ca="1" si="122"/>
        <v>1.2700000000000102</v>
      </c>
      <c r="N437">
        <f t="shared" ca="1" si="123"/>
        <v>1.2700000000000102</v>
      </c>
      <c r="O437">
        <f t="shared" ca="1" si="124"/>
        <v>0</v>
      </c>
      <c r="P437">
        <f t="shared" ca="1" si="128"/>
        <v>0.38282649542904246</v>
      </c>
      <c r="Q437">
        <f t="shared" ca="1" si="129"/>
        <v>0.29416043070397552</v>
      </c>
      <c r="R437">
        <f t="shared" ca="1" si="126"/>
        <v>1.3014207740751333</v>
      </c>
      <c r="S437">
        <f t="shared" ca="1" si="127"/>
        <v>56.548580282896431</v>
      </c>
      <c r="T437">
        <f>70</f>
        <v>70</v>
      </c>
      <c r="U437">
        <f>30</f>
        <v>30</v>
      </c>
      <c r="V437">
        <f t="shared" ca="1" si="125"/>
        <v>97.925958936629442</v>
      </c>
      <c r="W437">
        <f t="shared" ca="1" si="135"/>
        <v>98.416442951325308</v>
      </c>
      <c r="X437">
        <f t="shared" ca="1" si="134"/>
        <v>-0.32300329060336708</v>
      </c>
      <c r="Y437">
        <f t="shared" ca="1" si="136"/>
        <v>-0.82225368858431969</v>
      </c>
      <c r="Z437">
        <f t="shared" ca="1" si="137"/>
        <v>0.49925039798095261</v>
      </c>
      <c r="AA437">
        <f t="shared" ca="1" si="138"/>
        <v>101.34009999999998</v>
      </c>
    </row>
    <row r="438" spans="1:27" x14ac:dyDescent="0.25">
      <c r="A438" vm="1279">
        <f ca="1"/>
        <v>45929</v>
      </c>
      <c r="B438" vm="1280">
        <f ca="1"/>
        <v>99.57</v>
      </c>
      <c r="C438" vm="1281">
        <f ca="1"/>
        <v>1875302</v>
      </c>
      <c r="D438">
        <f t="shared" ca="1" si="119"/>
        <v>186723820.13999999</v>
      </c>
      <c r="E438">
        <f ca="1">SUM($D$2:D438)/SUM($C$2:C438)</f>
        <v>98.482562177968134</v>
      </c>
      <c r="F438">
        <f ca="1">_xlfn.STDEV.P($B$2:B438)</f>
        <v>6.5516416692800217</v>
      </c>
      <c r="G438">
        <f t="shared" ca="1" si="120"/>
        <v>105.03420384724815</v>
      </c>
      <c r="H438">
        <f t="shared" ca="1" si="121"/>
        <v>91.930920508688118</v>
      </c>
      <c r="I438">
        <f t="shared" ca="1" si="130"/>
        <v>97.501499999999993</v>
      </c>
      <c r="J438">
        <f t="shared" ca="1" si="131"/>
        <v>1.0951533177933048</v>
      </c>
      <c r="K438">
        <f t="shared" ca="1" si="132"/>
        <v>99.691806635586602</v>
      </c>
      <c r="L438">
        <f t="shared" ca="1" si="133"/>
        <v>95.311193364413384</v>
      </c>
      <c r="M438">
        <f t="shared" ca="1" si="122"/>
        <v>-5.0000000000011369E-2</v>
      </c>
      <c r="N438">
        <f t="shared" ca="1" si="123"/>
        <v>0</v>
      </c>
      <c r="O438">
        <f t="shared" ca="1" si="124"/>
        <v>5.0000000000011369E-2</v>
      </c>
      <c r="P438">
        <f t="shared" ca="1" si="128"/>
        <v>0.35548174575553942</v>
      </c>
      <c r="Q438">
        <f t="shared" ca="1" si="129"/>
        <v>0.27672039993940667</v>
      </c>
      <c r="R438">
        <f t="shared" ca="1" si="126"/>
        <v>1.2846242844162523</v>
      </c>
      <c r="S438">
        <f t="shared" ca="1" si="127"/>
        <v>56.229126739957096</v>
      </c>
      <c r="T438">
        <f>70</f>
        <v>70</v>
      </c>
      <c r="U438">
        <f>30</f>
        <v>30</v>
      </c>
      <c r="V438">
        <f t="shared" ca="1" si="125"/>
        <v>98.178888330994141</v>
      </c>
      <c r="W438">
        <f t="shared" ca="1" si="135"/>
        <v>98.501891621597508</v>
      </c>
      <c r="X438">
        <f t="shared" ca="1" si="134"/>
        <v>-0.11232177411375233</v>
      </c>
      <c r="Y438">
        <f t="shared" ca="1" si="136"/>
        <v>-0.68026730569020621</v>
      </c>
      <c r="Z438">
        <f t="shared" ca="1" si="137"/>
        <v>0.56794553157645389</v>
      </c>
      <c r="AA438">
        <f t="shared" ca="1" si="138"/>
        <v>101.23109999999997</v>
      </c>
    </row>
    <row r="439" spans="1:27" x14ac:dyDescent="0.25">
      <c r="A439" vm="1282">
        <f ca="1"/>
        <v>45930</v>
      </c>
      <c r="B439" vm="1283">
        <f ca="1"/>
        <v>100.52</v>
      </c>
      <c r="C439" vm="1284">
        <f ca="1"/>
        <v>2199219</v>
      </c>
      <c r="D439">
        <f t="shared" ca="1" si="119"/>
        <v>221065493.88</v>
      </c>
      <c r="E439">
        <f ca="1">SUM($D$2:D439)/SUM($C$2:C439)</f>
        <v>98.487126380576356</v>
      </c>
      <c r="F439">
        <f ca="1">_xlfn.STDEV.P($B$2:B439)</f>
        <v>6.5455017611316046</v>
      </c>
      <c r="G439">
        <f t="shared" ca="1" si="120"/>
        <v>105.03262814170796</v>
      </c>
      <c r="H439">
        <f t="shared" ca="1" si="121"/>
        <v>91.941624619444752</v>
      </c>
      <c r="I439">
        <f t="shared" ca="1" si="130"/>
        <v>97.66749999999999</v>
      </c>
      <c r="J439">
        <f t="shared" ca="1" si="131"/>
        <v>1.282620159550055</v>
      </c>
      <c r="K439">
        <f t="shared" ca="1" si="132"/>
        <v>100.2327403191001</v>
      </c>
      <c r="L439">
        <f t="shared" ca="1" si="133"/>
        <v>95.102259680899877</v>
      </c>
      <c r="M439">
        <f t="shared" ca="1" si="122"/>
        <v>0.95000000000000284</v>
      </c>
      <c r="N439">
        <f t="shared" ca="1" si="123"/>
        <v>0.95000000000000284</v>
      </c>
      <c r="O439">
        <f t="shared" ca="1" si="124"/>
        <v>0</v>
      </c>
      <c r="P439">
        <f t="shared" ca="1" si="128"/>
        <v>0.39794733534442966</v>
      </c>
      <c r="Q439">
        <f t="shared" ca="1" si="129"/>
        <v>0.25695465708659188</v>
      </c>
      <c r="R439">
        <f t="shared" ca="1" si="126"/>
        <v>1.5487064521672564</v>
      </c>
      <c r="S439">
        <f t="shared" ca="1" si="127"/>
        <v>60.764410544428763</v>
      </c>
      <c r="T439">
        <f>70</f>
        <v>70</v>
      </c>
      <c r="U439">
        <f>30</f>
        <v>30</v>
      </c>
      <c r="V439">
        <f t="shared" ca="1" si="125"/>
        <v>98.53905935699504</v>
      </c>
      <c r="W439">
        <f t="shared" ca="1" si="135"/>
        <v>98.651381131108792</v>
      </c>
      <c r="X439">
        <f t="shared" ca="1" si="134"/>
        <v>-0.13344227516475371</v>
      </c>
      <c r="Y439">
        <f t="shared" ca="1" si="136"/>
        <v>-0.57090229958511574</v>
      </c>
      <c r="Z439">
        <f t="shared" ca="1" si="137"/>
        <v>0.43746002442036203</v>
      </c>
      <c r="AA439">
        <f t="shared" ca="1" si="138"/>
        <v>101.12589999999996</v>
      </c>
    </row>
    <row r="440" spans="1:27" x14ac:dyDescent="0.25">
      <c r="A440" vm="1285">
        <f ca="1"/>
        <v>45931</v>
      </c>
      <c r="B440" vm="1220">
        <f ca="1"/>
        <v>98.17</v>
      </c>
      <c r="C440" vm="1286">
        <f ca="1"/>
        <v>2301874</v>
      </c>
      <c r="D440">
        <f t="shared" ca="1" si="119"/>
        <v>225974970.58000001</v>
      </c>
      <c r="E440">
        <f ca="1">SUM($D$2:D440)/SUM($C$2:C440)</f>
        <v>98.486384542915744</v>
      </c>
      <c r="F440">
        <f ca="1">_xlfn.STDEV.P($B$2:B440)</f>
        <v>6.5380734643577743</v>
      </c>
      <c r="G440">
        <f t="shared" ca="1" si="120"/>
        <v>105.02445800727352</v>
      </c>
      <c r="H440">
        <f t="shared" ca="1" si="121"/>
        <v>91.948311078557964</v>
      </c>
      <c r="I440">
        <f t="shared" ca="1" si="130"/>
        <v>97.683499999999995</v>
      </c>
      <c r="J440">
        <f t="shared" ca="1" si="131"/>
        <v>1.2870049891532127</v>
      </c>
      <c r="K440">
        <f t="shared" ca="1" si="132"/>
        <v>100.25750997830642</v>
      </c>
      <c r="L440">
        <f t="shared" ca="1" si="133"/>
        <v>95.109490021693574</v>
      </c>
      <c r="M440">
        <f t="shared" ca="1" si="122"/>
        <v>-2.3499999999999943</v>
      </c>
      <c r="N440">
        <f t="shared" ca="1" si="123"/>
        <v>0</v>
      </c>
      <c r="O440">
        <f t="shared" ca="1" si="124"/>
        <v>2.3499999999999943</v>
      </c>
      <c r="P440">
        <f t="shared" ca="1" si="128"/>
        <v>0.36952252567697041</v>
      </c>
      <c r="Q440">
        <f t="shared" ca="1" si="129"/>
        <v>0.40645789586612058</v>
      </c>
      <c r="R440">
        <f t="shared" ca="1" si="126"/>
        <v>0.90912866851695762</v>
      </c>
      <c r="S440">
        <f t="shared" ca="1" si="127"/>
        <v>47.620083628160259</v>
      </c>
      <c r="T440">
        <f>70</f>
        <v>70</v>
      </c>
      <c r="U440">
        <f>30</f>
        <v>30</v>
      </c>
      <c r="V440">
        <f t="shared" ca="1" si="125"/>
        <v>98.482280994380417</v>
      </c>
      <c r="W440">
        <f t="shared" ca="1" si="135"/>
        <v>98.615723269545171</v>
      </c>
      <c r="X440">
        <f t="shared" ca="1" si="134"/>
        <v>-0.19074816886380574</v>
      </c>
      <c r="Y440">
        <f t="shared" ca="1" si="136"/>
        <v>-0.49487147344085375</v>
      </c>
      <c r="Z440">
        <f t="shared" ca="1" si="137"/>
        <v>0.304123304577048</v>
      </c>
      <c r="AA440">
        <f t="shared" ca="1" si="138"/>
        <v>101.03009999999996</v>
      </c>
    </row>
    <row r="441" spans="1:27" x14ac:dyDescent="0.25">
      <c r="A441" vm="1287">
        <f ca="1"/>
        <v>45932</v>
      </c>
      <c r="B441" vm="269">
        <f ca="1"/>
        <v>97.64</v>
      </c>
      <c r="C441" vm="1288">
        <f ca="1"/>
        <v>1449485</v>
      </c>
      <c r="D441">
        <f t="shared" ca="1" si="119"/>
        <v>141527715.40000001</v>
      </c>
      <c r="E441">
        <f ca="1">SUM($D$2:D441)/SUM($C$2:C441)</f>
        <v>98.485139635213642</v>
      </c>
      <c r="F441">
        <f ca="1">_xlfn.STDEV.P($B$2:B441)</f>
        <v>6.5306416666355096</v>
      </c>
      <c r="G441">
        <f t="shared" ca="1" si="120"/>
        <v>105.01578130184915</v>
      </c>
      <c r="H441">
        <f t="shared" ca="1" si="121"/>
        <v>91.954497968578139</v>
      </c>
      <c r="I441">
        <f t="shared" ca="1" si="130"/>
        <v>97.675499999999985</v>
      </c>
      <c r="J441">
        <f t="shared" ca="1" si="131"/>
        <v>1.286739964733397</v>
      </c>
      <c r="K441">
        <f t="shared" ca="1" si="132"/>
        <v>100.24897992946678</v>
      </c>
      <c r="L441">
        <f t="shared" ca="1" si="133"/>
        <v>95.102020070533186</v>
      </c>
      <c r="M441">
        <f t="shared" ca="1" si="122"/>
        <v>-0.53000000000000114</v>
      </c>
      <c r="N441">
        <f t="shared" ca="1" si="123"/>
        <v>0</v>
      </c>
      <c r="O441">
        <f t="shared" ca="1" si="124"/>
        <v>0.53000000000000114</v>
      </c>
      <c r="P441">
        <f t="shared" ca="1" si="128"/>
        <v>0.34312805955718684</v>
      </c>
      <c r="Q441">
        <f t="shared" ca="1" si="129"/>
        <v>0.41528233187568347</v>
      </c>
      <c r="R441">
        <f t="shared" ca="1" si="126"/>
        <v>0.8262524870908875</v>
      </c>
      <c r="S441">
        <f t="shared" ca="1" si="127"/>
        <v>45.243058828467852</v>
      </c>
      <c r="T441">
        <f>70</f>
        <v>70</v>
      </c>
      <c r="U441">
        <f>30</f>
        <v>30</v>
      </c>
      <c r="V441">
        <f t="shared" ca="1" si="125"/>
        <v>98.352699302937282</v>
      </c>
      <c r="W441">
        <f t="shared" ca="1" si="135"/>
        <v>98.543447471801088</v>
      </c>
      <c r="X441">
        <f t="shared" ca="1" si="134"/>
        <v>-0.14013884718798408</v>
      </c>
      <c r="Y441">
        <f t="shared" ca="1" si="136"/>
        <v>-0.42392494819027987</v>
      </c>
      <c r="Z441">
        <f t="shared" ca="1" si="137"/>
        <v>0.28378610100229579</v>
      </c>
      <c r="AA441">
        <f t="shared" ca="1" si="138"/>
        <v>100.92969999999997</v>
      </c>
    </row>
    <row r="442" spans="1:27" x14ac:dyDescent="0.25">
      <c r="A442" vm="1289">
        <f ca="1"/>
        <v>45933</v>
      </c>
      <c r="B442" vm="1271">
        <f ca="1"/>
        <v>98.81</v>
      </c>
      <c r="C442" vm="1290">
        <f ca="1"/>
        <v>1676205</v>
      </c>
      <c r="D442">
        <f t="shared" ca="1" si="119"/>
        <v>165625816.05000001</v>
      </c>
      <c r="E442">
        <f ca="1">SUM($D$2:D442)/SUM($C$2:C442)</f>
        <v>98.485691257105699</v>
      </c>
      <c r="F442">
        <f ca="1">_xlfn.STDEV.P($B$2:B442)</f>
        <v>6.5234284631178205</v>
      </c>
      <c r="G442">
        <f t="shared" ca="1" si="120"/>
        <v>105.00911972022352</v>
      </c>
      <c r="H442">
        <f t="shared" ca="1" si="121"/>
        <v>91.962262793987875</v>
      </c>
      <c r="I442">
        <f t="shared" ca="1" si="130"/>
        <v>97.713499999999996</v>
      </c>
      <c r="J442">
        <f t="shared" ca="1" si="131"/>
        <v>1.3094043442886938</v>
      </c>
      <c r="K442">
        <f t="shared" ca="1" si="132"/>
        <v>100.33230868857738</v>
      </c>
      <c r="L442">
        <f t="shared" ca="1" si="133"/>
        <v>95.094691311422608</v>
      </c>
      <c r="M442">
        <f t="shared" ca="1" si="122"/>
        <v>1.1700000000000017</v>
      </c>
      <c r="N442">
        <f t="shared" ca="1" si="123"/>
        <v>1.1700000000000017</v>
      </c>
      <c r="O442">
        <f t="shared" ca="1" si="124"/>
        <v>0</v>
      </c>
      <c r="P442">
        <f t="shared" ca="1" si="128"/>
        <v>0.40219034101738788</v>
      </c>
      <c r="Q442">
        <f t="shared" ca="1" si="129"/>
        <v>0.38561930817027751</v>
      </c>
      <c r="R442">
        <f t="shared" ca="1" si="126"/>
        <v>1.0429725184813441</v>
      </c>
      <c r="S442">
        <f t="shared" ca="1" si="127"/>
        <v>51.051715529518916</v>
      </c>
      <c r="T442">
        <f>70</f>
        <v>70</v>
      </c>
      <c r="U442">
        <f>30</f>
        <v>30</v>
      </c>
      <c r="V442">
        <f t="shared" ca="1" si="125"/>
        <v>98.423053256331542</v>
      </c>
      <c r="W442">
        <f t="shared" ca="1" si="135"/>
        <v>98.563192103519526</v>
      </c>
      <c r="X442">
        <f t="shared" ca="1" si="134"/>
        <v>-5.7409163855780321E-2</v>
      </c>
      <c r="Y442">
        <f t="shared" ca="1" si="136"/>
        <v>-0.35062179132337995</v>
      </c>
      <c r="Z442">
        <f t="shared" ca="1" si="137"/>
        <v>0.29321262746759963</v>
      </c>
      <c r="AA442">
        <f t="shared" ca="1" si="138"/>
        <v>100.88239999999998</v>
      </c>
    </row>
    <row r="443" spans="1:27" x14ac:dyDescent="0.25">
      <c r="A443" vm="1291">
        <f ca="1"/>
        <v>45936</v>
      </c>
      <c r="B443" vm="1292">
        <f ca="1"/>
        <v>99.33</v>
      </c>
      <c r="C443" vm="1293">
        <f ca="1"/>
        <v>1769805</v>
      </c>
      <c r="D443">
        <f t="shared" ca="1" si="119"/>
        <v>175794730.65000001</v>
      </c>
      <c r="E443">
        <f ca="1">SUM($D$2:D443)/SUM($C$2:C443)</f>
        <v>98.487202263882764</v>
      </c>
      <c r="F443">
        <f ca="1">_xlfn.STDEV.P($B$2:B443)</f>
        <v>6.5164766763236175</v>
      </c>
      <c r="G443">
        <f t="shared" ca="1" si="120"/>
        <v>105.00367894020638</v>
      </c>
      <c r="H443">
        <f t="shared" ca="1" si="121"/>
        <v>91.970725587559144</v>
      </c>
      <c r="I443">
        <f t="shared" ca="1" si="130"/>
        <v>97.847499999999997</v>
      </c>
      <c r="J443">
        <f t="shared" ca="1" si="131"/>
        <v>1.3317810591361043</v>
      </c>
      <c r="K443">
        <f t="shared" ca="1" si="132"/>
        <v>100.51106211827221</v>
      </c>
      <c r="L443">
        <f t="shared" ca="1" si="133"/>
        <v>95.183937881727786</v>
      </c>
      <c r="M443">
        <f t="shared" ca="1" si="122"/>
        <v>0.51999999999999602</v>
      </c>
      <c r="N443">
        <f t="shared" ca="1" si="123"/>
        <v>0.51999999999999602</v>
      </c>
      <c r="O443">
        <f t="shared" ca="1" si="124"/>
        <v>0</v>
      </c>
      <c r="P443">
        <f t="shared" ca="1" si="128"/>
        <v>0.41060531665900274</v>
      </c>
      <c r="Q443">
        <f t="shared" ca="1" si="129"/>
        <v>0.35807507187240051</v>
      </c>
      <c r="R443">
        <f t="shared" ca="1" si="126"/>
        <v>1.1467017642750661</v>
      </c>
      <c r="S443">
        <f t="shared" ca="1" si="127"/>
        <v>53.416910693335339</v>
      </c>
      <c r="T443">
        <f>70</f>
        <v>70</v>
      </c>
      <c r="U443">
        <f>30</f>
        <v>30</v>
      </c>
      <c r="V443">
        <f t="shared" ca="1" si="125"/>
        <v>98.56258352458822</v>
      </c>
      <c r="W443">
        <f t="shared" ca="1" si="135"/>
        <v>98.619992688444</v>
      </c>
      <c r="X443">
        <f t="shared" ca="1" si="134"/>
        <v>6.4699951733345529E-2</v>
      </c>
      <c r="Y443">
        <f t="shared" ca="1" si="136"/>
        <v>-0.26755744271203485</v>
      </c>
      <c r="Z443">
        <f t="shared" ca="1" si="137"/>
        <v>0.33225739444538038</v>
      </c>
      <c r="AA443">
        <f t="shared" ca="1" si="138"/>
        <v>100.86989999999997</v>
      </c>
    </row>
    <row r="444" spans="1:27" x14ac:dyDescent="0.25">
      <c r="A444" vm="1294">
        <f ca="1"/>
        <v>45937</v>
      </c>
      <c r="B444" vm="1295">
        <f ca="1"/>
        <v>100.04</v>
      </c>
      <c r="C444" vm="1296">
        <f ca="1"/>
        <v>1722042</v>
      </c>
      <c r="D444">
        <f t="shared" ca="1" si="119"/>
        <v>172273081.68000001</v>
      </c>
      <c r="E444">
        <f ca="1">SUM($D$2:D444)/SUM($C$2:C444)</f>
        <v>98.48990151158489</v>
      </c>
      <c r="F444">
        <f ca="1">_xlfn.STDEV.P($B$2:B444)</f>
        <v>6.5100211469224494</v>
      </c>
      <c r="G444">
        <f t="shared" ca="1" si="120"/>
        <v>104.99992265850734</v>
      </c>
      <c r="H444">
        <f t="shared" ca="1" si="121"/>
        <v>91.979880364662435</v>
      </c>
      <c r="I444">
        <f t="shared" ca="1" si="130"/>
        <v>98.000499999999988</v>
      </c>
      <c r="J444">
        <f t="shared" ca="1" si="131"/>
        <v>1.4008549081486676</v>
      </c>
      <c r="K444">
        <f t="shared" ca="1" si="132"/>
        <v>100.80220981629732</v>
      </c>
      <c r="L444">
        <f t="shared" ca="1" si="133"/>
        <v>95.198790183702656</v>
      </c>
      <c r="M444">
        <f t="shared" ca="1" si="122"/>
        <v>0.71000000000000796</v>
      </c>
      <c r="N444">
        <f t="shared" ca="1" si="123"/>
        <v>0.71000000000000796</v>
      </c>
      <c r="O444">
        <f t="shared" ca="1" si="124"/>
        <v>0</v>
      </c>
      <c r="P444">
        <f t="shared" ca="1" si="128"/>
        <v>0.43199065118336027</v>
      </c>
      <c r="Q444">
        <f t="shared" ca="1" si="129"/>
        <v>0.3324982810243719</v>
      </c>
      <c r="R444">
        <f t="shared" ca="1" si="126"/>
        <v>1.2992267203682044</v>
      </c>
      <c r="S444">
        <f t="shared" ca="1" si="127"/>
        <v>56.507116451749596</v>
      </c>
      <c r="T444">
        <f>70</f>
        <v>70</v>
      </c>
      <c r="U444">
        <f>30</f>
        <v>30</v>
      </c>
      <c r="V444">
        <f t="shared" ca="1" si="125"/>
        <v>98.789878366959272</v>
      </c>
      <c r="W444">
        <f t="shared" ca="1" si="135"/>
        <v>98.725178415225926</v>
      </c>
      <c r="X444">
        <f t="shared" ca="1" si="134"/>
        <v>0.2226521083717472</v>
      </c>
      <c r="Y444">
        <f t="shared" ca="1" si="136"/>
        <v>-0.16951553249527845</v>
      </c>
      <c r="Z444">
        <f t="shared" ca="1" si="137"/>
        <v>0.39216764086702566</v>
      </c>
      <c r="AA444">
        <f t="shared" ca="1" si="138"/>
        <v>100.87759999999999</v>
      </c>
    </row>
    <row r="445" spans="1:27" x14ac:dyDescent="0.25">
      <c r="A445" vm="1297">
        <f ca="1"/>
        <v>45938</v>
      </c>
      <c r="B445" vm="1298">
        <f ca="1"/>
        <v>100.83</v>
      </c>
      <c r="C445" vm="1299">
        <f ca="1"/>
        <v>1570590</v>
      </c>
      <c r="D445">
        <f t="shared" ca="1" si="119"/>
        <v>158362589.69999999</v>
      </c>
      <c r="E445">
        <f ca="1">SUM($D$2:D445)/SUM($C$2:C445)</f>
        <v>98.493605700071882</v>
      </c>
      <c r="F445">
        <f ca="1">_xlfn.STDEV.P($B$2:B445)</f>
        <v>6.5043144840103606</v>
      </c>
      <c r="G445">
        <f t="shared" ca="1" si="120"/>
        <v>104.99792018408225</v>
      </c>
      <c r="H445">
        <f t="shared" ca="1" si="121"/>
        <v>91.989291216061517</v>
      </c>
      <c r="I445">
        <f t="shared" ca="1" si="130"/>
        <v>98.187999999999988</v>
      </c>
      <c r="J445">
        <f t="shared" ca="1" si="131"/>
        <v>1.5172884401214941</v>
      </c>
      <c r="K445">
        <f t="shared" ca="1" si="132"/>
        <v>101.22257688024298</v>
      </c>
      <c r="L445">
        <f t="shared" ca="1" si="133"/>
        <v>95.153423119756994</v>
      </c>
      <c r="M445">
        <f t="shared" ca="1" si="122"/>
        <v>0.78999999999999204</v>
      </c>
      <c r="N445">
        <f t="shared" ca="1" si="123"/>
        <v>0.78999999999999204</v>
      </c>
      <c r="O445">
        <f t="shared" ca="1" si="124"/>
        <v>0</v>
      </c>
      <c r="P445">
        <f t="shared" ca="1" si="128"/>
        <v>0.45756274752740544</v>
      </c>
      <c r="Q445">
        <f t="shared" ca="1" si="129"/>
        <v>0.30874840380834534</v>
      </c>
      <c r="R445">
        <f t="shared" ca="1" si="126"/>
        <v>1.4819922690561864</v>
      </c>
      <c r="S445">
        <f t="shared" ca="1" si="127"/>
        <v>59.70978586568021</v>
      </c>
      <c r="T445">
        <f>70</f>
        <v>70</v>
      </c>
      <c r="U445">
        <f>30</f>
        <v>30</v>
      </c>
      <c r="V445">
        <f t="shared" ca="1" si="125"/>
        <v>99.103743233580929</v>
      </c>
      <c r="W445">
        <f t="shared" ca="1" si="135"/>
        <v>98.881091125209181</v>
      </c>
      <c r="X445">
        <f t="shared" ca="1" si="134"/>
        <v>0.34147328968818158</v>
      </c>
      <c r="Y445">
        <f t="shared" ca="1" si="136"/>
        <v>-6.7317768058586455E-2</v>
      </c>
      <c r="Z445">
        <f t="shared" ca="1" si="137"/>
        <v>0.40879105774676805</v>
      </c>
      <c r="AA445">
        <f t="shared" ca="1" si="138"/>
        <v>100.86579999999996</v>
      </c>
    </row>
    <row r="446" spans="1:27" x14ac:dyDescent="0.25">
      <c r="A446" vm="1300">
        <f ca="1"/>
        <v>45939</v>
      </c>
      <c r="B446" vm="1301">
        <f ca="1"/>
        <v>100.8</v>
      </c>
      <c r="C446" vm="1302">
        <f ca="1"/>
        <v>1816124</v>
      </c>
      <c r="D446">
        <f t="shared" ca="1" si="119"/>
        <v>183065299.19999999</v>
      </c>
      <c r="E446">
        <f ca="1">SUM($D$2:D446)/SUM($C$2:C446)</f>
        <v>98.497819568480708</v>
      </c>
      <c r="F446">
        <f ca="1">_xlfn.STDEV.P($B$2:B446)</f>
        <v>6.4985896311073645</v>
      </c>
      <c r="G446">
        <f t="shared" ca="1" si="120"/>
        <v>104.99640919958807</v>
      </c>
      <c r="H446">
        <f t="shared" ca="1" si="121"/>
        <v>91.999229937373343</v>
      </c>
      <c r="I446">
        <f t="shared" ca="1" si="130"/>
        <v>98.342999999999989</v>
      </c>
      <c r="J446">
        <f t="shared" ca="1" si="131"/>
        <v>1.6196981525158194</v>
      </c>
      <c r="K446">
        <f t="shared" ca="1" si="132"/>
        <v>101.58239630503162</v>
      </c>
      <c r="L446">
        <f t="shared" ca="1" si="133"/>
        <v>95.103603694968356</v>
      </c>
      <c r="M446">
        <f t="shared" ca="1" si="122"/>
        <v>-3.0000000000001137E-2</v>
      </c>
      <c r="N446">
        <f t="shared" ca="1" si="123"/>
        <v>0</v>
      </c>
      <c r="O446">
        <f t="shared" ca="1" si="124"/>
        <v>3.0000000000001137E-2</v>
      </c>
      <c r="P446">
        <f t="shared" ca="1" si="128"/>
        <v>0.42487969413259075</v>
      </c>
      <c r="Q446">
        <f t="shared" ca="1" si="129"/>
        <v>0.28883780353632071</v>
      </c>
      <c r="R446">
        <f t="shared" ca="1" si="126"/>
        <v>1.4709975250146337</v>
      </c>
      <c r="S446">
        <f t="shared" ca="1" si="127"/>
        <v>59.530513896646745</v>
      </c>
      <c r="T446">
        <f>70</f>
        <v>70</v>
      </c>
      <c r="U446">
        <f>30</f>
        <v>30</v>
      </c>
      <c r="V446">
        <f t="shared" ca="1" si="125"/>
        <v>99.364705813030014</v>
      </c>
      <c r="W446">
        <f t="shared" ca="1" si="135"/>
        <v>99.023232523341832</v>
      </c>
      <c r="X446">
        <f t="shared" ca="1" si="134"/>
        <v>0.55751298115048087</v>
      </c>
      <c r="Y446">
        <f t="shared" ca="1" si="136"/>
        <v>5.764838178322701E-2</v>
      </c>
      <c r="Z446">
        <f t="shared" ca="1" si="137"/>
        <v>0.49986459936725386</v>
      </c>
      <c r="AA446">
        <f t="shared" ca="1" si="138"/>
        <v>100.83089999999997</v>
      </c>
    </row>
    <row r="447" spans="1:27" x14ac:dyDescent="0.25">
      <c r="A447" vm="1303">
        <f ca="1"/>
        <v>45940</v>
      </c>
      <c r="B447" vm="1304">
        <f ca="1"/>
        <v>102.39</v>
      </c>
      <c r="C447" vm="1305">
        <f ca="1"/>
        <v>2059205</v>
      </c>
      <c r="D447">
        <f t="shared" ca="1" si="119"/>
        <v>210841999.94999999</v>
      </c>
      <c r="E447">
        <f ca="1">SUM($D$2:D447)/SUM($C$2:C447)</f>
        <v>98.505865859196803</v>
      </c>
      <c r="F447">
        <f ca="1">_xlfn.STDEV.P($B$2:B447)</f>
        <v>6.4949715533786021</v>
      </c>
      <c r="G447">
        <f t="shared" ca="1" si="120"/>
        <v>105.00083741257541</v>
      </c>
      <c r="H447">
        <f t="shared" ca="1" si="121"/>
        <v>92.010894305818198</v>
      </c>
      <c r="I447">
        <f t="shared" ca="1" si="130"/>
        <v>98.584999999999994</v>
      </c>
      <c r="J447">
        <f t="shared" ca="1" si="131"/>
        <v>1.8413824897842954</v>
      </c>
      <c r="K447">
        <f t="shared" ca="1" si="132"/>
        <v>102.26776497956858</v>
      </c>
      <c r="L447">
        <f t="shared" ca="1" si="133"/>
        <v>94.902235020431405</v>
      </c>
      <c r="M447">
        <f t="shared" ca="1" si="122"/>
        <v>1.5900000000000034</v>
      </c>
      <c r="N447">
        <f t="shared" ca="1" si="123"/>
        <v>1.5900000000000034</v>
      </c>
      <c r="O447">
        <f t="shared" ca="1" si="124"/>
        <v>0</v>
      </c>
      <c r="P447">
        <f t="shared" ca="1" si="128"/>
        <v>0.50810257312312024</v>
      </c>
      <c r="Q447">
        <f t="shared" ca="1" si="129"/>
        <v>0.26820653185515492</v>
      </c>
      <c r="R447">
        <f t="shared" ca="1" si="126"/>
        <v>1.8944451859864522</v>
      </c>
      <c r="S447">
        <f t="shared" ca="1" si="127"/>
        <v>65.451064513450405</v>
      </c>
      <c r="T447">
        <f>70</f>
        <v>70</v>
      </c>
      <c r="U447">
        <f>30</f>
        <v>30</v>
      </c>
      <c r="V447">
        <f t="shared" ca="1" si="125"/>
        <v>99.83013568794847</v>
      </c>
      <c r="W447">
        <f t="shared" ca="1" si="135"/>
        <v>99.272622706797989</v>
      </c>
      <c r="X447">
        <f t="shared" ca="1" si="134"/>
        <v>0.59837014134286903</v>
      </c>
      <c r="Y447">
        <f t="shared" ca="1" si="136"/>
        <v>0.16579273369515543</v>
      </c>
      <c r="Z447">
        <f t="shared" ca="1" si="137"/>
        <v>0.43257740764771357</v>
      </c>
      <c r="AA447">
        <f t="shared" ca="1" si="138"/>
        <v>100.80099999999997</v>
      </c>
    </row>
    <row r="448" spans="1:27" x14ac:dyDescent="0.25">
      <c r="A448" vm="1306">
        <f ca="1"/>
        <v>45943</v>
      </c>
      <c r="B448" vm="456">
        <f ca="1"/>
        <v>100.86</v>
      </c>
      <c r="C448" vm="1307">
        <f ca="1"/>
        <v>1515680</v>
      </c>
      <c r="D448">
        <f t="shared" ca="1" si="119"/>
        <v>152871484.80000001</v>
      </c>
      <c r="E448">
        <f ca="1">SUM($D$2:D448)/SUM($C$2:C448)</f>
        <v>98.509442551340868</v>
      </c>
      <c r="F448">
        <f ca="1">_xlfn.STDEV.P($B$2:B448)</f>
        <v>6.4893300776457705</v>
      </c>
      <c r="G448">
        <f t="shared" ca="1" si="120"/>
        <v>104.99877262898664</v>
      </c>
      <c r="H448">
        <f t="shared" ca="1" si="121"/>
        <v>92.020112473695093</v>
      </c>
      <c r="I448">
        <f t="shared" ca="1" si="130"/>
        <v>98.777999999999992</v>
      </c>
      <c r="J448">
        <f t="shared" ca="1" si="131"/>
        <v>1.8685981235590554</v>
      </c>
      <c r="K448">
        <f t="shared" ca="1" si="132"/>
        <v>102.5151962471181</v>
      </c>
      <c r="L448">
        <f t="shared" ca="1" si="133"/>
        <v>95.040803752881885</v>
      </c>
      <c r="M448">
        <f t="shared" ca="1" si="122"/>
        <v>-1.5300000000000011</v>
      </c>
      <c r="N448">
        <f t="shared" ca="1" si="123"/>
        <v>0</v>
      </c>
      <c r="O448">
        <f t="shared" ca="1" si="124"/>
        <v>1.5300000000000011</v>
      </c>
      <c r="P448">
        <f t="shared" ca="1" si="128"/>
        <v>0.4718095321857545</v>
      </c>
      <c r="Q448">
        <f t="shared" ca="1" si="129"/>
        <v>0.35833463672264393</v>
      </c>
      <c r="R448">
        <f t="shared" ca="1" si="126"/>
        <v>1.3166729750184372</v>
      </c>
      <c r="S448">
        <f t="shared" ca="1" si="127"/>
        <v>56.834649914624158</v>
      </c>
      <c r="T448">
        <f>70</f>
        <v>70</v>
      </c>
      <c r="U448">
        <f>30</f>
        <v>30</v>
      </c>
      <c r="V448">
        <f t="shared" ca="1" si="125"/>
        <v>99.98857635134101</v>
      </c>
      <c r="W448">
        <f t="shared" ca="1" si="135"/>
        <v>99.390206209998141</v>
      </c>
      <c r="X448">
        <f t="shared" ca="1" si="134"/>
        <v>0.70572694615067633</v>
      </c>
      <c r="Y448">
        <f t="shared" ca="1" si="136"/>
        <v>0.27377957618625964</v>
      </c>
      <c r="Z448">
        <f t="shared" ca="1" si="137"/>
        <v>0.43194736996441668</v>
      </c>
      <c r="AA448">
        <f t="shared" ca="1" si="138"/>
        <v>100.75249999999998</v>
      </c>
    </row>
    <row r="449" spans="1:27" x14ac:dyDescent="0.25">
      <c r="A449" vm="1308">
        <f ca="1"/>
        <v>45944</v>
      </c>
      <c r="B449" vm="1309">
        <f ca="1"/>
        <v>101.89</v>
      </c>
      <c r="C449" vm="1310">
        <f ca="1"/>
        <v>1423256</v>
      </c>
      <c r="D449">
        <f t="shared" ca="1" si="119"/>
        <v>145015553.84</v>
      </c>
      <c r="E449">
        <f ca="1">SUM($D$2:D449)/SUM($C$2:C449)</f>
        <v>98.514258646090681</v>
      </c>
      <c r="F449">
        <f ca="1">_xlfn.STDEV.P($B$2:B449)</f>
        <v>6.484969674446571</v>
      </c>
      <c r="G449">
        <f t="shared" ca="1" si="120"/>
        <v>104.99922832053726</v>
      </c>
      <c r="H449">
        <f t="shared" ca="1" si="121"/>
        <v>92.029288971644107</v>
      </c>
      <c r="I449">
        <f t="shared" ca="1" si="130"/>
        <v>99.093999999999994</v>
      </c>
      <c r="J449">
        <f t="shared" ca="1" si="131"/>
        <v>1.8315607379615082</v>
      </c>
      <c r="K449">
        <f t="shared" ca="1" si="132"/>
        <v>102.75712147592301</v>
      </c>
      <c r="L449">
        <f t="shared" ca="1" si="133"/>
        <v>95.430878524076974</v>
      </c>
      <c r="M449">
        <f t="shared" ca="1" si="122"/>
        <v>1.0300000000000011</v>
      </c>
      <c r="N449">
        <f t="shared" ca="1" si="123"/>
        <v>1.0300000000000011</v>
      </c>
      <c r="O449">
        <f t="shared" ca="1" si="124"/>
        <v>0</v>
      </c>
      <c r="P449">
        <f t="shared" ca="1" si="128"/>
        <v>0.51168027988677212</v>
      </c>
      <c r="Q449">
        <f t="shared" ca="1" si="129"/>
        <v>0.33273930552816938</v>
      </c>
      <c r="R449">
        <f t="shared" ca="1" si="126"/>
        <v>1.5377812942013662</v>
      </c>
      <c r="S449">
        <f t="shared" ca="1" si="127"/>
        <v>60.595501185034244</v>
      </c>
      <c r="T449">
        <f>70</f>
        <v>70</v>
      </c>
      <c r="U449">
        <f>30</f>
        <v>30</v>
      </c>
      <c r="V449">
        <f t="shared" ca="1" si="125"/>
        <v>100.28110306651932</v>
      </c>
      <c r="W449">
        <f t="shared" ca="1" si="135"/>
        <v>99.575376120368645</v>
      </c>
      <c r="X449">
        <f t="shared" ca="1" si="134"/>
        <v>0.813704762496954</v>
      </c>
      <c r="Y449">
        <f t="shared" ca="1" si="136"/>
        <v>0.38176461344839852</v>
      </c>
      <c r="Z449">
        <f t="shared" ca="1" si="137"/>
        <v>0.43194014904855549</v>
      </c>
      <c r="AA449">
        <f t="shared" ca="1" si="138"/>
        <v>100.71919999999996</v>
      </c>
    </row>
    <row r="450" spans="1:27" x14ac:dyDescent="0.25">
      <c r="A450" vm="1311">
        <f ca="1"/>
        <v>45945</v>
      </c>
      <c r="B450" vm="1312">
        <f ca="1"/>
        <v>102.29</v>
      </c>
      <c r="C450" vm="1313">
        <f ca="1"/>
        <v>1556615</v>
      </c>
      <c r="D450">
        <f t="shared" ca="1" si="119"/>
        <v>159226148.35000002</v>
      </c>
      <c r="E450">
        <f ca="1">SUM($D$2:D450)/SUM($C$2:C450)</f>
        <v>98.520132605805145</v>
      </c>
      <c r="F450">
        <f ca="1">_xlfn.STDEV.P($B$2:B450)</f>
        <v>6.4812013569178326</v>
      </c>
      <c r="G450">
        <f t="shared" ca="1" si="120"/>
        <v>105.00133396272298</v>
      </c>
      <c r="H450">
        <f t="shared" ca="1" si="121"/>
        <v>92.038931248887309</v>
      </c>
      <c r="I450">
        <f t="shared" ca="1" si="130"/>
        <v>99.388499999999993</v>
      </c>
      <c r="J450">
        <f t="shared" ca="1" si="131"/>
        <v>1.8490375163425183</v>
      </c>
      <c r="K450">
        <f t="shared" ca="1" si="132"/>
        <v>103.08657503268503</v>
      </c>
      <c r="L450">
        <f t="shared" ca="1" si="133"/>
        <v>95.690424967314954</v>
      </c>
      <c r="M450">
        <f t="shared" ca="1" si="122"/>
        <v>0.40000000000000568</v>
      </c>
      <c r="N450">
        <f t="shared" ca="1" si="123"/>
        <v>0.40000000000000568</v>
      </c>
      <c r="O450">
        <f t="shared" ca="1" si="124"/>
        <v>0</v>
      </c>
      <c r="P450">
        <f t="shared" ca="1" si="128"/>
        <v>0.50370311703771731</v>
      </c>
      <c r="Q450">
        <f t="shared" ca="1" si="129"/>
        <v>0.30897221227615729</v>
      </c>
      <c r="R450">
        <f t="shared" ca="1" si="126"/>
        <v>1.6302537801927341</v>
      </c>
      <c r="S450">
        <f t="shared" ca="1" si="127"/>
        <v>61.980854945231783</v>
      </c>
      <c r="T450">
        <f>70</f>
        <v>70</v>
      </c>
      <c r="U450">
        <f>30</f>
        <v>30</v>
      </c>
      <c r="V450">
        <f t="shared" ca="1" si="125"/>
        <v>100.59016413320866</v>
      </c>
      <c r="W450">
        <f t="shared" ca="1" si="135"/>
        <v>99.776459370711706</v>
      </c>
      <c r="X450">
        <f t="shared" ca="1" si="134"/>
        <v>0.79170784068851674</v>
      </c>
      <c r="Y450">
        <f t="shared" ca="1" si="136"/>
        <v>0.46375325889642216</v>
      </c>
      <c r="Z450">
        <f t="shared" ca="1" si="137"/>
        <v>0.32795458179209458</v>
      </c>
      <c r="AA450">
        <f t="shared" ca="1" si="138"/>
        <v>100.70789999999997</v>
      </c>
    </row>
    <row r="451" spans="1:27" x14ac:dyDescent="0.25">
      <c r="A451" vm="1314">
        <f ca="1"/>
        <v>45946</v>
      </c>
      <c r="B451" vm="1119">
        <f ca="1"/>
        <v>101.07</v>
      </c>
      <c r="C451" vm="1315">
        <f ca="1"/>
        <v>1558806</v>
      </c>
      <c r="D451">
        <f t="shared" ref="D451:D514" ca="1" si="139">B451*C451</f>
        <v>157548522.41999999</v>
      </c>
      <c r="E451">
        <f ca="1">SUM($D$2:D451)/SUM($C$2:C451)</f>
        <v>98.524098865250707</v>
      </c>
      <c r="F451">
        <f ca="1">_xlfn.STDEV.P($B$2:B451)</f>
        <v>6.4758158378255386</v>
      </c>
      <c r="G451">
        <f t="shared" ref="G451:G514" ca="1" si="140">E451 + F451</f>
        <v>104.99991470307624</v>
      </c>
      <c r="H451">
        <f t="shared" ref="H451:H514" ca="1" si="141">E451 - F451</f>
        <v>92.048283027425171</v>
      </c>
      <c r="I451">
        <f t="shared" ca="1" si="130"/>
        <v>99.624499999999983</v>
      </c>
      <c r="J451">
        <f t="shared" ca="1" si="131"/>
        <v>1.7387366103007091</v>
      </c>
      <c r="K451">
        <f t="shared" ca="1" si="132"/>
        <v>103.10197322060141</v>
      </c>
      <c r="L451">
        <f t="shared" ca="1" si="133"/>
        <v>96.147026779398558</v>
      </c>
      <c r="M451">
        <f t="shared" ca="1" si="122"/>
        <v>-1.2200000000000131</v>
      </c>
      <c r="N451">
        <f t="shared" ca="1" si="123"/>
        <v>0</v>
      </c>
      <c r="O451">
        <f t="shared" ca="1" si="124"/>
        <v>1.2200000000000131</v>
      </c>
      <c r="P451">
        <f t="shared" ca="1" si="128"/>
        <v>0.46772432296359462</v>
      </c>
      <c r="Q451">
        <f t="shared" ca="1" si="129"/>
        <v>0.3740456256850041</v>
      </c>
      <c r="R451">
        <f t="shared" ca="1" si="126"/>
        <v>1.2504472471962027</v>
      </c>
      <c r="S451">
        <f t="shared" ca="1" si="127"/>
        <v>55.564388312328383</v>
      </c>
      <c r="T451">
        <f>70</f>
        <v>70</v>
      </c>
      <c r="U451">
        <f>30</f>
        <v>30</v>
      </c>
      <c r="V451">
        <f t="shared" ca="1" si="125"/>
        <v>100.66398503579195</v>
      </c>
      <c r="W451">
        <f t="shared" ca="1" si="135"/>
        <v>99.872277195103436</v>
      </c>
      <c r="X451">
        <f t="shared" ca="1" si="134"/>
        <v>0.7750241231384507</v>
      </c>
      <c r="Y451">
        <f t="shared" ca="1" si="136"/>
        <v>0.52600743174482789</v>
      </c>
      <c r="Z451">
        <f t="shared" ca="1" si="137"/>
        <v>0.24901669139362281</v>
      </c>
      <c r="AA451">
        <f t="shared" ca="1" si="138"/>
        <v>100.67759999999997</v>
      </c>
    </row>
    <row r="452" spans="1:27" x14ac:dyDescent="0.25">
      <c r="A452" vm="1316">
        <f ca="1"/>
        <v>45947</v>
      </c>
      <c r="B452" vm="441">
        <f ca="1"/>
        <v>101.19</v>
      </c>
      <c r="C452" vm="1317">
        <f ca="1"/>
        <v>1597575</v>
      </c>
      <c r="D452">
        <f t="shared" ca="1" si="139"/>
        <v>161658614.25</v>
      </c>
      <c r="E452">
        <f ca="1">SUM($D$2:D452)/SUM($C$2:C452)</f>
        <v>98.528341981842658</v>
      </c>
      <c r="F452">
        <f ca="1">_xlfn.STDEV.P($B$2:B452)</f>
        <v>6.4705776187966073</v>
      </c>
      <c r="G452">
        <f t="shared" ca="1" si="140"/>
        <v>104.99891960063927</v>
      </c>
      <c r="H452">
        <f t="shared" ca="1" si="141"/>
        <v>92.057764363046047</v>
      </c>
      <c r="I452">
        <f t="shared" ca="1" si="130"/>
        <v>99.867499999999978</v>
      </c>
      <c r="J452">
        <f t="shared" ca="1" si="131"/>
        <v>1.5870690463539183</v>
      </c>
      <c r="K452">
        <f t="shared" ca="1" si="132"/>
        <v>103.04163809270781</v>
      </c>
      <c r="L452">
        <f t="shared" ca="1" si="133"/>
        <v>96.693361907292143</v>
      </c>
      <c r="M452">
        <f t="shared" ref="M452:M514" ca="1" si="142">B452-B451</f>
        <v>0.12000000000000455</v>
      </c>
      <c r="N452">
        <f t="shared" ref="N452:N514" ca="1" si="143">MAX(M452,0)</f>
        <v>0.12000000000000455</v>
      </c>
      <c r="O452">
        <f t="shared" ref="O452:O514" ca="1" si="144">MAX(-M452,0)</f>
        <v>0</v>
      </c>
      <c r="P452">
        <f t="shared" ca="1" si="128"/>
        <v>0.44288687132333815</v>
      </c>
      <c r="Q452">
        <f t="shared" ca="1" si="129"/>
        <v>0.3473280809932181</v>
      </c>
      <c r="R452">
        <f t="shared" ca="1" si="126"/>
        <v>1.2751254377614976</v>
      </c>
      <c r="S452">
        <f t="shared" ca="1" si="127"/>
        <v>56.046379535719005</v>
      </c>
      <c r="T452">
        <f>70</f>
        <v>70</v>
      </c>
      <c r="U452">
        <f>30</f>
        <v>30</v>
      </c>
      <c r="V452">
        <f t="shared" ca="1" si="125"/>
        <v>100.74491041490089</v>
      </c>
      <c r="W452">
        <f t="shared" ca="1" si="135"/>
        <v>99.969886291762435</v>
      </c>
      <c r="X452">
        <f t="shared" ca="1" si="134"/>
        <v>0.79539985299935267</v>
      </c>
      <c r="Y452">
        <f t="shared" ca="1" si="136"/>
        <v>0.57988591599573291</v>
      </c>
      <c r="Z452">
        <f t="shared" ca="1" si="137"/>
        <v>0.21551393700361976</v>
      </c>
      <c r="AA452">
        <f t="shared" ca="1" si="138"/>
        <v>100.64979999999997</v>
      </c>
    </row>
    <row r="453" spans="1:27" x14ac:dyDescent="0.25">
      <c r="A453" vm="1318">
        <f ca="1"/>
        <v>45950</v>
      </c>
      <c r="B453" vm="1319">
        <f ca="1"/>
        <v>101.72</v>
      </c>
      <c r="C453" vm="1320">
        <f ca="1"/>
        <v>1129321</v>
      </c>
      <c r="D453">
        <f t="shared" ca="1" si="139"/>
        <v>114874532.12</v>
      </c>
      <c r="E453">
        <f ca="1">SUM($D$2:D453)/SUM($C$2:C453)</f>
        <v>98.531928929741838</v>
      </c>
      <c r="F453">
        <f ca="1">_xlfn.STDEV.P($B$2:B453)</f>
        <v>6.4660066954086348</v>
      </c>
      <c r="G453">
        <f t="shared" ca="1" si="140"/>
        <v>104.99793562515048</v>
      </c>
      <c r="H453">
        <f t="shared" ca="1" si="141"/>
        <v>92.0659222343332</v>
      </c>
      <c r="I453">
        <f t="shared" ca="1" si="130"/>
        <v>100.1225</v>
      </c>
      <c r="J453">
        <f t="shared" ca="1" si="131"/>
        <v>1.4407961066898509</v>
      </c>
      <c r="K453">
        <f t="shared" ca="1" si="132"/>
        <v>103.00409221337971</v>
      </c>
      <c r="L453">
        <f t="shared" ca="1" si="133"/>
        <v>97.240907786620298</v>
      </c>
      <c r="M453">
        <f t="shared" ca="1" si="142"/>
        <v>0.53000000000000114</v>
      </c>
      <c r="N453">
        <f t="shared" ca="1" si="143"/>
        <v>0.53000000000000114</v>
      </c>
      <c r="O453">
        <f t="shared" ca="1" si="144"/>
        <v>0</v>
      </c>
      <c r="P453">
        <f t="shared" ca="1" si="128"/>
        <v>0.44910923765738547</v>
      </c>
      <c r="Q453">
        <f t="shared" ca="1" si="129"/>
        <v>0.32251893235084539</v>
      </c>
      <c r="R453">
        <f t="shared" ca="1" si="126"/>
        <v>1.39250503647591</v>
      </c>
      <c r="S453">
        <f t="shared" ca="1" si="127"/>
        <v>58.202804811104151</v>
      </c>
      <c r="T453">
        <f>70</f>
        <v>70</v>
      </c>
      <c r="U453">
        <f>30</f>
        <v>30</v>
      </c>
      <c r="V453">
        <f t="shared" ca="1" si="125"/>
        <v>100.89492419722383</v>
      </c>
      <c r="W453">
        <f t="shared" ca="1" si="135"/>
        <v>100.09952434422448</v>
      </c>
      <c r="X453">
        <f t="shared" ca="1" si="134"/>
        <v>0.78953582536330202</v>
      </c>
      <c r="Y453">
        <f t="shared" ca="1" si="136"/>
        <v>0.62181589786924674</v>
      </c>
      <c r="Z453">
        <f t="shared" ca="1" si="137"/>
        <v>0.16771992749405529</v>
      </c>
      <c r="AA453">
        <f t="shared" ca="1" si="138"/>
        <v>100.64589999999998</v>
      </c>
    </row>
    <row r="454" spans="1:27" x14ac:dyDescent="0.25">
      <c r="A454" vm="1321">
        <f ca="1"/>
        <v>45951</v>
      </c>
      <c r="B454" vm="492">
        <f ca="1"/>
        <v>101.56</v>
      </c>
      <c r="C454" vm="1322">
        <f ca="1"/>
        <v>1116965</v>
      </c>
      <c r="D454">
        <f t="shared" ca="1" si="139"/>
        <v>113438965.40000001</v>
      </c>
      <c r="E454">
        <f ca="1">SUM($D$2:D454)/SUM($C$2:C454)</f>
        <v>98.53529105948131</v>
      </c>
      <c r="F454">
        <f ca="1">_xlfn.STDEV.P($B$2:B454)</f>
        <v>6.4612336876737819</v>
      </c>
      <c r="G454">
        <f t="shared" ca="1" si="140"/>
        <v>104.99652474715509</v>
      </c>
      <c r="H454">
        <f t="shared" ca="1" si="141"/>
        <v>92.074057371807527</v>
      </c>
      <c r="I454">
        <f t="shared" ca="1" si="130"/>
        <v>100.273</v>
      </c>
      <c r="J454">
        <f t="shared" ca="1" si="131"/>
        <v>1.4250137580129942</v>
      </c>
      <c r="K454">
        <f t="shared" ca="1" si="132"/>
        <v>103.12302751602599</v>
      </c>
      <c r="L454">
        <f t="shared" ca="1" si="133"/>
        <v>97.422972483974007</v>
      </c>
      <c r="M454">
        <f t="shared" ca="1" si="142"/>
        <v>-0.15999999999999659</v>
      </c>
      <c r="N454">
        <f t="shared" ca="1" si="143"/>
        <v>0</v>
      </c>
      <c r="O454">
        <f t="shared" ca="1" si="144"/>
        <v>0.15999999999999659</v>
      </c>
      <c r="P454">
        <f t="shared" ca="1" si="128"/>
        <v>0.41703000639614363</v>
      </c>
      <c r="Q454">
        <f t="shared" ca="1" si="129"/>
        <v>0.3109104371829276</v>
      </c>
      <c r="R454">
        <f t="shared" ca="1" si="126"/>
        <v>1.3413187739039438</v>
      </c>
      <c r="S454">
        <f t="shared" ca="1" si="127"/>
        <v>57.289028254252294</v>
      </c>
      <c r="T454">
        <f>70</f>
        <v>70</v>
      </c>
      <c r="U454">
        <f>30</f>
        <v>30</v>
      </c>
      <c r="V454">
        <f t="shared" ca="1" si="125"/>
        <v>100.99724355149708</v>
      </c>
      <c r="W454">
        <f t="shared" ca="1" si="135"/>
        <v>100.20770772613378</v>
      </c>
      <c r="X454">
        <f t="shared" ca="1" si="134"/>
        <v>0.80625733276681899</v>
      </c>
      <c r="Y454">
        <f t="shared" ca="1" si="136"/>
        <v>0.65870418484876114</v>
      </c>
      <c r="Z454">
        <f t="shared" ca="1" si="137"/>
        <v>0.14755314791805785</v>
      </c>
      <c r="AA454">
        <f t="shared" ca="1" si="138"/>
        <v>100.62769999999999</v>
      </c>
    </row>
    <row r="455" spans="1:27" x14ac:dyDescent="0.25">
      <c r="A455" vm="1323">
        <f ca="1"/>
        <v>45952</v>
      </c>
      <c r="B455" vm="450">
        <f ca="1"/>
        <v>101.94</v>
      </c>
      <c r="C455" vm="1324">
        <f ca="1"/>
        <v>1508989</v>
      </c>
      <c r="D455">
        <f t="shared" ca="1" si="139"/>
        <v>153826338.66</v>
      </c>
      <c r="E455">
        <f ca="1">SUM($D$2:D455)/SUM($C$2:C455)</f>
        <v>98.540390516614465</v>
      </c>
      <c r="F455">
        <f ca="1">_xlfn.STDEV.P($B$2:B455)</f>
        <v>6.4569733507365612</v>
      </c>
      <c r="G455">
        <f t="shared" ca="1" si="140"/>
        <v>104.99736386735103</v>
      </c>
      <c r="H455">
        <f t="shared" ca="1" si="141"/>
        <v>92.083417165877904</v>
      </c>
      <c r="I455">
        <f t="shared" ca="1" si="130"/>
        <v>100.4295</v>
      </c>
      <c r="J455">
        <f t="shared" ca="1" si="131"/>
        <v>1.4277567056492211</v>
      </c>
      <c r="K455">
        <f t="shared" ca="1" si="132"/>
        <v>103.28501341129845</v>
      </c>
      <c r="L455">
        <f t="shared" ca="1" si="133"/>
        <v>97.573986588701558</v>
      </c>
      <c r="M455">
        <f t="shared" ca="1" si="142"/>
        <v>0.37999999999999545</v>
      </c>
      <c r="N455">
        <f t="shared" ca="1" si="143"/>
        <v>0.37999999999999545</v>
      </c>
      <c r="O455">
        <f t="shared" ca="1" si="144"/>
        <v>0</v>
      </c>
      <c r="P455">
        <f t="shared" ca="1" si="128"/>
        <v>0.41438500593927591</v>
      </c>
      <c r="Q455">
        <f t="shared" ca="1" si="129"/>
        <v>0.28870254881271851</v>
      </c>
      <c r="R455">
        <f t="shared" ca="1" si="126"/>
        <v>1.4353354608174509</v>
      </c>
      <c r="S455">
        <f t="shared" ca="1" si="127"/>
        <v>58.937895165196778</v>
      </c>
      <c r="T455">
        <f>70</f>
        <v>70</v>
      </c>
      <c r="U455">
        <f>30</f>
        <v>30</v>
      </c>
      <c r="V455">
        <f t="shared" ca="1" si="125"/>
        <v>101.14228300511292</v>
      </c>
      <c r="W455">
        <f t="shared" ca="1" si="135"/>
        <v>100.3360256723461</v>
      </c>
      <c r="X455">
        <f t="shared" ca="1" si="134"/>
        <v>0.71683677779503796</v>
      </c>
      <c r="Y455">
        <f t="shared" ca="1" si="136"/>
        <v>0.67033070343801648</v>
      </c>
      <c r="Z455">
        <f t="shared" ca="1" si="137"/>
        <v>4.6506074357021476E-2</v>
      </c>
      <c r="AA455">
        <f t="shared" ca="1" si="138"/>
        <v>100.60219999999998</v>
      </c>
    </row>
    <row r="456" spans="1:27" x14ac:dyDescent="0.25">
      <c r="A456" vm="1325">
        <f ca="1"/>
        <v>45953</v>
      </c>
      <c r="B456" vm="1194">
        <f ca="1"/>
        <v>100.77</v>
      </c>
      <c r="C456" vm="1326">
        <f ca="1"/>
        <v>1302838</v>
      </c>
      <c r="D456">
        <f t="shared" ca="1" si="139"/>
        <v>131286985.25999999</v>
      </c>
      <c r="E456">
        <f ca="1">SUM($D$2:D456)/SUM($C$2:C456)</f>
        <v>98.543270008480619</v>
      </c>
      <c r="F456">
        <f ca="1">_xlfn.STDEV.P($B$2:B456)</f>
        <v>6.4513227484887548</v>
      </c>
      <c r="G456">
        <f t="shared" ca="1" si="140"/>
        <v>104.99459275696937</v>
      </c>
      <c r="H456">
        <f t="shared" ca="1" si="141"/>
        <v>92.091947259991869</v>
      </c>
      <c r="I456">
        <f t="shared" ca="1" si="130"/>
        <v>100.5505</v>
      </c>
      <c r="J456">
        <f t="shared" ca="1" si="131"/>
        <v>1.3422309590262105</v>
      </c>
      <c r="K456">
        <f t="shared" ca="1" si="132"/>
        <v>103.23496191805242</v>
      </c>
      <c r="L456">
        <f t="shared" ca="1" si="133"/>
        <v>97.866038081947579</v>
      </c>
      <c r="M456">
        <f t="shared" ca="1" si="142"/>
        <v>-1.1700000000000017</v>
      </c>
      <c r="N456">
        <f t="shared" ca="1" si="143"/>
        <v>0</v>
      </c>
      <c r="O456">
        <f t="shared" ca="1" si="144"/>
        <v>1.1700000000000017</v>
      </c>
      <c r="P456">
        <f t="shared" ca="1" si="128"/>
        <v>0.38478607694361333</v>
      </c>
      <c r="Q456">
        <f t="shared" ca="1" si="129"/>
        <v>0.35165236675466727</v>
      </c>
      <c r="R456">
        <f t="shared" ca="1" si="126"/>
        <v>1.0942229125165024</v>
      </c>
      <c r="S456">
        <f t="shared" ca="1" si="127"/>
        <v>52.249591291198335</v>
      </c>
      <c r="T456">
        <f>70</f>
        <v>70</v>
      </c>
      <c r="U456">
        <f>30</f>
        <v>30</v>
      </c>
      <c r="V456">
        <f t="shared" ca="1" si="125"/>
        <v>101.08500869663401</v>
      </c>
      <c r="W456">
        <f t="shared" ca="1" si="135"/>
        <v>100.36817191883897</v>
      </c>
      <c r="X456">
        <f t="shared" ca="1" si="134"/>
        <v>0.58037524010723018</v>
      </c>
      <c r="Y456">
        <f t="shared" ca="1" si="136"/>
        <v>0.65233961077185931</v>
      </c>
      <c r="Z456">
        <f t="shared" ca="1" si="137"/>
        <v>-7.1964370664629129E-2</v>
      </c>
      <c r="AA456">
        <f t="shared" ca="1" si="138"/>
        <v>100.57129999999998</v>
      </c>
    </row>
    <row r="457" spans="1:27" x14ac:dyDescent="0.25">
      <c r="A457" vm="1327">
        <f ca="1"/>
        <v>45954</v>
      </c>
      <c r="B457" vm="1295">
        <f ca="1"/>
        <v>100.04</v>
      </c>
      <c r="C457" vm="1328">
        <f ca="1"/>
        <v>1036366</v>
      </c>
      <c r="D457">
        <f t="shared" ca="1" si="139"/>
        <v>103678054.64</v>
      </c>
      <c r="E457">
        <f ca="1">SUM($D$2:D457)/SUM($C$2:C457)</f>
        <v>98.544806065436276</v>
      </c>
      <c r="F457">
        <f ca="1">_xlfn.STDEV.P($B$2:B457)</f>
        <v>6.445054157989305</v>
      </c>
      <c r="G457">
        <f t="shared" ca="1" si="140"/>
        <v>104.98986022342558</v>
      </c>
      <c r="H457">
        <f t="shared" ca="1" si="141"/>
        <v>92.099751907446972</v>
      </c>
      <c r="I457">
        <f t="shared" ca="1" si="130"/>
        <v>100.57149999999999</v>
      </c>
      <c r="J457">
        <f t="shared" ca="1" si="131"/>
        <v>1.3301376066526269</v>
      </c>
      <c r="K457">
        <f t="shared" ca="1" si="132"/>
        <v>103.23177521330524</v>
      </c>
      <c r="L457">
        <f t="shared" ca="1" si="133"/>
        <v>97.911224786694731</v>
      </c>
      <c r="M457">
        <f t="shared" ca="1" si="142"/>
        <v>-0.72999999999998977</v>
      </c>
      <c r="N457">
        <f t="shared" ca="1" si="143"/>
        <v>0</v>
      </c>
      <c r="O457">
        <f t="shared" ca="1" si="144"/>
        <v>0.72999999999998977</v>
      </c>
      <c r="P457">
        <f t="shared" ca="1" si="128"/>
        <v>0.35730135716192668</v>
      </c>
      <c r="Q457">
        <f t="shared" ca="1" si="129"/>
        <v>0.37867719770076175</v>
      </c>
      <c r="R457">
        <f t="shared" ca="1" si="126"/>
        <v>0.94355128677241695</v>
      </c>
      <c r="S457">
        <f t="shared" ca="1" si="127"/>
        <v>48.547794606405134</v>
      </c>
      <c r="T457">
        <f>70</f>
        <v>70</v>
      </c>
      <c r="U457">
        <f>30</f>
        <v>30</v>
      </c>
      <c r="V457">
        <f t="shared" ca="1" si="125"/>
        <v>100.92423812792109</v>
      </c>
      <c r="W457">
        <f t="shared" ca="1" si="135"/>
        <v>100.34386288781386</v>
      </c>
      <c r="X457">
        <f t="shared" ca="1" si="134"/>
        <v>0.48120594146169537</v>
      </c>
      <c r="Y457">
        <f t="shared" ca="1" si="136"/>
        <v>0.61811287690982653</v>
      </c>
      <c r="Z457">
        <f t="shared" ca="1" si="137"/>
        <v>-0.13690693544813115</v>
      </c>
      <c r="AA457">
        <f t="shared" ca="1" si="138"/>
        <v>100.53929999999998</v>
      </c>
    </row>
    <row r="458" spans="1:27" x14ac:dyDescent="0.25">
      <c r="A458" vm="1329">
        <f ca="1"/>
        <v>45957</v>
      </c>
      <c r="B458" vm="1330">
        <f ca="1"/>
        <v>100.22</v>
      </c>
      <c r="C458" vm="1331">
        <f ca="1"/>
        <v>1537561</v>
      </c>
      <c r="D458">
        <f t="shared" ca="1" si="139"/>
        <v>154094363.41999999</v>
      </c>
      <c r="E458">
        <f ca="1">SUM($D$2:D458)/SUM($C$2:C458)</f>
        <v>98.547352821789815</v>
      </c>
      <c r="F458">
        <f ca="1">_xlfn.STDEV.P($B$2:B458)</f>
        <v>6.4389418547327475</v>
      </c>
      <c r="G458">
        <f t="shared" ca="1" si="140"/>
        <v>104.98629467652256</v>
      </c>
      <c r="H458">
        <f t="shared" ca="1" si="141"/>
        <v>92.108410967057068</v>
      </c>
      <c r="I458">
        <f t="shared" ca="1" si="130"/>
        <v>100.604</v>
      </c>
      <c r="J458">
        <f t="shared" ca="1" si="131"/>
        <v>1.3121994392702092</v>
      </c>
      <c r="K458">
        <f t="shared" ca="1" si="132"/>
        <v>103.22839887854042</v>
      </c>
      <c r="L458">
        <f t="shared" ca="1" si="133"/>
        <v>97.979601121459581</v>
      </c>
      <c r="M458">
        <f t="shared" ca="1" si="142"/>
        <v>0.17999999999999261</v>
      </c>
      <c r="N458">
        <f t="shared" ca="1" si="143"/>
        <v>0.17999999999999261</v>
      </c>
      <c r="O458">
        <f t="shared" ca="1" si="144"/>
        <v>0</v>
      </c>
      <c r="P458">
        <f t="shared" ca="1" si="128"/>
        <v>0.3446369745075028</v>
      </c>
      <c r="Q458">
        <f t="shared" ca="1" si="129"/>
        <v>0.35162882643642163</v>
      </c>
      <c r="R458">
        <f t="shared" ca="1" si="126"/>
        <v>0.98011581701142747</v>
      </c>
      <c r="S458">
        <f t="shared" ca="1" si="127"/>
        <v>49.497903536304669</v>
      </c>
      <c r="T458">
        <f>70</f>
        <v>70</v>
      </c>
      <c r="U458">
        <f>30</f>
        <v>30</v>
      </c>
      <c r="V458">
        <f t="shared" ca="1" si="125"/>
        <v>100.81589380054861</v>
      </c>
      <c r="W458">
        <f t="shared" ca="1" si="135"/>
        <v>100.33468785908691</v>
      </c>
      <c r="X458">
        <f t="shared" ca="1" si="134"/>
        <v>0.26480599589655185</v>
      </c>
      <c r="Y458">
        <f t="shared" ca="1" si="136"/>
        <v>0.54745150070717163</v>
      </c>
      <c r="Z458">
        <f t="shared" ca="1" si="137"/>
        <v>-0.28264550481061979</v>
      </c>
      <c r="AA458">
        <f t="shared" ca="1" si="138"/>
        <v>100.51939999999999</v>
      </c>
    </row>
    <row r="459" spans="1:27" x14ac:dyDescent="0.25">
      <c r="A459" vm="1332">
        <f ca="1"/>
        <v>45958</v>
      </c>
      <c r="B459" vm="1268">
        <f ca="1"/>
        <v>98.55</v>
      </c>
      <c r="C459" vm="1333">
        <f ca="1"/>
        <v>1156747</v>
      </c>
      <c r="D459">
        <f t="shared" ca="1" si="139"/>
        <v>113997416.84999999</v>
      </c>
      <c r="E459">
        <f ca="1">SUM($D$2:D459)/SUM($C$2:C459)</f>
        <v>98.547355846021617</v>
      </c>
      <c r="F459">
        <f ca="1">_xlfn.STDEV.P($B$2:B459)</f>
        <v>6.4319876459318825</v>
      </c>
      <c r="G459">
        <f t="shared" ca="1" si="140"/>
        <v>104.9793434919535</v>
      </c>
      <c r="H459">
        <f t="shared" ca="1" si="141"/>
        <v>92.115368200089733</v>
      </c>
      <c r="I459">
        <f t="shared" ca="1" si="130"/>
        <v>100.5055</v>
      </c>
      <c r="J459">
        <f t="shared" ca="1" si="131"/>
        <v>1.3904428488037446</v>
      </c>
      <c r="K459">
        <f t="shared" ca="1" si="132"/>
        <v>103.28638569760749</v>
      </c>
      <c r="L459">
        <f t="shared" ca="1" si="133"/>
        <v>97.72461430239251</v>
      </c>
      <c r="M459">
        <f t="shared" ca="1" si="142"/>
        <v>-1.6700000000000017</v>
      </c>
      <c r="N459">
        <f t="shared" ca="1" si="143"/>
        <v>0</v>
      </c>
      <c r="O459">
        <f t="shared" ca="1" si="144"/>
        <v>1.6700000000000017</v>
      </c>
      <c r="P459">
        <f t="shared" ca="1" si="128"/>
        <v>0.32002004775696685</v>
      </c>
      <c r="Q459">
        <f t="shared" ca="1" si="129"/>
        <v>0.44579819597667736</v>
      </c>
      <c r="R459">
        <f t="shared" ca="1" si="126"/>
        <v>0.71785855269299748</v>
      </c>
      <c r="S459">
        <f t="shared" ca="1" si="127"/>
        <v>41.787989562216751</v>
      </c>
      <c r="T459">
        <f>70</f>
        <v>70</v>
      </c>
      <c r="U459">
        <f>30</f>
        <v>30</v>
      </c>
      <c r="V459">
        <f t="shared" ca="1" si="125"/>
        <v>100.46729475431036</v>
      </c>
      <c r="W459">
        <f t="shared" ca="1" si="135"/>
        <v>100.20248875841381</v>
      </c>
      <c r="X459">
        <f t="shared" ca="1" si="134"/>
        <v>-3.1402576792913806E-2</v>
      </c>
      <c r="Y459">
        <f t="shared" ca="1" si="136"/>
        <v>0.43168068520715458</v>
      </c>
      <c r="Z459">
        <f t="shared" ca="1" si="137"/>
        <v>-0.46308326200006839</v>
      </c>
      <c r="AA459">
        <f t="shared" ca="1" si="138"/>
        <v>100.48219999999999</v>
      </c>
    </row>
    <row r="460" spans="1:27" x14ac:dyDescent="0.25">
      <c r="A460" vm="1334">
        <f ca="1"/>
        <v>45959</v>
      </c>
      <c r="B460" vm="1251">
        <f ca="1"/>
        <v>97</v>
      </c>
      <c r="C460" vm="1335">
        <f ca="1"/>
        <v>1804147</v>
      </c>
      <c r="D460">
        <f t="shared" ca="1" si="139"/>
        <v>175002259</v>
      </c>
      <c r="E460">
        <f ca="1">SUM($D$2:D460)/SUM($C$2:C460)</f>
        <v>98.544603630206112</v>
      </c>
      <c r="F460">
        <f ca="1">_xlfn.STDEV.P($B$2:B460)</f>
        <v>6.4251048566513802</v>
      </c>
      <c r="G460">
        <f t="shared" ca="1" si="140"/>
        <v>104.96970848685748</v>
      </c>
      <c r="H460">
        <f t="shared" ca="1" si="141"/>
        <v>92.119498773554739</v>
      </c>
      <c r="I460">
        <f t="shared" ca="1" si="130"/>
        <v>100.44699999999999</v>
      </c>
      <c r="J460">
        <f t="shared" ca="1" si="131"/>
        <v>1.5130801627631525</v>
      </c>
      <c r="K460">
        <f t="shared" ca="1" si="132"/>
        <v>103.47316032552629</v>
      </c>
      <c r="L460">
        <f t="shared" ca="1" si="133"/>
        <v>97.420839674473683</v>
      </c>
      <c r="M460">
        <f t="shared" ca="1" si="142"/>
        <v>-1.5499999999999972</v>
      </c>
      <c r="N460">
        <f t="shared" ca="1" si="143"/>
        <v>0</v>
      </c>
      <c r="O460">
        <f t="shared" ca="1" si="144"/>
        <v>1.5499999999999972</v>
      </c>
      <c r="P460">
        <f t="shared" ca="1" si="128"/>
        <v>0.29716147291718353</v>
      </c>
      <c r="Q460">
        <f t="shared" ca="1" si="129"/>
        <v>0.52466975340691446</v>
      </c>
      <c r="R460">
        <f t="shared" ca="1" si="126"/>
        <v>0.56637812831325174</v>
      </c>
      <c r="S460">
        <f t="shared" ca="1" si="127"/>
        <v>36.158454850436016</v>
      </c>
      <c r="T460">
        <f>70</f>
        <v>70</v>
      </c>
      <c r="U460">
        <f>30</f>
        <v>30</v>
      </c>
      <c r="V460">
        <f t="shared" ca="1" si="125"/>
        <v>99.933864792108764</v>
      </c>
      <c r="W460">
        <f t="shared" ca="1" si="135"/>
        <v>99.965267368901678</v>
      </c>
      <c r="X460">
        <f t="shared" ca="1" si="134"/>
        <v>-0.16818818130124669</v>
      </c>
      <c r="Y460">
        <f t="shared" ca="1" si="136"/>
        <v>0.31170691190547434</v>
      </c>
      <c r="Z460">
        <f t="shared" ca="1" si="137"/>
        <v>-0.47989509320672102</v>
      </c>
      <c r="AA460">
        <f t="shared" ca="1" si="138"/>
        <v>100.43609999999998</v>
      </c>
    </row>
    <row r="461" spans="1:27" x14ac:dyDescent="0.25">
      <c r="A461" vm="1336">
        <f ca="1"/>
        <v>45960</v>
      </c>
      <c r="B461" vm="1337">
        <f ca="1"/>
        <v>98.19</v>
      </c>
      <c r="C461" vm="1338">
        <f ca="1"/>
        <v>2073284</v>
      </c>
      <c r="D461">
        <f t="shared" ca="1" si="139"/>
        <v>203575755.96000001</v>
      </c>
      <c r="E461">
        <f ca="1">SUM($D$2:D461)/SUM($C$2:C461)</f>
        <v>98.543880301750178</v>
      </c>
      <c r="F461">
        <f ca="1">_xlfn.STDEV.P($B$2:B461)</f>
        <v>6.4181349404185601</v>
      </c>
      <c r="G461">
        <f t="shared" ca="1" si="140"/>
        <v>104.96201524216873</v>
      </c>
      <c r="H461">
        <f t="shared" ca="1" si="141"/>
        <v>92.125745361331624</v>
      </c>
      <c r="I461">
        <f t="shared" ca="1" si="130"/>
        <v>100.47450000000001</v>
      </c>
      <c r="J461">
        <f t="shared" ca="1" si="131"/>
        <v>1.463566210539031</v>
      </c>
      <c r="K461">
        <f t="shared" ca="1" si="132"/>
        <v>103.40163242107806</v>
      </c>
      <c r="L461">
        <f t="shared" ca="1" si="133"/>
        <v>97.54736757892195</v>
      </c>
      <c r="M461">
        <f t="shared" ca="1" si="142"/>
        <v>1.1899999999999977</v>
      </c>
      <c r="N461">
        <f t="shared" ca="1" si="143"/>
        <v>1.1899999999999977</v>
      </c>
      <c r="O461">
        <f t="shared" ca="1" si="144"/>
        <v>0</v>
      </c>
      <c r="P461">
        <f t="shared" ca="1" si="128"/>
        <v>0.3609356534230988</v>
      </c>
      <c r="Q461">
        <f t="shared" ca="1" si="129"/>
        <v>0.48719334244927776</v>
      </c>
      <c r="R461">
        <f t="shared" ca="1" si="126"/>
        <v>0.74084685067443468</v>
      </c>
      <c r="S461">
        <f t="shared" ca="1" si="127"/>
        <v>42.556693047835751</v>
      </c>
      <c r="T461">
        <f>70</f>
        <v>70</v>
      </c>
      <c r="U461">
        <f>30</f>
        <v>30</v>
      </c>
      <c r="V461">
        <f t="shared" ca="1" si="125"/>
        <v>99.665577901015112</v>
      </c>
      <c r="W461">
        <f t="shared" ca="1" si="135"/>
        <v>99.833766082316359</v>
      </c>
      <c r="X461">
        <f t="shared" ca="1" si="134"/>
        <v>-0.3356619377530734</v>
      </c>
      <c r="Y461">
        <f t="shared" ca="1" si="136"/>
        <v>0.18223314197376481</v>
      </c>
      <c r="Z461">
        <f t="shared" ca="1" si="137"/>
        <v>-0.51789507972683824</v>
      </c>
      <c r="AA461">
        <f t="shared" ca="1" si="138"/>
        <v>100.40690000000001</v>
      </c>
    </row>
    <row r="462" spans="1:27" x14ac:dyDescent="0.25">
      <c r="A462" vm="1339">
        <f ca="1"/>
        <v>45961</v>
      </c>
      <c r="B462" vm="1340">
        <f ca="1"/>
        <v>97.41</v>
      </c>
      <c r="C462" vm="1341">
        <f ca="1"/>
        <v>2770794</v>
      </c>
      <c r="D462">
        <f t="shared" ca="1" si="139"/>
        <v>269903043.53999996</v>
      </c>
      <c r="E462">
        <f ca="1">SUM($D$2:D462)/SUM($C$2:C462)</f>
        <v>98.540797662400934</v>
      </c>
      <c r="F462">
        <f ca="1">_xlfn.STDEV.P($B$2:B462)</f>
        <v>6.4112053355756053</v>
      </c>
      <c r="G462">
        <f t="shared" ca="1" si="140"/>
        <v>104.95200299797654</v>
      </c>
      <c r="H462">
        <f t="shared" ca="1" si="141"/>
        <v>92.129592326825332</v>
      </c>
      <c r="I462">
        <f t="shared" ca="1" si="130"/>
        <v>100.40450000000001</v>
      </c>
      <c r="J462">
        <f t="shared" ca="1" si="131"/>
        <v>1.576490022002577</v>
      </c>
      <c r="K462">
        <f t="shared" ca="1" si="132"/>
        <v>103.55748004400516</v>
      </c>
      <c r="L462">
        <f t="shared" ca="1" si="133"/>
        <v>97.251519955994866</v>
      </c>
      <c r="M462">
        <f t="shared" ca="1" si="142"/>
        <v>-0.78000000000000114</v>
      </c>
      <c r="N462">
        <f t="shared" ca="1" si="143"/>
        <v>0</v>
      </c>
      <c r="O462">
        <f t="shared" ca="1" si="144"/>
        <v>0.78000000000000114</v>
      </c>
      <c r="P462">
        <f t="shared" ca="1" si="128"/>
        <v>0.33515453532144884</v>
      </c>
      <c r="Q462">
        <f t="shared" ca="1" si="129"/>
        <v>0.50810810370290083</v>
      </c>
      <c r="R462">
        <f t="shared" ca="1" si="126"/>
        <v>0.65961265502157629</v>
      </c>
      <c r="S462">
        <f t="shared" ca="1" si="127"/>
        <v>39.744976216332887</v>
      </c>
      <c r="T462">
        <f>70</f>
        <v>70</v>
      </c>
      <c r="U462">
        <f>30</f>
        <v>30</v>
      </c>
      <c r="V462">
        <f t="shared" ca="1" si="125"/>
        <v>99.318565916243557</v>
      </c>
      <c r="W462">
        <f t="shared" ca="1" si="135"/>
        <v>99.65422785399663</v>
      </c>
      <c r="X462">
        <f t="shared" ca="1" si="134"/>
        <v>-0.52447286445745078</v>
      </c>
      <c r="Y462">
        <f t="shared" ca="1" si="136"/>
        <v>4.089194068752168E-2</v>
      </c>
      <c r="Z462">
        <f t="shared" ca="1" si="137"/>
        <v>-0.56536480514497245</v>
      </c>
      <c r="AA462">
        <f t="shared" ca="1" si="138"/>
        <v>100.35700000000001</v>
      </c>
    </row>
    <row r="463" spans="1:27" x14ac:dyDescent="0.25">
      <c r="A463" vm="1342">
        <f ca="1"/>
        <v>45964</v>
      </c>
      <c r="B463" vm="272">
        <f ca="1"/>
        <v>96.64</v>
      </c>
      <c r="C463" vm="1343">
        <f ca="1"/>
        <v>1692176</v>
      </c>
      <c r="D463">
        <f t="shared" ca="1" si="139"/>
        <v>163531888.64000002</v>
      </c>
      <c r="E463">
        <f ca="1">SUM($D$2:D463)/SUM($C$2:C463)</f>
        <v>98.537646924981189</v>
      </c>
      <c r="F463">
        <f ca="1">_xlfn.STDEV.P($B$2:B463)</f>
        <v>6.4045165491335405</v>
      </c>
      <c r="G463">
        <f t="shared" ca="1" si="140"/>
        <v>104.94216347411474</v>
      </c>
      <c r="H463">
        <f t="shared" ca="1" si="141"/>
        <v>92.133130375847642</v>
      </c>
      <c r="I463">
        <f t="shared" ca="1" si="130"/>
        <v>100.27000000000001</v>
      </c>
      <c r="J463">
        <f t="shared" ca="1" si="131"/>
        <v>1.7752123668362674</v>
      </c>
      <c r="K463">
        <f t="shared" ca="1" si="132"/>
        <v>103.82042473367254</v>
      </c>
      <c r="L463">
        <f t="shared" ca="1" si="133"/>
        <v>96.719575266327482</v>
      </c>
      <c r="M463">
        <f t="shared" ca="1" si="142"/>
        <v>-0.76999999999999602</v>
      </c>
      <c r="N463">
        <f t="shared" ca="1" si="143"/>
        <v>0</v>
      </c>
      <c r="O463">
        <f t="shared" ca="1" si="144"/>
        <v>0.76999999999999602</v>
      </c>
      <c r="P463">
        <f t="shared" ca="1" si="128"/>
        <v>0.31121492565563103</v>
      </c>
      <c r="Q463">
        <f t="shared" ca="1" si="129"/>
        <v>0.52681466772412189</v>
      </c>
      <c r="R463">
        <f t="shared" ca="1" si="126"/>
        <v>0.59074840683556207</v>
      </c>
      <c r="S463">
        <f t="shared" ca="1" si="127"/>
        <v>37.13650784103087</v>
      </c>
      <c r="T463">
        <f>70</f>
        <v>70</v>
      </c>
      <c r="U463">
        <f>30</f>
        <v>30</v>
      </c>
      <c r="V463">
        <f t="shared" ref="V463:V514" ca="1" si="145">B463*(2/(12+1)) + V462*(1-(2/(12+1)))</f>
        <v>98.906478852206092</v>
      </c>
      <c r="W463">
        <f t="shared" ca="1" si="135"/>
        <v>99.430951716663543</v>
      </c>
      <c r="X463">
        <f t="shared" ca="1" si="134"/>
        <v>-0.56112560914657195</v>
      </c>
      <c r="Y463">
        <f t="shared" ca="1" si="136"/>
        <v>-7.9511569279297048E-2</v>
      </c>
      <c r="Z463">
        <f t="shared" ca="1" si="137"/>
        <v>-0.48161403986727491</v>
      </c>
      <c r="AA463">
        <f t="shared" ca="1" si="138"/>
        <v>100.29789999999998</v>
      </c>
    </row>
    <row r="464" spans="1:27" x14ac:dyDescent="0.25">
      <c r="A464" vm="1344">
        <f ca="1"/>
        <v>45965</v>
      </c>
      <c r="B464" vm="1345">
        <f ca="1"/>
        <v>97.96</v>
      </c>
      <c r="C464" vm="1346">
        <f ca="1"/>
        <v>1614634</v>
      </c>
      <c r="D464">
        <f t="shared" ca="1" si="139"/>
        <v>158169546.63999999</v>
      </c>
      <c r="E464">
        <f ca="1">SUM($D$2:D464)/SUM($C$2:C464)</f>
        <v>98.536734744029275</v>
      </c>
      <c r="F464">
        <f ca="1">_xlfn.STDEV.P($B$2:B464)</f>
        <v>6.3975980550156866</v>
      </c>
      <c r="G464">
        <f t="shared" ca="1" si="140"/>
        <v>104.93433279904497</v>
      </c>
      <c r="H464">
        <f t="shared" ca="1" si="141"/>
        <v>92.139136689013583</v>
      </c>
      <c r="I464">
        <f t="shared" ca="1" si="130"/>
        <v>100.16600000000001</v>
      </c>
      <c r="J464">
        <f t="shared" ca="1" si="131"/>
        <v>1.8487987565187471</v>
      </c>
      <c r="K464">
        <f t="shared" ca="1" si="132"/>
        <v>103.8635975130375</v>
      </c>
      <c r="L464">
        <f t="shared" ca="1" si="133"/>
        <v>96.468402486962518</v>
      </c>
      <c r="M464">
        <f t="shared" ca="1" si="142"/>
        <v>1.3199999999999932</v>
      </c>
      <c r="N464">
        <f t="shared" ca="1" si="143"/>
        <v>1.3199999999999932</v>
      </c>
      <c r="O464">
        <f t="shared" ca="1" si="144"/>
        <v>0</v>
      </c>
      <c r="P464">
        <f t="shared" ca="1" si="128"/>
        <v>0.38327100239451406</v>
      </c>
      <c r="Q464">
        <f t="shared" ca="1" si="129"/>
        <v>0.48918504860097034</v>
      </c>
      <c r="R464">
        <f t="shared" ref="R464:R514" ca="1" si="146">IF(Q464=0,NA(),P464/Q464)</f>
        <v>0.78348879118574477</v>
      </c>
      <c r="S464">
        <f t="shared" ref="S464:S514" ca="1" si="147">100-(100/(1+R464))</f>
        <v>43.930121403501815</v>
      </c>
      <c r="T464">
        <f>70</f>
        <v>70</v>
      </c>
      <c r="U464">
        <f>30</f>
        <v>30</v>
      </c>
      <c r="V464">
        <f t="shared" ca="1" si="145"/>
        <v>98.760866721097457</v>
      </c>
      <c r="W464">
        <f t="shared" ca="1" si="135"/>
        <v>99.321992330244029</v>
      </c>
      <c r="X464">
        <f t="shared" ca="1" si="134"/>
        <v>-0.7310259007503106</v>
      </c>
      <c r="Y464">
        <f t="shared" ca="1" si="136"/>
        <v>-0.20981443557349977</v>
      </c>
      <c r="Z464">
        <f t="shared" ca="1" si="137"/>
        <v>-0.52121146517681083</v>
      </c>
      <c r="AA464">
        <f t="shared" ca="1" si="138"/>
        <v>100.23989999999998</v>
      </c>
    </row>
    <row r="465" spans="1:27" x14ac:dyDescent="0.25">
      <c r="A465" vm="1347">
        <f ca="1"/>
        <v>45966</v>
      </c>
      <c r="B465" vm="1348">
        <f ca="1"/>
        <v>96.11</v>
      </c>
      <c r="C465" vm="1349">
        <f ca="1"/>
        <v>2273863</v>
      </c>
      <c r="D465">
        <f t="shared" ca="1" si="139"/>
        <v>218540972.93000001</v>
      </c>
      <c r="E465">
        <f ca="1">SUM($D$2:D465)/SUM($C$2:C465)</f>
        <v>98.531349984638965</v>
      </c>
      <c r="F465">
        <f ca="1">_xlfn.STDEV.P($B$2:B465)</f>
        <v>6.391217808741561</v>
      </c>
      <c r="G465">
        <f t="shared" ca="1" si="140"/>
        <v>104.92256779338052</v>
      </c>
      <c r="H465">
        <f t="shared" ca="1" si="141"/>
        <v>92.140132175897406</v>
      </c>
      <c r="I465">
        <f t="shared" ca="1" si="130"/>
        <v>99.93</v>
      </c>
      <c r="J465">
        <f t="shared" ca="1" si="131"/>
        <v>2.0498960179020127</v>
      </c>
      <c r="K465">
        <f t="shared" ca="1" si="132"/>
        <v>104.02979203580404</v>
      </c>
      <c r="L465">
        <f t="shared" ca="1" si="133"/>
        <v>95.830207964195978</v>
      </c>
      <c r="M465">
        <f t="shared" ca="1" si="142"/>
        <v>-1.8499999999999943</v>
      </c>
      <c r="N465">
        <f t="shared" ca="1" si="143"/>
        <v>0</v>
      </c>
      <c r="O465">
        <f t="shared" ca="1" si="144"/>
        <v>1.8499999999999943</v>
      </c>
      <c r="P465">
        <f t="shared" ref="P465:P514" ca="1" si="148">(P464*13+N465)/14</f>
        <v>0.35589450222347729</v>
      </c>
      <c r="Q465">
        <f t="shared" ref="Q465:Q514" ca="1" si="149">(Q464*13+O465)/14</f>
        <v>0.5863861165580434</v>
      </c>
      <c r="R465">
        <f t="shared" ca="1" si="146"/>
        <v>0.60692859563677803</v>
      </c>
      <c r="S465">
        <f t="shared" ca="1" si="147"/>
        <v>37.76948131265722</v>
      </c>
      <c r="T465">
        <f>70</f>
        <v>70</v>
      </c>
      <c r="U465">
        <f>30</f>
        <v>30</v>
      </c>
      <c r="V465">
        <f t="shared" ca="1" si="145"/>
        <v>98.353041071697859</v>
      </c>
      <c r="W465">
        <f t="shared" ca="1" si="135"/>
        <v>99.08406697244817</v>
      </c>
      <c r="X465">
        <f t="shared" ca="1" si="134"/>
        <v>-0.78560845513216293</v>
      </c>
      <c r="Y465">
        <f t="shared" ca="1" si="136"/>
        <v>-0.32497323948523238</v>
      </c>
      <c r="Z465">
        <f t="shared" ca="1" si="137"/>
        <v>-0.46063521564693055</v>
      </c>
      <c r="AA465">
        <f t="shared" ca="1" si="138"/>
        <v>100.16140000000001</v>
      </c>
    </row>
    <row r="466" spans="1:27" x14ac:dyDescent="0.25">
      <c r="A466" vm="1350">
        <f ca="1"/>
        <v>45967</v>
      </c>
      <c r="B466" vm="1351">
        <f ca="1"/>
        <v>96.99</v>
      </c>
      <c r="C466" vm="1352">
        <f ca="1"/>
        <v>3064515</v>
      </c>
      <c r="D466">
        <f t="shared" ca="1" si="139"/>
        <v>297227309.84999996</v>
      </c>
      <c r="E466">
        <f ca="1">SUM($D$2:D466)/SUM($C$2:C466)</f>
        <v>98.526754345699189</v>
      </c>
      <c r="F466">
        <f ca="1">_xlfn.STDEV.P($B$2:B466)</f>
        <v>6.3844690113814355</v>
      </c>
      <c r="G466">
        <f t="shared" ca="1" si="140"/>
        <v>104.91122335708063</v>
      </c>
      <c r="H466">
        <f t="shared" ca="1" si="141"/>
        <v>92.142285334317748</v>
      </c>
      <c r="I466">
        <f t="shared" ca="1" si="130"/>
        <v>99.739500000000007</v>
      </c>
      <c r="J466">
        <f t="shared" ca="1" si="131"/>
        <v>2.13985113845259</v>
      </c>
      <c r="K466">
        <f t="shared" ca="1" si="132"/>
        <v>104.01920227690519</v>
      </c>
      <c r="L466">
        <f t="shared" ca="1" si="133"/>
        <v>95.459797723094823</v>
      </c>
      <c r="M466">
        <f t="shared" ca="1" si="142"/>
        <v>0.87999999999999545</v>
      </c>
      <c r="N466">
        <f t="shared" ca="1" si="143"/>
        <v>0.87999999999999545</v>
      </c>
      <c r="O466">
        <f t="shared" ca="1" si="144"/>
        <v>0</v>
      </c>
      <c r="P466">
        <f t="shared" ca="1" si="148"/>
        <v>0.39333060920751434</v>
      </c>
      <c r="Q466">
        <f t="shared" ca="1" si="149"/>
        <v>0.54450139394675456</v>
      </c>
      <c r="R466">
        <f t="shared" ca="1" si="146"/>
        <v>0.72236841554528175</v>
      </c>
      <c r="S466">
        <f t="shared" ca="1" si="147"/>
        <v>41.9404123429997</v>
      </c>
      <c r="T466">
        <f>70</f>
        <v>70</v>
      </c>
      <c r="U466">
        <f>30</f>
        <v>30</v>
      </c>
      <c r="V466">
        <f t="shared" ca="1" si="145"/>
        <v>98.143342445282798</v>
      </c>
      <c r="W466">
        <f t="shared" ca="1" si="135"/>
        <v>98.928950900414961</v>
      </c>
      <c r="X466">
        <f t="shared" ca="1" si="134"/>
        <v>-0.69736847973182137</v>
      </c>
      <c r="Y466">
        <f t="shared" ca="1" si="136"/>
        <v>-0.3994522875345502</v>
      </c>
      <c r="Z466">
        <f t="shared" ca="1" si="137"/>
        <v>-0.29791619219727117</v>
      </c>
      <c r="AA466">
        <f t="shared" ca="1" si="138"/>
        <v>100.11499999999999</v>
      </c>
    </row>
    <row r="467" spans="1:27" x14ac:dyDescent="0.25">
      <c r="A467" vm="1353">
        <f ca="1"/>
        <v>45968</v>
      </c>
      <c r="B467" vm="1354">
        <f ca="1"/>
        <v>98.52</v>
      </c>
      <c r="C467" vm="1355">
        <f ca="1"/>
        <v>2924446</v>
      </c>
      <c r="D467">
        <f t="shared" ca="1" si="139"/>
        <v>288116419.92000002</v>
      </c>
      <c r="E467">
        <f ca="1">SUM($D$2:D467)/SUM($C$2:C467)</f>
        <v>98.526735182154709</v>
      </c>
      <c r="F467">
        <f ca="1">_xlfn.STDEV.P($B$2:B467)</f>
        <v>6.377688605125539</v>
      </c>
      <c r="G467">
        <f t="shared" ca="1" si="140"/>
        <v>104.90442378728025</v>
      </c>
      <c r="H467">
        <f t="shared" ca="1" si="141"/>
        <v>92.149046577029168</v>
      </c>
      <c r="I467">
        <f t="shared" ca="1" si="130"/>
        <v>99.546000000000006</v>
      </c>
      <c r="J467">
        <f t="shared" ca="1" si="131"/>
        <v>2.0610865810869874</v>
      </c>
      <c r="K467">
        <f t="shared" ca="1" si="132"/>
        <v>103.66817316217399</v>
      </c>
      <c r="L467">
        <f t="shared" ca="1" si="133"/>
        <v>95.423826837826027</v>
      </c>
      <c r="M467">
        <f t="shared" ca="1" si="142"/>
        <v>1.5300000000000011</v>
      </c>
      <c r="N467">
        <f t="shared" ca="1" si="143"/>
        <v>1.5300000000000011</v>
      </c>
      <c r="O467">
        <f t="shared" ca="1" si="144"/>
        <v>0</v>
      </c>
      <c r="P467">
        <f t="shared" ca="1" si="148"/>
        <v>0.47452127997840626</v>
      </c>
      <c r="Q467">
        <f t="shared" ca="1" si="149"/>
        <v>0.50560843723627202</v>
      </c>
      <c r="R467">
        <f t="shared" ca="1" si="146"/>
        <v>0.93851535107326811</v>
      </c>
      <c r="S467">
        <f t="shared" ca="1" si="147"/>
        <v>48.414130460904246</v>
      </c>
      <c r="T467">
        <f>70</f>
        <v>70</v>
      </c>
      <c r="U467">
        <f>30</f>
        <v>30</v>
      </c>
      <c r="V467">
        <f t="shared" ca="1" si="145"/>
        <v>98.201289761393141</v>
      </c>
      <c r="W467">
        <f t="shared" ca="1" si="135"/>
        <v>98.898658241124963</v>
      </c>
      <c r="X467">
        <f t="shared" ca="1" si="134"/>
        <v>-0.64262355906510038</v>
      </c>
      <c r="Y467">
        <f t="shared" ca="1" si="136"/>
        <v>-0.44808654184066021</v>
      </c>
      <c r="Z467">
        <f t="shared" ca="1" si="137"/>
        <v>-0.19453701722444017</v>
      </c>
      <c r="AA467">
        <f t="shared" ca="1" si="138"/>
        <v>100.08670000000002</v>
      </c>
    </row>
    <row r="468" spans="1:27" x14ac:dyDescent="0.25">
      <c r="A468" vm="1356">
        <f ca="1"/>
        <v>45971</v>
      </c>
      <c r="B468" vm="1357">
        <f ca="1"/>
        <v>98.24</v>
      </c>
      <c r="C468" vm="1358">
        <f ca="1"/>
        <v>2188924</v>
      </c>
      <c r="D468">
        <f t="shared" ca="1" si="139"/>
        <v>215039893.75999999</v>
      </c>
      <c r="E468">
        <f ca="1">SUM($D$2:D468)/SUM($C$2:C468)</f>
        <v>98.526127552011644</v>
      </c>
      <c r="F468">
        <f ca="1">_xlfn.STDEV.P($B$2:B468)</f>
        <v>6.370880869145731</v>
      </c>
      <c r="G468">
        <f t="shared" ca="1" si="140"/>
        <v>104.89700842115738</v>
      </c>
      <c r="H468">
        <f t="shared" ca="1" si="141"/>
        <v>92.155246682865908</v>
      </c>
      <c r="I468">
        <f t="shared" ca="1" si="130"/>
        <v>99.415000000000006</v>
      </c>
      <c r="J468">
        <f t="shared" ca="1" si="131"/>
        <v>2.056431502947714</v>
      </c>
      <c r="K468">
        <f t="shared" ca="1" si="132"/>
        <v>103.52786300589544</v>
      </c>
      <c r="L468">
        <f t="shared" ca="1" si="133"/>
        <v>95.302136994104572</v>
      </c>
      <c r="M468">
        <f t="shared" ca="1" si="142"/>
        <v>-0.28000000000000114</v>
      </c>
      <c r="N468">
        <f t="shared" ca="1" si="143"/>
        <v>0</v>
      </c>
      <c r="O468">
        <f t="shared" ca="1" si="144"/>
        <v>0.28000000000000114</v>
      </c>
      <c r="P468">
        <f t="shared" ca="1" si="148"/>
        <v>0.44062690283709155</v>
      </c>
      <c r="Q468">
        <f t="shared" ca="1" si="149"/>
        <v>0.48949354886225266</v>
      </c>
      <c r="R468">
        <f t="shared" ca="1" si="146"/>
        <v>0.90016896823514103</v>
      </c>
      <c r="S468">
        <f t="shared" ca="1" si="147"/>
        <v>47.373101196953527</v>
      </c>
      <c r="T468">
        <f>70</f>
        <v>70</v>
      </c>
      <c r="U468">
        <f>30</f>
        <v>30</v>
      </c>
      <c r="V468">
        <f t="shared" ca="1" si="145"/>
        <v>98.207245182717273</v>
      </c>
      <c r="W468">
        <f t="shared" ca="1" si="135"/>
        <v>98.849868741782373</v>
      </c>
      <c r="X468">
        <f t="shared" ca="1" si="134"/>
        <v>-0.48471658635966719</v>
      </c>
      <c r="Y468">
        <f t="shared" ca="1" si="136"/>
        <v>-0.45541255074446163</v>
      </c>
      <c r="Z468">
        <f t="shared" ca="1" si="137"/>
        <v>-2.9304035615205559E-2</v>
      </c>
      <c r="AA468">
        <f t="shared" ca="1" si="138"/>
        <v>100.06180000000001</v>
      </c>
    </row>
    <row r="469" spans="1:27" x14ac:dyDescent="0.25">
      <c r="A469" vm="1359">
        <f ca="1"/>
        <v>45972</v>
      </c>
      <c r="B469" vm="483">
        <f ca="1"/>
        <v>99.59</v>
      </c>
      <c r="C469" vm="1360">
        <f ca="1"/>
        <v>1779798</v>
      </c>
      <c r="D469">
        <f t="shared" ca="1" si="139"/>
        <v>177250082.81999999</v>
      </c>
      <c r="E469">
        <f ca="1">SUM($D$2:D469)/SUM($C$2:C469)</f>
        <v>98.527957506342446</v>
      </c>
      <c r="F469">
        <f ca="1">_xlfn.STDEV.P($B$2:B469)</f>
        <v>6.3645719147058299</v>
      </c>
      <c r="G469">
        <f t="shared" ca="1" si="140"/>
        <v>104.89252942104828</v>
      </c>
      <c r="H469">
        <f t="shared" ca="1" si="141"/>
        <v>92.163385591636612</v>
      </c>
      <c r="I469">
        <f t="shared" ca="1" si="130"/>
        <v>99.3</v>
      </c>
      <c r="J469">
        <f t="shared" ca="1" si="131"/>
        <v>1.9733727473541343</v>
      </c>
      <c r="K469">
        <f t="shared" ca="1" si="132"/>
        <v>103.24674549470826</v>
      </c>
      <c r="L469">
        <f t="shared" ca="1" si="133"/>
        <v>95.35325450529173</v>
      </c>
      <c r="M469">
        <f t="shared" ca="1" si="142"/>
        <v>1.3500000000000085</v>
      </c>
      <c r="N469">
        <f t="shared" ca="1" si="143"/>
        <v>1.3500000000000085</v>
      </c>
      <c r="O469">
        <f t="shared" ca="1" si="144"/>
        <v>0</v>
      </c>
      <c r="P469">
        <f t="shared" ca="1" si="148"/>
        <v>0.50558212406301417</v>
      </c>
      <c r="Q469">
        <f t="shared" ca="1" si="149"/>
        <v>0.45452972394352031</v>
      </c>
      <c r="R469">
        <f t="shared" ca="1" si="146"/>
        <v>1.1123191673287303</v>
      </c>
      <c r="S469">
        <f t="shared" ca="1" si="147"/>
        <v>52.658669415729698</v>
      </c>
      <c r="T469">
        <f>70</f>
        <v>70</v>
      </c>
      <c r="U469">
        <f>30</f>
        <v>30</v>
      </c>
      <c r="V469">
        <f t="shared" ca="1" si="145"/>
        <v>98.419976693068463</v>
      </c>
      <c r="W469">
        <f t="shared" ca="1" si="135"/>
        <v>98.90469327942813</v>
      </c>
      <c r="X469">
        <f t="shared" ca="1" si="134"/>
        <v>-0.3076132135977474</v>
      </c>
      <c r="Y469">
        <f t="shared" ca="1" si="136"/>
        <v>-0.42585268331511883</v>
      </c>
      <c r="Z469">
        <f t="shared" ca="1" si="137"/>
        <v>0.11823946971737143</v>
      </c>
      <c r="AA469">
        <f t="shared" ca="1" si="138"/>
        <v>100.04800000000002</v>
      </c>
    </row>
    <row r="470" spans="1:27" x14ac:dyDescent="0.25">
      <c r="A470" vm="1361">
        <f ca="1"/>
        <v>45973</v>
      </c>
      <c r="B470" vm="1087">
        <f ca="1"/>
        <v>100.19</v>
      </c>
      <c r="C470" vm="1362">
        <f ca="1"/>
        <v>1340259</v>
      </c>
      <c r="D470">
        <f t="shared" ca="1" si="139"/>
        <v>134280549.21000001</v>
      </c>
      <c r="E470">
        <f ca="1">SUM($D$2:D470)/SUM($C$2:C470)</f>
        <v>98.530107556815764</v>
      </c>
      <c r="F470">
        <f ca="1">_xlfn.STDEV.P($B$2:B470)</f>
        <v>6.3586882735878021</v>
      </c>
      <c r="G470">
        <f t="shared" ca="1" si="140"/>
        <v>104.88879583040357</v>
      </c>
      <c r="H470">
        <f t="shared" ca="1" si="141"/>
        <v>92.171419283227962</v>
      </c>
      <c r="I470">
        <f t="shared" ref="I470:I514" ca="1" si="150">AVERAGE(B451:B470)</f>
        <v>99.195000000000007</v>
      </c>
      <c r="J470">
        <f t="shared" ref="J470:J514" ca="1" si="151">_xlfn.STDEV.S(B451:B470)</f>
        <v>1.858427462017</v>
      </c>
      <c r="K470">
        <f t="shared" ref="K470:K514" ca="1" si="152">I470 + 2*J470</f>
        <v>102.911854924034</v>
      </c>
      <c r="L470">
        <f t="shared" ref="L470:L514" ca="1" si="153">I470-2*J470</f>
        <v>95.478145075966012</v>
      </c>
      <c r="M470">
        <f t="shared" ca="1" si="142"/>
        <v>0.59999999999999432</v>
      </c>
      <c r="N470">
        <f t="shared" ca="1" si="143"/>
        <v>0.59999999999999432</v>
      </c>
      <c r="O470">
        <f t="shared" ca="1" si="144"/>
        <v>0</v>
      </c>
      <c r="P470">
        <f t="shared" ca="1" si="148"/>
        <v>0.51232625805851273</v>
      </c>
      <c r="Q470">
        <f t="shared" ca="1" si="149"/>
        <v>0.42206331509041173</v>
      </c>
      <c r="R470">
        <f t="shared" ca="1" si="146"/>
        <v>1.2138611429632671</v>
      </c>
      <c r="S470">
        <f t="shared" ca="1" si="147"/>
        <v>54.830048705697337</v>
      </c>
      <c r="T470">
        <f>70</f>
        <v>70</v>
      </c>
      <c r="U470">
        <f>30</f>
        <v>30</v>
      </c>
      <c r="V470">
        <f t="shared" ca="1" si="145"/>
        <v>98.692287971057922</v>
      </c>
      <c r="W470">
        <f t="shared" ca="1" si="135"/>
        <v>98.99990118465567</v>
      </c>
      <c r="X470">
        <f t="shared" ca="1" si="134"/>
        <v>-0.10472466555238213</v>
      </c>
      <c r="Y470">
        <f t="shared" ca="1" si="136"/>
        <v>-0.36162707976257147</v>
      </c>
      <c r="Z470">
        <f t="shared" ca="1" si="137"/>
        <v>0.25690241421018933</v>
      </c>
      <c r="AA470">
        <f t="shared" ca="1" si="138"/>
        <v>100.03839999999998</v>
      </c>
    </row>
    <row r="471" spans="1:27" x14ac:dyDescent="0.25">
      <c r="A471" vm="1363">
        <f ca="1"/>
        <v>45974</v>
      </c>
      <c r="B471" vm="1364">
        <f ca="1"/>
        <v>100.95</v>
      </c>
      <c r="C471" vm="1365">
        <f ca="1"/>
        <v>1977816</v>
      </c>
      <c r="D471">
        <f t="shared" ca="1" si="139"/>
        <v>199660525.20000002</v>
      </c>
      <c r="E471">
        <f ca="1">SUM($D$2:D471)/SUM($C$2:C471)</f>
        <v>98.534718305759824</v>
      </c>
      <c r="F471">
        <f ca="1">_xlfn.STDEV.P($B$2:B471)</f>
        <v>6.3535064263335208</v>
      </c>
      <c r="G471">
        <f t="shared" ca="1" si="140"/>
        <v>104.88822473209335</v>
      </c>
      <c r="H471">
        <f t="shared" ca="1" si="141"/>
        <v>92.1812118794263</v>
      </c>
      <c r="I471">
        <f t="shared" ca="1" si="150"/>
        <v>99.189000000000007</v>
      </c>
      <c r="J471">
        <f t="shared" ca="1" si="151"/>
        <v>1.852238759191869</v>
      </c>
      <c r="K471">
        <f t="shared" ca="1" si="152"/>
        <v>102.89347751838375</v>
      </c>
      <c r="L471">
        <f t="shared" ca="1" si="153"/>
        <v>95.484522481616267</v>
      </c>
      <c r="M471">
        <f t="shared" ca="1" si="142"/>
        <v>0.76000000000000512</v>
      </c>
      <c r="N471">
        <f t="shared" ca="1" si="143"/>
        <v>0.76000000000000512</v>
      </c>
      <c r="O471">
        <f t="shared" ca="1" si="144"/>
        <v>0</v>
      </c>
      <c r="P471">
        <f t="shared" ca="1" si="148"/>
        <v>0.53001723962576219</v>
      </c>
      <c r="Q471">
        <f t="shared" ca="1" si="149"/>
        <v>0.3919159354410966</v>
      </c>
      <c r="R471">
        <f t="shared" ca="1" si="146"/>
        <v>1.3523748122903814</v>
      </c>
      <c r="S471">
        <f t="shared" ca="1" si="147"/>
        <v>57.489767584003609</v>
      </c>
      <c r="T471">
        <f>70</f>
        <v>70</v>
      </c>
      <c r="U471">
        <f>30</f>
        <v>30</v>
      </c>
      <c r="V471">
        <f t="shared" ca="1" si="145"/>
        <v>99.039628283202859</v>
      </c>
      <c r="W471">
        <f t="shared" ca="1" si="135"/>
        <v>99.144352948755241</v>
      </c>
      <c r="X471">
        <f t="shared" ca="1" si="134"/>
        <v>0.11206521870597896</v>
      </c>
      <c r="Y471">
        <f t="shared" ca="1" si="136"/>
        <v>-0.26688862006886138</v>
      </c>
      <c r="Z471">
        <f t="shared" ca="1" si="137"/>
        <v>0.37895383877484035</v>
      </c>
      <c r="AA471">
        <f t="shared" ca="1" si="138"/>
        <v>100.04600000000001</v>
      </c>
    </row>
    <row r="472" spans="1:27" x14ac:dyDescent="0.25">
      <c r="A472" vm="1366">
        <f ca="1"/>
        <v>45975</v>
      </c>
      <c r="B472" vm="1367">
        <f ca="1"/>
        <v>101.66</v>
      </c>
      <c r="C472" vm="1368">
        <f ca="1"/>
        <v>2443256</v>
      </c>
      <c r="D472">
        <f t="shared" ca="1" si="139"/>
        <v>248381404.95999998</v>
      </c>
      <c r="E472">
        <f ca="1">SUM($D$2:D472)/SUM($C$2:C472)</f>
        <v>98.542057132811507</v>
      </c>
      <c r="F472">
        <f ca="1">_xlfn.STDEV.P($B$2:B472)</f>
        <v>6.3491482200285887</v>
      </c>
      <c r="G472">
        <f t="shared" ca="1" si="140"/>
        <v>104.8912053528401</v>
      </c>
      <c r="H472">
        <f t="shared" ca="1" si="141"/>
        <v>92.192908912782912</v>
      </c>
      <c r="I472">
        <f t="shared" ca="1" si="150"/>
        <v>99.212500000000006</v>
      </c>
      <c r="J472">
        <f t="shared" ca="1" si="151"/>
        <v>1.8817093992319585</v>
      </c>
      <c r="K472">
        <f t="shared" ca="1" si="152"/>
        <v>102.97591879846392</v>
      </c>
      <c r="L472">
        <f t="shared" ca="1" si="153"/>
        <v>95.449081201536089</v>
      </c>
      <c r="M472">
        <f t="shared" ca="1" si="142"/>
        <v>0.70999999999999375</v>
      </c>
      <c r="N472">
        <f t="shared" ca="1" si="143"/>
        <v>0.70999999999999375</v>
      </c>
      <c r="O472">
        <f t="shared" ca="1" si="144"/>
        <v>0</v>
      </c>
      <c r="P472">
        <f t="shared" ca="1" si="148"/>
        <v>0.54287315108106449</v>
      </c>
      <c r="Q472">
        <f t="shared" ca="1" si="149"/>
        <v>0.36392194005244682</v>
      </c>
      <c r="R472">
        <f t="shared" ca="1" si="146"/>
        <v>1.4917296577470103</v>
      </c>
      <c r="S472">
        <f t="shared" ca="1" si="147"/>
        <v>59.867235320215791</v>
      </c>
      <c r="T472">
        <f>70</f>
        <v>70</v>
      </c>
      <c r="U472">
        <f>30</f>
        <v>30</v>
      </c>
      <c r="V472">
        <f t="shared" ca="1" si="145"/>
        <v>99.442762393479342</v>
      </c>
      <c r="W472">
        <f t="shared" ca="1" si="135"/>
        <v>99.330697174773363</v>
      </c>
      <c r="X472">
        <f t="shared" ca="1" si="134"/>
        <v>0.45533860131629922</v>
      </c>
      <c r="Y472">
        <f t="shared" ca="1" si="136"/>
        <v>-0.12244317579182926</v>
      </c>
      <c r="Z472">
        <f t="shared" ca="1" si="137"/>
        <v>0.5777817771081285</v>
      </c>
      <c r="AA472">
        <f t="shared" ca="1" si="138"/>
        <v>100.08210000000001</v>
      </c>
    </row>
    <row r="473" spans="1:27" x14ac:dyDescent="0.25">
      <c r="A473" vm="1369">
        <f ca="1"/>
        <v>45978</v>
      </c>
      <c r="B473" vm="1370">
        <f ca="1"/>
        <v>103.85</v>
      </c>
      <c r="C473" vm="1371">
        <f ca="1"/>
        <v>3007831</v>
      </c>
      <c r="D473">
        <f t="shared" ca="1" si="139"/>
        <v>312363249.34999996</v>
      </c>
      <c r="E473">
        <f ca="1">SUM($D$2:D473)/SUM($C$2:C473)</f>
        <v>98.55735724175284</v>
      </c>
      <c r="F473">
        <f ca="1">_xlfn.STDEV.P($B$2:B473)</f>
        <v>6.3483492714792433</v>
      </c>
      <c r="G473">
        <f t="shared" ca="1" si="140"/>
        <v>104.90570651323208</v>
      </c>
      <c r="H473">
        <f t="shared" ca="1" si="141"/>
        <v>92.209007970273603</v>
      </c>
      <c r="I473">
        <f t="shared" ca="1" si="150"/>
        <v>99.318999999999988</v>
      </c>
      <c r="J473">
        <f t="shared" ca="1" si="151"/>
        <v>2.0808371291128811</v>
      </c>
      <c r="K473">
        <f t="shared" ca="1" si="152"/>
        <v>103.48067425822575</v>
      </c>
      <c r="L473">
        <f t="shared" ca="1" si="153"/>
        <v>95.15732574177423</v>
      </c>
      <c r="M473">
        <f t="shared" ca="1" si="142"/>
        <v>2.1899999999999977</v>
      </c>
      <c r="N473">
        <f t="shared" ca="1" si="143"/>
        <v>2.1899999999999977</v>
      </c>
      <c r="O473">
        <f t="shared" ca="1" si="144"/>
        <v>0</v>
      </c>
      <c r="P473">
        <f t="shared" ca="1" si="148"/>
        <v>0.66052506886098838</v>
      </c>
      <c r="Q473">
        <f t="shared" ca="1" si="149"/>
        <v>0.3379275157629863</v>
      </c>
      <c r="R473">
        <f t="shared" ca="1" si="146"/>
        <v>1.9546353524057618</v>
      </c>
      <c r="S473">
        <f t="shared" ca="1" si="147"/>
        <v>66.154875958355845</v>
      </c>
      <c r="T473">
        <f>70</f>
        <v>70</v>
      </c>
      <c r="U473">
        <f>30</f>
        <v>30</v>
      </c>
      <c r="V473">
        <f t="shared" ca="1" si="145"/>
        <v>100.12079894832867</v>
      </c>
      <c r="W473">
        <f t="shared" ca="1" si="135"/>
        <v>99.66546034701237</v>
      </c>
      <c r="X473">
        <f t="shared" ca="1" si="134"/>
        <v>0.64411018482790894</v>
      </c>
      <c r="Y473">
        <f t="shared" ca="1" si="136"/>
        <v>3.0867496332118369E-2</v>
      </c>
      <c r="Z473">
        <f t="shared" ca="1" si="137"/>
        <v>0.61324268849579056</v>
      </c>
      <c r="AA473">
        <f t="shared" ca="1" si="138"/>
        <v>100.13650000000001</v>
      </c>
    </row>
    <row r="474" spans="1:27" x14ac:dyDescent="0.25">
      <c r="A474" vm="1372">
        <f ca="1"/>
        <v>45979</v>
      </c>
      <c r="B474" vm="613">
        <f ca="1"/>
        <v>102.91</v>
      </c>
      <c r="C474" vm="1373">
        <f ca="1"/>
        <v>2585563</v>
      </c>
      <c r="D474">
        <f t="shared" ca="1" si="139"/>
        <v>266080288.32999998</v>
      </c>
      <c r="E474">
        <f ca="1">SUM($D$2:D474)/SUM($C$2:C474)</f>
        <v>98.568115655136211</v>
      </c>
      <c r="F474">
        <f ca="1">_xlfn.STDEV.P($B$2:B474)</f>
        <v>6.3458150799952762</v>
      </c>
      <c r="G474">
        <f t="shared" ca="1" si="140"/>
        <v>104.91393073513149</v>
      </c>
      <c r="H474">
        <f t="shared" ca="1" si="141"/>
        <v>92.222300575140935</v>
      </c>
      <c r="I474">
        <f t="shared" ca="1" si="150"/>
        <v>99.386499999999998</v>
      </c>
      <c r="J474">
        <f t="shared" ca="1" si="151"/>
        <v>2.177031477179781</v>
      </c>
      <c r="K474">
        <f t="shared" ca="1" si="152"/>
        <v>103.74056295435956</v>
      </c>
      <c r="L474">
        <f t="shared" ca="1" si="153"/>
        <v>95.032437045640435</v>
      </c>
      <c r="M474">
        <f t="shared" ca="1" si="142"/>
        <v>-0.93999999999999773</v>
      </c>
      <c r="N474">
        <f t="shared" ca="1" si="143"/>
        <v>0</v>
      </c>
      <c r="O474">
        <f t="shared" ca="1" si="144"/>
        <v>0.93999999999999773</v>
      </c>
      <c r="P474">
        <f t="shared" ca="1" si="148"/>
        <v>0.61334470679948916</v>
      </c>
      <c r="Q474">
        <f t="shared" ca="1" si="149"/>
        <v>0.38093269320848711</v>
      </c>
      <c r="R474">
        <f t="shared" ca="1" si="146"/>
        <v>1.6101130665196053</v>
      </c>
      <c r="S474">
        <f t="shared" ca="1" si="147"/>
        <v>61.687483472375895</v>
      </c>
      <c r="T474">
        <f>70</f>
        <v>70</v>
      </c>
      <c r="U474">
        <f>30</f>
        <v>30</v>
      </c>
      <c r="V474">
        <f t="shared" ca="1" si="145"/>
        <v>100.54990680243195</v>
      </c>
      <c r="W474">
        <f t="shared" ca="1" si="135"/>
        <v>99.90579661760404</v>
      </c>
      <c r="X474">
        <f t="shared" ca="1" si="134"/>
        <v>0.58284450028767765</v>
      </c>
      <c r="Y474">
        <f t="shared" ca="1" si="136"/>
        <v>0.14126289712323023</v>
      </c>
      <c r="Z474">
        <f t="shared" ca="1" si="137"/>
        <v>0.44158160316444739</v>
      </c>
      <c r="AA474">
        <f t="shared" ca="1" si="138"/>
        <v>100.1841</v>
      </c>
    </row>
    <row r="475" spans="1:27" x14ac:dyDescent="0.25">
      <c r="A475" vm="1374">
        <f ca="1"/>
        <v>45980</v>
      </c>
      <c r="B475" vm="1375">
        <f ca="1"/>
        <v>100.38</v>
      </c>
      <c r="C475" vm="1376">
        <f ca="1"/>
        <v>3059734</v>
      </c>
      <c r="D475">
        <f t="shared" ca="1" si="139"/>
        <v>307136098.91999996</v>
      </c>
      <c r="E475">
        <f ca="1">SUM($D$2:D475)/SUM($C$2:C475)</f>
        <v>98.5733999345493</v>
      </c>
      <c r="F475">
        <f ca="1">_xlfn.STDEV.P($B$2:B475)</f>
        <v>6.3401332919783853</v>
      </c>
      <c r="G475">
        <f t="shared" ca="1" si="140"/>
        <v>104.91353322652769</v>
      </c>
      <c r="H475">
        <f t="shared" ca="1" si="141"/>
        <v>92.233266642570911</v>
      </c>
      <c r="I475">
        <f t="shared" ca="1" si="150"/>
        <v>99.308500000000009</v>
      </c>
      <c r="J475">
        <f t="shared" ca="1" si="151"/>
        <v>2.107566006957839</v>
      </c>
      <c r="K475">
        <f t="shared" ca="1" si="152"/>
        <v>103.52363201391569</v>
      </c>
      <c r="L475">
        <f t="shared" ca="1" si="153"/>
        <v>95.093367986084331</v>
      </c>
      <c r="M475">
        <f t="shared" ca="1" si="142"/>
        <v>-2.5300000000000011</v>
      </c>
      <c r="N475">
        <f t="shared" ca="1" si="143"/>
        <v>0</v>
      </c>
      <c r="O475">
        <f t="shared" ca="1" si="144"/>
        <v>2.5300000000000011</v>
      </c>
      <c r="P475">
        <f t="shared" ca="1" si="148"/>
        <v>0.56953437059952561</v>
      </c>
      <c r="Q475">
        <f t="shared" ca="1" si="149"/>
        <v>0.53443750083645247</v>
      </c>
      <c r="R475">
        <f t="shared" ca="1" si="146"/>
        <v>1.0656706718898707</v>
      </c>
      <c r="S475">
        <f t="shared" ca="1" si="147"/>
        <v>51.589572645425349</v>
      </c>
      <c r="T475">
        <f>70</f>
        <v>70</v>
      </c>
      <c r="U475">
        <f>30</f>
        <v>30</v>
      </c>
      <c r="V475">
        <f t="shared" ca="1" si="145"/>
        <v>100.52376729436548</v>
      </c>
      <c r="W475">
        <f t="shared" ca="1" si="135"/>
        <v>99.940922794077807</v>
      </c>
      <c r="X475">
        <f t="shared" ca="1" si="134"/>
        <v>0.57367230299506389</v>
      </c>
      <c r="Y475">
        <f t="shared" ca="1" si="136"/>
        <v>0.22774477829759698</v>
      </c>
      <c r="Z475">
        <f t="shared" ca="1" si="137"/>
        <v>0.3459275246974669</v>
      </c>
      <c r="AA475">
        <f t="shared" ca="1" si="138"/>
        <v>100.18439999999998</v>
      </c>
    </row>
    <row r="476" spans="1:27" x14ac:dyDescent="0.25">
      <c r="A476" vm="1377">
        <f ca="1"/>
        <v>45981</v>
      </c>
      <c r="B476" vm="1364">
        <f ca="1"/>
        <v>100.95</v>
      </c>
      <c r="C476" vm="1378">
        <f ca="1"/>
        <v>2462396</v>
      </c>
      <c r="D476">
        <f t="shared" ca="1" si="139"/>
        <v>248578876.20000002</v>
      </c>
      <c r="E476">
        <f ca="1">SUM($D$2:D476)/SUM($C$2:C476)</f>
        <v>98.578964964381484</v>
      </c>
      <c r="F476">
        <f ca="1">_xlfn.STDEV.P($B$2:B476)</f>
        <v>6.3349865038346627</v>
      </c>
      <c r="G476">
        <f t="shared" ca="1" si="140"/>
        <v>104.91395146821614</v>
      </c>
      <c r="H476">
        <f t="shared" ca="1" si="141"/>
        <v>92.243978460546828</v>
      </c>
      <c r="I476">
        <f t="shared" ca="1" si="150"/>
        <v>99.31750000000001</v>
      </c>
      <c r="J476">
        <f t="shared" ca="1" si="151"/>
        <v>2.1145084659635627</v>
      </c>
      <c r="K476">
        <f t="shared" ca="1" si="152"/>
        <v>103.54651693192713</v>
      </c>
      <c r="L476">
        <f t="shared" ca="1" si="153"/>
        <v>95.08848306807289</v>
      </c>
      <c r="M476">
        <f t="shared" ca="1" si="142"/>
        <v>0.57000000000000739</v>
      </c>
      <c r="N476">
        <f t="shared" ca="1" si="143"/>
        <v>0.57000000000000739</v>
      </c>
      <c r="O476">
        <f t="shared" ca="1" si="144"/>
        <v>0</v>
      </c>
      <c r="P476">
        <f t="shared" ca="1" si="148"/>
        <v>0.56956762984241716</v>
      </c>
      <c r="Q476">
        <f t="shared" ca="1" si="149"/>
        <v>0.49626339363384869</v>
      </c>
      <c r="R476">
        <f t="shared" ca="1" si="146"/>
        <v>1.1477123582938571</v>
      </c>
      <c r="S476">
        <f t="shared" ca="1" si="147"/>
        <v>53.438830105051863</v>
      </c>
      <c r="T476">
        <f>70</f>
        <v>70</v>
      </c>
      <c r="U476">
        <f>30</f>
        <v>30</v>
      </c>
      <c r="V476">
        <f t="shared" ca="1" si="145"/>
        <v>100.5893415567708</v>
      </c>
      <c r="W476">
        <f t="shared" ca="1" si="135"/>
        <v>100.01566925377574</v>
      </c>
      <c r="X476">
        <f t="shared" ref="X476:X514" ca="1" si="154">V477-W477</f>
        <v>0.49692858941256191</v>
      </c>
      <c r="Y476">
        <f t="shared" ca="1" si="136"/>
        <v>0.28158154052058998</v>
      </c>
      <c r="Z476">
        <f t="shared" ca="1" si="137"/>
        <v>0.21534704889197193</v>
      </c>
      <c r="AA476">
        <f t="shared" ca="1" si="138"/>
        <v>100.18610000000001</v>
      </c>
    </row>
    <row r="477" spans="1:27" x14ac:dyDescent="0.25">
      <c r="A477" vm="1379">
        <f ca="1"/>
        <v>45982</v>
      </c>
      <c r="B477" vm="1380">
        <f ca="1"/>
        <v>100.16</v>
      </c>
      <c r="C477" vm="1381">
        <f ca="1"/>
        <v>4721989</v>
      </c>
      <c r="D477">
        <f t="shared" ca="1" si="139"/>
        <v>472954418.24000001</v>
      </c>
      <c r="E477">
        <f ca="1">SUM($D$2:D477)/SUM($C$2:C477)</f>
        <v>98.586032600782616</v>
      </c>
      <c r="F477">
        <f ca="1">_xlfn.STDEV.P($B$2:B477)</f>
        <v>6.3291608628244393</v>
      </c>
      <c r="G477">
        <f t="shared" ca="1" si="140"/>
        <v>104.91519346360705</v>
      </c>
      <c r="H477">
        <f t="shared" ca="1" si="141"/>
        <v>92.256871737958178</v>
      </c>
      <c r="I477">
        <f t="shared" ca="1" si="150"/>
        <v>99.32350000000001</v>
      </c>
      <c r="J477">
        <f t="shared" ca="1" si="151"/>
        <v>2.1168354608757509</v>
      </c>
      <c r="K477">
        <f t="shared" ca="1" si="152"/>
        <v>103.55717092175151</v>
      </c>
      <c r="L477">
        <f t="shared" ca="1" si="153"/>
        <v>95.089829078248513</v>
      </c>
      <c r="M477">
        <f t="shared" ca="1" si="142"/>
        <v>-0.79000000000000625</v>
      </c>
      <c r="N477">
        <f t="shared" ca="1" si="143"/>
        <v>0</v>
      </c>
      <c r="O477">
        <f t="shared" ca="1" si="144"/>
        <v>0.79000000000000625</v>
      </c>
      <c r="P477">
        <f t="shared" ca="1" si="148"/>
        <v>0.52888422771081589</v>
      </c>
      <c r="Q477">
        <f t="shared" ca="1" si="149"/>
        <v>0.51724457980285998</v>
      </c>
      <c r="R477">
        <f t="shared" ca="1" si="146"/>
        <v>1.0225031800476134</v>
      </c>
      <c r="S477">
        <f t="shared" ca="1" si="147"/>
        <v>50.556320016443287</v>
      </c>
      <c r="T477">
        <f>70</f>
        <v>70</v>
      </c>
      <c r="U477">
        <f>30</f>
        <v>30</v>
      </c>
      <c r="V477">
        <f t="shared" ca="1" si="145"/>
        <v>100.52328900957529</v>
      </c>
      <c r="W477">
        <f t="shared" ref="W477:W514" ca="1" si="155">B477*(2/(26+1)) + W476*(1-(2/(26+1)))</f>
        <v>100.02636042016273</v>
      </c>
      <c r="X477">
        <f t="shared" ca="1" si="154"/>
        <v>0.33222136550135417</v>
      </c>
      <c r="Y477">
        <f t="shared" ca="1" si="136"/>
        <v>0.29170950551674285</v>
      </c>
      <c r="Z477">
        <f t="shared" ca="1" si="137"/>
        <v>4.051185998461132E-2</v>
      </c>
      <c r="AA477">
        <f t="shared" ca="1" si="138"/>
        <v>100.1885</v>
      </c>
    </row>
    <row r="478" spans="1:27" x14ac:dyDescent="0.25">
      <c r="A478" vm="1382">
        <f ca="1"/>
        <v>45985</v>
      </c>
      <c r="B478" vm="1383">
        <f ca="1"/>
        <v>98.92</v>
      </c>
      <c r="C478" vm="1384">
        <f ca="1"/>
        <v>7708010</v>
      </c>
      <c r="D478">
        <f t="shared" ca="1" si="139"/>
        <v>762476349.20000005</v>
      </c>
      <c r="E478">
        <f ca="1">SUM($D$2:D478)/SUM($C$2:C478)</f>
        <v>98.588451938500867</v>
      </c>
      <c r="F478">
        <f ca="1">_xlfn.STDEV.P($B$2:B478)</f>
        <v>6.3226874626393244</v>
      </c>
      <c r="G478">
        <f t="shared" ca="1" si="140"/>
        <v>104.91113940114019</v>
      </c>
      <c r="H478">
        <f t="shared" ca="1" si="141"/>
        <v>92.265764475861545</v>
      </c>
      <c r="I478">
        <f t="shared" ca="1" si="150"/>
        <v>99.258500000000026</v>
      </c>
      <c r="J478">
        <f t="shared" ca="1" si="151"/>
        <v>2.1077982401199198</v>
      </c>
      <c r="K478">
        <f t="shared" ca="1" si="152"/>
        <v>103.47409648023987</v>
      </c>
      <c r="L478">
        <f t="shared" ca="1" si="153"/>
        <v>95.042903519760188</v>
      </c>
      <c r="M478">
        <f t="shared" ca="1" si="142"/>
        <v>-1.2399999999999949</v>
      </c>
      <c r="N478">
        <f t="shared" ca="1" si="143"/>
        <v>0</v>
      </c>
      <c r="O478">
        <f t="shared" ca="1" si="144"/>
        <v>1.2399999999999949</v>
      </c>
      <c r="P478">
        <f t="shared" ca="1" si="148"/>
        <v>0.49110678287432907</v>
      </c>
      <c r="Q478">
        <f t="shared" ca="1" si="149"/>
        <v>0.56886996695979819</v>
      </c>
      <c r="R478">
        <f t="shared" ca="1" si="146"/>
        <v>0.86330235624661722</v>
      </c>
      <c r="S478">
        <f t="shared" ca="1" si="147"/>
        <v>46.331844821236025</v>
      </c>
      <c r="T478">
        <f>70</f>
        <v>70</v>
      </c>
      <c r="U478">
        <f>30</f>
        <v>30</v>
      </c>
      <c r="V478">
        <f t="shared" ca="1" si="145"/>
        <v>100.27662916194832</v>
      </c>
      <c r="W478">
        <f t="shared" ca="1" si="155"/>
        <v>99.944407796446967</v>
      </c>
      <c r="X478">
        <f t="shared" ca="1" si="154"/>
        <v>0.19380720015210784</v>
      </c>
      <c r="Y478">
        <f t="shared" ca="1" si="136"/>
        <v>0.27212904444381586</v>
      </c>
      <c r="Z478">
        <f t="shared" ca="1" si="137"/>
        <v>-7.832184429170802E-2</v>
      </c>
      <c r="AA478">
        <f t="shared" ca="1" si="138"/>
        <v>100.17460000000003</v>
      </c>
    </row>
    <row r="479" spans="1:27" x14ac:dyDescent="0.25">
      <c r="A479" vm="1385">
        <f ca="1"/>
        <v>45986</v>
      </c>
      <c r="B479" vm="1386">
        <f ca="1"/>
        <v>98.85</v>
      </c>
      <c r="C479" vm="1387">
        <f ca="1"/>
        <v>2127188</v>
      </c>
      <c r="D479">
        <f t="shared" ca="1" si="139"/>
        <v>210272533.79999998</v>
      </c>
      <c r="E479">
        <f ca="1">SUM($D$2:D479)/SUM($C$2:C479)</f>
        <v>98.588973781856168</v>
      </c>
      <c r="F479">
        <f ca="1">_xlfn.STDEV.P($B$2:B479)</f>
        <v>6.316211660511045</v>
      </c>
      <c r="G479">
        <f t="shared" ca="1" si="140"/>
        <v>104.90518544236721</v>
      </c>
      <c r="H479">
        <f t="shared" ca="1" si="141"/>
        <v>92.272762121345124</v>
      </c>
      <c r="I479">
        <f t="shared" ca="1" si="150"/>
        <v>99.273500000000013</v>
      </c>
      <c r="J479">
        <f t="shared" ca="1" si="151"/>
        <v>2.1035540727164834</v>
      </c>
      <c r="K479">
        <f t="shared" ca="1" si="152"/>
        <v>103.48060814543298</v>
      </c>
      <c r="L479">
        <f t="shared" ca="1" si="153"/>
        <v>95.066391854567044</v>
      </c>
      <c r="M479">
        <f t="shared" ca="1" si="142"/>
        <v>-7.000000000000739E-2</v>
      </c>
      <c r="N479">
        <f t="shared" ca="1" si="143"/>
        <v>0</v>
      </c>
      <c r="O479">
        <f t="shared" ca="1" si="144"/>
        <v>7.000000000000739E-2</v>
      </c>
      <c r="P479">
        <f t="shared" ca="1" si="148"/>
        <v>0.45602772695473409</v>
      </c>
      <c r="Q479">
        <f t="shared" ca="1" si="149"/>
        <v>0.53323639789124166</v>
      </c>
      <c r="R479">
        <f t="shared" ca="1" si="146"/>
        <v>0.85520742537111094</v>
      </c>
      <c r="S479">
        <f t="shared" ca="1" si="147"/>
        <v>46.097671542039961</v>
      </c>
      <c r="T479">
        <f>70</f>
        <v>70</v>
      </c>
      <c r="U479">
        <f>30</f>
        <v>30</v>
      </c>
      <c r="V479">
        <f t="shared" ca="1" si="145"/>
        <v>100.05714775241782</v>
      </c>
      <c r="W479">
        <f t="shared" ca="1" si="155"/>
        <v>99.863340552265711</v>
      </c>
      <c r="X479">
        <f t="shared" ca="1" si="154"/>
        <v>0.18606040735537022</v>
      </c>
      <c r="Y479">
        <f t="shared" ca="1" si="136"/>
        <v>0.25491531702612674</v>
      </c>
      <c r="Z479">
        <f t="shared" ca="1" si="137"/>
        <v>-6.8854909670756526E-2</v>
      </c>
      <c r="AA479">
        <f t="shared" ca="1" si="138"/>
        <v>100.16600000000003</v>
      </c>
    </row>
    <row r="480" spans="1:27" x14ac:dyDescent="0.25">
      <c r="A480" vm="1388">
        <f ca="1"/>
        <v>45987</v>
      </c>
      <c r="B480" vm="1389">
        <f ca="1"/>
        <v>100.14</v>
      </c>
      <c r="C480" vm="1390">
        <f ca="1"/>
        <v>1305669</v>
      </c>
      <c r="D480">
        <f t="shared" ca="1" si="139"/>
        <v>130749693.66</v>
      </c>
      <c r="E480">
        <f ca="1">SUM($D$2:D480)/SUM($C$2:C480)</f>
        <v>98.590870939727012</v>
      </c>
      <c r="F480">
        <f ca="1">_xlfn.STDEV.P($B$2:B480)</f>
        <v>6.3104234713592575</v>
      </c>
      <c r="G480">
        <f t="shared" ca="1" si="140"/>
        <v>104.90129441108627</v>
      </c>
      <c r="H480">
        <f t="shared" ca="1" si="141"/>
        <v>92.280447468367754</v>
      </c>
      <c r="I480">
        <f t="shared" ca="1" si="150"/>
        <v>99.430500000000023</v>
      </c>
      <c r="J480">
        <f t="shared" ca="1" si="151"/>
        <v>2.0411928272200885</v>
      </c>
      <c r="K480">
        <f t="shared" ca="1" si="152"/>
        <v>103.5128856544402</v>
      </c>
      <c r="L480">
        <f t="shared" ca="1" si="153"/>
        <v>95.34811434555985</v>
      </c>
      <c r="M480">
        <f t="shared" ca="1" si="142"/>
        <v>1.2900000000000063</v>
      </c>
      <c r="N480">
        <f t="shared" ca="1" si="143"/>
        <v>1.2900000000000063</v>
      </c>
      <c r="O480">
        <f t="shared" ca="1" si="144"/>
        <v>0</v>
      </c>
      <c r="P480">
        <f t="shared" ca="1" si="148"/>
        <v>0.51559717502939639</v>
      </c>
      <c r="Q480">
        <f t="shared" ca="1" si="149"/>
        <v>0.49514808375615299</v>
      </c>
      <c r="R480">
        <f t="shared" ca="1" si="146"/>
        <v>1.0412989405474788</v>
      </c>
      <c r="S480">
        <f t="shared" ca="1" si="147"/>
        <v>51.011584822955975</v>
      </c>
      <c r="T480">
        <f>70</f>
        <v>70</v>
      </c>
      <c r="U480">
        <f>30</f>
        <v>30</v>
      </c>
      <c r="V480">
        <f t="shared" ca="1" si="145"/>
        <v>100.06989425204584</v>
      </c>
      <c r="W480">
        <f t="shared" ca="1" si="155"/>
        <v>99.883833844690471</v>
      </c>
      <c r="X480">
        <f t="shared" ca="1" si="154"/>
        <v>0.19542049382681626</v>
      </c>
      <c r="Y480">
        <f t="shared" ca="1" si="136"/>
        <v>0.24301635238626465</v>
      </c>
      <c r="Z480">
        <f t="shared" ca="1" si="137"/>
        <v>-4.7595858559448395E-2</v>
      </c>
      <c r="AA480">
        <f t="shared" ca="1" si="138"/>
        <v>100.1743</v>
      </c>
    </row>
    <row r="481" spans="1:27" x14ac:dyDescent="0.25">
      <c r="A481" vm="1391">
        <f ca="1"/>
        <v>45989</v>
      </c>
      <c r="B481" vm="1392">
        <f ca="1"/>
        <v>100.36</v>
      </c>
      <c r="C481" vm="1393">
        <f ca="1"/>
        <v>1063335</v>
      </c>
      <c r="D481">
        <f t="shared" ca="1" si="139"/>
        <v>106716300.59999999</v>
      </c>
      <c r="E481">
        <f ca="1">SUM($D$2:D481)/SUM($C$2:C481)</f>
        <v>98.592631490124319</v>
      </c>
      <c r="F481">
        <f ca="1">_xlfn.STDEV.P($B$2:B481)</f>
        <v>6.3048189339528662</v>
      </c>
      <c r="G481">
        <f t="shared" ca="1" si="140"/>
        <v>104.89745042407719</v>
      </c>
      <c r="H481">
        <f t="shared" ca="1" si="141"/>
        <v>92.287812556171446</v>
      </c>
      <c r="I481">
        <f t="shared" ca="1" si="150"/>
        <v>99.539000000000016</v>
      </c>
      <c r="J481">
        <f t="shared" ca="1" si="151"/>
        <v>2.0294227854504006</v>
      </c>
      <c r="K481">
        <f t="shared" ca="1" si="152"/>
        <v>103.59784557090082</v>
      </c>
      <c r="L481">
        <f t="shared" ca="1" si="153"/>
        <v>95.480154429099215</v>
      </c>
      <c r="M481">
        <f t="shared" ca="1" si="142"/>
        <v>0.21999999999999886</v>
      </c>
      <c r="N481">
        <f t="shared" ca="1" si="143"/>
        <v>0.21999999999999886</v>
      </c>
      <c r="O481">
        <f t="shared" ca="1" si="144"/>
        <v>0</v>
      </c>
      <c r="P481">
        <f t="shared" ca="1" si="148"/>
        <v>0.49448309109872518</v>
      </c>
      <c r="Q481">
        <f t="shared" ca="1" si="149"/>
        <v>0.45978036348785639</v>
      </c>
      <c r="R481">
        <f t="shared" ca="1" si="146"/>
        <v>1.0754767501326432</v>
      </c>
      <c r="S481">
        <f t="shared" ca="1" si="147"/>
        <v>51.818299099901253</v>
      </c>
      <c r="T481">
        <f>70</f>
        <v>70</v>
      </c>
      <c r="U481">
        <f>30</f>
        <v>30</v>
      </c>
      <c r="V481">
        <f t="shared" ca="1" si="145"/>
        <v>100.11452590557725</v>
      </c>
      <c r="W481">
        <f t="shared" ca="1" si="155"/>
        <v>99.919105411750436</v>
      </c>
      <c r="X481">
        <f t="shared" ca="1" si="154"/>
        <v>2.6921228990062218E-3</v>
      </c>
      <c r="Y481">
        <f t="shared" ca="1" si="136"/>
        <v>0.19495150648881299</v>
      </c>
      <c r="Z481">
        <f t="shared" ca="1" si="137"/>
        <v>-0.19225938358980676</v>
      </c>
      <c r="AA481">
        <f t="shared" ca="1" si="138"/>
        <v>100.17820000000002</v>
      </c>
    </row>
    <row r="482" spans="1:27" x14ac:dyDescent="0.25">
      <c r="A482" vm="1394">
        <f ca="1"/>
        <v>45992</v>
      </c>
      <c r="B482" vm="660">
        <f ca="1"/>
        <v>97.88</v>
      </c>
      <c r="C482" vm="1395">
        <f ca="1"/>
        <v>2744812</v>
      </c>
      <c r="D482">
        <f t="shared" ca="1" si="139"/>
        <v>268662198.56</v>
      </c>
      <c r="E482">
        <f ca="1">SUM($D$2:D482)/SUM($C$2:C482)</f>
        <v>98.59080556795746</v>
      </c>
      <c r="F482">
        <f ca="1">_xlfn.STDEV.P($B$2:B482)</f>
        <v>6.2982621894105497</v>
      </c>
      <c r="G482">
        <f t="shared" ca="1" si="140"/>
        <v>104.88906775736801</v>
      </c>
      <c r="H482">
        <f t="shared" ca="1" si="141"/>
        <v>92.29254337854691</v>
      </c>
      <c r="I482">
        <f t="shared" ca="1" si="150"/>
        <v>99.562500000000028</v>
      </c>
      <c r="J482">
        <f t="shared" ca="1" si="151"/>
        <v>2.0060589144940519</v>
      </c>
      <c r="K482">
        <f t="shared" ca="1" si="152"/>
        <v>103.57461782898814</v>
      </c>
      <c r="L482">
        <f t="shared" ca="1" si="153"/>
        <v>95.550382171011918</v>
      </c>
      <c r="M482">
        <f t="shared" ca="1" si="142"/>
        <v>-2.480000000000004</v>
      </c>
      <c r="N482">
        <f t="shared" ca="1" si="143"/>
        <v>0</v>
      </c>
      <c r="O482">
        <f t="shared" ca="1" si="144"/>
        <v>2.480000000000004</v>
      </c>
      <c r="P482">
        <f t="shared" ca="1" si="148"/>
        <v>0.45916287030595909</v>
      </c>
      <c r="Q482">
        <f t="shared" ca="1" si="149"/>
        <v>0.60408176609586683</v>
      </c>
      <c r="R482">
        <f t="shared" ca="1" si="146"/>
        <v>0.76010052955826291</v>
      </c>
      <c r="S482">
        <f t="shared" ca="1" si="147"/>
        <v>43.185063397999627</v>
      </c>
      <c r="T482">
        <f>70</f>
        <v>70</v>
      </c>
      <c r="U482">
        <f>30</f>
        <v>30</v>
      </c>
      <c r="V482">
        <f t="shared" ca="1" si="145"/>
        <v>99.7707526893346</v>
      </c>
      <c r="W482">
        <f t="shared" ca="1" si="155"/>
        <v>99.768060566435594</v>
      </c>
      <c r="X482">
        <f t="shared" ca="1" si="154"/>
        <v>-0.22890636854471325</v>
      </c>
      <c r="Y482">
        <f t="shared" ca="1" si="136"/>
        <v>0.11017993148210774</v>
      </c>
      <c r="Z482">
        <f t="shared" ca="1" si="137"/>
        <v>-0.339086300026821</v>
      </c>
      <c r="AA482">
        <f t="shared" ca="1" si="138"/>
        <v>100.14630000000002</v>
      </c>
    </row>
    <row r="483" spans="1:27" x14ac:dyDescent="0.25">
      <c r="A483" vm="1396">
        <f ca="1"/>
        <v>45993</v>
      </c>
      <c r="B483" vm="420">
        <f ca="1"/>
        <v>96.87</v>
      </c>
      <c r="C483" vm="1397">
        <f ca="1"/>
        <v>2753150</v>
      </c>
      <c r="D483">
        <f t="shared" ca="1" si="139"/>
        <v>266697640.5</v>
      </c>
      <c r="E483">
        <f ca="1">SUM($D$2:D483)/SUM($C$2:C483)</f>
        <v>98.586394420094052</v>
      </c>
      <c r="F483">
        <f ca="1">_xlfn.STDEV.P($B$2:B483)</f>
        <v>6.2919125310384496</v>
      </c>
      <c r="G483">
        <f t="shared" ca="1" si="140"/>
        <v>104.8783069511325</v>
      </c>
      <c r="H483">
        <f t="shared" ca="1" si="141"/>
        <v>92.294481889055604</v>
      </c>
      <c r="I483">
        <f t="shared" ca="1" si="150"/>
        <v>99.573999999999998</v>
      </c>
      <c r="J483">
        <f t="shared" ca="1" si="151"/>
        <v>1.989010333121263</v>
      </c>
      <c r="K483">
        <f t="shared" ca="1" si="152"/>
        <v>103.55202066624253</v>
      </c>
      <c r="L483">
        <f t="shared" ca="1" si="153"/>
        <v>95.595979333757469</v>
      </c>
      <c r="M483">
        <f t="shared" ca="1" si="142"/>
        <v>-1.0099999999999909</v>
      </c>
      <c r="N483">
        <f t="shared" ca="1" si="143"/>
        <v>0</v>
      </c>
      <c r="O483">
        <f t="shared" ca="1" si="144"/>
        <v>1.0099999999999909</v>
      </c>
      <c r="P483">
        <f t="shared" ca="1" si="148"/>
        <v>0.42636552242696196</v>
      </c>
      <c r="Q483">
        <f t="shared" ca="1" si="149"/>
        <v>0.63307592566044713</v>
      </c>
      <c r="R483">
        <f t="shared" ca="1" si="146"/>
        <v>0.67348244522513223</v>
      </c>
      <c r="S483">
        <f t="shared" ca="1" si="147"/>
        <v>40.244368690376625</v>
      </c>
      <c r="T483">
        <f>70</f>
        <v>70</v>
      </c>
      <c r="U483">
        <f>30</f>
        <v>30</v>
      </c>
      <c r="V483">
        <f t="shared" ca="1" si="145"/>
        <v>99.324483044821591</v>
      </c>
      <c r="W483">
        <f t="shared" ca="1" si="155"/>
        <v>99.553389413366304</v>
      </c>
      <c r="X483">
        <f t="shared" ca="1" si="154"/>
        <v>-0.44125383200010049</v>
      </c>
      <c r="Y483">
        <f t="shared" ca="1" si="136"/>
        <v>-1.0682121433391867E-4</v>
      </c>
      <c r="Z483">
        <f t="shared" ca="1" si="137"/>
        <v>-0.44114701078576657</v>
      </c>
      <c r="AA483">
        <f t="shared" ca="1" si="138"/>
        <v>100.10910000000004</v>
      </c>
    </row>
    <row r="484" spans="1:27" x14ac:dyDescent="0.25">
      <c r="A484" vm="1398">
        <f ca="1"/>
        <v>45994</v>
      </c>
      <c r="B484" vm="654">
        <f ca="1"/>
        <v>96.45</v>
      </c>
      <c r="C484" vm="1399">
        <f ca="1"/>
        <v>1762033</v>
      </c>
      <c r="D484">
        <f t="shared" ca="1" si="139"/>
        <v>169948082.84999999</v>
      </c>
      <c r="E484">
        <f ca="1">SUM($D$2:D484)/SUM($C$2:C484)</f>
        <v>98.582895182025936</v>
      </c>
      <c r="F484">
        <f ca="1">_xlfn.STDEV.P($B$2:B484)</f>
        <v>6.2857579613154817</v>
      </c>
      <c r="G484">
        <f t="shared" ca="1" si="140"/>
        <v>104.86865314334142</v>
      </c>
      <c r="H484">
        <f t="shared" ca="1" si="141"/>
        <v>92.297137220710454</v>
      </c>
      <c r="I484">
        <f t="shared" ca="1" si="150"/>
        <v>99.498500000000007</v>
      </c>
      <c r="J484">
        <f t="shared" ca="1" si="151"/>
        <v>2.080074075097984</v>
      </c>
      <c r="K484">
        <f t="shared" ca="1" si="152"/>
        <v>103.65864815019597</v>
      </c>
      <c r="L484">
        <f t="shared" ca="1" si="153"/>
        <v>95.338351849804042</v>
      </c>
      <c r="M484">
        <f t="shared" ca="1" si="142"/>
        <v>-0.42000000000000171</v>
      </c>
      <c r="N484">
        <f t="shared" ca="1" si="143"/>
        <v>0</v>
      </c>
      <c r="O484">
        <f t="shared" ca="1" si="144"/>
        <v>0.42000000000000171</v>
      </c>
      <c r="P484">
        <f t="shared" ca="1" si="148"/>
        <v>0.39591084225360751</v>
      </c>
      <c r="Q484">
        <f t="shared" ca="1" si="149"/>
        <v>0.61785621668470103</v>
      </c>
      <c r="R484">
        <f t="shared" ca="1" si="146"/>
        <v>0.64078151447271958</v>
      </c>
      <c r="S484">
        <f t="shared" ca="1" si="147"/>
        <v>39.05343330727618</v>
      </c>
      <c r="T484">
        <f>70</f>
        <v>70</v>
      </c>
      <c r="U484">
        <f>30</f>
        <v>30</v>
      </c>
      <c r="V484">
        <f t="shared" ca="1" si="145"/>
        <v>98.882254884079813</v>
      </c>
      <c r="W484">
        <f t="shared" ca="1" si="155"/>
        <v>99.323508716079914</v>
      </c>
      <c r="X484">
        <f t="shared" ca="1" si="154"/>
        <v>-0.62094197194946332</v>
      </c>
      <c r="Y484">
        <f t="shared" ca="1" si="136"/>
        <v>-0.12427385136135981</v>
      </c>
      <c r="Z484">
        <f t="shared" ca="1" si="137"/>
        <v>-0.4966681205881035</v>
      </c>
      <c r="AA484">
        <f t="shared" ca="1" si="138"/>
        <v>100.06350000000003</v>
      </c>
    </row>
    <row r="485" spans="1:27" x14ac:dyDescent="0.25">
      <c r="A485" vm="1400">
        <f ca="1"/>
        <v>45995</v>
      </c>
      <c r="B485" vm="1401">
        <f ca="1"/>
        <v>96.22</v>
      </c>
      <c r="C485" vm="1402">
        <f ca="1"/>
        <v>2303530</v>
      </c>
      <c r="D485">
        <f t="shared" ca="1" si="139"/>
        <v>221645656.59999999</v>
      </c>
      <c r="E485">
        <f ca="1">SUM($D$2:D485)/SUM($C$2:C485)</f>
        <v>98.577846390961525</v>
      </c>
      <c r="F485">
        <f ca="1">_xlfn.STDEV.P($B$2:B485)</f>
        <v>6.279741889022703</v>
      </c>
      <c r="G485">
        <f t="shared" ca="1" si="140"/>
        <v>104.85758827998423</v>
      </c>
      <c r="H485">
        <f t="shared" ca="1" si="141"/>
        <v>92.298104501938823</v>
      </c>
      <c r="I485">
        <f t="shared" ca="1" si="150"/>
        <v>99.503999999999991</v>
      </c>
      <c r="J485">
        <f t="shared" ca="1" si="151"/>
        <v>2.0707674651531591</v>
      </c>
      <c r="K485">
        <f t="shared" ca="1" si="152"/>
        <v>103.64553493030631</v>
      </c>
      <c r="L485">
        <f t="shared" ca="1" si="153"/>
        <v>95.36246506969367</v>
      </c>
      <c r="M485">
        <f t="shared" ca="1" si="142"/>
        <v>-0.23000000000000398</v>
      </c>
      <c r="N485">
        <f t="shared" ca="1" si="143"/>
        <v>0</v>
      </c>
      <c r="O485">
        <f t="shared" ca="1" si="144"/>
        <v>0.23000000000000398</v>
      </c>
      <c r="P485">
        <f t="shared" ca="1" si="148"/>
        <v>0.36763149637834985</v>
      </c>
      <c r="Q485">
        <f t="shared" ca="1" si="149"/>
        <v>0.59015220120722256</v>
      </c>
      <c r="R485">
        <f t="shared" ca="1" si="146"/>
        <v>0.62294353156070315</v>
      </c>
      <c r="S485">
        <f t="shared" ca="1" si="147"/>
        <v>38.383561685701395</v>
      </c>
      <c r="T485">
        <f>70</f>
        <v>70</v>
      </c>
      <c r="U485">
        <f>30</f>
        <v>30</v>
      </c>
      <c r="V485">
        <f t="shared" ca="1" si="145"/>
        <v>98.472677209606005</v>
      </c>
      <c r="W485">
        <f t="shared" ca="1" si="155"/>
        <v>99.093619181555468</v>
      </c>
      <c r="X485">
        <f t="shared" ca="1" si="154"/>
        <v>-0.72433362607561946</v>
      </c>
      <c r="Y485">
        <f t="shared" ca="1" si="136"/>
        <v>-0.24428580630421176</v>
      </c>
      <c r="Z485">
        <f t="shared" ca="1" si="137"/>
        <v>-0.4800478197714077</v>
      </c>
      <c r="AA485">
        <f t="shared" ca="1" si="138"/>
        <v>100.02620000000003</v>
      </c>
    </row>
    <row r="486" spans="1:27" x14ac:dyDescent="0.25">
      <c r="A486" vm="1403">
        <f ca="1"/>
        <v>45996</v>
      </c>
      <c r="B486" vm="1404">
        <f ca="1"/>
        <v>96.6</v>
      </c>
      <c r="C486" vm="1405">
        <f ca="1"/>
        <v>1775844</v>
      </c>
      <c r="D486">
        <f t="shared" ca="1" si="139"/>
        <v>171546530.39999998</v>
      </c>
      <c r="E486">
        <f ca="1">SUM($D$2:D486)/SUM($C$2:C486)</f>
        <v>98.574593783553368</v>
      </c>
      <c r="F486">
        <f ca="1">_xlfn.STDEV.P($B$2:B486)</f>
        <v>6.2735537403876354</v>
      </c>
      <c r="G486">
        <f t="shared" ca="1" si="140"/>
        <v>104.84814752394101</v>
      </c>
      <c r="H486">
        <f t="shared" ca="1" si="141"/>
        <v>92.301040043165727</v>
      </c>
      <c r="I486">
        <f t="shared" ca="1" si="150"/>
        <v>99.484499999999997</v>
      </c>
      <c r="J486">
        <f t="shared" ca="1" si="151"/>
        <v>2.0973529055755762</v>
      </c>
      <c r="K486">
        <f t="shared" ca="1" si="152"/>
        <v>103.67920581115115</v>
      </c>
      <c r="L486">
        <f t="shared" ca="1" si="153"/>
        <v>95.289794188848845</v>
      </c>
      <c r="M486">
        <f t="shared" ca="1" si="142"/>
        <v>0.37999999999999545</v>
      </c>
      <c r="N486">
        <f t="shared" ca="1" si="143"/>
        <v>0.37999999999999545</v>
      </c>
      <c r="O486">
        <f t="shared" ca="1" si="144"/>
        <v>0</v>
      </c>
      <c r="P486">
        <f t="shared" ca="1" si="148"/>
        <v>0.3685149609227531</v>
      </c>
      <c r="Q486">
        <f t="shared" ca="1" si="149"/>
        <v>0.5479984725495638</v>
      </c>
      <c r="R486">
        <f t="shared" ca="1" si="146"/>
        <v>0.67247443082867853</v>
      </c>
      <c r="S486">
        <f t="shared" ca="1" si="147"/>
        <v>40.208353469145749</v>
      </c>
      <c r="T486">
        <f>70</f>
        <v>70</v>
      </c>
      <c r="U486">
        <f>30</f>
        <v>30</v>
      </c>
      <c r="V486">
        <f t="shared" ca="1" si="145"/>
        <v>98.184573023512769</v>
      </c>
      <c r="W486">
        <f t="shared" ca="1" si="155"/>
        <v>98.908906649588388</v>
      </c>
      <c r="X486">
        <f t="shared" ca="1" si="154"/>
        <v>-0.88882186077758263</v>
      </c>
      <c r="Y486">
        <f t="shared" ref="Y486:Y514" ca="1" si="156">X486*(2/(9+1)) + Y485*(1-(2/(9+1)))</f>
        <v>-0.37319301719888598</v>
      </c>
      <c r="Z486">
        <f t="shared" ref="Z486:Z514" ca="1" si="157">X486-Y486</f>
        <v>-0.51562884357869665</v>
      </c>
      <c r="AA486">
        <f t="shared" ref="AA486:AA514" ca="1" si="158">AVERAGE(B387:B486)</f>
        <v>99.987600000000043</v>
      </c>
    </row>
    <row r="487" spans="1:27" x14ac:dyDescent="0.25">
      <c r="A487" vm="1406">
        <f ca="1"/>
        <v>45999</v>
      </c>
      <c r="B487" vm="1407">
        <f ca="1"/>
        <v>95.45</v>
      </c>
      <c r="C487" vm="1408">
        <f ca="1"/>
        <v>2089307</v>
      </c>
      <c r="D487">
        <f t="shared" ca="1" si="139"/>
        <v>199424353.15000001</v>
      </c>
      <c r="E487">
        <f ca="1">SUM($D$2:D487)/SUM($C$2:C487)</f>
        <v>98.568559987354917</v>
      </c>
      <c r="F487">
        <f ca="1">_xlfn.STDEV.P($B$2:B487)</f>
        <v>6.2680996686688628</v>
      </c>
      <c r="G487">
        <f t="shared" ca="1" si="140"/>
        <v>104.83665965602378</v>
      </c>
      <c r="H487">
        <f t="shared" ca="1" si="141"/>
        <v>92.300460318686049</v>
      </c>
      <c r="I487">
        <f t="shared" ca="1" si="150"/>
        <v>99.330999999999989</v>
      </c>
      <c r="J487">
        <f t="shared" ca="1" si="151"/>
        <v>2.2763611312794803</v>
      </c>
      <c r="K487">
        <f t="shared" ca="1" si="152"/>
        <v>103.88372226255895</v>
      </c>
      <c r="L487">
        <f t="shared" ca="1" si="153"/>
        <v>94.77827773744103</v>
      </c>
      <c r="M487">
        <f t="shared" ca="1" si="142"/>
        <v>-1.1499999999999915</v>
      </c>
      <c r="N487">
        <f t="shared" ca="1" si="143"/>
        <v>0</v>
      </c>
      <c r="O487">
        <f t="shared" ca="1" si="144"/>
        <v>1.1499999999999915</v>
      </c>
      <c r="P487">
        <f t="shared" ca="1" si="148"/>
        <v>0.34219246371398498</v>
      </c>
      <c r="Q487">
        <f t="shared" ca="1" si="149"/>
        <v>0.59099858165316577</v>
      </c>
      <c r="R487">
        <f t="shared" ca="1" si="146"/>
        <v>0.579007250333478</v>
      </c>
      <c r="S487">
        <f t="shared" ca="1" si="147"/>
        <v>36.669068505619258</v>
      </c>
      <c r="T487">
        <f>70</f>
        <v>70</v>
      </c>
      <c r="U487">
        <f>30</f>
        <v>30</v>
      </c>
      <c r="V487">
        <f t="shared" ca="1" si="145"/>
        <v>97.763869481433886</v>
      </c>
      <c r="W487">
        <f t="shared" ca="1" si="155"/>
        <v>98.652691342211469</v>
      </c>
      <c r="X487">
        <f t="shared" ca="1" si="154"/>
        <v>-0.97804971576316291</v>
      </c>
      <c r="Y487">
        <f t="shared" ca="1" si="156"/>
        <v>-0.49416435691174138</v>
      </c>
      <c r="Z487">
        <f t="shared" ca="1" si="157"/>
        <v>-0.48388535885142153</v>
      </c>
      <c r="AA487">
        <f t="shared" ca="1" si="158"/>
        <v>99.936100000000039</v>
      </c>
    </row>
    <row r="488" spans="1:27" x14ac:dyDescent="0.25">
      <c r="A488" vm="1409">
        <f ca="1"/>
        <v>46000</v>
      </c>
      <c r="B488" vm="1410">
        <f ca="1"/>
        <v>95.82</v>
      </c>
      <c r="C488" vm="1411">
        <f ca="1"/>
        <v>1823336</v>
      </c>
      <c r="D488">
        <f t="shared" ca="1" si="139"/>
        <v>174712055.51999998</v>
      </c>
      <c r="E488">
        <f ca="1">SUM($D$2:D488)/SUM($C$2:C488)</f>
        <v>98.563935799529077</v>
      </c>
      <c r="F488">
        <f ca="1">_xlfn.STDEV.P($B$2:B488)</f>
        <v>6.2623825150722841</v>
      </c>
      <c r="G488">
        <f t="shared" ca="1" si="140"/>
        <v>104.82631831460137</v>
      </c>
      <c r="H488">
        <f t="shared" ca="1" si="141"/>
        <v>92.301553284456787</v>
      </c>
      <c r="I488">
        <f t="shared" ca="1" si="150"/>
        <v>99.21</v>
      </c>
      <c r="J488">
        <f t="shared" ca="1" si="151"/>
        <v>2.3984490602755857</v>
      </c>
      <c r="K488">
        <f t="shared" ca="1" si="152"/>
        <v>104.00689812055117</v>
      </c>
      <c r="L488">
        <f t="shared" ca="1" si="153"/>
        <v>94.413101879448817</v>
      </c>
      <c r="M488">
        <f t="shared" ca="1" si="142"/>
        <v>0.36999999999999034</v>
      </c>
      <c r="N488">
        <f t="shared" ca="1" si="143"/>
        <v>0.36999999999999034</v>
      </c>
      <c r="O488">
        <f t="shared" ca="1" si="144"/>
        <v>0</v>
      </c>
      <c r="P488">
        <f t="shared" ca="1" si="148"/>
        <v>0.34417871630584251</v>
      </c>
      <c r="Q488">
        <f t="shared" ca="1" si="149"/>
        <v>0.54878439724936823</v>
      </c>
      <c r="R488">
        <f t="shared" ca="1" si="146"/>
        <v>0.62716563741779874</v>
      </c>
      <c r="S488">
        <f t="shared" ca="1" si="147"/>
        <v>38.543441613790961</v>
      </c>
      <c r="T488">
        <f>70</f>
        <v>70</v>
      </c>
      <c r="U488">
        <f>30</f>
        <v>30</v>
      </c>
      <c r="V488">
        <f t="shared" ca="1" si="145"/>
        <v>97.464812638136351</v>
      </c>
      <c r="W488">
        <f t="shared" ca="1" si="155"/>
        <v>98.442862353899514</v>
      </c>
      <c r="X488">
        <f t="shared" ca="1" si="154"/>
        <v>-1.0695182663556864</v>
      </c>
      <c r="Y488">
        <f t="shared" ca="1" si="156"/>
        <v>-0.60923513880053037</v>
      </c>
      <c r="Z488">
        <f t="shared" ca="1" si="157"/>
        <v>-0.46028312755515599</v>
      </c>
      <c r="AA488">
        <f t="shared" ca="1" si="158"/>
        <v>99.883500000000041</v>
      </c>
    </row>
    <row r="489" spans="1:27" x14ac:dyDescent="0.25">
      <c r="A489" vm="1412">
        <f ca="1"/>
        <v>46001</v>
      </c>
      <c r="B489" vm="646">
        <f ca="1"/>
        <v>95.41</v>
      </c>
      <c r="C489" vm="1413">
        <f ca="1"/>
        <v>1848956</v>
      </c>
      <c r="D489">
        <f t="shared" ca="1" si="139"/>
        <v>176408891.96000001</v>
      </c>
      <c r="E489">
        <f ca="1">SUM($D$2:D489)/SUM($C$2:C489)</f>
        <v>98.558564211833399</v>
      </c>
      <c r="F489">
        <f ca="1">_xlfn.STDEV.P($B$2:B489)</f>
        <v>6.2569889512737031</v>
      </c>
      <c r="G489">
        <f t="shared" ca="1" si="140"/>
        <v>104.8155531631071</v>
      </c>
      <c r="H489">
        <f t="shared" ca="1" si="141"/>
        <v>92.301575260559702</v>
      </c>
      <c r="I489">
        <f t="shared" ca="1" si="150"/>
        <v>99.000999999999991</v>
      </c>
      <c r="J489">
        <f t="shared" ca="1" si="151"/>
        <v>2.5414519265051698</v>
      </c>
      <c r="K489">
        <f t="shared" ca="1" si="152"/>
        <v>104.08390385301033</v>
      </c>
      <c r="L489">
        <f t="shared" ca="1" si="153"/>
        <v>93.918096146989654</v>
      </c>
      <c r="M489">
        <f t="shared" ca="1" si="142"/>
        <v>-0.40999999999999659</v>
      </c>
      <c r="N489">
        <f t="shared" ca="1" si="143"/>
        <v>0</v>
      </c>
      <c r="O489">
        <f t="shared" ca="1" si="144"/>
        <v>0.40999999999999659</v>
      </c>
      <c r="P489">
        <f t="shared" ca="1" si="148"/>
        <v>0.3195945222839966</v>
      </c>
      <c r="Q489">
        <f t="shared" ca="1" si="149"/>
        <v>0.53887122601727022</v>
      </c>
      <c r="R489">
        <f t="shared" ca="1" si="146"/>
        <v>0.59308143922636158</v>
      </c>
      <c r="S489">
        <f t="shared" ca="1" si="147"/>
        <v>37.228570029312259</v>
      </c>
      <c r="T489">
        <f>70</f>
        <v>70</v>
      </c>
      <c r="U489">
        <f>30</f>
        <v>30</v>
      </c>
      <c r="V489">
        <f t="shared" ca="1" si="145"/>
        <v>97.148687616884601</v>
      </c>
      <c r="W489">
        <f t="shared" ca="1" si="155"/>
        <v>98.218205883240287</v>
      </c>
      <c r="X489">
        <f t="shared" ca="1" si="154"/>
        <v>-1.1106458399953283</v>
      </c>
      <c r="Y489">
        <f t="shared" ca="1" si="156"/>
        <v>-0.70951727903949002</v>
      </c>
      <c r="Z489">
        <f t="shared" ca="1" si="157"/>
        <v>-0.40112856095583826</v>
      </c>
      <c r="AA489">
        <f t="shared" ca="1" si="158"/>
        <v>99.816900000000047</v>
      </c>
    </row>
    <row r="490" spans="1:27" x14ac:dyDescent="0.25">
      <c r="A490" vm="1414">
        <f ca="1"/>
        <v>46002</v>
      </c>
      <c r="B490" vm="1415">
        <f ca="1"/>
        <v>95.64</v>
      </c>
      <c r="C490" vm="1416">
        <f ca="1"/>
        <v>1396780</v>
      </c>
      <c r="D490">
        <f t="shared" ca="1" si="139"/>
        <v>133588039.2</v>
      </c>
      <c r="E490">
        <f ca="1">SUM($D$2:D490)/SUM($C$2:C490)</f>
        <v>98.554813945666382</v>
      </c>
      <c r="F490">
        <f ca="1">_xlfn.STDEV.P($B$2:B490)</f>
        <v>6.2514295136785174</v>
      </c>
      <c r="G490">
        <f t="shared" ca="1" si="140"/>
        <v>104.8062434593449</v>
      </c>
      <c r="H490">
        <f t="shared" ca="1" si="141"/>
        <v>92.303384431987865</v>
      </c>
      <c r="I490">
        <f t="shared" ca="1" si="150"/>
        <v>98.773499999999984</v>
      </c>
      <c r="J490">
        <f t="shared" ca="1" si="151"/>
        <v>2.6314700214298865</v>
      </c>
      <c r="K490">
        <f t="shared" ca="1" si="152"/>
        <v>104.03644004285975</v>
      </c>
      <c r="L490">
        <f t="shared" ca="1" si="153"/>
        <v>93.510559957140217</v>
      </c>
      <c r="M490">
        <f t="shared" ca="1" si="142"/>
        <v>0.23000000000000398</v>
      </c>
      <c r="N490">
        <f t="shared" ca="1" si="143"/>
        <v>0.23000000000000398</v>
      </c>
      <c r="O490">
        <f t="shared" ca="1" si="144"/>
        <v>0</v>
      </c>
      <c r="P490">
        <f t="shared" ca="1" si="148"/>
        <v>0.31319491354942569</v>
      </c>
      <c r="Q490">
        <f t="shared" ca="1" si="149"/>
        <v>0.50038042415889383</v>
      </c>
      <c r="R490">
        <f t="shared" ca="1" si="146"/>
        <v>0.62591360178785072</v>
      </c>
      <c r="S490">
        <f t="shared" ca="1" si="147"/>
        <v>38.496116958465549</v>
      </c>
      <c r="T490">
        <f>70</f>
        <v>70</v>
      </c>
      <c r="U490">
        <f>30</f>
        <v>30</v>
      </c>
      <c r="V490">
        <f t="shared" ca="1" si="145"/>
        <v>96.9165818296716</v>
      </c>
      <c r="W490">
        <f t="shared" ca="1" si="155"/>
        <v>98.027227669666928</v>
      </c>
      <c r="X490">
        <f t="shared" ca="1" si="154"/>
        <v>-0.97944213455637907</v>
      </c>
      <c r="Y490">
        <f t="shared" ca="1" si="156"/>
        <v>-0.76350225014286788</v>
      </c>
      <c r="Z490">
        <f t="shared" ca="1" si="157"/>
        <v>-0.2159398844135112</v>
      </c>
      <c r="AA490">
        <f t="shared" ca="1" si="158"/>
        <v>99.737400000000036</v>
      </c>
    </row>
    <row r="491" spans="1:27" x14ac:dyDescent="0.25">
      <c r="A491" vm="1417">
        <f ca="1"/>
        <v>46003</v>
      </c>
      <c r="B491" vm="683">
        <f ca="1"/>
        <v>97.53</v>
      </c>
      <c r="C491" vm="1418">
        <f ca="1"/>
        <v>2638227</v>
      </c>
      <c r="D491">
        <f t="shared" ca="1" si="139"/>
        <v>257306279.31</v>
      </c>
      <c r="E491">
        <f ca="1">SUM($D$2:D491)/SUM($C$2:C491)</f>
        <v>98.552332702971768</v>
      </c>
      <c r="F491">
        <f ca="1">_xlfn.STDEV.P($B$2:B491)</f>
        <v>6.2450702904393394</v>
      </c>
      <c r="G491">
        <f t="shared" ca="1" si="140"/>
        <v>104.79740299341111</v>
      </c>
      <c r="H491">
        <f t="shared" ca="1" si="141"/>
        <v>92.307262412532424</v>
      </c>
      <c r="I491">
        <f t="shared" ca="1" si="150"/>
        <v>98.602499999999992</v>
      </c>
      <c r="J491">
        <f t="shared" ca="1" si="151"/>
        <v>2.5934368073435308</v>
      </c>
      <c r="K491">
        <f t="shared" ca="1" si="152"/>
        <v>103.78937361468705</v>
      </c>
      <c r="L491">
        <f t="shared" ca="1" si="153"/>
        <v>93.415626385312933</v>
      </c>
      <c r="M491">
        <f t="shared" ca="1" si="142"/>
        <v>1.8900000000000006</v>
      </c>
      <c r="N491">
        <f t="shared" ca="1" si="143"/>
        <v>1.8900000000000006</v>
      </c>
      <c r="O491">
        <f t="shared" ca="1" si="144"/>
        <v>0</v>
      </c>
      <c r="P491">
        <f t="shared" ca="1" si="148"/>
        <v>0.42582384829589531</v>
      </c>
      <c r="Q491">
        <f t="shared" ca="1" si="149"/>
        <v>0.46463896529040138</v>
      </c>
      <c r="R491">
        <f t="shared" ca="1" si="146"/>
        <v>0.9164617694724625</v>
      </c>
      <c r="S491">
        <f t="shared" ca="1" si="147"/>
        <v>47.820508818432295</v>
      </c>
      <c r="T491">
        <f>70</f>
        <v>70</v>
      </c>
      <c r="U491">
        <f>30</f>
        <v>30</v>
      </c>
      <c r="V491">
        <f t="shared" ca="1" si="145"/>
        <v>97.010953855875968</v>
      </c>
      <c r="W491">
        <f t="shared" ca="1" si="155"/>
        <v>97.990395990432347</v>
      </c>
      <c r="X491">
        <f t="shared" ca="1" si="154"/>
        <v>-0.71710940653946409</v>
      </c>
      <c r="Y491">
        <f t="shared" ca="1" si="156"/>
        <v>-0.7542236814221871</v>
      </c>
      <c r="Z491">
        <f t="shared" ca="1" si="157"/>
        <v>3.7114274882723008E-2</v>
      </c>
      <c r="AA491">
        <f t="shared" ca="1" si="158"/>
        <v>99.687200000000033</v>
      </c>
    </row>
    <row r="492" spans="1:27" x14ac:dyDescent="0.25">
      <c r="A492" vm="1419">
        <f ca="1"/>
        <v>46006</v>
      </c>
      <c r="B492" vm="1420">
        <f ca="1"/>
        <v>99.39</v>
      </c>
      <c r="C492" vm="1421">
        <f ca="1"/>
        <v>2388088</v>
      </c>
      <c r="D492">
        <f t="shared" ca="1" si="139"/>
        <v>237352066.31999999</v>
      </c>
      <c r="E492">
        <f ca="1">SUM($D$2:D492)/SUM($C$2:C492)</f>
        <v>98.554164524608467</v>
      </c>
      <c r="F492">
        <f ca="1">_xlfn.STDEV.P($B$2:B492)</f>
        <v>6.2390666384374338</v>
      </c>
      <c r="G492">
        <f t="shared" ca="1" si="140"/>
        <v>104.7932311630459</v>
      </c>
      <c r="H492">
        <f t="shared" ca="1" si="141"/>
        <v>92.315097886171031</v>
      </c>
      <c r="I492">
        <f t="shared" ca="1" si="150"/>
        <v>98.489000000000004</v>
      </c>
      <c r="J492">
        <f t="shared" ca="1" si="151"/>
        <v>2.5005955080214068</v>
      </c>
      <c r="K492">
        <f t="shared" ca="1" si="152"/>
        <v>103.49019101604281</v>
      </c>
      <c r="L492">
        <f t="shared" ca="1" si="153"/>
        <v>93.487808983957194</v>
      </c>
      <c r="M492">
        <f t="shared" ca="1" si="142"/>
        <v>1.8599999999999994</v>
      </c>
      <c r="N492">
        <f t="shared" ca="1" si="143"/>
        <v>1.8599999999999994</v>
      </c>
      <c r="O492">
        <f t="shared" ca="1" si="144"/>
        <v>0</v>
      </c>
      <c r="P492">
        <f t="shared" ca="1" si="148"/>
        <v>0.52826500198904558</v>
      </c>
      <c r="Q492">
        <f t="shared" ca="1" si="149"/>
        <v>0.43145046776965845</v>
      </c>
      <c r="R492">
        <f t="shared" ca="1" si="146"/>
        <v>1.2243931608647003</v>
      </c>
      <c r="S492">
        <f t="shared" ca="1" si="147"/>
        <v>55.043918602444151</v>
      </c>
      <c r="T492">
        <f>70</f>
        <v>70</v>
      </c>
      <c r="U492">
        <f>30</f>
        <v>30</v>
      </c>
      <c r="V492">
        <f t="shared" ca="1" si="145"/>
        <v>97.376960954971963</v>
      </c>
      <c r="W492">
        <f t="shared" ca="1" si="155"/>
        <v>98.094070361511427</v>
      </c>
      <c r="X492">
        <f t="shared" ca="1" si="154"/>
        <v>-0.54249419904427043</v>
      </c>
      <c r="Y492">
        <f t="shared" ca="1" si="156"/>
        <v>-0.71187778494660381</v>
      </c>
      <c r="Z492">
        <f t="shared" ca="1" si="157"/>
        <v>0.16938358590233338</v>
      </c>
      <c r="AA492">
        <f t="shared" ca="1" si="158"/>
        <v>99.660600000000031</v>
      </c>
    </row>
    <row r="493" spans="1:27" x14ac:dyDescent="0.25">
      <c r="A493" vm="1422">
        <f ca="1"/>
        <v>46007</v>
      </c>
      <c r="B493" vm="1423">
        <f ca="1"/>
        <v>98.9</v>
      </c>
      <c r="C493" vm="1424">
        <f ca="1"/>
        <v>2321135</v>
      </c>
      <c r="D493">
        <f t="shared" ca="1" si="139"/>
        <v>229560251.5</v>
      </c>
      <c r="E493">
        <f ca="1">SUM($D$2:D493)/SUM($C$2:C493)</f>
        <v>98.554898039818596</v>
      </c>
      <c r="F493">
        <f ca="1">_xlfn.STDEV.P($B$2:B493)</f>
        <v>6.2328829637647978</v>
      </c>
      <c r="G493">
        <f t="shared" ca="1" si="140"/>
        <v>104.78778100358339</v>
      </c>
      <c r="H493">
        <f t="shared" ca="1" si="141"/>
        <v>92.322015076053802</v>
      </c>
      <c r="I493">
        <f t="shared" ca="1" si="150"/>
        <v>98.241500000000002</v>
      </c>
      <c r="J493">
        <f t="shared" ca="1" si="151"/>
        <v>2.1644259601201665</v>
      </c>
      <c r="K493">
        <f t="shared" ca="1" si="152"/>
        <v>102.57035192024034</v>
      </c>
      <c r="L493">
        <f t="shared" ca="1" si="153"/>
        <v>93.912648079759663</v>
      </c>
      <c r="M493">
        <f t="shared" ca="1" si="142"/>
        <v>-0.48999999999999488</v>
      </c>
      <c r="N493">
        <f t="shared" ca="1" si="143"/>
        <v>0</v>
      </c>
      <c r="O493">
        <f t="shared" ca="1" si="144"/>
        <v>0.48999999999999488</v>
      </c>
      <c r="P493">
        <f t="shared" ca="1" si="148"/>
        <v>0.49053178756125659</v>
      </c>
      <c r="Q493">
        <f t="shared" ca="1" si="149"/>
        <v>0.43563257721468246</v>
      </c>
      <c r="R493">
        <f t="shared" ca="1" si="146"/>
        <v>1.1260218202632708</v>
      </c>
      <c r="S493">
        <f t="shared" ca="1" si="147"/>
        <v>52.963794140355184</v>
      </c>
      <c r="T493">
        <f>70</f>
        <v>70</v>
      </c>
      <c r="U493">
        <f>30</f>
        <v>30</v>
      </c>
      <c r="V493">
        <f t="shared" ca="1" si="145"/>
        <v>97.611274654207051</v>
      </c>
      <c r="W493">
        <f t="shared" ca="1" si="155"/>
        <v>98.153768853251322</v>
      </c>
      <c r="X493">
        <f t="shared" ca="1" si="154"/>
        <v>-0.29500371796919467</v>
      </c>
      <c r="Y493">
        <f t="shared" ca="1" si="156"/>
        <v>-0.628502971551122</v>
      </c>
      <c r="Z493">
        <f t="shared" ca="1" si="157"/>
        <v>0.33349925358192734</v>
      </c>
      <c r="AA493">
        <f t="shared" ca="1" si="158"/>
        <v>99.627000000000024</v>
      </c>
    </row>
    <row r="494" spans="1:27" x14ac:dyDescent="0.25">
      <c r="A494" vm="1425">
        <f ca="1"/>
        <v>46008</v>
      </c>
      <c r="B494" vm="429">
        <f ca="1"/>
        <v>100.21</v>
      </c>
      <c r="C494" vm="1426">
        <f ca="1"/>
        <v>2330732</v>
      </c>
      <c r="D494">
        <f t="shared" ca="1" si="139"/>
        <v>233562653.72</v>
      </c>
      <c r="E494">
        <f ca="1">SUM($D$2:D494)/SUM($C$2:C494)</f>
        <v>98.558415525299765</v>
      </c>
      <c r="F494">
        <f ca="1">_xlfn.STDEV.P($B$2:B494)</f>
        <v>6.2274180631401137</v>
      </c>
      <c r="G494">
        <f t="shared" ca="1" si="140"/>
        <v>104.78583358843989</v>
      </c>
      <c r="H494">
        <f t="shared" ca="1" si="141"/>
        <v>92.330997462159644</v>
      </c>
      <c r="I494">
        <f t="shared" ca="1" si="150"/>
        <v>98.106500000000011</v>
      </c>
      <c r="J494">
        <f t="shared" ca="1" si="151"/>
        <v>1.9293529730810903</v>
      </c>
      <c r="K494">
        <f t="shared" ca="1" si="152"/>
        <v>101.96520594616219</v>
      </c>
      <c r="L494">
        <f t="shared" ca="1" si="153"/>
        <v>94.247794053837836</v>
      </c>
      <c r="M494">
        <f t="shared" ca="1" si="142"/>
        <v>1.3099999999999881</v>
      </c>
      <c r="N494">
        <f t="shared" ca="1" si="143"/>
        <v>1.3099999999999881</v>
      </c>
      <c r="O494">
        <f t="shared" ca="1" si="144"/>
        <v>0</v>
      </c>
      <c r="P494">
        <f t="shared" ca="1" si="148"/>
        <v>0.54906523130688023</v>
      </c>
      <c r="Q494">
        <f t="shared" ca="1" si="149"/>
        <v>0.4045159645564908</v>
      </c>
      <c r="R494">
        <f t="shared" ca="1" si="146"/>
        <v>1.3573388430018392</v>
      </c>
      <c r="S494">
        <f t="shared" ca="1" si="147"/>
        <v>57.579284668020051</v>
      </c>
      <c r="T494">
        <f>70</f>
        <v>70</v>
      </c>
      <c r="U494">
        <f>30</f>
        <v>30</v>
      </c>
      <c r="V494">
        <f t="shared" ca="1" si="145"/>
        <v>98.011078553559798</v>
      </c>
      <c r="W494">
        <f t="shared" ca="1" si="155"/>
        <v>98.306082271528993</v>
      </c>
      <c r="X494">
        <f t="shared" ca="1" si="154"/>
        <v>-0.11528891122409846</v>
      </c>
      <c r="Y494">
        <f t="shared" ca="1" si="156"/>
        <v>-0.52586015948571729</v>
      </c>
      <c r="Z494">
        <f t="shared" ca="1" si="157"/>
        <v>0.41057124826161884</v>
      </c>
      <c r="AA494">
        <f t="shared" ca="1" si="158"/>
        <v>99.61930000000001</v>
      </c>
    </row>
    <row r="495" spans="1:27" x14ac:dyDescent="0.25">
      <c r="A495" vm="1427">
        <f ca="1"/>
        <v>46009</v>
      </c>
      <c r="B495" vm="1428">
        <f ca="1"/>
        <v>99.99</v>
      </c>
      <c r="C495" vm="1429">
        <f ca="1"/>
        <v>2345340</v>
      </c>
      <c r="D495">
        <f t="shared" ca="1" si="139"/>
        <v>234510546.59999999</v>
      </c>
      <c r="E495">
        <f ca="1">SUM($D$2:D495)/SUM($C$2:C495)</f>
        <v>98.561470518442761</v>
      </c>
      <c r="F495">
        <f ca="1">_xlfn.STDEV.P($B$2:B495)</f>
        <v>6.221810951931821</v>
      </c>
      <c r="G495">
        <f t="shared" ca="1" si="140"/>
        <v>104.78328147037458</v>
      </c>
      <c r="H495">
        <f t="shared" ca="1" si="141"/>
        <v>92.339659566510946</v>
      </c>
      <c r="I495">
        <f t="shared" ca="1" si="150"/>
        <v>98.087000000000018</v>
      </c>
      <c r="J495">
        <f t="shared" ca="1" si="151"/>
        <v>1.9070067479802228</v>
      </c>
      <c r="K495">
        <f t="shared" ca="1" si="152"/>
        <v>101.90101349596047</v>
      </c>
      <c r="L495">
        <f t="shared" ca="1" si="153"/>
        <v>94.272986504039565</v>
      </c>
      <c r="M495">
        <f t="shared" ca="1" si="142"/>
        <v>-0.21999999999999886</v>
      </c>
      <c r="N495">
        <f t="shared" ca="1" si="143"/>
        <v>0</v>
      </c>
      <c r="O495">
        <f t="shared" ca="1" si="144"/>
        <v>0.21999999999999886</v>
      </c>
      <c r="P495">
        <f t="shared" ca="1" si="148"/>
        <v>0.50984628621353167</v>
      </c>
      <c r="Q495">
        <f t="shared" ca="1" si="149"/>
        <v>0.39133625280245565</v>
      </c>
      <c r="R495">
        <f t="shared" ca="1" si="146"/>
        <v>1.3028342826977986</v>
      </c>
      <c r="S495">
        <f t="shared" ca="1" si="147"/>
        <v>56.575251310377062</v>
      </c>
      <c r="T495">
        <f>70</f>
        <v>70</v>
      </c>
      <c r="U495">
        <f>30</f>
        <v>30</v>
      </c>
      <c r="V495">
        <f t="shared" ca="1" si="145"/>
        <v>98.315528006858301</v>
      </c>
      <c r="W495">
        <f t="shared" ca="1" si="155"/>
        <v>98.4308169180824</v>
      </c>
      <c r="X495">
        <f t="shared" ca="1" si="154"/>
        <v>-0.12713299242126652</v>
      </c>
      <c r="Y495">
        <f t="shared" ca="1" si="156"/>
        <v>-0.44611472607282721</v>
      </c>
      <c r="Z495">
        <f t="shared" ca="1" si="157"/>
        <v>0.31898173365156068</v>
      </c>
      <c r="AA495">
        <f t="shared" ca="1" si="158"/>
        <v>99.596800000000002</v>
      </c>
    </row>
    <row r="496" spans="1:27" x14ac:dyDescent="0.25">
      <c r="A496" vm="1430">
        <f ca="1"/>
        <v>46010</v>
      </c>
      <c r="B496" vm="1431">
        <f ca="1"/>
        <v>98.06</v>
      </c>
      <c r="C496" vm="1432">
        <f ca="1"/>
        <v>4366286</v>
      </c>
      <c r="D496">
        <f t="shared" ca="1" si="139"/>
        <v>428158005.16000003</v>
      </c>
      <c r="E496">
        <f ca="1">SUM($D$2:D496)/SUM($C$2:C496)</f>
        <v>98.559486146508007</v>
      </c>
      <c r="F496">
        <f ca="1">_xlfn.STDEV.P($B$2:B496)</f>
        <v>6.2155263383635928</v>
      </c>
      <c r="G496">
        <f t="shared" ca="1" si="140"/>
        <v>104.7750124848716</v>
      </c>
      <c r="H496">
        <f t="shared" ca="1" si="141"/>
        <v>92.343959808144419</v>
      </c>
      <c r="I496">
        <f t="shared" ca="1" si="150"/>
        <v>97.942500000000024</v>
      </c>
      <c r="J496">
        <f t="shared" ca="1" si="151"/>
        <v>1.7841874901478261</v>
      </c>
      <c r="K496">
        <f t="shared" ca="1" si="152"/>
        <v>101.51087498029568</v>
      </c>
      <c r="L496">
        <f t="shared" ca="1" si="153"/>
        <v>94.374125019704366</v>
      </c>
      <c r="M496">
        <f t="shared" ca="1" si="142"/>
        <v>-1.9299999999999926</v>
      </c>
      <c r="N496">
        <f t="shared" ca="1" si="143"/>
        <v>0</v>
      </c>
      <c r="O496">
        <f t="shared" ca="1" si="144"/>
        <v>1.9299999999999926</v>
      </c>
      <c r="P496">
        <f t="shared" ca="1" si="148"/>
        <v>0.4734286943411366</v>
      </c>
      <c r="Q496">
        <f t="shared" ca="1" si="149"/>
        <v>0.50124080617370825</v>
      </c>
      <c r="R496">
        <f t="shared" ca="1" si="146"/>
        <v>0.94451347238689665</v>
      </c>
      <c r="S496">
        <f t="shared" ca="1" si="147"/>
        <v>48.573254225258893</v>
      </c>
      <c r="T496">
        <f>70</f>
        <v>70</v>
      </c>
      <c r="U496">
        <f>30</f>
        <v>30</v>
      </c>
      <c r="V496">
        <f t="shared" ca="1" si="145"/>
        <v>98.276216005803178</v>
      </c>
      <c r="W496">
        <f t="shared" ca="1" si="155"/>
        <v>98.403348998224445</v>
      </c>
      <c r="X496">
        <f t="shared" ca="1" si="154"/>
        <v>-9.4279973502565895E-2</v>
      </c>
      <c r="Y496">
        <f t="shared" ca="1" si="156"/>
        <v>-0.37574777555877498</v>
      </c>
      <c r="Z496">
        <f t="shared" ca="1" si="157"/>
        <v>0.28146780205620908</v>
      </c>
      <c r="AA496">
        <f t="shared" ca="1" si="158"/>
        <v>99.55149999999999</v>
      </c>
    </row>
    <row r="497" spans="1:27" x14ac:dyDescent="0.25">
      <c r="A497" vm="1433">
        <f ca="1"/>
        <v>46013</v>
      </c>
      <c r="B497" vm="1434">
        <f ca="1"/>
        <v>98.57</v>
      </c>
      <c r="C497" vm="1435">
        <f ca="1"/>
        <v>1526222</v>
      </c>
      <c r="D497">
        <f t="shared" ca="1" si="139"/>
        <v>150439702.53999999</v>
      </c>
      <c r="E497">
        <f ca="1">SUM($D$2:D497)/SUM($C$2:C497)</f>
        <v>98.55950066912294</v>
      </c>
      <c r="F497">
        <f ca="1">_xlfn.STDEV.P($B$2:B497)</f>
        <v>6.2093261153965722</v>
      </c>
      <c r="G497">
        <f t="shared" ca="1" si="140"/>
        <v>104.76882678451952</v>
      </c>
      <c r="H497">
        <f t="shared" ca="1" si="141"/>
        <v>92.350174553726362</v>
      </c>
      <c r="I497">
        <f t="shared" ca="1" si="150"/>
        <v>97.863000000000028</v>
      </c>
      <c r="J497">
        <f t="shared" ca="1" si="151"/>
        <v>1.7142317598025616</v>
      </c>
      <c r="K497">
        <f t="shared" ca="1" si="152"/>
        <v>101.29146351960514</v>
      </c>
      <c r="L497">
        <f t="shared" ca="1" si="153"/>
        <v>94.434536480394911</v>
      </c>
      <c r="M497">
        <f t="shared" ca="1" si="142"/>
        <v>0.50999999999999091</v>
      </c>
      <c r="N497">
        <f t="shared" ca="1" si="143"/>
        <v>0.50999999999999091</v>
      </c>
      <c r="O497">
        <f t="shared" ca="1" si="144"/>
        <v>0</v>
      </c>
      <c r="P497">
        <f t="shared" ca="1" si="148"/>
        <v>0.4760409304596262</v>
      </c>
      <c r="Q497">
        <f t="shared" ca="1" si="149"/>
        <v>0.46543789144701481</v>
      </c>
      <c r="R497">
        <f t="shared" ca="1" si="146"/>
        <v>1.0227807817271759</v>
      </c>
      <c r="S497">
        <f t="shared" ca="1" si="147"/>
        <v>50.563105550857671</v>
      </c>
      <c r="T497">
        <f>70</f>
        <v>70</v>
      </c>
      <c r="U497">
        <f>30</f>
        <v>30</v>
      </c>
      <c r="V497">
        <f t="shared" ca="1" si="145"/>
        <v>98.321413543371918</v>
      </c>
      <c r="W497">
        <f t="shared" ca="1" si="155"/>
        <v>98.415693516874484</v>
      </c>
      <c r="X497">
        <f t="shared" ca="1" si="154"/>
        <v>-3.7152622799851542E-2</v>
      </c>
      <c r="Y497">
        <f t="shared" ca="1" si="156"/>
        <v>-0.30802874500699029</v>
      </c>
      <c r="Z497">
        <f t="shared" ca="1" si="157"/>
        <v>0.27087612220713875</v>
      </c>
      <c r="AA497">
        <f t="shared" ca="1" si="158"/>
        <v>99.502199999999988</v>
      </c>
    </row>
    <row r="498" spans="1:27" x14ac:dyDescent="0.25">
      <c r="A498" vm="1436">
        <f ca="1"/>
        <v>46014</v>
      </c>
      <c r="B498" vm="1437">
        <f ca="1"/>
        <v>98.95</v>
      </c>
      <c r="C498" vm="1438">
        <f ca="1"/>
        <v>1485103</v>
      </c>
      <c r="D498">
        <f t="shared" ca="1" si="139"/>
        <v>146950941.84999999</v>
      </c>
      <c r="E498">
        <f ca="1">SUM($D$2:D498)/SUM($C$2:C498)</f>
        <v>98.560024822914414</v>
      </c>
      <c r="F498">
        <f ca="1">_xlfn.STDEV.P($B$2:B498)</f>
        <v>6.2032476530939258</v>
      </c>
      <c r="G498">
        <f t="shared" ca="1" si="140"/>
        <v>104.76327247600834</v>
      </c>
      <c r="H498">
        <f t="shared" ca="1" si="141"/>
        <v>92.356777169820489</v>
      </c>
      <c r="I498">
        <f t="shared" ca="1" si="150"/>
        <v>97.864500000000021</v>
      </c>
      <c r="J498">
        <f t="shared" ca="1" si="151"/>
        <v>1.7152181846787395</v>
      </c>
      <c r="K498">
        <f t="shared" ca="1" si="152"/>
        <v>101.2949363693575</v>
      </c>
      <c r="L498">
        <f t="shared" ca="1" si="153"/>
        <v>94.434063630642541</v>
      </c>
      <c r="M498">
        <f t="shared" ca="1" si="142"/>
        <v>0.38000000000000966</v>
      </c>
      <c r="N498">
        <f t="shared" ca="1" si="143"/>
        <v>0.38000000000000966</v>
      </c>
      <c r="O498">
        <f t="shared" ca="1" si="144"/>
        <v>0</v>
      </c>
      <c r="P498">
        <f t="shared" ca="1" si="148"/>
        <v>0.46918086399822501</v>
      </c>
      <c r="Q498">
        <f t="shared" ca="1" si="149"/>
        <v>0.43219232777222805</v>
      </c>
      <c r="R498">
        <f t="shared" ca="1" si="146"/>
        <v>1.0855835095839335</v>
      </c>
      <c r="S498">
        <f t="shared" ca="1" si="147"/>
        <v>52.051788125257261</v>
      </c>
      <c r="T498">
        <f>70</f>
        <v>70</v>
      </c>
      <c r="U498">
        <f>30</f>
        <v>30</v>
      </c>
      <c r="V498">
        <f t="shared" ca="1" si="145"/>
        <v>98.418119152083932</v>
      </c>
      <c r="W498">
        <f t="shared" ca="1" si="155"/>
        <v>98.455271774883784</v>
      </c>
      <c r="X498">
        <f t="shared" ca="1" si="154"/>
        <v>5.4296471030482962E-2</v>
      </c>
      <c r="Y498">
        <f t="shared" ca="1" si="156"/>
        <v>-0.23556370179949565</v>
      </c>
      <c r="Z498">
        <f t="shared" ca="1" si="157"/>
        <v>0.28986017282997861</v>
      </c>
      <c r="AA498">
        <f t="shared" ca="1" si="158"/>
        <v>99.447299999999998</v>
      </c>
    </row>
    <row r="499" spans="1:27" x14ac:dyDescent="0.25">
      <c r="A499" vm="1439">
        <f ca="1"/>
        <v>46015</v>
      </c>
      <c r="B499" vm="1440">
        <f ca="1"/>
        <v>99.53</v>
      </c>
      <c r="C499" vm="1441">
        <f ca="1"/>
        <v>522559</v>
      </c>
      <c r="D499">
        <f t="shared" ca="1" si="139"/>
        <v>52010297.270000003</v>
      </c>
      <c r="E499">
        <f ca="1">SUM($D$2:D499)/SUM($C$2:C499)</f>
        <v>98.560482725131052</v>
      </c>
      <c r="F499">
        <f ca="1">_xlfn.STDEV.P($B$2:B499)</f>
        <v>6.1974340439908868</v>
      </c>
      <c r="G499">
        <f t="shared" ca="1" si="140"/>
        <v>104.75791676912193</v>
      </c>
      <c r="H499">
        <f t="shared" ca="1" si="141"/>
        <v>92.363048681140171</v>
      </c>
      <c r="I499">
        <f t="shared" ca="1" si="150"/>
        <v>97.898499999999999</v>
      </c>
      <c r="J499">
        <f t="shared" ca="1" si="151"/>
        <v>1.7423072271227629</v>
      </c>
      <c r="K499">
        <f t="shared" ca="1" si="152"/>
        <v>101.38311445424553</v>
      </c>
      <c r="L499">
        <f t="shared" ca="1" si="153"/>
        <v>94.413885545754468</v>
      </c>
      <c r="M499">
        <f t="shared" ca="1" si="142"/>
        <v>0.57999999999999829</v>
      </c>
      <c r="N499">
        <f t="shared" ca="1" si="143"/>
        <v>0.57999999999999829</v>
      </c>
      <c r="O499">
        <f t="shared" ca="1" si="144"/>
        <v>0</v>
      </c>
      <c r="P499">
        <f t="shared" ca="1" si="148"/>
        <v>0.47709651656978025</v>
      </c>
      <c r="Q499">
        <f t="shared" ca="1" si="149"/>
        <v>0.40132144721706892</v>
      </c>
      <c r="R499">
        <f t="shared" ca="1" si="146"/>
        <v>1.1888139043606252</v>
      </c>
      <c r="S499">
        <f t="shared" ca="1" si="147"/>
        <v>54.313155722934326</v>
      </c>
      <c r="T499">
        <f>70</f>
        <v>70</v>
      </c>
      <c r="U499">
        <f>30</f>
        <v>30</v>
      </c>
      <c r="V499">
        <f t="shared" ca="1" si="145"/>
        <v>98.589177744071023</v>
      </c>
      <c r="W499">
        <f t="shared" ca="1" si="155"/>
        <v>98.53488127304054</v>
      </c>
      <c r="X499">
        <f t="shared" ca="1" si="154"/>
        <v>0.10697827991714348</v>
      </c>
      <c r="Y499">
        <f t="shared" ca="1" si="156"/>
        <v>-0.16705530545616781</v>
      </c>
      <c r="Z499">
        <f t="shared" ca="1" si="157"/>
        <v>0.27403358537331129</v>
      </c>
      <c r="AA499">
        <f t="shared" ca="1" si="158"/>
        <v>99.38900000000001</v>
      </c>
    </row>
    <row r="500" spans="1:27" x14ac:dyDescent="0.25">
      <c r="A500" vm="1442">
        <f ca="1"/>
        <v>46017</v>
      </c>
      <c r="B500" vm="1443">
        <f ca="1"/>
        <v>99.3</v>
      </c>
      <c r="C500" vm="1444">
        <f ca="1"/>
        <v>611485</v>
      </c>
      <c r="D500">
        <f t="shared" ca="1" si="139"/>
        <v>60720460.5</v>
      </c>
      <c r="E500">
        <f ca="1">SUM($D$2:D500)/SUM($C$2:C500)</f>
        <v>98.56089101733005</v>
      </c>
      <c r="F500">
        <f ca="1">_xlfn.STDEV.P($B$2:B500)</f>
        <v>6.1915260111712831</v>
      </c>
      <c r="G500">
        <f t="shared" ca="1" si="140"/>
        <v>104.75241702850133</v>
      </c>
      <c r="H500">
        <f t="shared" ca="1" si="141"/>
        <v>92.369365006158773</v>
      </c>
      <c r="I500">
        <f t="shared" ca="1" si="150"/>
        <v>97.856500000000011</v>
      </c>
      <c r="J500">
        <f t="shared" ca="1" si="151"/>
        <v>1.6949096389514473</v>
      </c>
      <c r="K500">
        <f t="shared" ca="1" si="152"/>
        <v>101.2463192779029</v>
      </c>
      <c r="L500">
        <f t="shared" ca="1" si="153"/>
        <v>94.466680722097124</v>
      </c>
      <c r="M500">
        <f t="shared" ca="1" si="142"/>
        <v>-0.23000000000000398</v>
      </c>
      <c r="N500">
        <f t="shared" ca="1" si="143"/>
        <v>0</v>
      </c>
      <c r="O500">
        <f t="shared" ca="1" si="144"/>
        <v>0.23000000000000398</v>
      </c>
      <c r="P500">
        <f t="shared" ca="1" si="148"/>
        <v>0.44301819395765307</v>
      </c>
      <c r="Q500">
        <f t="shared" ca="1" si="149"/>
        <v>0.38908420098727853</v>
      </c>
      <c r="R500">
        <f t="shared" ca="1" si="146"/>
        <v>1.1386177923275222</v>
      </c>
      <c r="S500">
        <f t="shared" ca="1" si="147"/>
        <v>53.240826687798673</v>
      </c>
      <c r="T500">
        <f>70</f>
        <v>70</v>
      </c>
      <c r="U500">
        <f>30</f>
        <v>30</v>
      </c>
      <c r="V500">
        <f t="shared" ca="1" si="145"/>
        <v>98.698535014213945</v>
      </c>
      <c r="W500">
        <f t="shared" ca="1" si="155"/>
        <v>98.591556734296802</v>
      </c>
      <c r="X500">
        <f t="shared" ca="1" si="154"/>
        <v>0.16617937485777645</v>
      </c>
      <c r="Y500">
        <f t="shared" ca="1" si="156"/>
        <v>-0.10040836939337895</v>
      </c>
      <c r="Z500">
        <f t="shared" ca="1" si="157"/>
        <v>0.26658774425115539</v>
      </c>
      <c r="AA500">
        <f t="shared" ca="1" si="158"/>
        <v>99.34020000000001</v>
      </c>
    </row>
    <row r="501" spans="1:27" x14ac:dyDescent="0.25">
      <c r="A501" vm="1445">
        <f ca="1"/>
        <v>46020</v>
      </c>
      <c r="B501" vm="1446">
        <f ca="1"/>
        <v>99.54</v>
      </c>
      <c r="C501" vm="1447">
        <f ca="1"/>
        <v>1647935</v>
      </c>
      <c r="D501">
        <f t="shared" ca="1" si="139"/>
        <v>164035449.90000001</v>
      </c>
      <c r="E501">
        <f ca="1">SUM($D$2:D501)/SUM($C$2:C501)</f>
        <v>98.562345680194241</v>
      </c>
      <c r="F501">
        <f ca="1">_xlfn.STDEV.P($B$2:B501)</f>
        <v>6.1857502727155076</v>
      </c>
      <c r="G501">
        <f t="shared" ca="1" si="140"/>
        <v>104.74809595290975</v>
      </c>
      <c r="H501">
        <f t="shared" ca="1" si="141"/>
        <v>92.376595407478732</v>
      </c>
      <c r="I501">
        <f t="shared" ca="1" si="150"/>
        <v>97.8155</v>
      </c>
      <c r="J501">
        <f t="shared" ca="1" si="151"/>
        <v>1.640197276324759</v>
      </c>
      <c r="K501">
        <f t="shared" ca="1" si="152"/>
        <v>101.09589455264951</v>
      </c>
      <c r="L501">
        <f t="shared" ca="1" si="153"/>
        <v>94.535105447350489</v>
      </c>
      <c r="M501">
        <f t="shared" ca="1" si="142"/>
        <v>0.24000000000000909</v>
      </c>
      <c r="N501">
        <f t="shared" ca="1" si="143"/>
        <v>0.24000000000000909</v>
      </c>
      <c r="O501">
        <f t="shared" ca="1" si="144"/>
        <v>0</v>
      </c>
      <c r="P501">
        <f t="shared" ca="1" si="148"/>
        <v>0.42851689438924995</v>
      </c>
      <c r="Q501">
        <f t="shared" ca="1" si="149"/>
        <v>0.36129247234533007</v>
      </c>
      <c r="R501">
        <f t="shared" ca="1" si="146"/>
        <v>1.1860664895881514</v>
      </c>
      <c r="S501">
        <f t="shared" ca="1" si="147"/>
        <v>54.255737199082311</v>
      </c>
      <c r="T501">
        <f>70</f>
        <v>70</v>
      </c>
      <c r="U501">
        <f>30</f>
        <v>30</v>
      </c>
      <c r="V501">
        <f t="shared" ca="1" si="145"/>
        <v>98.827991165873343</v>
      </c>
      <c r="W501">
        <f t="shared" ca="1" si="155"/>
        <v>98.661811791015566</v>
      </c>
      <c r="X501">
        <f t="shared" ca="1" si="154"/>
        <v>0.23858844496959364</v>
      </c>
      <c r="Y501">
        <f t="shared" ca="1" si="156"/>
        <v>-3.2609006520784439E-2</v>
      </c>
      <c r="Z501">
        <f t="shared" ca="1" si="157"/>
        <v>0.27119745149037811</v>
      </c>
      <c r="AA501">
        <f t="shared" ca="1" si="158"/>
        <v>99.2941</v>
      </c>
    </row>
    <row r="502" spans="1:27" x14ac:dyDescent="0.25">
      <c r="A502" vm="1448">
        <f ca="1"/>
        <v>46021</v>
      </c>
      <c r="B502" vm="1449">
        <f ca="1"/>
        <v>99.89</v>
      </c>
      <c r="C502" vm="1450">
        <f ca="1"/>
        <v>1019883</v>
      </c>
      <c r="D502">
        <f t="shared" ca="1" si="139"/>
        <v>101876112.87</v>
      </c>
      <c r="E502">
        <f ca="1">SUM($D$2:D502)/SUM($C$2:C502)</f>
        <v>98.563565308412521</v>
      </c>
      <c r="F502">
        <f ca="1">_xlfn.STDEV.P($B$2:B502)</f>
        <v>6.1801917114085203</v>
      </c>
      <c r="G502">
        <f t="shared" ca="1" si="140"/>
        <v>104.74375701982105</v>
      </c>
      <c r="H502">
        <f t="shared" ca="1" si="141"/>
        <v>92.383373597003995</v>
      </c>
      <c r="I502">
        <f t="shared" ca="1" si="150"/>
        <v>97.915999999999997</v>
      </c>
      <c r="J502">
        <f t="shared" ca="1" si="151"/>
        <v>1.7046697473025154</v>
      </c>
      <c r="K502">
        <f t="shared" ca="1" si="152"/>
        <v>101.32533949460503</v>
      </c>
      <c r="L502">
        <f t="shared" ca="1" si="153"/>
        <v>94.506660505394962</v>
      </c>
      <c r="M502">
        <f t="shared" ca="1" si="142"/>
        <v>0.34999999999999432</v>
      </c>
      <c r="N502">
        <f t="shared" ca="1" si="143"/>
        <v>0.34999999999999432</v>
      </c>
      <c r="O502">
        <f t="shared" ca="1" si="144"/>
        <v>0</v>
      </c>
      <c r="P502">
        <f t="shared" ca="1" si="148"/>
        <v>0.42290854479001744</v>
      </c>
      <c r="Q502">
        <f t="shared" ca="1" si="149"/>
        <v>0.33548586717780654</v>
      </c>
      <c r="R502">
        <f t="shared" ca="1" si="146"/>
        <v>1.2605852769525969</v>
      </c>
      <c r="S502">
        <f t="shared" ca="1" si="147"/>
        <v>55.763668365209412</v>
      </c>
      <c r="T502">
        <f>70</f>
        <v>70</v>
      </c>
      <c r="U502">
        <f>30</f>
        <v>30</v>
      </c>
      <c r="V502">
        <f t="shared" ca="1" si="145"/>
        <v>98.991377140354373</v>
      </c>
      <c r="W502">
        <f t="shared" ca="1" si="155"/>
        <v>98.75278869538478</v>
      </c>
      <c r="X502">
        <f t="shared" ca="1" si="154"/>
        <v>0.24713015579828834</v>
      </c>
      <c r="Y502">
        <f t="shared" ca="1" si="156"/>
        <v>2.333882594303012E-2</v>
      </c>
      <c r="Z502">
        <f t="shared" ca="1" si="157"/>
        <v>0.22379132985525824</v>
      </c>
      <c r="AA502">
        <f t="shared" ca="1" si="158"/>
        <v>99.242999999999995</v>
      </c>
    </row>
    <row r="503" spans="1:27" x14ac:dyDescent="0.25">
      <c r="A503" vm="1451">
        <f ca="1"/>
        <v>46022</v>
      </c>
      <c r="B503" vm="1452">
        <f ca="1"/>
        <v>99.32</v>
      </c>
      <c r="C503" vm="1453">
        <f ca="1"/>
        <v>1218242</v>
      </c>
      <c r="D503">
        <f t="shared" ca="1" si="139"/>
        <v>120995795.44</v>
      </c>
      <c r="E503">
        <f ca="1">SUM($D$2:D503)/SUM($C$2:C503)</f>
        <v>98.564394434947474</v>
      </c>
      <c r="F503">
        <f ca="1">_xlfn.STDEV.P($B$2:B503)</f>
        <v>6.1743415255968701</v>
      </c>
      <c r="G503">
        <f t="shared" ca="1" si="140"/>
        <v>104.73873596054435</v>
      </c>
      <c r="H503">
        <f t="shared" ca="1" si="141"/>
        <v>92.390052909350601</v>
      </c>
      <c r="I503">
        <f t="shared" ca="1" si="150"/>
        <v>98.038499999999985</v>
      </c>
      <c r="J503">
        <f t="shared" ca="1" si="151"/>
        <v>1.7135536328436234</v>
      </c>
      <c r="K503">
        <f t="shared" ca="1" si="152"/>
        <v>101.46560726568723</v>
      </c>
      <c r="L503">
        <f t="shared" ca="1" si="153"/>
        <v>94.611392734312744</v>
      </c>
      <c r="M503">
        <f t="shared" ca="1" si="142"/>
        <v>-0.57000000000000739</v>
      </c>
      <c r="N503">
        <f t="shared" ca="1" si="143"/>
        <v>0</v>
      </c>
      <c r="O503">
        <f t="shared" ca="1" si="144"/>
        <v>0.57000000000000739</v>
      </c>
      <c r="P503">
        <f t="shared" ca="1" si="148"/>
        <v>0.39270079159073046</v>
      </c>
      <c r="Q503">
        <f t="shared" ca="1" si="149"/>
        <v>0.35223687666510661</v>
      </c>
      <c r="R503">
        <f t="shared" ca="1" si="146"/>
        <v>1.1148769978564605</v>
      </c>
      <c r="S503">
        <f t="shared" ca="1" si="147"/>
        <v>52.715926221073239</v>
      </c>
      <c r="T503">
        <f>70</f>
        <v>70</v>
      </c>
      <c r="U503">
        <f>30</f>
        <v>30</v>
      </c>
      <c r="V503">
        <f t="shared" ca="1" si="145"/>
        <v>99.04193450337678</v>
      </c>
      <c r="W503">
        <f t="shared" ca="1" si="155"/>
        <v>98.794804347578491</v>
      </c>
      <c r="X503">
        <f t="shared" ca="1" si="154"/>
        <v>0.30445337475754286</v>
      </c>
      <c r="Y503">
        <f t="shared" ca="1" si="156"/>
        <v>7.9561735705932668E-2</v>
      </c>
      <c r="Z503">
        <f t="shared" ca="1" si="157"/>
        <v>0.22489163905161019</v>
      </c>
      <c r="AA503">
        <f t="shared" ca="1" si="158"/>
        <v>99.191399999999973</v>
      </c>
    </row>
    <row r="504" spans="1:27" x14ac:dyDescent="0.25">
      <c r="A504" vm="1454">
        <f ca="1"/>
        <v>46024</v>
      </c>
      <c r="B504" vm="1428">
        <f ca="1"/>
        <v>99.99</v>
      </c>
      <c r="C504" vm="1455">
        <f ca="1"/>
        <v>1441121</v>
      </c>
      <c r="D504">
        <f t="shared" ca="1" si="139"/>
        <v>144097688.78999999</v>
      </c>
      <c r="E504">
        <f ca="1">SUM($D$2:D504)/SUM($C$2:C504)</f>
        <v>98.566240524999387</v>
      </c>
      <c r="F504">
        <f ca="1">_xlfn.STDEV.P($B$2:B504)</f>
        <v>6.1688777453969061</v>
      </c>
      <c r="G504">
        <f t="shared" ca="1" si="140"/>
        <v>104.7351182703963</v>
      </c>
      <c r="H504">
        <f t="shared" ca="1" si="141"/>
        <v>92.397362779602474</v>
      </c>
      <c r="I504">
        <f t="shared" ca="1" si="150"/>
        <v>98.215499999999992</v>
      </c>
      <c r="J504">
        <f t="shared" ca="1" si="151"/>
        <v>1.7236359213806385</v>
      </c>
      <c r="K504">
        <f t="shared" ca="1" si="152"/>
        <v>101.66277184276127</v>
      </c>
      <c r="L504">
        <f t="shared" ca="1" si="153"/>
        <v>94.76822815723871</v>
      </c>
      <c r="M504">
        <f t="shared" ca="1" si="142"/>
        <v>0.67000000000000171</v>
      </c>
      <c r="N504">
        <f t="shared" ca="1" si="143"/>
        <v>0.67000000000000171</v>
      </c>
      <c r="O504">
        <f t="shared" ca="1" si="144"/>
        <v>0</v>
      </c>
      <c r="P504">
        <f t="shared" ca="1" si="148"/>
        <v>0.41250787790567844</v>
      </c>
      <c r="Q504">
        <f t="shared" ca="1" si="149"/>
        <v>0.32707709976045612</v>
      </c>
      <c r="R504">
        <f t="shared" ca="1" si="146"/>
        <v>1.261194618051187</v>
      </c>
      <c r="S504">
        <f t="shared" ca="1" si="147"/>
        <v>55.775589061774298</v>
      </c>
      <c r="T504">
        <f>70</f>
        <v>70</v>
      </c>
      <c r="U504">
        <f>30</f>
        <v>30</v>
      </c>
      <c r="V504">
        <f t="shared" ca="1" si="145"/>
        <v>99.187790733626514</v>
      </c>
      <c r="W504">
        <f t="shared" ca="1" si="155"/>
        <v>98.883337358868971</v>
      </c>
      <c r="X504">
        <f t="shared" ca="1" si="154"/>
        <v>0.2270347756543174</v>
      </c>
      <c r="Y504">
        <f t="shared" ca="1" si="156"/>
        <v>0.10905634369560963</v>
      </c>
      <c r="Z504">
        <f t="shared" ca="1" si="157"/>
        <v>0.11797843195870777</v>
      </c>
      <c r="AA504">
        <f t="shared" ca="1" si="158"/>
        <v>99.150099999999981</v>
      </c>
    </row>
    <row r="505" spans="1:27" x14ac:dyDescent="0.25">
      <c r="A505" vm="1456">
        <f ca="1"/>
        <v>46027</v>
      </c>
      <c r="B505" vm="680">
        <f ca="1"/>
        <v>98.5</v>
      </c>
      <c r="C505" vm="1457">
        <f ca="1"/>
        <v>2112395</v>
      </c>
      <c r="D505">
        <f t="shared" ca="1" si="139"/>
        <v>208070907.5</v>
      </c>
      <c r="E505">
        <f ca="1">SUM($D$2:D505)/SUM($C$2:C505)</f>
        <v>98.566115029433945</v>
      </c>
      <c r="F505">
        <f ca="1">_xlfn.STDEV.P($B$2:B505)</f>
        <v>6.1628046886437797</v>
      </c>
      <c r="G505">
        <f t="shared" ca="1" si="140"/>
        <v>104.72891971807772</v>
      </c>
      <c r="H505">
        <f t="shared" ca="1" si="141"/>
        <v>92.403310340790171</v>
      </c>
      <c r="I505">
        <f t="shared" ca="1" si="150"/>
        <v>98.329499999999996</v>
      </c>
      <c r="J505">
        <f t="shared" ca="1" si="151"/>
        <v>1.6588914339020757</v>
      </c>
      <c r="K505">
        <f t="shared" ca="1" si="152"/>
        <v>101.64728286780415</v>
      </c>
      <c r="L505">
        <f t="shared" ca="1" si="153"/>
        <v>95.011717132195841</v>
      </c>
      <c r="M505">
        <f t="shared" ca="1" si="142"/>
        <v>-1.4899999999999949</v>
      </c>
      <c r="N505">
        <f t="shared" ca="1" si="143"/>
        <v>0</v>
      </c>
      <c r="O505">
        <f t="shared" ca="1" si="144"/>
        <v>1.4899999999999949</v>
      </c>
      <c r="P505">
        <f t="shared" ca="1" si="148"/>
        <v>0.38304302948384422</v>
      </c>
      <c r="Q505">
        <f t="shared" ca="1" si="149"/>
        <v>0.41014302120613744</v>
      </c>
      <c r="R505">
        <f t="shared" ca="1" si="146"/>
        <v>0.93392550812495045</v>
      </c>
      <c r="S505">
        <f t="shared" ca="1" si="147"/>
        <v>48.291700181898101</v>
      </c>
      <c r="T505">
        <f>70</f>
        <v>70</v>
      </c>
      <c r="U505">
        <f>30</f>
        <v>30</v>
      </c>
      <c r="V505">
        <f t="shared" ca="1" si="145"/>
        <v>99.081976774607057</v>
      </c>
      <c r="W505">
        <f t="shared" ca="1" si="155"/>
        <v>98.854941998952739</v>
      </c>
      <c r="X505">
        <f t="shared" ca="1" si="154"/>
        <v>0.22920499258877669</v>
      </c>
      <c r="Y505">
        <f t="shared" ca="1" si="156"/>
        <v>0.13308607347424303</v>
      </c>
      <c r="Z505">
        <f t="shared" ca="1" si="157"/>
        <v>9.6118919114533657E-2</v>
      </c>
      <c r="AA505">
        <f t="shared" ca="1" si="158"/>
        <v>99.098199999999977</v>
      </c>
    </row>
    <row r="506" spans="1:27" x14ac:dyDescent="0.25">
      <c r="A506" vm="1458">
        <f ca="1"/>
        <v>46028</v>
      </c>
      <c r="B506" vm="1452">
        <f ca="1"/>
        <v>99.32</v>
      </c>
      <c r="C506" vm="1459">
        <f ca="1"/>
        <v>1643792</v>
      </c>
      <c r="D506">
        <f t="shared" ca="1" si="139"/>
        <v>163261421.44</v>
      </c>
      <c r="E506">
        <f ca="1">SUM($D$2:D506)/SUM($C$2:C506)</f>
        <v>98.56722482155179</v>
      </c>
      <c r="F506">
        <f ca="1">_xlfn.STDEV.P($B$2:B506)</f>
        <v>6.1570038467253916</v>
      </c>
      <c r="G506">
        <f t="shared" ca="1" si="140"/>
        <v>104.72422866827718</v>
      </c>
      <c r="H506">
        <f t="shared" ca="1" si="141"/>
        <v>92.410220974826402</v>
      </c>
      <c r="I506">
        <f t="shared" ca="1" si="150"/>
        <v>98.465499999999992</v>
      </c>
      <c r="J506">
        <f t="shared" ca="1" si="151"/>
        <v>1.6206966500795097</v>
      </c>
      <c r="K506">
        <f t="shared" ca="1" si="152"/>
        <v>101.70689330015901</v>
      </c>
      <c r="L506">
        <f t="shared" ca="1" si="153"/>
        <v>95.224106699840974</v>
      </c>
      <c r="M506">
        <f t="shared" ca="1" si="142"/>
        <v>0.81999999999999318</v>
      </c>
      <c r="N506">
        <f t="shared" ca="1" si="143"/>
        <v>0.81999999999999318</v>
      </c>
      <c r="O506">
        <f t="shared" ca="1" si="144"/>
        <v>0</v>
      </c>
      <c r="P506">
        <f t="shared" ca="1" si="148"/>
        <v>0.41425424166356917</v>
      </c>
      <c r="Q506">
        <f t="shared" ca="1" si="149"/>
        <v>0.38084709111998472</v>
      </c>
      <c r="R506">
        <f t="shared" ca="1" si="146"/>
        <v>1.0877180141913165</v>
      </c>
      <c r="S506">
        <f t="shared" ca="1" si="147"/>
        <v>52.100810875679834</v>
      </c>
      <c r="T506">
        <f>70</f>
        <v>70</v>
      </c>
      <c r="U506">
        <f>30</f>
        <v>30</v>
      </c>
      <c r="V506">
        <f t="shared" ca="1" si="145"/>
        <v>99.118595732359822</v>
      </c>
      <c r="W506">
        <f t="shared" ca="1" si="155"/>
        <v>98.889390739771045</v>
      </c>
      <c r="X506">
        <f t="shared" ca="1" si="154"/>
        <v>0.2322818862828484</v>
      </c>
      <c r="Y506">
        <f t="shared" ca="1" si="156"/>
        <v>0.15292523603596411</v>
      </c>
      <c r="Z506">
        <f t="shared" ca="1" si="157"/>
        <v>7.9356650246884292E-2</v>
      </c>
      <c r="AA506">
        <f t="shared" ca="1" si="158"/>
        <v>99.054799999999972</v>
      </c>
    </row>
    <row r="507" spans="1:27" x14ac:dyDescent="0.25">
      <c r="A507" vm="1460">
        <f ca="1"/>
        <v>46029</v>
      </c>
      <c r="B507" vm="1461">
        <f ca="1"/>
        <v>99.37</v>
      </c>
      <c r="C507" vm="1462">
        <f ca="1"/>
        <v>1638957</v>
      </c>
      <c r="D507">
        <f t="shared" ca="1" si="139"/>
        <v>162863157.09</v>
      </c>
      <c r="E507">
        <f ca="1">SUM($D$2:D507)/SUM($C$2:C507)</f>
        <v>98.568401381898738</v>
      </c>
      <c r="F507">
        <f ca="1">_xlfn.STDEV.P($B$2:B507)</f>
        <v>6.1512417158908059</v>
      </c>
      <c r="G507">
        <f t="shared" ca="1" si="140"/>
        <v>104.71964309778954</v>
      </c>
      <c r="H507">
        <f t="shared" ca="1" si="141"/>
        <v>92.417159666007933</v>
      </c>
      <c r="I507">
        <f t="shared" ca="1" si="150"/>
        <v>98.661500000000004</v>
      </c>
      <c r="J507">
        <f t="shared" ca="1" si="151"/>
        <v>1.4665221120948564</v>
      </c>
      <c r="K507">
        <f t="shared" ca="1" si="152"/>
        <v>101.59454422418972</v>
      </c>
      <c r="L507">
        <f t="shared" ca="1" si="153"/>
        <v>95.728455775810289</v>
      </c>
      <c r="M507">
        <f t="shared" ca="1" si="142"/>
        <v>5.0000000000011369E-2</v>
      </c>
      <c r="N507">
        <f t="shared" ca="1" si="143"/>
        <v>5.0000000000011369E-2</v>
      </c>
      <c r="O507">
        <f t="shared" ca="1" si="144"/>
        <v>0</v>
      </c>
      <c r="P507">
        <f t="shared" ca="1" si="148"/>
        <v>0.38823608154474359</v>
      </c>
      <c r="Q507">
        <f t="shared" ca="1" si="149"/>
        <v>0.35364372746855727</v>
      </c>
      <c r="R507">
        <f t="shared" ca="1" si="146"/>
        <v>1.097816959242581</v>
      </c>
      <c r="S507">
        <f t="shared" ca="1" si="147"/>
        <v>52.331398809882302</v>
      </c>
      <c r="T507">
        <f>70</f>
        <v>70</v>
      </c>
      <c r="U507">
        <f>30</f>
        <v>30</v>
      </c>
      <c r="V507">
        <f t="shared" ca="1" si="145"/>
        <v>99.157273311996775</v>
      </c>
      <c r="W507">
        <f t="shared" ca="1" si="155"/>
        <v>98.924991425713927</v>
      </c>
      <c r="X507">
        <f t="shared" ca="1" si="154"/>
        <v>0.29666085557269639</v>
      </c>
      <c r="Y507">
        <f t="shared" ca="1" si="156"/>
        <v>0.18167235994331057</v>
      </c>
      <c r="Z507">
        <f t="shared" ca="1" si="157"/>
        <v>0.11498849562938582</v>
      </c>
      <c r="AA507">
        <f t="shared" ca="1" si="158"/>
        <v>99.019899999999978</v>
      </c>
    </row>
    <row r="508" spans="1:27" x14ac:dyDescent="0.25">
      <c r="A508" vm="1463">
        <f ca="1"/>
        <v>46030</v>
      </c>
      <c r="B508" vm="1464">
        <f ca="1"/>
        <v>100.18</v>
      </c>
      <c r="C508" vm="1465">
        <f ca="1"/>
        <v>1717623</v>
      </c>
      <c r="D508">
        <f t="shared" ca="1" si="139"/>
        <v>172071472.14000002</v>
      </c>
      <c r="E508">
        <f ca="1">SUM($D$2:D508)/SUM($C$2:C508)</f>
        <v>98.57087294041537</v>
      </c>
      <c r="F508">
        <f ca="1">_xlfn.STDEV.P($B$2:B508)</f>
        <v>6.145969326590258</v>
      </c>
      <c r="G508">
        <f t="shared" ca="1" si="140"/>
        <v>104.71684226700563</v>
      </c>
      <c r="H508">
        <f t="shared" ca="1" si="141"/>
        <v>92.424903613825109</v>
      </c>
      <c r="I508">
        <f t="shared" ca="1" si="150"/>
        <v>98.879499999999993</v>
      </c>
      <c r="J508">
        <f t="shared" ca="1" si="151"/>
        <v>1.3405477081755564</v>
      </c>
      <c r="K508">
        <f t="shared" ca="1" si="152"/>
        <v>101.56059541635111</v>
      </c>
      <c r="L508">
        <f t="shared" ca="1" si="153"/>
        <v>96.19840458364888</v>
      </c>
      <c r="M508">
        <f t="shared" ca="1" si="142"/>
        <v>0.81000000000000227</v>
      </c>
      <c r="N508">
        <f t="shared" ca="1" si="143"/>
        <v>0.81000000000000227</v>
      </c>
      <c r="O508">
        <f t="shared" ca="1" si="144"/>
        <v>0</v>
      </c>
      <c r="P508">
        <f t="shared" ca="1" si="148"/>
        <v>0.41836207572011919</v>
      </c>
      <c r="Q508">
        <f t="shared" ca="1" si="149"/>
        <v>0.32838346122080314</v>
      </c>
      <c r="R508">
        <f t="shared" ca="1" si="146"/>
        <v>1.2740047082907593</v>
      </c>
      <c r="S508">
        <f t="shared" ca="1" si="147"/>
        <v>56.024717259638237</v>
      </c>
      <c r="T508">
        <f>70</f>
        <v>70</v>
      </c>
      <c r="U508">
        <f>30</f>
        <v>30</v>
      </c>
      <c r="V508">
        <f t="shared" ca="1" si="145"/>
        <v>99.31461587938189</v>
      </c>
      <c r="W508">
        <f t="shared" ca="1" si="155"/>
        <v>99.017955023809193</v>
      </c>
      <c r="X508">
        <f t="shared" ca="1" si="154"/>
        <v>0.26634055110663724</v>
      </c>
      <c r="Y508">
        <f t="shared" ca="1" si="156"/>
        <v>0.19860599817597591</v>
      </c>
      <c r="Z508">
        <f t="shared" ca="1" si="157"/>
        <v>6.7734552930661329E-2</v>
      </c>
      <c r="AA508">
        <f t="shared" ca="1" si="158"/>
        <v>99.013999999999982</v>
      </c>
    </row>
    <row r="509" spans="1:27" x14ac:dyDescent="0.25">
      <c r="A509" vm="1466">
        <f ca="1"/>
        <v>46031</v>
      </c>
      <c r="B509" vm="1467">
        <f ca="1"/>
        <v>99.21</v>
      </c>
      <c r="C509" vm="1468">
        <f ca="1"/>
        <v>1354245</v>
      </c>
      <c r="D509">
        <f t="shared" ca="1" si="139"/>
        <v>134354646.44999999</v>
      </c>
      <c r="E509">
        <f ca="1">SUM($D$2:D509)/SUM($C$2:C509)</f>
        <v>98.571644813320461</v>
      </c>
      <c r="F509">
        <f ca="1">_xlfn.STDEV.P($B$2:B509)</f>
        <v>6.1401696556878065</v>
      </c>
      <c r="G509">
        <f t="shared" ca="1" si="140"/>
        <v>104.71181446900826</v>
      </c>
      <c r="H509">
        <f t="shared" ca="1" si="141"/>
        <v>92.431475157632661</v>
      </c>
      <c r="I509">
        <f t="shared" ca="1" si="150"/>
        <v>99.069500000000005</v>
      </c>
      <c r="J509">
        <f t="shared" ca="1" si="151"/>
        <v>1.0636109053101774</v>
      </c>
      <c r="K509">
        <f t="shared" ca="1" si="152"/>
        <v>101.19672181062036</v>
      </c>
      <c r="L509">
        <f t="shared" ca="1" si="153"/>
        <v>96.94227818937965</v>
      </c>
      <c r="M509">
        <f t="shared" ca="1" si="142"/>
        <v>-0.97000000000001307</v>
      </c>
      <c r="N509">
        <f t="shared" ca="1" si="143"/>
        <v>0</v>
      </c>
      <c r="O509">
        <f t="shared" ca="1" si="144"/>
        <v>0.97000000000001307</v>
      </c>
      <c r="P509">
        <f t="shared" ca="1" si="148"/>
        <v>0.38847907031153922</v>
      </c>
      <c r="Q509">
        <f t="shared" ca="1" si="149"/>
        <v>0.3742132139907467</v>
      </c>
      <c r="R509">
        <f t="shared" ca="1" si="146"/>
        <v>1.0381222677004274</v>
      </c>
      <c r="S509">
        <f t="shared" ca="1" si="147"/>
        <v>50.935230145526063</v>
      </c>
      <c r="T509">
        <f>70</f>
        <v>70</v>
      </c>
      <c r="U509">
        <f>30</f>
        <v>30</v>
      </c>
      <c r="V509">
        <f t="shared" ca="1" si="145"/>
        <v>99.298521128707748</v>
      </c>
      <c r="W509">
        <f t="shared" ca="1" si="155"/>
        <v>99.03218057760111</v>
      </c>
      <c r="X509">
        <f t="shared" ca="1" si="154"/>
        <v>0.2092367165408433</v>
      </c>
      <c r="Y509">
        <f t="shared" ca="1" si="156"/>
        <v>0.20073214184894941</v>
      </c>
      <c r="Z509">
        <f t="shared" ca="1" si="157"/>
        <v>8.5045746918938903E-3</v>
      </c>
      <c r="AA509">
        <f t="shared" ca="1" si="158"/>
        <v>99.008699999999976</v>
      </c>
    </row>
    <row r="510" spans="1:27" x14ac:dyDescent="0.25">
      <c r="A510" vm="1469">
        <f ca="1"/>
        <v>46034</v>
      </c>
      <c r="B510" vm="1470">
        <f ca="1"/>
        <v>98.83</v>
      </c>
      <c r="C510" vm="1471">
        <f ca="1"/>
        <v>1987289</v>
      </c>
      <c r="D510">
        <f t="shared" ca="1" si="139"/>
        <v>196403771.87</v>
      </c>
      <c r="E510">
        <f ca="1">SUM($D$2:D510)/SUM($C$2:C510)</f>
        <v>98.572101870537594</v>
      </c>
      <c r="F510">
        <f ca="1">_xlfn.STDEV.P($B$2:B510)</f>
        <v>6.1342571186661621</v>
      </c>
      <c r="G510">
        <f t="shared" ca="1" si="140"/>
        <v>104.70635898920375</v>
      </c>
      <c r="H510">
        <f t="shared" ca="1" si="141"/>
        <v>92.437844751871438</v>
      </c>
      <c r="I510">
        <f t="shared" ca="1" si="150"/>
        <v>99.229000000000013</v>
      </c>
      <c r="J510">
        <f t="shared" ca="1" si="151"/>
        <v>0.69891570156545779</v>
      </c>
      <c r="K510">
        <f t="shared" ca="1" si="152"/>
        <v>100.62683140313094</v>
      </c>
      <c r="L510">
        <f t="shared" ca="1" si="153"/>
        <v>97.831168596869091</v>
      </c>
      <c r="M510">
        <f t="shared" ca="1" si="142"/>
        <v>-0.37999999999999545</v>
      </c>
      <c r="N510">
        <f t="shared" ca="1" si="143"/>
        <v>0</v>
      </c>
      <c r="O510">
        <f t="shared" ca="1" si="144"/>
        <v>0.37999999999999545</v>
      </c>
      <c r="P510">
        <f t="shared" ca="1" si="148"/>
        <v>0.36073056528928638</v>
      </c>
      <c r="Q510">
        <f t="shared" ca="1" si="149"/>
        <v>0.37462655584855015</v>
      </c>
      <c r="R510">
        <f t="shared" ca="1" si="146"/>
        <v>0.96290708615733722</v>
      </c>
      <c r="S510">
        <f t="shared" ca="1" si="147"/>
        <v>49.05515360089516</v>
      </c>
      <c r="T510">
        <f>70</f>
        <v>70</v>
      </c>
      <c r="U510">
        <f>30</f>
        <v>30</v>
      </c>
      <c r="V510">
        <f t="shared" ca="1" si="145"/>
        <v>99.226440955060397</v>
      </c>
      <c r="W510">
        <f t="shared" ca="1" si="155"/>
        <v>99.017204238519554</v>
      </c>
      <c r="X510">
        <f t="shared" ca="1" si="154"/>
        <v>0.27219825109426665</v>
      </c>
      <c r="Y510">
        <f t="shared" ca="1" si="156"/>
        <v>0.21502536369801287</v>
      </c>
      <c r="Z510">
        <f t="shared" ca="1" si="157"/>
        <v>5.7172887396253785E-2</v>
      </c>
      <c r="AA510">
        <f t="shared" ca="1" si="158"/>
        <v>98.98599999999999</v>
      </c>
    </row>
    <row r="511" spans="1:27" x14ac:dyDescent="0.25">
      <c r="A511" vm="1472">
        <f ca="1"/>
        <v>46035</v>
      </c>
      <c r="B511" vm="429">
        <f ca="1"/>
        <v>100.21</v>
      </c>
      <c r="C511" vm="1473">
        <f ca="1"/>
        <v>2073342</v>
      </c>
      <c r="D511">
        <f t="shared" ca="1" si="139"/>
        <v>207769601.81999999</v>
      </c>
      <c r="E511">
        <f ca="1">SUM($D$2:D511)/SUM($C$2:C511)</f>
        <v>98.575119384910352</v>
      </c>
      <c r="F511">
        <f ca="1">_xlfn.STDEV.P($B$2:B511)</f>
        <v>6.1290499413046513</v>
      </c>
      <c r="G511">
        <f t="shared" ca="1" si="140"/>
        <v>104.70416932621501</v>
      </c>
      <c r="H511">
        <f t="shared" ca="1" si="141"/>
        <v>92.446069443605694</v>
      </c>
      <c r="I511">
        <f t="shared" ca="1" si="150"/>
        <v>99.363</v>
      </c>
      <c r="J511">
        <f t="shared" ca="1" si="151"/>
        <v>0.60688245632039217</v>
      </c>
      <c r="K511">
        <f t="shared" ca="1" si="152"/>
        <v>100.57676491264078</v>
      </c>
      <c r="L511">
        <f t="shared" ca="1" si="153"/>
        <v>98.149235087359216</v>
      </c>
      <c r="M511">
        <f t="shared" ca="1" si="142"/>
        <v>1.3799999999999955</v>
      </c>
      <c r="N511">
        <f t="shared" ca="1" si="143"/>
        <v>1.3799999999999955</v>
      </c>
      <c r="O511">
        <f t="shared" ca="1" si="144"/>
        <v>0</v>
      </c>
      <c r="P511">
        <f t="shared" ca="1" si="148"/>
        <v>0.4335355249114799</v>
      </c>
      <c r="Q511">
        <f t="shared" ca="1" si="149"/>
        <v>0.34786751614508227</v>
      </c>
      <c r="R511">
        <f t="shared" ca="1" si="146"/>
        <v>1.246266192703859</v>
      </c>
      <c r="S511">
        <f t="shared" ca="1" si="147"/>
        <v>55.481678741009439</v>
      </c>
      <c r="T511">
        <f>70</f>
        <v>70</v>
      </c>
      <c r="U511">
        <f>30</f>
        <v>30</v>
      </c>
      <c r="V511">
        <f t="shared" ca="1" si="145"/>
        <v>99.377757731204952</v>
      </c>
      <c r="W511">
        <f t="shared" ca="1" si="155"/>
        <v>99.105559480110685</v>
      </c>
      <c r="X511">
        <f t="shared" ca="1" si="154"/>
        <v>0.41893793484872788</v>
      </c>
      <c r="Y511">
        <f t="shared" ca="1" si="156"/>
        <v>0.2558078779281559</v>
      </c>
      <c r="Z511">
        <f t="shared" ca="1" si="157"/>
        <v>0.16313005692057198</v>
      </c>
      <c r="AA511">
        <f t="shared" ca="1" si="158"/>
        <v>98.970499999999973</v>
      </c>
    </row>
    <row r="512" spans="1:27" x14ac:dyDescent="0.25">
      <c r="A512" vm="1474">
        <f ca="1"/>
        <v>46036</v>
      </c>
      <c r="B512" vm="1475">
        <f ca="1"/>
        <v>101.47</v>
      </c>
      <c r="C512" vm="1476">
        <f ca="1"/>
        <v>1963060</v>
      </c>
      <c r="D512">
        <f t="shared" ca="1" si="139"/>
        <v>199191698.19999999</v>
      </c>
      <c r="E512">
        <f ca="1">SUM($D$2:D512)/SUM($C$2:C512)</f>
        <v>98.580160177872699</v>
      </c>
      <c r="F512">
        <f ca="1">_xlfn.STDEV.P($B$2:B512)</f>
        <v>6.1250118848140938</v>
      </c>
      <c r="G512">
        <f t="shared" ca="1" si="140"/>
        <v>104.7051720626868</v>
      </c>
      <c r="H512">
        <f t="shared" ca="1" si="141"/>
        <v>92.455148293058599</v>
      </c>
      <c r="I512">
        <f t="shared" ca="1" si="150"/>
        <v>99.467000000000013</v>
      </c>
      <c r="J512">
        <f t="shared" ca="1" si="151"/>
        <v>0.76846463466892301</v>
      </c>
      <c r="K512">
        <f t="shared" ca="1" si="152"/>
        <v>101.00392926933786</v>
      </c>
      <c r="L512">
        <f t="shared" ca="1" si="153"/>
        <v>97.930070730662166</v>
      </c>
      <c r="M512">
        <f t="shared" ca="1" si="142"/>
        <v>1.2600000000000051</v>
      </c>
      <c r="N512">
        <f t="shared" ca="1" si="143"/>
        <v>1.2600000000000051</v>
      </c>
      <c r="O512">
        <f t="shared" ca="1" si="144"/>
        <v>0</v>
      </c>
      <c r="P512">
        <f t="shared" ca="1" si="148"/>
        <v>0.49256870170351741</v>
      </c>
      <c r="Q512">
        <f t="shared" ca="1" si="149"/>
        <v>0.32301983642043358</v>
      </c>
      <c r="R512">
        <f t="shared" ca="1" si="146"/>
        <v>1.5248868526526147</v>
      </c>
      <c r="S512">
        <f t="shared" ca="1" si="147"/>
        <v>60.394264838069383</v>
      </c>
      <c r="T512">
        <f>70</f>
        <v>70</v>
      </c>
      <c r="U512">
        <f>30</f>
        <v>30</v>
      </c>
      <c r="V512">
        <f t="shared" ca="1" si="145"/>
        <v>99.699641157173431</v>
      </c>
      <c r="W512">
        <f t="shared" ca="1" si="155"/>
        <v>99.280703222324703</v>
      </c>
      <c r="X512">
        <f t="shared" ca="1" si="154"/>
        <v>0.61767771061248311</v>
      </c>
      <c r="Y512">
        <f t="shared" ca="1" si="156"/>
        <v>0.32818184446502136</v>
      </c>
      <c r="Z512">
        <f t="shared" ca="1" si="157"/>
        <v>0.28949586614746176</v>
      </c>
      <c r="AA512">
        <f t="shared" ca="1" si="158"/>
        <v>98.970199999999991</v>
      </c>
    </row>
    <row r="513" spans="1:27" x14ac:dyDescent="0.25">
      <c r="A513" vm="1477">
        <f ca="1"/>
        <v>46037</v>
      </c>
      <c r="B513" vm="1478">
        <f ca="1"/>
        <v>102.58</v>
      </c>
      <c r="C513" vm="1479">
        <f ca="1"/>
        <v>1813479</v>
      </c>
      <c r="D513">
        <f t="shared" ca="1" si="139"/>
        <v>186026675.81999999</v>
      </c>
      <c r="E513">
        <f ca="1">SUM($D$2:D513)/SUM($C$2:C513)</f>
        <v>98.586583973503949</v>
      </c>
      <c r="F513">
        <f ca="1">_xlfn.STDEV.P($B$2:B513)</f>
        <v>6.1224128379863609</v>
      </c>
      <c r="G513">
        <f t="shared" ca="1" si="140"/>
        <v>104.70899681149031</v>
      </c>
      <c r="H513">
        <f t="shared" ca="1" si="141"/>
        <v>92.464171135517589</v>
      </c>
      <c r="I513">
        <f t="shared" ca="1" si="150"/>
        <v>99.650999999999996</v>
      </c>
      <c r="J513">
        <f t="shared" ca="1" si="151"/>
        <v>1.0237284796272885</v>
      </c>
      <c r="K513">
        <f t="shared" ca="1" si="152"/>
        <v>101.69845695925457</v>
      </c>
      <c r="L513">
        <f t="shared" ca="1" si="153"/>
        <v>97.603543040745421</v>
      </c>
      <c r="M513">
        <f t="shared" ca="1" si="142"/>
        <v>1.1099999999999994</v>
      </c>
      <c r="N513">
        <f t="shared" ca="1" si="143"/>
        <v>1.1099999999999994</v>
      </c>
      <c r="O513">
        <f t="shared" ca="1" si="144"/>
        <v>0</v>
      </c>
      <c r="P513">
        <f t="shared" ca="1" si="148"/>
        <v>0.53667093729612325</v>
      </c>
      <c r="Q513">
        <f t="shared" ca="1" si="149"/>
        <v>0.29994699096183119</v>
      </c>
      <c r="R513">
        <f t="shared" ca="1" si="146"/>
        <v>1.7892192736296382</v>
      </c>
      <c r="S513">
        <f t="shared" ca="1" si="147"/>
        <v>64.147673528058974</v>
      </c>
      <c r="T513">
        <f>70</f>
        <v>70</v>
      </c>
      <c r="U513">
        <f>30</f>
        <v>30</v>
      </c>
      <c r="V513">
        <f t="shared" ca="1" si="145"/>
        <v>100.14277328683906</v>
      </c>
      <c r="W513">
        <f t="shared" ca="1" si="155"/>
        <v>99.525095576226576</v>
      </c>
      <c r="X513">
        <f t="shared" ca="1" si="154"/>
        <v>0.86446610802724422</v>
      </c>
      <c r="Y513">
        <f t="shared" ca="1" si="156"/>
        <v>0.43543869717746592</v>
      </c>
      <c r="Z513">
        <f t="shared" ca="1" si="157"/>
        <v>0.4290274108497783</v>
      </c>
      <c r="AA513">
        <f t="shared" ca="1" si="158"/>
        <v>98.979499999999973</v>
      </c>
    </row>
    <row r="514" spans="1:27" x14ac:dyDescent="0.25">
      <c r="A514" vm="1480">
        <f ca="1"/>
        <v>46038</v>
      </c>
      <c r="B514" vm="1481">
        <f ca="1"/>
        <v>103.81</v>
      </c>
      <c r="C514" vm="1482">
        <f ca="1"/>
        <v>2201908</v>
      </c>
      <c r="D514">
        <f t="shared" ca="1" si="139"/>
        <v>228580069.48000002</v>
      </c>
      <c r="E514">
        <f ca="1">SUM($D$2:D514)/SUM($C$2:C514)</f>
        <v>98.596749838073848</v>
      </c>
      <c r="F514">
        <f ca="1">_xlfn.STDEV.P($B$2:B514)</f>
        <v>6.1218492004337977</v>
      </c>
      <c r="G514">
        <f t="shared" ca="1" si="140"/>
        <v>104.71859903850765</v>
      </c>
      <c r="H514">
        <f t="shared" ca="1" si="141"/>
        <v>92.474900637640047</v>
      </c>
      <c r="I514">
        <f t="shared" ca="1" si="150"/>
        <v>99.830999999999989</v>
      </c>
      <c r="J514">
        <f t="shared" ca="1" si="151"/>
        <v>1.3812500059537991</v>
      </c>
      <c r="K514">
        <f t="shared" ca="1" si="152"/>
        <v>102.59350001190759</v>
      </c>
      <c r="L514">
        <f t="shared" ca="1" si="153"/>
        <v>97.068499988092384</v>
      </c>
      <c r="M514">
        <f t="shared" ca="1" si="142"/>
        <v>1.230000000000004</v>
      </c>
      <c r="N514">
        <f t="shared" ca="1" si="143"/>
        <v>1.230000000000004</v>
      </c>
      <c r="O514">
        <f t="shared" ca="1" si="144"/>
        <v>0</v>
      </c>
      <c r="P514">
        <f t="shared" ca="1" si="148"/>
        <v>0.58619444177497193</v>
      </c>
      <c r="Q514">
        <f t="shared" ca="1" si="149"/>
        <v>0.27852220589312898</v>
      </c>
      <c r="R514">
        <f t="shared" ca="1" si="146"/>
        <v>2.1046596263132393</v>
      </c>
      <c r="S514">
        <f t="shared" ca="1" si="147"/>
        <v>67.790349978316527</v>
      </c>
      <c r="T514">
        <f>70</f>
        <v>70</v>
      </c>
      <c r="U514">
        <f>30</f>
        <v>30</v>
      </c>
      <c r="V514">
        <f t="shared" ca="1" si="145"/>
        <v>100.70696201194075</v>
      </c>
      <c r="W514">
        <f t="shared" ca="1" si="155"/>
        <v>99.842495903913502</v>
      </c>
      <c r="X514">
        <f t="shared" si="154"/>
        <v>0</v>
      </c>
      <c r="Y514">
        <f t="shared" ca="1" si="156"/>
        <v>0.34835095774197278</v>
      </c>
      <c r="Z514">
        <f t="shared" ca="1" si="157"/>
        <v>-0.34835095774197278</v>
      </c>
      <c r="AA514">
        <f t="shared" ca="1" si="158"/>
        <v>99.018099999999976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workbookViewId="0">
      <selection activeCell="A81" sqref="A8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Weekly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2026-01-20T00:49:47Z</dcterms:modified>
</cp:coreProperties>
</file>