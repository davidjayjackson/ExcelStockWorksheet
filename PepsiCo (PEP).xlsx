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8E2F17A7-1D15-432A-AED4-055B87799586}" xr6:coauthVersionLast="47" xr6:coauthVersionMax="47" xr10:uidLastSave="{00000000-0000-0000-0000-000000000000}"/>
  <bookViews>
    <workbookView xWindow="4980" yWindow="180" windowWidth="8625" windowHeight="10620" firstSheet="1" activeTab="4" xr2:uid="{92AFEA67-FCE1-458C-9A7E-ADF426D7B024}"/>
  </bookViews>
  <sheets>
    <sheet name="Intro" sheetId="10" r:id="rId1"/>
    <sheet name="Data" sheetId="1" r:id="rId2"/>
    <sheet name="Forecast" sheetId="23" r:id="rId3"/>
    <sheet name="Weekly" sheetId="22" r:id="rId4"/>
    <sheet name="Dashboard" sheetId="7" r:id="rId5"/>
    <sheet name="Dividends" sheetId="18" r:id="rId6"/>
  </sheets>
  <definedNames>
    <definedName name="data">Data!$1:$1048576</definedName>
    <definedName name="ExternalData_1" localSheetId="2" hidden="1">Forecast!$A$1:$B$120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4" i="1" l="1"/>
  <c r="V524" i="1"/>
  <c r="U525" i="1"/>
  <c r="V525" i="1"/>
  <c r="C117" i="23"/>
  <c r="C118" i="23"/>
  <c r="C119" i="23"/>
  <c r="C115" i="23"/>
  <c r="C120" i="23"/>
  <c r="C113" i="23"/>
  <c r="C114" i="23"/>
  <c r="C116" i="23"/>
  <c r="C112" i="23"/>
  <c r="B1" i="1" a="1"/>
  <c r="A524" i="1" l="1"/>
  <c r="A525" i="1"/>
  <c r="J525" i="1"/>
  <c r="K524" i="1"/>
  <c r="N524" i="1"/>
  <c r="G524" i="1"/>
  <c r="G525" i="1"/>
  <c r="J524" i="1"/>
  <c r="K525" i="1"/>
  <c r="AB524" i="1"/>
  <c r="AB525" i="1"/>
  <c r="E524" i="1"/>
  <c r="E525" i="1"/>
  <c r="N525" i="1"/>
  <c r="B1" i="1"/>
  <c r="E515" i="1"/>
  <c r="G515" i="1"/>
  <c r="J515" i="1"/>
  <c r="K515" i="1"/>
  <c r="N515" i="1"/>
  <c r="O515" i="1" s="1"/>
  <c r="U515" i="1"/>
  <c r="V515" i="1"/>
  <c r="AB515" i="1"/>
  <c r="E516" i="1"/>
  <c r="G516" i="1"/>
  <c r="J516" i="1"/>
  <c r="K516" i="1"/>
  <c r="N516" i="1"/>
  <c r="O516" i="1" s="1"/>
  <c r="U516" i="1"/>
  <c r="V516" i="1"/>
  <c r="AB516" i="1"/>
  <c r="E517" i="1"/>
  <c r="G517" i="1"/>
  <c r="J517" i="1"/>
  <c r="K517" i="1"/>
  <c r="N517" i="1"/>
  <c r="P517" i="1" s="1"/>
  <c r="U517" i="1"/>
  <c r="V517" i="1"/>
  <c r="AB517" i="1"/>
  <c r="E518" i="1"/>
  <c r="G518" i="1"/>
  <c r="J518" i="1"/>
  <c r="K518" i="1"/>
  <c r="N518" i="1"/>
  <c r="P518" i="1" s="1"/>
  <c r="U518" i="1"/>
  <c r="V518" i="1"/>
  <c r="AB518" i="1"/>
  <c r="E519" i="1"/>
  <c r="G519" i="1"/>
  <c r="J519" i="1"/>
  <c r="K519" i="1"/>
  <c r="N519" i="1"/>
  <c r="P519" i="1" s="1"/>
  <c r="U519" i="1"/>
  <c r="V519" i="1"/>
  <c r="AB519" i="1"/>
  <c r="E520" i="1"/>
  <c r="G520" i="1"/>
  <c r="J520" i="1"/>
  <c r="K520" i="1"/>
  <c r="N520" i="1"/>
  <c r="P520" i="1" s="1"/>
  <c r="U520" i="1"/>
  <c r="V520" i="1"/>
  <c r="AB520" i="1"/>
  <c r="E521" i="1"/>
  <c r="G521" i="1"/>
  <c r="J521" i="1"/>
  <c r="K521" i="1"/>
  <c r="N521" i="1"/>
  <c r="P521" i="1" s="1"/>
  <c r="U521" i="1"/>
  <c r="V521" i="1"/>
  <c r="AB521" i="1"/>
  <c r="E522" i="1"/>
  <c r="G522" i="1"/>
  <c r="J522" i="1"/>
  <c r="K522" i="1"/>
  <c r="N522" i="1"/>
  <c r="P522" i="1" s="1"/>
  <c r="U522" i="1"/>
  <c r="V522" i="1"/>
  <c r="AB522" i="1"/>
  <c r="E523" i="1"/>
  <c r="G523" i="1"/>
  <c r="J523" i="1"/>
  <c r="K523" i="1"/>
  <c r="N523" i="1"/>
  <c r="P523" i="1" s="1"/>
  <c r="U523" i="1"/>
  <c r="V523" i="1"/>
  <c r="AB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L524" i="1" l="1"/>
  <c r="M524" i="1"/>
  <c r="O525" i="1"/>
  <c r="P525" i="1"/>
  <c r="P524" i="1"/>
  <c r="O524" i="1"/>
  <c r="L525" i="1"/>
  <c r="M525" i="1"/>
  <c r="O521" i="1"/>
  <c r="M516" i="1"/>
  <c r="M522" i="1"/>
  <c r="L523" i="1"/>
  <c r="L517" i="1"/>
  <c r="O520" i="1"/>
  <c r="L516" i="1"/>
  <c r="M520" i="1"/>
  <c r="O519" i="1"/>
  <c r="O522" i="1"/>
  <c r="L515" i="1"/>
  <c r="M515" i="1"/>
  <c r="L522" i="1"/>
  <c r="L521" i="1"/>
  <c r="L518" i="1"/>
  <c r="O523" i="1"/>
  <c r="L520" i="1"/>
  <c r="L519" i="1"/>
  <c r="M518" i="1"/>
  <c r="O517" i="1"/>
  <c r="M523" i="1"/>
  <c r="M519" i="1"/>
  <c r="M521" i="1"/>
  <c r="O518" i="1"/>
  <c r="M517" i="1"/>
  <c r="P516" i="1"/>
  <c r="P515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F525" i="1" l="1"/>
  <c r="F524" i="1"/>
  <c r="F519" i="1"/>
  <c r="F523" i="1"/>
  <c r="F515" i="1"/>
  <c r="F518" i="1"/>
  <c r="F522" i="1"/>
  <c r="F517" i="1"/>
  <c r="F521" i="1"/>
  <c r="F520" i="1"/>
  <c r="F516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I524" i="1" l="1"/>
  <c r="H524" i="1"/>
  <c r="I525" i="1"/>
  <c r="H525" i="1"/>
  <c r="H520" i="1"/>
  <c r="I520" i="1"/>
  <c r="H521" i="1"/>
  <c r="I521" i="1"/>
  <c r="H517" i="1"/>
  <c r="I517" i="1"/>
  <c r="H522" i="1"/>
  <c r="I522" i="1"/>
  <c r="H518" i="1"/>
  <c r="I518" i="1"/>
  <c r="H515" i="1"/>
  <c r="I515" i="1"/>
  <c r="H523" i="1"/>
  <c r="I523" i="1"/>
  <c r="H516" i="1"/>
  <c r="I516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W398" i="1"/>
  <c r="Z396" i="1" l="1"/>
  <c r="AA396" i="1" s="1"/>
  <c r="Y397" i="1"/>
  <c r="W399" i="1"/>
  <c r="R383" i="1"/>
  <c r="S382" i="1"/>
  <c r="T382" i="1" s="1"/>
  <c r="Z397" i="1" l="1"/>
  <c r="AA397" i="1" s="1"/>
  <c r="R384" i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W432" i="1"/>
  <c r="Z430" i="1" l="1"/>
  <c r="AA430" i="1" s="1"/>
  <c r="Y431" i="1"/>
  <c r="W433" i="1"/>
  <c r="R417" i="1"/>
  <c r="S416" i="1"/>
  <c r="T416" i="1" s="1"/>
  <c r="Z431" i="1" l="1"/>
  <c r="AA431" i="1" s="1"/>
  <c r="R418" i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Z443" i="1" s="1"/>
  <c r="AA443" i="1" s="1"/>
  <c r="W445" i="1"/>
  <c r="R429" i="1"/>
  <c r="S428" i="1"/>
  <c r="T428" i="1" s="1"/>
  <c r="R430" i="1" l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W479" i="1"/>
  <c r="Z477" i="1" l="1"/>
  <c r="AA477" i="1" s="1"/>
  <c r="Y478" i="1"/>
  <c r="W480" i="1"/>
  <c r="R464" i="1"/>
  <c r="S463" i="1"/>
  <c r="T463" i="1" s="1"/>
  <c r="Z478" i="1" l="1"/>
  <c r="AA478" i="1" s="1"/>
  <c r="S464" i="1"/>
  <c r="T464" i="1" s="1"/>
  <c r="R465" i="1"/>
  <c r="Y479" i="1"/>
  <c r="W481" i="1"/>
  <c r="Z479" i="1" l="1"/>
  <c r="AA479" i="1" s="1"/>
  <c r="Y480" i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W508" i="1"/>
  <c r="R492" i="1"/>
  <c r="S491" i="1"/>
  <c r="T491" i="1" s="1"/>
  <c r="Z506" i="1" l="1"/>
  <c r="AA506" i="1" s="1"/>
  <c r="R493" i="1"/>
  <c r="S492" i="1"/>
  <c r="T492" i="1" s="1"/>
  <c r="Y507" i="1"/>
  <c r="W509" i="1"/>
  <c r="Z507" i="1" l="1"/>
  <c r="AA507" i="1" s="1"/>
  <c r="Y508" i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l="1"/>
  <c r="AA513" i="1" s="1"/>
  <c r="Y514" i="1"/>
  <c r="W516" i="1"/>
  <c r="AA512" i="1"/>
  <c r="R500" i="1"/>
  <c r="S499" i="1"/>
  <c r="T499" i="1" s="1"/>
  <c r="Z514" i="1" l="1"/>
  <c r="AA514" i="1" s="1"/>
  <c r="Y515" i="1"/>
  <c r="W517" i="1"/>
  <c r="R501" i="1"/>
  <c r="S500" i="1"/>
  <c r="T500" i="1" s="1"/>
  <c r="Z515" i="1" l="1"/>
  <c r="AA515" i="1"/>
  <c r="Y516" i="1"/>
  <c r="Z516" i="1" s="1"/>
  <c r="W518" i="1"/>
  <c r="AA516" i="1"/>
  <c r="R502" i="1"/>
  <c r="S501" i="1"/>
  <c r="T501" i="1" s="1"/>
  <c r="Y517" i="1" l="1"/>
  <c r="Z517" i="1" s="1"/>
  <c r="W519" i="1"/>
  <c r="R503" i="1"/>
  <c r="S502" i="1"/>
  <c r="T502" i="1" s="1"/>
  <c r="AA517" i="1" l="1"/>
  <c r="Y518" i="1"/>
  <c r="Z518" i="1" s="1"/>
  <c r="W520" i="1"/>
  <c r="AA518" i="1"/>
  <c r="R504" i="1"/>
  <c r="S503" i="1"/>
  <c r="T503" i="1" s="1"/>
  <c r="Y519" i="1" l="1"/>
  <c r="Z519" i="1" s="1"/>
  <c r="W521" i="1"/>
  <c r="AA519" i="1"/>
  <c r="R505" i="1"/>
  <c r="S504" i="1"/>
  <c r="T504" i="1" s="1"/>
  <c r="Y520" i="1" l="1"/>
  <c r="Z520" i="1" s="1"/>
  <c r="W522" i="1"/>
  <c r="R506" i="1"/>
  <c r="S505" i="1"/>
  <c r="T505" i="1" s="1"/>
  <c r="AA520" i="1" l="1"/>
  <c r="Y521" i="1"/>
  <c r="Z521" i="1" s="1"/>
  <c r="W523" i="1"/>
  <c r="R507" i="1"/>
  <c r="S506" i="1"/>
  <c r="T506" i="1" s="1"/>
  <c r="Y522" i="1" l="1"/>
  <c r="W524" i="1"/>
  <c r="AA521" i="1"/>
  <c r="Z522" i="1"/>
  <c r="AA522" i="1" s="1"/>
  <c r="R508" i="1"/>
  <c r="S507" i="1"/>
  <c r="T507" i="1" s="1"/>
  <c r="Y523" i="1" l="1"/>
  <c r="Z523" i="1" s="1"/>
  <c r="AA523" i="1" s="1"/>
  <c r="W525" i="1"/>
  <c r="R509" i="1"/>
  <c r="S508" i="1"/>
  <c r="T508" i="1" s="1"/>
  <c r="Y524" i="1" l="1"/>
  <c r="Y525" i="1"/>
  <c r="R510" i="1"/>
  <c r="S509" i="1"/>
  <c r="T509" i="1" s="1"/>
  <c r="Z524" i="1" l="1"/>
  <c r="Z525" i="1" s="1"/>
  <c r="R511" i="1"/>
  <c r="S510" i="1"/>
  <c r="T510" i="1" s="1"/>
  <c r="AA524" i="1" l="1"/>
  <c r="AA525" i="1"/>
  <c r="R512" i="1"/>
  <c r="S511" i="1"/>
  <c r="T511" i="1" s="1"/>
  <c r="R513" i="1" l="1"/>
  <c r="S512" i="1"/>
  <c r="T512" i="1" s="1"/>
  <c r="R514" i="1" l="1"/>
  <c r="S513" i="1"/>
  <c r="T513" i="1" s="1"/>
  <c r="S514" i="1" l="1"/>
  <c r="T514" i="1" s="1"/>
  <c r="R515" i="1"/>
  <c r="R516" i="1" l="1"/>
  <c r="S515" i="1"/>
  <c r="T515" i="1" s="1"/>
  <c r="R517" i="1" l="1"/>
  <c r="S516" i="1"/>
  <c r="T516" i="1" s="1"/>
  <c r="R518" i="1" l="1"/>
  <c r="S517" i="1"/>
  <c r="T517" i="1" s="1"/>
  <c r="R519" i="1" l="1"/>
  <c r="S518" i="1"/>
  <c r="T518" i="1" s="1"/>
  <c r="S519" i="1" l="1"/>
  <c r="T519" i="1" s="1"/>
  <c r="R520" i="1"/>
  <c r="R521" i="1" l="1"/>
  <c r="S520" i="1"/>
  <c r="T520" i="1" s="1"/>
  <c r="R522" i="1" l="1"/>
  <c r="S521" i="1"/>
  <c r="T521" i="1" s="1"/>
  <c r="S522" i="1" l="1"/>
  <c r="T522" i="1" s="1"/>
  <c r="R523" i="1"/>
  <c r="S523" i="1" l="1"/>
  <c r="T523" i="1" s="1"/>
  <c r="R524" i="1"/>
  <c r="R525" i="1" l="1"/>
  <c r="S524" i="1"/>
  <c r="T524" i="1" s="1"/>
  <c r="S525" i="1" l="1"/>
  <c r="T52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534C05-ABCD-4A31-8D5C-45A9E56DCB42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3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</futureMetadata>
  <cellMetadata count="1">
    <bk>
      <rc t="1" v="0"/>
    </bk>
  </cellMetadata>
  <valueMetadata count="153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</valueMetadata>
</metadata>
</file>

<file path=xl/sharedStrings.xml><?xml version="1.0" encoding="utf-8"?>
<sst xmlns="http://schemas.openxmlformats.org/spreadsheetml/2006/main" count="58" uniqueCount="51">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</sst>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9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6" fillId="0" borderId="1" xfId="0" applyFont="1" applyBorder="1" applyAlignment="1">
      <alignment horizontal="center" wrapText="1"/>
    </xf>
    <xf numFmtId="14" fontId="0" fillId="0" borderId="0" xfId="0" applyNumberFormat="1"/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wrapText="1"/>
    </xf>
  </cellXfs>
  <cellStyles count="2">
    <cellStyle name="Comma" xfId="1" builtinId="3"/>
    <cellStyle name="Normal" xfId="0" builtinId="0"/>
  </cellStyles>
  <dxfs count="2">
    <dxf>
      <numFmt numFmtId="164" formatCode="yyyy\-mm\-dd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172.91</c:v>
                </c:pt>
                <c:pt idx="1">
                  <c:v>172.95</c:v>
                </c:pt>
                <c:pt idx="2">
                  <c:v>171.47</c:v>
                </c:pt>
                <c:pt idx="3">
                  <c:v>168.94</c:v>
                </c:pt>
                <c:pt idx="4">
                  <c:v>169.11</c:v>
                </c:pt>
                <c:pt idx="5">
                  <c:v>167.17</c:v>
                </c:pt>
                <c:pt idx="6">
                  <c:v>166.92</c:v>
                </c:pt>
                <c:pt idx="7">
                  <c:v>166.13</c:v>
                </c:pt>
                <c:pt idx="8">
                  <c:v>167.27</c:v>
                </c:pt>
                <c:pt idx="9">
                  <c:v>166.17</c:v>
                </c:pt>
                <c:pt idx="10">
                  <c:v>166.44</c:v>
                </c:pt>
                <c:pt idx="11">
                  <c:v>167.17</c:v>
                </c:pt>
                <c:pt idx="12">
                  <c:v>165.78</c:v>
                </c:pt>
                <c:pt idx="13">
                  <c:v>165.11</c:v>
                </c:pt>
                <c:pt idx="14">
                  <c:v>167.64</c:v>
                </c:pt>
                <c:pt idx="15">
                  <c:v>165.6</c:v>
                </c:pt>
                <c:pt idx="16">
                  <c:v>166.56</c:v>
                </c:pt>
                <c:pt idx="17">
                  <c:v>167.86</c:v>
                </c:pt>
                <c:pt idx="18">
                  <c:v>168.15</c:v>
                </c:pt>
                <c:pt idx="19">
                  <c:v>169.62</c:v>
                </c:pt>
                <c:pt idx="20">
                  <c:v>168.53</c:v>
                </c:pt>
                <c:pt idx="21">
                  <c:v>171.7</c:v>
                </c:pt>
                <c:pt idx="22">
                  <c:v>170.97</c:v>
                </c:pt>
                <c:pt idx="23">
                  <c:v>170.92</c:v>
                </c:pt>
                <c:pt idx="24">
                  <c:v>171.42</c:v>
                </c:pt>
                <c:pt idx="25">
                  <c:v>171.47</c:v>
                </c:pt>
                <c:pt idx="26">
                  <c:v>173.85</c:v>
                </c:pt>
                <c:pt idx="27">
                  <c:v>167.67</c:v>
                </c:pt>
                <c:pt idx="28">
                  <c:v>170.61</c:v>
                </c:pt>
                <c:pt idx="29">
                  <c:v>168.88</c:v>
                </c:pt>
                <c:pt idx="30">
                  <c:v>167.52</c:v>
                </c:pt>
                <c:pt idx="31">
                  <c:v>167.86</c:v>
                </c:pt>
                <c:pt idx="32">
                  <c:v>166.32</c:v>
                </c:pt>
                <c:pt idx="33">
                  <c:v>168.65</c:v>
                </c:pt>
                <c:pt idx="34">
                  <c:v>168.83</c:v>
                </c:pt>
                <c:pt idx="35">
                  <c:v>168.25</c:v>
                </c:pt>
                <c:pt idx="36">
                  <c:v>169.6</c:v>
                </c:pt>
                <c:pt idx="37">
                  <c:v>168.26</c:v>
                </c:pt>
                <c:pt idx="38">
                  <c:v>168.16</c:v>
                </c:pt>
                <c:pt idx="39">
                  <c:v>167.03</c:v>
                </c:pt>
                <c:pt idx="40">
                  <c:v>165.34</c:v>
                </c:pt>
                <c:pt idx="41">
                  <c:v>164.59</c:v>
                </c:pt>
                <c:pt idx="42">
                  <c:v>165.37</c:v>
                </c:pt>
                <c:pt idx="43">
                  <c:v>162.04</c:v>
                </c:pt>
                <c:pt idx="44">
                  <c:v>163</c:v>
                </c:pt>
                <c:pt idx="45">
                  <c:v>163.11000000000001</c:v>
                </c:pt>
                <c:pt idx="46">
                  <c:v>163.05000000000001</c:v>
                </c:pt>
                <c:pt idx="47">
                  <c:v>164.73</c:v>
                </c:pt>
                <c:pt idx="48">
                  <c:v>164.54</c:v>
                </c:pt>
                <c:pt idx="49">
                  <c:v>165.3</c:v>
                </c:pt>
                <c:pt idx="50">
                  <c:v>164.78</c:v>
                </c:pt>
                <c:pt idx="51">
                  <c:v>164.66</c:v>
                </c:pt>
                <c:pt idx="52">
                  <c:v>171.26</c:v>
                </c:pt>
                <c:pt idx="53">
                  <c:v>171.8</c:v>
                </c:pt>
                <c:pt idx="54">
                  <c:v>171.86</c:v>
                </c:pt>
                <c:pt idx="55">
                  <c:v>172.45</c:v>
                </c:pt>
                <c:pt idx="56">
                  <c:v>172.02</c:v>
                </c:pt>
                <c:pt idx="57">
                  <c:v>172.6</c:v>
                </c:pt>
                <c:pt idx="58">
                  <c:v>172.73</c:v>
                </c:pt>
                <c:pt idx="59">
                  <c:v>173.57</c:v>
                </c:pt>
                <c:pt idx="60">
                  <c:v>175.01</c:v>
                </c:pt>
                <c:pt idx="61">
                  <c:v>172.98</c:v>
                </c:pt>
                <c:pt idx="62">
                  <c:v>171.44</c:v>
                </c:pt>
                <c:pt idx="63">
                  <c:v>169.68</c:v>
                </c:pt>
                <c:pt idx="64">
                  <c:v>169.65</c:v>
                </c:pt>
                <c:pt idx="65">
                  <c:v>169.14</c:v>
                </c:pt>
                <c:pt idx="66">
                  <c:v>169.58</c:v>
                </c:pt>
                <c:pt idx="67">
                  <c:v>170.61</c:v>
                </c:pt>
                <c:pt idx="68">
                  <c:v>168.95</c:v>
                </c:pt>
                <c:pt idx="69">
                  <c:v>168.36</c:v>
                </c:pt>
                <c:pt idx="70">
                  <c:v>168.1</c:v>
                </c:pt>
                <c:pt idx="71">
                  <c:v>166.95</c:v>
                </c:pt>
                <c:pt idx="72">
                  <c:v>167.5</c:v>
                </c:pt>
                <c:pt idx="73">
                  <c:v>169.48</c:v>
                </c:pt>
                <c:pt idx="74">
                  <c:v>172.27</c:v>
                </c:pt>
                <c:pt idx="75">
                  <c:v>174.13</c:v>
                </c:pt>
                <c:pt idx="76">
                  <c:v>176.46</c:v>
                </c:pt>
                <c:pt idx="77">
                  <c:v>171.22</c:v>
                </c:pt>
                <c:pt idx="78">
                  <c:v>177.41</c:v>
                </c:pt>
                <c:pt idx="79">
                  <c:v>176.68</c:v>
                </c:pt>
                <c:pt idx="80">
                  <c:v>175.58</c:v>
                </c:pt>
                <c:pt idx="81">
                  <c:v>176.14</c:v>
                </c:pt>
                <c:pt idx="82">
                  <c:v>175.91</c:v>
                </c:pt>
                <c:pt idx="83">
                  <c:v>175.15</c:v>
                </c:pt>
                <c:pt idx="84">
                  <c:v>175.45</c:v>
                </c:pt>
                <c:pt idx="85">
                  <c:v>176.15</c:v>
                </c:pt>
                <c:pt idx="86">
                  <c:v>175.82</c:v>
                </c:pt>
                <c:pt idx="87">
                  <c:v>178.02</c:v>
                </c:pt>
                <c:pt idx="88">
                  <c:v>177.41</c:v>
                </c:pt>
                <c:pt idx="89">
                  <c:v>178.06</c:v>
                </c:pt>
                <c:pt idx="90">
                  <c:v>179.79</c:v>
                </c:pt>
                <c:pt idx="91">
                  <c:v>180.9</c:v>
                </c:pt>
                <c:pt idx="92">
                  <c:v>179.87</c:v>
                </c:pt>
                <c:pt idx="93">
                  <c:v>179.46</c:v>
                </c:pt>
                <c:pt idx="94">
                  <c:v>183.11</c:v>
                </c:pt>
                <c:pt idx="95">
                  <c:v>182.19</c:v>
                </c:pt>
                <c:pt idx="96">
                  <c:v>180.31</c:v>
                </c:pt>
                <c:pt idx="97">
                  <c:v>181.08</c:v>
                </c:pt>
                <c:pt idx="98">
                  <c:v>182.09</c:v>
                </c:pt>
                <c:pt idx="99">
                  <c:v>179.27</c:v>
                </c:pt>
                <c:pt idx="100">
                  <c:v>177.99</c:v>
                </c:pt>
                <c:pt idx="101">
                  <c:v>173.38</c:v>
                </c:pt>
                <c:pt idx="102">
                  <c:v>171.15</c:v>
                </c:pt>
                <c:pt idx="103">
                  <c:v>170.48</c:v>
                </c:pt>
                <c:pt idx="104">
                  <c:v>172.9</c:v>
                </c:pt>
                <c:pt idx="105">
                  <c:v>171.23</c:v>
                </c:pt>
                <c:pt idx="106">
                  <c:v>173.89</c:v>
                </c:pt>
                <c:pt idx="107">
                  <c:v>173.49</c:v>
                </c:pt>
                <c:pt idx="108">
                  <c:v>173.2</c:v>
                </c:pt>
                <c:pt idx="109">
                  <c:v>171.04</c:v>
                </c:pt>
                <c:pt idx="110">
                  <c:v>165.9</c:v>
                </c:pt>
                <c:pt idx="111">
                  <c:v>165.07</c:v>
                </c:pt>
                <c:pt idx="112">
                  <c:v>163.83000000000001</c:v>
                </c:pt>
                <c:pt idx="113">
                  <c:v>163.33000000000001</c:v>
                </c:pt>
                <c:pt idx="114">
                  <c:v>163.81</c:v>
                </c:pt>
                <c:pt idx="115">
                  <c:v>166.14</c:v>
                </c:pt>
                <c:pt idx="116">
                  <c:v>166.48</c:v>
                </c:pt>
                <c:pt idx="117">
                  <c:v>166.68</c:v>
                </c:pt>
                <c:pt idx="118">
                  <c:v>167.28</c:v>
                </c:pt>
                <c:pt idx="119">
                  <c:v>168.08</c:v>
                </c:pt>
                <c:pt idx="120">
                  <c:v>167.35</c:v>
                </c:pt>
                <c:pt idx="121">
                  <c:v>166.74</c:v>
                </c:pt>
                <c:pt idx="122">
                  <c:v>166.26</c:v>
                </c:pt>
                <c:pt idx="123">
                  <c:v>164.93</c:v>
                </c:pt>
                <c:pt idx="124">
                  <c:v>162.88999999999999</c:v>
                </c:pt>
                <c:pt idx="125">
                  <c:v>163.58000000000001</c:v>
                </c:pt>
                <c:pt idx="126">
                  <c:v>162.6</c:v>
                </c:pt>
                <c:pt idx="127">
                  <c:v>164.39</c:v>
                </c:pt>
                <c:pt idx="128">
                  <c:v>162.12</c:v>
                </c:pt>
                <c:pt idx="129">
                  <c:v>161.9</c:v>
                </c:pt>
                <c:pt idx="130">
                  <c:v>163.59</c:v>
                </c:pt>
                <c:pt idx="131">
                  <c:v>163.95</c:v>
                </c:pt>
                <c:pt idx="132">
                  <c:v>166.38</c:v>
                </c:pt>
                <c:pt idx="133">
                  <c:v>163.86</c:v>
                </c:pt>
                <c:pt idx="134">
                  <c:v>164.76</c:v>
                </c:pt>
                <c:pt idx="135">
                  <c:v>169.89</c:v>
                </c:pt>
                <c:pt idx="136">
                  <c:v>170.37</c:v>
                </c:pt>
                <c:pt idx="137">
                  <c:v>169.36</c:v>
                </c:pt>
                <c:pt idx="138">
                  <c:v>167.66</c:v>
                </c:pt>
                <c:pt idx="139">
                  <c:v>166.28</c:v>
                </c:pt>
                <c:pt idx="140">
                  <c:v>168.17</c:v>
                </c:pt>
                <c:pt idx="141">
                  <c:v>171.02</c:v>
                </c:pt>
                <c:pt idx="142">
                  <c:v>172.75</c:v>
                </c:pt>
                <c:pt idx="143">
                  <c:v>173.21</c:v>
                </c:pt>
                <c:pt idx="144">
                  <c:v>173.18</c:v>
                </c:pt>
                <c:pt idx="145">
                  <c:v>172.67</c:v>
                </c:pt>
                <c:pt idx="146">
                  <c:v>174.96</c:v>
                </c:pt>
                <c:pt idx="147">
                  <c:v>178.04</c:v>
                </c:pt>
                <c:pt idx="148">
                  <c:v>174.04</c:v>
                </c:pt>
                <c:pt idx="149">
                  <c:v>172.49</c:v>
                </c:pt>
                <c:pt idx="150">
                  <c:v>171.79</c:v>
                </c:pt>
                <c:pt idx="151">
                  <c:v>172.37</c:v>
                </c:pt>
                <c:pt idx="152">
                  <c:v>172.39</c:v>
                </c:pt>
                <c:pt idx="153">
                  <c:v>171.42</c:v>
                </c:pt>
                <c:pt idx="154">
                  <c:v>172.37</c:v>
                </c:pt>
                <c:pt idx="155">
                  <c:v>173.71</c:v>
                </c:pt>
                <c:pt idx="156">
                  <c:v>172.52</c:v>
                </c:pt>
                <c:pt idx="157">
                  <c:v>172.62</c:v>
                </c:pt>
                <c:pt idx="158">
                  <c:v>173.82</c:v>
                </c:pt>
                <c:pt idx="159">
                  <c:v>175.85</c:v>
                </c:pt>
                <c:pt idx="160">
                  <c:v>175.21</c:v>
                </c:pt>
                <c:pt idx="161">
                  <c:v>175.74</c:v>
                </c:pt>
                <c:pt idx="162">
                  <c:v>175.87</c:v>
                </c:pt>
                <c:pt idx="163">
                  <c:v>175.97</c:v>
                </c:pt>
                <c:pt idx="164">
                  <c:v>175.3</c:v>
                </c:pt>
                <c:pt idx="165">
                  <c:v>173.92</c:v>
                </c:pt>
                <c:pt idx="166">
                  <c:v>172.09</c:v>
                </c:pt>
                <c:pt idx="167">
                  <c:v>172.88</c:v>
                </c:pt>
                <c:pt idx="168">
                  <c:v>177.54</c:v>
                </c:pt>
                <c:pt idx="169">
                  <c:v>178.52</c:v>
                </c:pt>
                <c:pt idx="170">
                  <c:v>179.3</c:v>
                </c:pt>
                <c:pt idx="171">
                  <c:v>177.34</c:v>
                </c:pt>
                <c:pt idx="172">
                  <c:v>178.19</c:v>
                </c:pt>
                <c:pt idx="173">
                  <c:v>177.81</c:v>
                </c:pt>
                <c:pt idx="174">
                  <c:v>175.78</c:v>
                </c:pt>
                <c:pt idx="175">
                  <c:v>177.25</c:v>
                </c:pt>
                <c:pt idx="176">
                  <c:v>177.36</c:v>
                </c:pt>
                <c:pt idx="177">
                  <c:v>177.21</c:v>
                </c:pt>
                <c:pt idx="178">
                  <c:v>176.87</c:v>
                </c:pt>
                <c:pt idx="179">
                  <c:v>175.21</c:v>
                </c:pt>
                <c:pt idx="180">
                  <c:v>174.66</c:v>
                </c:pt>
                <c:pt idx="181">
                  <c:v>171.18</c:v>
                </c:pt>
                <c:pt idx="182">
                  <c:v>172.11</c:v>
                </c:pt>
                <c:pt idx="183">
                  <c:v>169.92</c:v>
                </c:pt>
                <c:pt idx="184">
                  <c:v>169.4</c:v>
                </c:pt>
                <c:pt idx="185">
                  <c:v>169.69</c:v>
                </c:pt>
                <c:pt idx="186">
                  <c:v>170</c:v>
                </c:pt>
                <c:pt idx="187">
                  <c:v>170.05</c:v>
                </c:pt>
                <c:pt idx="188">
                  <c:v>171.38</c:v>
                </c:pt>
                <c:pt idx="189">
                  <c:v>169.55</c:v>
                </c:pt>
                <c:pt idx="190">
                  <c:v>168.53</c:v>
                </c:pt>
                <c:pt idx="191">
                  <c:v>167.97</c:v>
                </c:pt>
                <c:pt idx="192">
                  <c:v>167.21</c:v>
                </c:pt>
                <c:pt idx="193">
                  <c:v>170.42</c:v>
                </c:pt>
                <c:pt idx="194">
                  <c:v>172.54</c:v>
                </c:pt>
                <c:pt idx="195">
                  <c:v>172.99</c:v>
                </c:pt>
                <c:pt idx="196">
                  <c:v>174.81</c:v>
                </c:pt>
                <c:pt idx="197">
                  <c:v>176.1</c:v>
                </c:pt>
                <c:pt idx="198">
                  <c:v>175.9</c:v>
                </c:pt>
                <c:pt idx="199">
                  <c:v>174.48</c:v>
                </c:pt>
                <c:pt idx="200">
                  <c:v>174.67</c:v>
                </c:pt>
                <c:pt idx="201">
                  <c:v>175.06</c:v>
                </c:pt>
                <c:pt idx="202">
                  <c:v>175.01</c:v>
                </c:pt>
                <c:pt idx="203">
                  <c:v>174.37</c:v>
                </c:pt>
                <c:pt idx="204">
                  <c:v>172.95</c:v>
                </c:pt>
                <c:pt idx="205">
                  <c:v>172.16</c:v>
                </c:pt>
                <c:pt idx="206">
                  <c:v>171.79</c:v>
                </c:pt>
                <c:pt idx="207">
                  <c:v>169.84</c:v>
                </c:pt>
                <c:pt idx="208">
                  <c:v>167.5</c:v>
                </c:pt>
                <c:pt idx="209">
                  <c:v>166.21</c:v>
                </c:pt>
                <c:pt idx="210">
                  <c:v>166.08</c:v>
                </c:pt>
                <c:pt idx="211">
                  <c:v>165.59</c:v>
                </c:pt>
                <c:pt idx="212">
                  <c:v>166.34</c:v>
                </c:pt>
                <c:pt idx="213">
                  <c:v>167.85</c:v>
                </c:pt>
                <c:pt idx="214">
                  <c:v>164.71</c:v>
                </c:pt>
                <c:pt idx="215">
                  <c:v>164</c:v>
                </c:pt>
                <c:pt idx="216">
                  <c:v>165.11</c:v>
                </c:pt>
                <c:pt idx="217">
                  <c:v>164.26</c:v>
                </c:pt>
                <c:pt idx="218">
                  <c:v>164.34</c:v>
                </c:pt>
                <c:pt idx="219">
                  <c:v>164.74</c:v>
                </c:pt>
                <c:pt idx="220">
                  <c:v>165.15</c:v>
                </c:pt>
                <c:pt idx="221">
                  <c:v>158.62</c:v>
                </c:pt>
                <c:pt idx="222">
                  <c:v>158.33000000000001</c:v>
                </c:pt>
                <c:pt idx="223">
                  <c:v>156.72</c:v>
                </c:pt>
                <c:pt idx="224">
                  <c:v>158.74</c:v>
                </c:pt>
                <c:pt idx="225">
                  <c:v>160.34</c:v>
                </c:pt>
                <c:pt idx="226">
                  <c:v>162</c:v>
                </c:pt>
                <c:pt idx="227">
                  <c:v>163.05000000000001</c:v>
                </c:pt>
                <c:pt idx="228">
                  <c:v>162.16</c:v>
                </c:pt>
                <c:pt idx="229">
                  <c:v>162.72</c:v>
                </c:pt>
                <c:pt idx="230">
                  <c:v>163.44999999999999</c:v>
                </c:pt>
                <c:pt idx="231">
                  <c:v>163.05000000000001</c:v>
                </c:pt>
                <c:pt idx="232">
                  <c:v>161.69999999999999</c:v>
                </c:pt>
                <c:pt idx="233">
                  <c:v>160.18</c:v>
                </c:pt>
                <c:pt idx="234">
                  <c:v>160.49</c:v>
                </c:pt>
                <c:pt idx="235">
                  <c:v>157.79</c:v>
                </c:pt>
                <c:pt idx="236">
                  <c:v>159.47</c:v>
                </c:pt>
                <c:pt idx="237">
                  <c:v>159.84</c:v>
                </c:pt>
                <c:pt idx="238">
                  <c:v>156.77000000000001</c:v>
                </c:pt>
                <c:pt idx="239">
                  <c:v>158.9</c:v>
                </c:pt>
                <c:pt idx="240">
                  <c:v>157.97</c:v>
                </c:pt>
                <c:pt idx="241">
                  <c:v>156.02000000000001</c:v>
                </c:pt>
                <c:pt idx="242">
                  <c:v>156.13999999999999</c:v>
                </c:pt>
                <c:pt idx="243">
                  <c:v>154.43</c:v>
                </c:pt>
                <c:pt idx="244">
                  <c:v>151.47</c:v>
                </c:pt>
                <c:pt idx="245">
                  <c:v>152.79</c:v>
                </c:pt>
                <c:pt idx="246">
                  <c:v>151.29</c:v>
                </c:pt>
                <c:pt idx="247">
                  <c:v>152.81</c:v>
                </c:pt>
                <c:pt idx="248">
                  <c:v>152.44</c:v>
                </c:pt>
                <c:pt idx="249">
                  <c:v>152.88999999999999</c:v>
                </c:pt>
                <c:pt idx="250">
                  <c:v>151.72</c:v>
                </c:pt>
                <c:pt idx="251">
                  <c:v>152.06</c:v>
                </c:pt>
                <c:pt idx="252">
                  <c:v>150.21</c:v>
                </c:pt>
                <c:pt idx="253">
                  <c:v>149.65</c:v>
                </c:pt>
                <c:pt idx="254">
                  <c:v>146.27000000000001</c:v>
                </c:pt>
                <c:pt idx="255">
                  <c:v>145.4</c:v>
                </c:pt>
                <c:pt idx="256">
                  <c:v>146.54</c:v>
                </c:pt>
                <c:pt idx="257">
                  <c:v>142.63999999999999</c:v>
                </c:pt>
                <c:pt idx="258">
                  <c:v>144.5</c:v>
                </c:pt>
                <c:pt idx="259">
                  <c:v>144.94999999999999</c:v>
                </c:pt>
                <c:pt idx="260">
                  <c:v>144.78</c:v>
                </c:pt>
                <c:pt idx="261">
                  <c:v>146.54</c:v>
                </c:pt>
                <c:pt idx="262">
                  <c:v>148.25</c:v>
                </c:pt>
                <c:pt idx="263">
                  <c:v>148.55000000000001</c:v>
                </c:pt>
                <c:pt idx="264">
                  <c:v>148.09</c:v>
                </c:pt>
                <c:pt idx="265">
                  <c:v>148.62</c:v>
                </c:pt>
                <c:pt idx="266">
                  <c:v>149.12</c:v>
                </c:pt>
                <c:pt idx="267">
                  <c:v>154.61000000000001</c:v>
                </c:pt>
                <c:pt idx="268">
                  <c:v>150.25</c:v>
                </c:pt>
                <c:pt idx="269">
                  <c:v>150.37</c:v>
                </c:pt>
                <c:pt idx="270">
                  <c:v>151.9</c:v>
                </c:pt>
                <c:pt idx="271">
                  <c:v>150.69</c:v>
                </c:pt>
                <c:pt idx="272">
                  <c:v>150.27000000000001</c:v>
                </c:pt>
                <c:pt idx="273">
                  <c:v>143.49</c:v>
                </c:pt>
                <c:pt idx="274">
                  <c:v>145.66</c:v>
                </c:pt>
                <c:pt idx="275">
                  <c:v>145.35</c:v>
                </c:pt>
                <c:pt idx="276">
                  <c:v>144.58000000000001</c:v>
                </c:pt>
                <c:pt idx="277">
                  <c:v>144.35</c:v>
                </c:pt>
                <c:pt idx="278">
                  <c:v>145.63999999999999</c:v>
                </c:pt>
                <c:pt idx="279">
                  <c:v>143.99</c:v>
                </c:pt>
                <c:pt idx="280">
                  <c:v>144.58000000000001</c:v>
                </c:pt>
                <c:pt idx="281">
                  <c:v>143.38999999999999</c:v>
                </c:pt>
                <c:pt idx="282">
                  <c:v>144.1</c:v>
                </c:pt>
                <c:pt idx="283">
                  <c:v>145.81</c:v>
                </c:pt>
                <c:pt idx="284">
                  <c:v>149.1</c:v>
                </c:pt>
                <c:pt idx="285">
                  <c:v>153.5</c:v>
                </c:pt>
                <c:pt idx="286">
                  <c:v>153.85</c:v>
                </c:pt>
                <c:pt idx="287">
                  <c:v>156.41999999999999</c:v>
                </c:pt>
                <c:pt idx="288">
                  <c:v>151.51</c:v>
                </c:pt>
                <c:pt idx="289">
                  <c:v>152.02000000000001</c:v>
                </c:pt>
                <c:pt idx="290">
                  <c:v>153.47</c:v>
                </c:pt>
                <c:pt idx="291">
                  <c:v>155.99</c:v>
                </c:pt>
                <c:pt idx="292">
                  <c:v>154.19</c:v>
                </c:pt>
                <c:pt idx="293">
                  <c:v>153.88</c:v>
                </c:pt>
                <c:pt idx="294">
                  <c:v>154.61000000000001</c:v>
                </c:pt>
                <c:pt idx="295">
                  <c:v>154.44</c:v>
                </c:pt>
                <c:pt idx="296">
                  <c:v>156.25</c:v>
                </c:pt>
                <c:pt idx="297">
                  <c:v>152.33000000000001</c:v>
                </c:pt>
                <c:pt idx="298">
                  <c:v>148.16999999999999</c:v>
                </c:pt>
                <c:pt idx="299">
                  <c:v>148.34</c:v>
                </c:pt>
                <c:pt idx="300">
                  <c:v>148.59</c:v>
                </c:pt>
                <c:pt idx="301">
                  <c:v>151.34</c:v>
                </c:pt>
                <c:pt idx="302">
                  <c:v>148.99</c:v>
                </c:pt>
                <c:pt idx="303">
                  <c:v>148.11000000000001</c:v>
                </c:pt>
                <c:pt idx="304">
                  <c:v>147.15</c:v>
                </c:pt>
                <c:pt idx="305">
                  <c:v>145.44999999999999</c:v>
                </c:pt>
                <c:pt idx="306">
                  <c:v>146.44999999999999</c:v>
                </c:pt>
                <c:pt idx="307">
                  <c:v>145.54</c:v>
                </c:pt>
                <c:pt idx="308">
                  <c:v>148.63999999999999</c:v>
                </c:pt>
                <c:pt idx="309">
                  <c:v>149.66999999999999</c:v>
                </c:pt>
                <c:pt idx="310">
                  <c:v>149.27000000000001</c:v>
                </c:pt>
                <c:pt idx="311">
                  <c:v>149.94</c:v>
                </c:pt>
                <c:pt idx="312">
                  <c:v>149.66999999999999</c:v>
                </c:pt>
                <c:pt idx="313">
                  <c:v>149.12</c:v>
                </c:pt>
                <c:pt idx="314">
                  <c:v>151.37</c:v>
                </c:pt>
                <c:pt idx="315">
                  <c:v>146.61000000000001</c:v>
                </c:pt>
                <c:pt idx="316">
                  <c:v>143.19</c:v>
                </c:pt>
                <c:pt idx="317">
                  <c:v>140.30000000000001</c:v>
                </c:pt>
                <c:pt idx="318">
                  <c:v>145.59</c:v>
                </c:pt>
                <c:pt idx="319">
                  <c:v>144.13999999999999</c:v>
                </c:pt>
                <c:pt idx="320">
                  <c:v>144.43</c:v>
                </c:pt>
                <c:pt idx="321">
                  <c:v>146.75</c:v>
                </c:pt>
                <c:pt idx="322">
                  <c:v>142.84</c:v>
                </c:pt>
                <c:pt idx="323">
                  <c:v>140.09</c:v>
                </c:pt>
                <c:pt idx="324">
                  <c:v>142.84</c:v>
                </c:pt>
                <c:pt idx="325">
                  <c:v>141.72999999999999</c:v>
                </c:pt>
                <c:pt idx="326">
                  <c:v>143.46</c:v>
                </c:pt>
                <c:pt idx="327">
                  <c:v>142.26</c:v>
                </c:pt>
                <c:pt idx="328">
                  <c:v>135.31</c:v>
                </c:pt>
                <c:pt idx="329">
                  <c:v>133.38</c:v>
                </c:pt>
                <c:pt idx="330">
                  <c:v>133.76</c:v>
                </c:pt>
                <c:pt idx="331">
                  <c:v>134.31</c:v>
                </c:pt>
                <c:pt idx="332">
                  <c:v>135.58000000000001</c:v>
                </c:pt>
                <c:pt idx="333">
                  <c:v>133.55000000000001</c:v>
                </c:pt>
                <c:pt idx="334">
                  <c:v>133.75</c:v>
                </c:pt>
                <c:pt idx="335">
                  <c:v>131.99</c:v>
                </c:pt>
                <c:pt idx="336">
                  <c:v>130.74</c:v>
                </c:pt>
                <c:pt idx="337">
                  <c:v>131.91499999999999</c:v>
                </c:pt>
                <c:pt idx="338">
                  <c:v>131.43</c:v>
                </c:pt>
                <c:pt idx="339">
                  <c:v>130.44</c:v>
                </c:pt>
                <c:pt idx="340">
                  <c:v>131.68</c:v>
                </c:pt>
                <c:pt idx="341">
                  <c:v>130.31</c:v>
                </c:pt>
                <c:pt idx="342">
                  <c:v>128.44999999999999</c:v>
                </c:pt>
                <c:pt idx="343">
                  <c:v>131.5</c:v>
                </c:pt>
                <c:pt idx="344">
                  <c:v>131.97999999999999</c:v>
                </c:pt>
                <c:pt idx="345">
                  <c:v>131.79</c:v>
                </c:pt>
                <c:pt idx="346">
                  <c:v>131.80000000000001</c:v>
                </c:pt>
                <c:pt idx="347">
                  <c:v>130.15</c:v>
                </c:pt>
                <c:pt idx="348">
                  <c:v>130.12</c:v>
                </c:pt>
                <c:pt idx="349">
                  <c:v>129.34</c:v>
                </c:pt>
                <c:pt idx="350">
                  <c:v>131.37</c:v>
                </c:pt>
                <c:pt idx="351">
                  <c:v>130.66999999999999</c:v>
                </c:pt>
                <c:pt idx="352">
                  <c:v>131.91999999999999</c:v>
                </c:pt>
                <c:pt idx="353">
                  <c:v>131.44999999999999</c:v>
                </c:pt>
                <c:pt idx="354">
                  <c:v>130.91</c:v>
                </c:pt>
                <c:pt idx="355">
                  <c:v>131.85</c:v>
                </c:pt>
                <c:pt idx="356">
                  <c:v>131.74</c:v>
                </c:pt>
                <c:pt idx="357">
                  <c:v>131.11000000000001</c:v>
                </c:pt>
                <c:pt idx="358">
                  <c:v>130.03</c:v>
                </c:pt>
                <c:pt idx="359">
                  <c:v>129.96</c:v>
                </c:pt>
                <c:pt idx="360">
                  <c:v>131.83000000000001</c:v>
                </c:pt>
                <c:pt idx="361">
                  <c:v>129.9</c:v>
                </c:pt>
                <c:pt idx="362">
                  <c:v>132.30000000000001</c:v>
                </c:pt>
                <c:pt idx="363">
                  <c:v>130.85</c:v>
                </c:pt>
                <c:pt idx="364">
                  <c:v>131.41</c:v>
                </c:pt>
                <c:pt idx="365">
                  <c:v>129.29</c:v>
                </c:pt>
                <c:pt idx="366">
                  <c:v>129.07</c:v>
                </c:pt>
                <c:pt idx="367">
                  <c:v>129.07</c:v>
                </c:pt>
                <c:pt idx="368">
                  <c:v>129.09</c:v>
                </c:pt>
                <c:pt idx="369">
                  <c:v>131.05000000000001</c:v>
                </c:pt>
                <c:pt idx="370">
                  <c:v>128.02000000000001</c:v>
                </c:pt>
                <c:pt idx="371">
                  <c:v>128.22</c:v>
                </c:pt>
                <c:pt idx="372">
                  <c:v>131.04</c:v>
                </c:pt>
                <c:pt idx="373">
                  <c:v>132.04</c:v>
                </c:pt>
                <c:pt idx="374">
                  <c:v>135.26</c:v>
                </c:pt>
                <c:pt idx="375">
                  <c:v>136.47999999999999</c:v>
                </c:pt>
                <c:pt idx="376">
                  <c:v>135.38</c:v>
                </c:pt>
                <c:pt idx="377">
                  <c:v>134.44999999999999</c:v>
                </c:pt>
                <c:pt idx="378">
                  <c:v>135.04</c:v>
                </c:pt>
                <c:pt idx="379">
                  <c:v>134.47999999999999</c:v>
                </c:pt>
                <c:pt idx="380">
                  <c:v>136.08000000000001</c:v>
                </c:pt>
                <c:pt idx="381">
                  <c:v>135.26</c:v>
                </c:pt>
                <c:pt idx="382">
                  <c:v>135.57</c:v>
                </c:pt>
                <c:pt idx="383">
                  <c:v>133.81</c:v>
                </c:pt>
                <c:pt idx="384">
                  <c:v>135.35</c:v>
                </c:pt>
                <c:pt idx="385">
                  <c:v>145.44</c:v>
                </c:pt>
                <c:pt idx="386">
                  <c:v>143.24</c:v>
                </c:pt>
                <c:pt idx="387">
                  <c:v>141.69999999999999</c:v>
                </c:pt>
                <c:pt idx="388">
                  <c:v>146.04</c:v>
                </c:pt>
                <c:pt idx="389">
                  <c:v>145.66</c:v>
                </c:pt>
                <c:pt idx="390">
                  <c:v>144.51</c:v>
                </c:pt>
                <c:pt idx="391">
                  <c:v>143.44999999999999</c:v>
                </c:pt>
                <c:pt idx="392">
                  <c:v>141.57</c:v>
                </c:pt>
                <c:pt idx="393">
                  <c:v>143.88999999999999</c:v>
                </c:pt>
                <c:pt idx="394">
                  <c:v>142.86000000000001</c:v>
                </c:pt>
                <c:pt idx="395">
                  <c:v>137.91999999999999</c:v>
                </c:pt>
                <c:pt idx="396">
                  <c:v>139.28</c:v>
                </c:pt>
                <c:pt idx="397">
                  <c:v>139.56</c:v>
                </c:pt>
                <c:pt idx="398">
                  <c:v>139.44999999999999</c:v>
                </c:pt>
                <c:pt idx="399">
                  <c:v>140.80000000000001</c:v>
                </c:pt>
                <c:pt idx="400">
                  <c:v>143.91999999999999</c:v>
                </c:pt>
                <c:pt idx="401">
                  <c:v>145.21</c:v>
                </c:pt>
                <c:pt idx="402">
                  <c:v>144.87</c:v>
                </c:pt>
                <c:pt idx="403">
                  <c:v>146.87</c:v>
                </c:pt>
                <c:pt idx="404">
                  <c:v>149.35</c:v>
                </c:pt>
                <c:pt idx="405">
                  <c:v>148.62</c:v>
                </c:pt>
                <c:pt idx="406">
                  <c:v>150.4</c:v>
                </c:pt>
                <c:pt idx="407">
                  <c:v>149.55000000000001</c:v>
                </c:pt>
                <c:pt idx="408">
                  <c:v>152.16</c:v>
                </c:pt>
                <c:pt idx="409">
                  <c:v>150.72999999999999</c:v>
                </c:pt>
                <c:pt idx="410">
                  <c:v>148.97999999999999</c:v>
                </c:pt>
                <c:pt idx="411">
                  <c:v>149.63999999999999</c:v>
                </c:pt>
                <c:pt idx="412">
                  <c:v>148.19999999999999</c:v>
                </c:pt>
                <c:pt idx="413">
                  <c:v>147</c:v>
                </c:pt>
                <c:pt idx="414">
                  <c:v>147.63999999999999</c:v>
                </c:pt>
                <c:pt idx="415">
                  <c:v>146.97999999999999</c:v>
                </c:pt>
                <c:pt idx="416">
                  <c:v>148.65</c:v>
                </c:pt>
                <c:pt idx="417">
                  <c:v>150.28</c:v>
                </c:pt>
                <c:pt idx="418">
                  <c:v>148.63999999999999</c:v>
                </c:pt>
                <c:pt idx="419">
                  <c:v>146.88999999999999</c:v>
                </c:pt>
                <c:pt idx="420">
                  <c:v>146.38999999999999</c:v>
                </c:pt>
                <c:pt idx="421">
                  <c:v>141.71</c:v>
                </c:pt>
                <c:pt idx="422">
                  <c:v>143.1</c:v>
                </c:pt>
                <c:pt idx="423">
                  <c:v>142.66</c:v>
                </c:pt>
                <c:pt idx="424">
                  <c:v>144.22999999999999</c:v>
                </c:pt>
                <c:pt idx="425">
                  <c:v>143.53</c:v>
                </c:pt>
                <c:pt idx="426">
                  <c:v>140.63999999999999</c:v>
                </c:pt>
                <c:pt idx="427">
                  <c:v>140.03</c:v>
                </c:pt>
                <c:pt idx="428">
                  <c:v>141.22999999999999</c:v>
                </c:pt>
                <c:pt idx="429">
                  <c:v>140.72999999999999</c:v>
                </c:pt>
                <c:pt idx="430">
                  <c:v>141.76</c:v>
                </c:pt>
                <c:pt idx="431">
                  <c:v>141.03</c:v>
                </c:pt>
                <c:pt idx="432">
                  <c:v>141.9</c:v>
                </c:pt>
                <c:pt idx="433">
                  <c:v>142.16999999999999</c:v>
                </c:pt>
                <c:pt idx="434">
                  <c:v>139.91999999999999</c:v>
                </c:pt>
                <c:pt idx="435">
                  <c:v>140.44</c:v>
                </c:pt>
                <c:pt idx="436">
                  <c:v>140.16999999999999</c:v>
                </c:pt>
                <c:pt idx="437">
                  <c:v>140.44</c:v>
                </c:pt>
                <c:pt idx="438">
                  <c:v>143.13999999999999</c:v>
                </c:pt>
                <c:pt idx="439">
                  <c:v>142.31</c:v>
                </c:pt>
                <c:pt idx="440">
                  <c:v>141.97999999999999</c:v>
                </c:pt>
                <c:pt idx="441">
                  <c:v>139.69999999999999</c:v>
                </c:pt>
                <c:pt idx="442">
                  <c:v>140.79</c:v>
                </c:pt>
                <c:pt idx="443">
                  <c:v>138.84</c:v>
                </c:pt>
                <c:pt idx="444">
                  <c:v>144.71</c:v>
                </c:pt>
                <c:pt idx="445">
                  <c:v>150.08000000000001</c:v>
                </c:pt>
                <c:pt idx="446">
                  <c:v>148.88999999999999</c:v>
                </c:pt>
                <c:pt idx="447">
                  <c:v>151.54</c:v>
                </c:pt>
                <c:pt idx="448">
                  <c:v>151.16</c:v>
                </c:pt>
                <c:pt idx="449">
                  <c:v>152.66999999999999</c:v>
                </c:pt>
                <c:pt idx="450">
                  <c:v>153.71</c:v>
                </c:pt>
                <c:pt idx="451">
                  <c:v>153.63999999999999</c:v>
                </c:pt>
                <c:pt idx="452">
                  <c:v>153.18</c:v>
                </c:pt>
                <c:pt idx="453">
                  <c:v>153.03</c:v>
                </c:pt>
                <c:pt idx="454">
                  <c:v>151.51</c:v>
                </c:pt>
                <c:pt idx="455">
                  <c:v>151.55000000000001</c:v>
                </c:pt>
                <c:pt idx="456">
                  <c:v>152.63</c:v>
                </c:pt>
                <c:pt idx="457">
                  <c:v>150.12</c:v>
                </c:pt>
                <c:pt idx="458">
                  <c:v>146.16</c:v>
                </c:pt>
                <c:pt idx="459">
                  <c:v>147.55000000000001</c:v>
                </c:pt>
                <c:pt idx="460">
                  <c:v>146.09</c:v>
                </c:pt>
                <c:pt idx="461">
                  <c:v>143.6</c:v>
                </c:pt>
                <c:pt idx="462">
                  <c:v>142.9</c:v>
                </c:pt>
                <c:pt idx="463">
                  <c:v>142.86000000000001</c:v>
                </c:pt>
                <c:pt idx="464">
                  <c:v>141.58000000000001</c:v>
                </c:pt>
                <c:pt idx="465">
                  <c:v>142.94999999999999</c:v>
                </c:pt>
                <c:pt idx="466">
                  <c:v>142.62</c:v>
                </c:pt>
                <c:pt idx="467">
                  <c:v>145.08000000000001</c:v>
                </c:pt>
                <c:pt idx="468">
                  <c:v>144.38999999999999</c:v>
                </c:pt>
                <c:pt idx="469">
                  <c:v>145.02000000000001</c:v>
                </c:pt>
                <c:pt idx="470">
                  <c:v>145.85</c:v>
                </c:pt>
                <c:pt idx="471">
                  <c:v>147.83000000000001</c:v>
                </c:pt>
                <c:pt idx="472">
                  <c:v>148.77000000000001</c:v>
                </c:pt>
                <c:pt idx="473">
                  <c:v>147.11000000000001</c:v>
                </c:pt>
                <c:pt idx="474">
                  <c:v>146.1</c:v>
                </c:pt>
                <c:pt idx="475">
                  <c:v>146.33000000000001</c:v>
                </c:pt>
                <c:pt idx="476">
                  <c:v>145.5</c:v>
                </c:pt>
                <c:pt idx="477">
                  <c:v>146.11000000000001</c:v>
                </c:pt>
                <c:pt idx="478">
                  <c:v>147.97999999999999</c:v>
                </c:pt>
                <c:pt idx="479">
                  <c:v>148.74</c:v>
                </c:pt>
                <c:pt idx="480">
                  <c:v>149.51</c:v>
                </c:pt>
                <c:pt idx="481">
                  <c:v>148.61000000000001</c:v>
                </c:pt>
                <c:pt idx="482">
                  <c:v>148.06</c:v>
                </c:pt>
                <c:pt idx="483">
                  <c:v>146.91</c:v>
                </c:pt>
                <c:pt idx="484">
                  <c:v>145.02000000000001</c:v>
                </c:pt>
                <c:pt idx="485">
                  <c:v>145.63</c:v>
                </c:pt>
                <c:pt idx="486">
                  <c:v>144.63999999999999</c:v>
                </c:pt>
                <c:pt idx="487">
                  <c:v>149.69999999999999</c:v>
                </c:pt>
                <c:pt idx="488">
                  <c:v>149.04</c:v>
                </c:pt>
                <c:pt idx="489">
                  <c:v>150.65</c:v>
                </c:pt>
                <c:pt idx="490">
                  <c:v>151.22</c:v>
                </c:pt>
                <c:pt idx="491">
                  <c:v>150.37</c:v>
                </c:pt>
                <c:pt idx="492">
                  <c:v>150.08000000000001</c:v>
                </c:pt>
                <c:pt idx="493">
                  <c:v>149.37</c:v>
                </c:pt>
                <c:pt idx="494">
                  <c:v>148.16</c:v>
                </c:pt>
                <c:pt idx="495">
                  <c:v>147.05000000000001</c:v>
                </c:pt>
                <c:pt idx="496">
                  <c:v>143.68</c:v>
                </c:pt>
                <c:pt idx="497">
                  <c:v>143.74</c:v>
                </c:pt>
                <c:pt idx="498">
                  <c:v>143.78</c:v>
                </c:pt>
                <c:pt idx="499">
                  <c:v>144.24</c:v>
                </c:pt>
                <c:pt idx="500">
                  <c:v>144.16</c:v>
                </c:pt>
                <c:pt idx="501">
                  <c:v>143.52000000000001</c:v>
                </c:pt>
                <c:pt idx="502">
                  <c:v>142.22999999999999</c:v>
                </c:pt>
                <c:pt idx="503">
                  <c:v>139.91999999999999</c:v>
                </c:pt>
                <c:pt idx="504">
                  <c:v>138.96</c:v>
                </c:pt>
                <c:pt idx="505">
                  <c:v>137.01</c:v>
                </c:pt>
                <c:pt idx="506">
                  <c:v>139.37</c:v>
                </c:pt>
                <c:pt idx="507">
                  <c:v>139.91</c:v>
                </c:pt>
                <c:pt idx="508">
                  <c:v>141.36000000000001</c:v>
                </c:pt>
                <c:pt idx="509">
                  <c:v>143.47999999999999</c:v>
                </c:pt>
                <c:pt idx="510">
                  <c:v>145.91999999999999</c:v>
                </c:pt>
                <c:pt idx="511">
                  <c:v>146.57</c:v>
                </c:pt>
                <c:pt idx="512">
                  <c:v>146.32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Data!$F$2:$F$514</c:f>
              <c:numCache>
                <c:formatCode>General</c:formatCode>
                <c:ptCount val="513"/>
                <c:pt idx="0">
                  <c:v>172.91</c:v>
                </c:pt>
                <c:pt idx="1">
                  <c:v>172.92972662005607</c:v>
                </c:pt>
                <c:pt idx="2">
                  <c:v>172.40903292849592</c:v>
                </c:pt>
                <c:pt idx="3">
                  <c:v>171.61220833138913</c:v>
                </c:pt>
                <c:pt idx="4">
                  <c:v>171.11045071074304</c:v>
                </c:pt>
                <c:pt idx="5">
                  <c:v>170.40208292477223</c:v>
                </c:pt>
                <c:pt idx="6">
                  <c:v>170.01235061818116</c:v>
                </c:pt>
                <c:pt idx="7">
                  <c:v>169.58940104206854</c:v>
                </c:pt>
                <c:pt idx="8">
                  <c:v>169.41665074798121</c:v>
                </c:pt>
                <c:pt idx="9">
                  <c:v>169.13193360729352</c:v>
                </c:pt>
                <c:pt idx="10">
                  <c:v>168.92296342312383</c:v>
                </c:pt>
                <c:pt idx="11">
                  <c:v>168.78827436158218</c:v>
                </c:pt>
                <c:pt idx="12">
                  <c:v>168.49868965079983</c:v>
                </c:pt>
                <c:pt idx="13">
                  <c:v>168.23607562643505</c:v>
                </c:pt>
                <c:pt idx="14">
                  <c:v>168.19859624898817</c:v>
                </c:pt>
                <c:pt idx="15">
                  <c:v>168.04334747351737</c:v>
                </c:pt>
                <c:pt idx="16">
                  <c:v>167.9535909319244</c:v>
                </c:pt>
                <c:pt idx="17">
                  <c:v>167.94874541928004</c:v>
                </c:pt>
                <c:pt idx="18">
                  <c:v>167.96031693412036</c:v>
                </c:pt>
                <c:pt idx="19">
                  <c:v>168.03685599226409</c:v>
                </c:pt>
                <c:pt idx="20">
                  <c:v>168.0627330388802</c:v>
                </c:pt>
                <c:pt idx="21">
                  <c:v>168.2185515366082</c:v>
                </c:pt>
                <c:pt idx="22">
                  <c:v>168.34007865313188</c:v>
                </c:pt>
                <c:pt idx="23">
                  <c:v>168.44595285232862</c:v>
                </c:pt>
                <c:pt idx="24">
                  <c:v>168.56406938697117</c:v>
                </c:pt>
                <c:pt idx="25">
                  <c:v>168.68710755369136</c:v>
                </c:pt>
                <c:pt idx="26">
                  <c:v>169.01594422898819</c:v>
                </c:pt>
                <c:pt idx="27">
                  <c:v>168.9076725149333</c:v>
                </c:pt>
                <c:pt idx="28">
                  <c:v>168.98828705566308</c:v>
                </c:pt>
                <c:pt idx="29">
                  <c:v>168.98372805165167</c:v>
                </c:pt>
                <c:pt idx="30">
                  <c:v>168.93690179655471</c:v>
                </c:pt>
                <c:pt idx="31">
                  <c:v>168.91079566747712</c:v>
                </c:pt>
                <c:pt idx="32">
                  <c:v>168.8388342556583</c:v>
                </c:pt>
                <c:pt idx="33">
                  <c:v>168.83290944050793</c:v>
                </c:pt>
                <c:pt idx="34">
                  <c:v>168.83284815917881</c:v>
                </c:pt>
                <c:pt idx="35">
                  <c:v>168.81159143091122</c:v>
                </c:pt>
                <c:pt idx="36">
                  <c:v>168.83530221010798</c:v>
                </c:pt>
                <c:pt idx="37">
                  <c:v>168.82512827518332</c:v>
                </c:pt>
                <c:pt idx="38">
                  <c:v>168.8143684006273</c:v>
                </c:pt>
                <c:pt idx="39">
                  <c:v>168.77268296421749</c:v>
                </c:pt>
                <c:pt idx="40">
                  <c:v>168.64830617331586</c:v>
                </c:pt>
                <c:pt idx="41">
                  <c:v>168.54516739277901</c:v>
                </c:pt>
                <c:pt idx="42">
                  <c:v>168.48932459937893</c:v>
                </c:pt>
                <c:pt idx="43">
                  <c:v>168.31916985131809</c:v>
                </c:pt>
                <c:pt idx="44">
                  <c:v>168.20927357911734</c:v>
                </c:pt>
                <c:pt idx="45">
                  <c:v>168.09655116879406</c:v>
                </c:pt>
                <c:pt idx="46">
                  <c:v>167.98255834526131</c:v>
                </c:pt>
                <c:pt idx="47">
                  <c:v>167.91838125184714</c:v>
                </c:pt>
                <c:pt idx="48">
                  <c:v>167.8440957289377</c:v>
                </c:pt>
                <c:pt idx="49">
                  <c:v>167.8031117245157</c:v>
                </c:pt>
                <c:pt idx="50">
                  <c:v>167.74933647683014</c:v>
                </c:pt>
                <c:pt idx="51">
                  <c:v>167.53241116498856</c:v>
                </c:pt>
                <c:pt idx="52">
                  <c:v>167.65364462177263</c:v>
                </c:pt>
                <c:pt idx="53">
                  <c:v>167.74986082322016</c:v>
                </c:pt>
                <c:pt idx="54">
                  <c:v>167.81180286263202</c:v>
                </c:pt>
                <c:pt idx="55">
                  <c:v>167.87118369775297</c:v>
                </c:pt>
                <c:pt idx="56">
                  <c:v>167.92080636539336</c:v>
                </c:pt>
                <c:pt idx="57">
                  <c:v>167.97392034830895</c:v>
                </c:pt>
                <c:pt idx="58">
                  <c:v>168.03600406877473</c:v>
                </c:pt>
                <c:pt idx="59">
                  <c:v>168.11218208878989</c:v>
                </c:pt>
                <c:pt idx="60">
                  <c:v>168.2208470121455</c:v>
                </c:pt>
                <c:pt idx="61">
                  <c:v>168.28323892781381</c:v>
                </c:pt>
                <c:pt idx="62">
                  <c:v>168.32695861124361</c:v>
                </c:pt>
                <c:pt idx="63">
                  <c:v>168.34780362159202</c:v>
                </c:pt>
                <c:pt idx="64">
                  <c:v>168.36620583346485</c:v>
                </c:pt>
                <c:pt idx="65">
                  <c:v>168.37500258801379</c:v>
                </c:pt>
                <c:pt idx="66">
                  <c:v>168.38655096082192</c:v>
                </c:pt>
                <c:pt idx="67">
                  <c:v>168.40776103638873</c:v>
                </c:pt>
                <c:pt idx="68">
                  <c:v>168.41396819851204</c:v>
                </c:pt>
                <c:pt idx="69">
                  <c:v>168.41340226734545</c:v>
                </c:pt>
                <c:pt idx="70">
                  <c:v>168.40923281084054</c:v>
                </c:pt>
                <c:pt idx="71">
                  <c:v>168.39118643711842</c:v>
                </c:pt>
                <c:pt idx="72">
                  <c:v>168.38148181158044</c:v>
                </c:pt>
                <c:pt idx="73">
                  <c:v>168.3920317235966</c:v>
                </c:pt>
                <c:pt idx="74">
                  <c:v>168.44239090572955</c:v>
                </c:pt>
                <c:pt idx="75">
                  <c:v>168.52898231539785</c:v>
                </c:pt>
                <c:pt idx="76">
                  <c:v>168.65941026043691</c:v>
                </c:pt>
                <c:pt idx="77">
                  <c:v>168.71117658722002</c:v>
                </c:pt>
                <c:pt idx="78">
                  <c:v>168.89962581572539</c:v>
                </c:pt>
                <c:pt idx="79">
                  <c:v>169.02286154616516</c:v>
                </c:pt>
                <c:pt idx="80">
                  <c:v>169.08468986547547</c:v>
                </c:pt>
                <c:pt idx="81">
                  <c:v>169.13233226572615</c:v>
                </c:pt>
                <c:pt idx="82">
                  <c:v>169.19512513962485</c:v>
                </c:pt>
                <c:pt idx="83">
                  <c:v>169.24827409397719</c:v>
                </c:pt>
                <c:pt idx="84">
                  <c:v>169.29842599563233</c:v>
                </c:pt>
                <c:pt idx="85">
                  <c:v>169.34688267280259</c:v>
                </c:pt>
                <c:pt idx="86">
                  <c:v>169.39342900101263</c:v>
                </c:pt>
                <c:pt idx="87">
                  <c:v>169.45726832237605</c:v>
                </c:pt>
                <c:pt idx="88">
                  <c:v>169.5108830292825</c:v>
                </c:pt>
                <c:pt idx="89">
                  <c:v>169.55172314468095</c:v>
                </c:pt>
                <c:pt idx="90">
                  <c:v>169.63589658121123</c:v>
                </c:pt>
                <c:pt idx="91">
                  <c:v>169.73221916190195</c:v>
                </c:pt>
                <c:pt idx="92">
                  <c:v>169.80075641322634</c:v>
                </c:pt>
                <c:pt idx="93">
                  <c:v>169.88900047986039</c:v>
                </c:pt>
                <c:pt idx="94">
                  <c:v>170.03835732331453</c:v>
                </c:pt>
                <c:pt idx="95">
                  <c:v>170.13955985624895</c:v>
                </c:pt>
                <c:pt idx="96">
                  <c:v>170.20051689285617</c:v>
                </c:pt>
                <c:pt idx="97">
                  <c:v>170.26667334349034</c:v>
                </c:pt>
                <c:pt idx="98">
                  <c:v>170.35450632423394</c:v>
                </c:pt>
                <c:pt idx="99">
                  <c:v>170.41963697797885</c:v>
                </c:pt>
                <c:pt idx="100">
                  <c:v>170.46689654665568</c:v>
                </c:pt>
                <c:pt idx="101">
                  <c:v>170.4991266568434</c:v>
                </c:pt>
                <c:pt idx="102">
                  <c:v>170.50530580752468</c:v>
                </c:pt>
                <c:pt idx="103">
                  <c:v>170.50513177650095</c:v>
                </c:pt>
                <c:pt idx="104">
                  <c:v>170.53905153556747</c:v>
                </c:pt>
                <c:pt idx="105">
                  <c:v>170.54503778329629</c:v>
                </c:pt>
                <c:pt idx="106">
                  <c:v>170.57142789283253</c:v>
                </c:pt>
                <c:pt idx="107">
                  <c:v>170.59795748049186</c:v>
                </c:pt>
                <c:pt idx="108">
                  <c:v>170.62211455203175</c:v>
                </c:pt>
                <c:pt idx="109">
                  <c:v>170.62456737582312</c:v>
                </c:pt>
                <c:pt idx="110">
                  <c:v>170.5514294934477</c:v>
                </c:pt>
                <c:pt idx="111">
                  <c:v>170.47790315178869</c:v>
                </c:pt>
                <c:pt idx="112">
                  <c:v>170.41097508402288</c:v>
                </c:pt>
                <c:pt idx="113">
                  <c:v>170.34984891631575</c:v>
                </c:pt>
                <c:pt idx="114">
                  <c:v>170.31261695874406</c:v>
                </c:pt>
                <c:pt idx="115">
                  <c:v>170.27723918430368</c:v>
                </c:pt>
                <c:pt idx="116">
                  <c:v>170.25641791732031</c:v>
                </c:pt>
                <c:pt idx="117">
                  <c:v>170.22908956404993</c:v>
                </c:pt>
                <c:pt idx="118">
                  <c:v>170.18021839422065</c:v>
                </c:pt>
                <c:pt idx="119">
                  <c:v>170.16601909071031</c:v>
                </c:pt>
                <c:pt idx="120">
                  <c:v>170.14818283317743</c:v>
                </c:pt>
                <c:pt idx="121">
                  <c:v>170.1239192766119</c:v>
                </c:pt>
                <c:pt idx="122">
                  <c:v>170.09917183975728</c:v>
                </c:pt>
                <c:pt idx="123">
                  <c:v>170.03302568070885</c:v>
                </c:pt>
                <c:pt idx="124">
                  <c:v>169.9862745179347</c:v>
                </c:pt>
                <c:pt idx="125">
                  <c:v>169.94330748929147</c:v>
                </c:pt>
                <c:pt idx="126">
                  <c:v>169.91293907034992</c:v>
                </c:pt>
                <c:pt idx="127">
                  <c:v>169.87976080909738</c:v>
                </c:pt>
                <c:pt idx="128">
                  <c:v>169.82183247684492</c:v>
                </c:pt>
                <c:pt idx="129">
                  <c:v>169.75724231861327</c:v>
                </c:pt>
                <c:pt idx="130">
                  <c:v>169.69400242010909</c:v>
                </c:pt>
                <c:pt idx="131">
                  <c:v>169.61318976134035</c:v>
                </c:pt>
                <c:pt idx="132">
                  <c:v>169.58385368803101</c:v>
                </c:pt>
                <c:pt idx="133">
                  <c:v>169.54866678147121</c:v>
                </c:pt>
                <c:pt idx="134">
                  <c:v>169.51998456692553</c:v>
                </c:pt>
                <c:pt idx="135">
                  <c:v>169.52375612939241</c:v>
                </c:pt>
                <c:pt idx="136">
                  <c:v>169.53070244842633</c:v>
                </c:pt>
                <c:pt idx="137">
                  <c:v>169.52951112851591</c:v>
                </c:pt>
                <c:pt idx="138">
                  <c:v>169.5166134402717</c:v>
                </c:pt>
                <c:pt idx="139">
                  <c:v>169.50260678253522</c:v>
                </c:pt>
                <c:pt idx="140">
                  <c:v>169.49256580153377</c:v>
                </c:pt>
                <c:pt idx="141">
                  <c:v>169.50476869111853</c:v>
                </c:pt>
                <c:pt idx="142">
                  <c:v>169.52835357960689</c:v>
                </c:pt>
                <c:pt idx="143">
                  <c:v>169.54758879100245</c:v>
                </c:pt>
                <c:pt idx="144">
                  <c:v>169.57027214664294</c:v>
                </c:pt>
                <c:pt idx="145">
                  <c:v>169.59428951170833</c:v>
                </c:pt>
                <c:pt idx="146">
                  <c:v>169.63389807038897</c:v>
                </c:pt>
                <c:pt idx="147">
                  <c:v>169.70427516241622</c:v>
                </c:pt>
                <c:pt idx="148">
                  <c:v>169.74363648201361</c:v>
                </c:pt>
                <c:pt idx="149">
                  <c:v>169.76764122585098</c:v>
                </c:pt>
                <c:pt idx="150">
                  <c:v>169.7807255863292</c:v>
                </c:pt>
                <c:pt idx="151">
                  <c:v>169.79640537889173</c:v>
                </c:pt>
                <c:pt idx="152">
                  <c:v>169.80626953261165</c:v>
                </c:pt>
                <c:pt idx="153">
                  <c:v>169.81347764082162</c:v>
                </c:pt>
                <c:pt idx="154">
                  <c:v>169.82512083646179</c:v>
                </c:pt>
                <c:pt idx="155">
                  <c:v>169.84120805390606</c:v>
                </c:pt>
                <c:pt idx="156">
                  <c:v>169.85508662861039</c:v>
                </c:pt>
                <c:pt idx="157">
                  <c:v>169.86978976338642</c:v>
                </c:pt>
                <c:pt idx="158">
                  <c:v>169.88575528384047</c:v>
                </c:pt>
                <c:pt idx="159">
                  <c:v>169.92201753378632</c:v>
                </c:pt>
                <c:pt idx="160">
                  <c:v>169.94615976622356</c:v>
                </c:pt>
                <c:pt idx="161">
                  <c:v>169.98059775788752</c:v>
                </c:pt>
                <c:pt idx="162">
                  <c:v>170.01551271793784</c:v>
                </c:pt>
                <c:pt idx="163">
                  <c:v>170.04309033833928</c:v>
                </c:pt>
                <c:pt idx="164">
                  <c:v>170.06367914550358</c:v>
                </c:pt>
                <c:pt idx="165">
                  <c:v>170.08040396069509</c:v>
                </c:pt>
                <c:pt idx="166">
                  <c:v>170.09071145949082</c:v>
                </c:pt>
                <c:pt idx="167">
                  <c:v>170.11713027731065</c:v>
                </c:pt>
                <c:pt idx="168">
                  <c:v>170.17367183883761</c:v>
                </c:pt>
                <c:pt idx="169">
                  <c:v>170.22924818995847</c:v>
                </c:pt>
                <c:pt idx="170">
                  <c:v>170.28495774015605</c:v>
                </c:pt>
                <c:pt idx="171">
                  <c:v>170.33287982973559</c:v>
                </c:pt>
                <c:pt idx="172">
                  <c:v>170.37162821575527</c:v>
                </c:pt>
                <c:pt idx="173">
                  <c:v>170.40540271274165</c:v>
                </c:pt>
                <c:pt idx="174">
                  <c:v>170.42812790224613</c:v>
                </c:pt>
                <c:pt idx="175">
                  <c:v>170.45818966783548</c:v>
                </c:pt>
                <c:pt idx="176">
                  <c:v>170.48179550474197</c:v>
                </c:pt>
                <c:pt idx="177">
                  <c:v>170.51616852326455</c:v>
                </c:pt>
                <c:pt idx="178">
                  <c:v>170.55732970502552</c:v>
                </c:pt>
                <c:pt idx="179">
                  <c:v>170.58256563055158</c:v>
                </c:pt>
                <c:pt idx="180">
                  <c:v>170.60537066518077</c:v>
                </c:pt>
                <c:pt idx="181">
                  <c:v>170.61240630877316</c:v>
                </c:pt>
                <c:pt idx="182">
                  <c:v>170.62040599593772</c:v>
                </c:pt>
                <c:pt idx="183">
                  <c:v>170.61496788748013</c:v>
                </c:pt>
                <c:pt idx="184">
                  <c:v>170.60956980940662</c:v>
                </c:pt>
                <c:pt idx="185">
                  <c:v>170.60445311040993</c:v>
                </c:pt>
                <c:pt idx="186">
                  <c:v>170.60001275924745</c:v>
                </c:pt>
                <c:pt idx="187">
                  <c:v>170.5973195463788</c:v>
                </c:pt>
                <c:pt idx="188">
                  <c:v>170.60266302650109</c:v>
                </c:pt>
                <c:pt idx="189">
                  <c:v>170.59683543082238</c:v>
                </c:pt>
                <c:pt idx="190">
                  <c:v>170.58681778959547</c:v>
                </c:pt>
                <c:pt idx="191">
                  <c:v>170.57592171201298</c:v>
                </c:pt>
                <c:pt idx="192">
                  <c:v>170.55858700706116</c:v>
                </c:pt>
                <c:pt idx="193">
                  <c:v>170.55751064603862</c:v>
                </c:pt>
                <c:pt idx="194">
                  <c:v>170.57074037162448</c:v>
                </c:pt>
                <c:pt idx="195">
                  <c:v>170.58258628997285</c:v>
                </c:pt>
                <c:pt idx="196">
                  <c:v>170.60096796180412</c:v>
                </c:pt>
                <c:pt idx="197">
                  <c:v>170.62384994850555</c:v>
                </c:pt>
                <c:pt idx="198">
                  <c:v>170.65178445042434</c:v>
                </c:pt>
                <c:pt idx="199">
                  <c:v>170.66709592458614</c:v>
                </c:pt>
                <c:pt idx="200">
                  <c:v>170.68204978552146</c:v>
                </c:pt>
                <c:pt idx="201">
                  <c:v>170.70216194065222</c:v>
                </c:pt>
                <c:pt idx="202">
                  <c:v>170.72700795855934</c:v>
                </c:pt>
                <c:pt idx="203">
                  <c:v>170.73933966545485</c:v>
                </c:pt>
                <c:pt idx="204">
                  <c:v>170.74681761885205</c:v>
                </c:pt>
                <c:pt idx="205">
                  <c:v>170.75213662732236</c:v>
                </c:pt>
                <c:pt idx="206">
                  <c:v>170.7562091200281</c:v>
                </c:pt>
                <c:pt idx="207">
                  <c:v>170.75203127213351</c:v>
                </c:pt>
                <c:pt idx="208">
                  <c:v>170.73743599924231</c:v>
                </c:pt>
                <c:pt idx="209">
                  <c:v>170.71848943339043</c:v>
                </c:pt>
                <c:pt idx="210">
                  <c:v>170.69603050893733</c:v>
                </c:pt>
                <c:pt idx="211">
                  <c:v>170.66811016261889</c:v>
                </c:pt>
                <c:pt idx="212">
                  <c:v>170.64994719404078</c:v>
                </c:pt>
                <c:pt idx="213">
                  <c:v>170.64112742975743</c:v>
                </c:pt>
                <c:pt idx="214">
                  <c:v>170.60152960663797</c:v>
                </c:pt>
                <c:pt idx="215">
                  <c:v>170.57171724336931</c:v>
                </c:pt>
                <c:pt idx="216">
                  <c:v>170.55044319932696</c:v>
                </c:pt>
                <c:pt idx="217">
                  <c:v>170.53054734211676</c:v>
                </c:pt>
                <c:pt idx="218">
                  <c:v>170.50263645274623</c:v>
                </c:pt>
                <c:pt idx="219">
                  <c:v>170.48271175859966</c:v>
                </c:pt>
                <c:pt idx="220">
                  <c:v>170.45870120613256</c:v>
                </c:pt>
                <c:pt idx="221">
                  <c:v>170.36983438733392</c:v>
                </c:pt>
                <c:pt idx="222">
                  <c:v>170.30085861738235</c:v>
                </c:pt>
                <c:pt idx="223">
                  <c:v>170.20968522820272</c:v>
                </c:pt>
                <c:pt idx="224">
                  <c:v>170.16257842465191</c:v>
                </c:pt>
                <c:pt idx="225">
                  <c:v>170.11522314907373</c:v>
                </c:pt>
                <c:pt idx="226">
                  <c:v>170.07713448899239</c:v>
                </c:pt>
                <c:pt idx="227">
                  <c:v>170.02905924854002</c:v>
                </c:pt>
                <c:pt idx="228">
                  <c:v>169.99996802777363</c:v>
                </c:pt>
                <c:pt idx="229">
                  <c:v>169.97907677933682</c:v>
                </c:pt>
                <c:pt idx="230">
                  <c:v>169.9646316782044</c:v>
                </c:pt>
                <c:pt idx="231">
                  <c:v>169.93759007324442</c:v>
                </c:pt>
                <c:pt idx="232">
                  <c:v>169.90994390239678</c:v>
                </c:pt>
                <c:pt idx="233">
                  <c:v>169.85706336821954</c:v>
                </c:pt>
                <c:pt idx="234">
                  <c:v>169.81899221523651</c:v>
                </c:pt>
                <c:pt idx="235">
                  <c:v>169.74134959568696</c:v>
                </c:pt>
                <c:pt idx="236">
                  <c:v>169.67531077946822</c:v>
                </c:pt>
                <c:pt idx="237">
                  <c:v>169.63526090888968</c:v>
                </c:pt>
                <c:pt idx="238">
                  <c:v>169.5578180810941</c:v>
                </c:pt>
                <c:pt idx="239">
                  <c:v>169.50266284512162</c:v>
                </c:pt>
                <c:pt idx="240">
                  <c:v>169.46485026518431</c:v>
                </c:pt>
                <c:pt idx="241">
                  <c:v>169.39738947111857</c:v>
                </c:pt>
                <c:pt idx="242">
                  <c:v>169.33242030493122</c:v>
                </c:pt>
                <c:pt idx="243">
                  <c:v>169.24821973762209</c:v>
                </c:pt>
                <c:pt idx="244">
                  <c:v>169.11959643349226</c:v>
                </c:pt>
                <c:pt idx="245">
                  <c:v>168.89198302851003</c:v>
                </c:pt>
                <c:pt idx="246">
                  <c:v>168.80525741669786</c:v>
                </c:pt>
                <c:pt idx="247">
                  <c:v>168.76607972382268</c:v>
                </c:pt>
                <c:pt idx="248">
                  <c:v>168.70129950153813</c:v>
                </c:pt>
                <c:pt idx="249">
                  <c:v>168.65280914251264</c:v>
                </c:pt>
                <c:pt idx="250">
                  <c:v>168.58768487879405</c:v>
                </c:pt>
                <c:pt idx="251">
                  <c:v>168.53748725639605</c:v>
                </c:pt>
                <c:pt idx="252">
                  <c:v>168.4729979232294</c:v>
                </c:pt>
                <c:pt idx="253">
                  <c:v>168.40367109202768</c:v>
                </c:pt>
                <c:pt idx="254">
                  <c:v>168.25679660680137</c:v>
                </c:pt>
                <c:pt idx="255">
                  <c:v>168.13773442815017</c:v>
                </c:pt>
                <c:pt idx="256">
                  <c:v>168.03597115353045</c:v>
                </c:pt>
                <c:pt idx="257">
                  <c:v>167.86738844039215</c:v>
                </c:pt>
                <c:pt idx="258">
                  <c:v>167.73765482867856</c:v>
                </c:pt>
                <c:pt idx="259">
                  <c:v>167.62891605999079</c:v>
                </c:pt>
                <c:pt idx="260">
                  <c:v>167.51816310295743</c:v>
                </c:pt>
                <c:pt idx="261">
                  <c:v>167.44624916038251</c:v>
                </c:pt>
                <c:pt idx="262">
                  <c:v>167.35142900542573</c:v>
                </c:pt>
                <c:pt idx="263">
                  <c:v>167.25754569331755</c:v>
                </c:pt>
                <c:pt idx="264">
                  <c:v>167.18204381078874</c:v>
                </c:pt>
                <c:pt idx="265">
                  <c:v>167.12330254238572</c:v>
                </c:pt>
                <c:pt idx="266">
                  <c:v>167.06947860567115</c:v>
                </c:pt>
                <c:pt idx="267">
                  <c:v>166.988883456042</c:v>
                </c:pt>
                <c:pt idx="268">
                  <c:v>166.91916677158963</c:v>
                </c:pt>
                <c:pt idx="269">
                  <c:v>166.86642667684472</c:v>
                </c:pt>
                <c:pt idx="270">
                  <c:v>166.82085424178422</c:v>
                </c:pt>
                <c:pt idx="271">
                  <c:v>166.76942474134941</c:v>
                </c:pt>
                <c:pt idx="272">
                  <c:v>166.692633938933</c:v>
                </c:pt>
                <c:pt idx="273">
                  <c:v>166.50205765462263</c:v>
                </c:pt>
                <c:pt idx="274">
                  <c:v>166.37913523346955</c:v>
                </c:pt>
                <c:pt idx="275">
                  <c:v>166.30424540118219</c:v>
                </c:pt>
                <c:pt idx="276">
                  <c:v>166.22348953961841</c:v>
                </c:pt>
                <c:pt idx="277">
                  <c:v>166.10347511114981</c:v>
                </c:pt>
                <c:pt idx="278">
                  <c:v>166.02194482761149</c:v>
                </c:pt>
                <c:pt idx="279">
                  <c:v>165.93034523545018</c:v>
                </c:pt>
                <c:pt idx="280">
                  <c:v>165.83511225367479</c:v>
                </c:pt>
                <c:pt idx="281">
                  <c:v>165.76553869588969</c:v>
                </c:pt>
                <c:pt idx="282">
                  <c:v>165.64883958469619</c:v>
                </c:pt>
                <c:pt idx="283">
                  <c:v>165.57844400963779</c:v>
                </c:pt>
                <c:pt idx="284">
                  <c:v>165.51000994259428</c:v>
                </c:pt>
                <c:pt idx="285">
                  <c:v>165.4326135552709</c:v>
                </c:pt>
                <c:pt idx="286">
                  <c:v>165.38224553523401</c:v>
                </c:pt>
                <c:pt idx="287">
                  <c:v>165.33116041874268</c:v>
                </c:pt>
                <c:pt idx="288">
                  <c:v>165.25609937559688</c:v>
                </c:pt>
                <c:pt idx="289">
                  <c:v>165.20300557368029</c:v>
                </c:pt>
                <c:pt idx="290">
                  <c:v>165.14515864672589</c:v>
                </c:pt>
                <c:pt idx="291">
                  <c:v>165.10020164030425</c:v>
                </c:pt>
                <c:pt idx="292">
                  <c:v>165.0344543269174</c:v>
                </c:pt>
                <c:pt idx="293">
                  <c:v>164.99807468573644</c:v>
                </c:pt>
                <c:pt idx="294">
                  <c:v>164.94718327630326</c:v>
                </c:pt>
                <c:pt idx="295">
                  <c:v>164.89246947574762</c:v>
                </c:pt>
                <c:pt idx="296">
                  <c:v>164.83702443875561</c:v>
                </c:pt>
                <c:pt idx="297">
                  <c:v>164.77988512141474</c:v>
                </c:pt>
                <c:pt idx="298">
                  <c:v>164.70106242783254</c:v>
                </c:pt>
                <c:pt idx="299">
                  <c:v>164.65133921352893</c:v>
                </c:pt>
                <c:pt idx="300">
                  <c:v>164.60334166818512</c:v>
                </c:pt>
                <c:pt idx="301">
                  <c:v>164.5625385077829</c:v>
                </c:pt>
                <c:pt idx="302">
                  <c:v>164.49114734807981</c:v>
                </c:pt>
                <c:pt idx="303">
                  <c:v>164.43537200539245</c:v>
                </c:pt>
                <c:pt idx="304">
                  <c:v>164.39157186191798</c:v>
                </c:pt>
                <c:pt idx="305">
                  <c:v>164.26989209150275</c:v>
                </c:pt>
                <c:pt idx="306">
                  <c:v>164.21105525566912</c:v>
                </c:pt>
                <c:pt idx="307">
                  <c:v>164.16198872790326</c:v>
                </c:pt>
                <c:pt idx="308">
                  <c:v>164.11175238713065</c:v>
                </c:pt>
                <c:pt idx="309">
                  <c:v>164.06901276199216</c:v>
                </c:pt>
                <c:pt idx="310">
                  <c:v>163.99995255106654</c:v>
                </c:pt>
                <c:pt idx="311">
                  <c:v>163.92374704484891</c:v>
                </c:pt>
                <c:pt idx="312">
                  <c:v>163.87691798217</c:v>
                </c:pt>
                <c:pt idx="313">
                  <c:v>163.83023387128634</c:v>
                </c:pt>
                <c:pt idx="314">
                  <c:v>163.77526735018114</c:v>
                </c:pt>
                <c:pt idx="315">
                  <c:v>163.65709339376656</c:v>
                </c:pt>
                <c:pt idx="316">
                  <c:v>163.50089040162618</c:v>
                </c:pt>
                <c:pt idx="317">
                  <c:v>163.38498199433488</c:v>
                </c:pt>
                <c:pt idx="318">
                  <c:v>163.25415704452465</c:v>
                </c:pt>
                <c:pt idx="319">
                  <c:v>163.1450949060449</c:v>
                </c:pt>
                <c:pt idx="320">
                  <c:v>163.06218404941737</c:v>
                </c:pt>
                <c:pt idx="321">
                  <c:v>163.01679085447748</c:v>
                </c:pt>
                <c:pt idx="322">
                  <c:v>162.96012058431688</c:v>
                </c:pt>
                <c:pt idx="323">
                  <c:v>162.86779827234767</c:v>
                </c:pt>
                <c:pt idx="324">
                  <c:v>162.805076599659</c:v>
                </c:pt>
                <c:pt idx="325">
                  <c:v>162.72558201860716</c:v>
                </c:pt>
                <c:pt idx="326">
                  <c:v>162.65579466643979</c:v>
                </c:pt>
                <c:pt idx="327">
                  <c:v>162.57586480934614</c:v>
                </c:pt>
                <c:pt idx="328">
                  <c:v>162.36304510320332</c:v>
                </c:pt>
                <c:pt idx="329">
                  <c:v>162.1963500541153</c:v>
                </c:pt>
                <c:pt idx="330">
                  <c:v>162.07645995497188</c:v>
                </c:pt>
                <c:pt idx="331">
                  <c:v>161.98022390902977</c:v>
                </c:pt>
                <c:pt idx="332">
                  <c:v>161.87721397774342</c:v>
                </c:pt>
                <c:pt idx="333">
                  <c:v>161.78257643940563</c:v>
                </c:pt>
                <c:pt idx="334">
                  <c:v>161.68427883478489</c:v>
                </c:pt>
                <c:pt idx="335">
                  <c:v>161.55454739022395</c:v>
                </c:pt>
                <c:pt idx="336">
                  <c:v>161.45151134601392</c:v>
                </c:pt>
                <c:pt idx="337">
                  <c:v>161.36128294942858</c:v>
                </c:pt>
                <c:pt idx="338">
                  <c:v>161.26899663755509</c:v>
                </c:pt>
                <c:pt idx="339">
                  <c:v>161.19822217727162</c:v>
                </c:pt>
                <c:pt idx="340">
                  <c:v>161.07948264501732</c:v>
                </c:pt>
                <c:pt idx="341">
                  <c:v>160.9524390175464</c:v>
                </c:pt>
                <c:pt idx="342">
                  <c:v>160.7909232963857</c:v>
                </c:pt>
                <c:pt idx="343">
                  <c:v>160.66397542853048</c:v>
                </c:pt>
                <c:pt idx="344">
                  <c:v>160.54380859592263</c:v>
                </c:pt>
                <c:pt idx="345">
                  <c:v>160.41700770006915</c:v>
                </c:pt>
                <c:pt idx="346">
                  <c:v>160.31508183136313</c:v>
                </c:pt>
                <c:pt idx="347">
                  <c:v>160.18538077106652</c:v>
                </c:pt>
                <c:pt idx="348">
                  <c:v>160.08585604293674</c:v>
                </c:pt>
                <c:pt idx="349">
                  <c:v>159.97051186378408</c:v>
                </c:pt>
                <c:pt idx="350">
                  <c:v>159.78709307288443</c:v>
                </c:pt>
                <c:pt idx="351">
                  <c:v>159.66161253359667</c:v>
                </c:pt>
                <c:pt idx="352">
                  <c:v>159.57745835656041</c:v>
                </c:pt>
                <c:pt idx="353">
                  <c:v>159.41196647629366</c:v>
                </c:pt>
                <c:pt idx="354">
                  <c:v>159.32544344259557</c:v>
                </c:pt>
                <c:pt idx="355">
                  <c:v>159.23469834955117</c:v>
                </c:pt>
                <c:pt idx="356">
                  <c:v>159.15426860560908</c:v>
                </c:pt>
                <c:pt idx="357">
                  <c:v>159.03440683632851</c:v>
                </c:pt>
                <c:pt idx="358">
                  <c:v>158.93589510593674</c:v>
                </c:pt>
                <c:pt idx="359">
                  <c:v>158.827246476461</c:v>
                </c:pt>
                <c:pt idx="360">
                  <c:v>158.68604645305371</c:v>
                </c:pt>
                <c:pt idx="361">
                  <c:v>158.57005882113279</c:v>
                </c:pt>
                <c:pt idx="362">
                  <c:v>158.43858698815501</c:v>
                </c:pt>
                <c:pt idx="363">
                  <c:v>158.32348432382571</c:v>
                </c:pt>
                <c:pt idx="364">
                  <c:v>158.19305093354535</c:v>
                </c:pt>
                <c:pt idx="365">
                  <c:v>158.06542094287181</c:v>
                </c:pt>
                <c:pt idx="366">
                  <c:v>157.95593013913734</c:v>
                </c:pt>
                <c:pt idx="367">
                  <c:v>157.67316312144575</c:v>
                </c:pt>
                <c:pt idx="368">
                  <c:v>157.51781114377138</c:v>
                </c:pt>
                <c:pt idx="369">
                  <c:v>157.41484262787347</c:v>
                </c:pt>
                <c:pt idx="370">
                  <c:v>157.28009011052313</c:v>
                </c:pt>
                <c:pt idx="371">
                  <c:v>157.1400433134848</c:v>
                </c:pt>
                <c:pt idx="372">
                  <c:v>156.85392841351995</c:v>
                </c:pt>
                <c:pt idx="373">
                  <c:v>156.73759391529092</c:v>
                </c:pt>
                <c:pt idx="374">
                  <c:v>156.62474332345661</c:v>
                </c:pt>
                <c:pt idx="375">
                  <c:v>156.54768344560807</c:v>
                </c:pt>
                <c:pt idx="376">
                  <c:v>156.50515195914667</c:v>
                </c:pt>
                <c:pt idx="377">
                  <c:v>156.43565611775585</c:v>
                </c:pt>
                <c:pt idx="378">
                  <c:v>156.36892825004233</c:v>
                </c:pt>
                <c:pt idx="379">
                  <c:v>156.30048438055175</c:v>
                </c:pt>
                <c:pt idx="380">
                  <c:v>156.2284877410932</c:v>
                </c:pt>
                <c:pt idx="381">
                  <c:v>156.16167707177655</c:v>
                </c:pt>
                <c:pt idx="382">
                  <c:v>156.09204669326093</c:v>
                </c:pt>
                <c:pt idx="383">
                  <c:v>156.01295531974836</c:v>
                </c:pt>
                <c:pt idx="384">
                  <c:v>155.92351324411388</c:v>
                </c:pt>
                <c:pt idx="385">
                  <c:v>155.81612494078388</c:v>
                </c:pt>
                <c:pt idx="386">
                  <c:v>155.74876493127121</c:v>
                </c:pt>
                <c:pt idx="387">
                  <c:v>155.69955473146263</c:v>
                </c:pt>
                <c:pt idx="388">
                  <c:v>155.66860809582391</c:v>
                </c:pt>
                <c:pt idx="389">
                  <c:v>155.64479121318462</c:v>
                </c:pt>
                <c:pt idx="390">
                  <c:v>155.60305228710024</c:v>
                </c:pt>
                <c:pt idx="391">
                  <c:v>155.57033100288368</c:v>
                </c:pt>
                <c:pt idx="392">
                  <c:v>155.51344760857233</c:v>
                </c:pt>
                <c:pt idx="393">
                  <c:v>155.48562495973513</c:v>
                </c:pt>
                <c:pt idx="394">
                  <c:v>155.4389556090602</c:v>
                </c:pt>
                <c:pt idx="395">
                  <c:v>155.36156648864048</c:v>
                </c:pt>
                <c:pt idx="396">
                  <c:v>155.31532649710545</c:v>
                </c:pt>
                <c:pt idx="397">
                  <c:v>155.2657058649288</c:v>
                </c:pt>
                <c:pt idx="398">
                  <c:v>155.23289183245313</c:v>
                </c:pt>
                <c:pt idx="399">
                  <c:v>155.19647998855683</c:v>
                </c:pt>
                <c:pt idx="400">
                  <c:v>155.1642145910138</c:v>
                </c:pt>
                <c:pt idx="401">
                  <c:v>155.14452834211878</c:v>
                </c:pt>
                <c:pt idx="402">
                  <c:v>155.12250384605645</c:v>
                </c:pt>
                <c:pt idx="403">
                  <c:v>155.0990686749515</c:v>
                </c:pt>
                <c:pt idx="404">
                  <c:v>155.08601441090485</c:v>
                </c:pt>
                <c:pt idx="405">
                  <c:v>155.06959345999235</c:v>
                </c:pt>
                <c:pt idx="406">
                  <c:v>155.05388255701908</c:v>
                </c:pt>
                <c:pt idx="407">
                  <c:v>155.03394392438832</c:v>
                </c:pt>
                <c:pt idx="408">
                  <c:v>155.02493224774912</c:v>
                </c:pt>
                <c:pt idx="409">
                  <c:v>155.00928735341287</c:v>
                </c:pt>
                <c:pt idx="410">
                  <c:v>154.99147465247569</c:v>
                </c:pt>
                <c:pt idx="411">
                  <c:v>154.98137579546059</c:v>
                </c:pt>
                <c:pt idx="412">
                  <c:v>154.96516846186245</c:v>
                </c:pt>
                <c:pt idx="413">
                  <c:v>154.93308878444424</c:v>
                </c:pt>
                <c:pt idx="414">
                  <c:v>154.91194141871517</c:v>
                </c:pt>
                <c:pt idx="415">
                  <c:v>154.88569746023319</c:v>
                </c:pt>
                <c:pt idx="416">
                  <c:v>154.86846348934873</c:v>
                </c:pt>
                <c:pt idx="417">
                  <c:v>154.84028900738332</c:v>
                </c:pt>
                <c:pt idx="418">
                  <c:v>154.81567874208298</c:v>
                </c:pt>
                <c:pt idx="419">
                  <c:v>154.79799780099071</c:v>
                </c:pt>
                <c:pt idx="420">
                  <c:v>154.77679828665467</c:v>
                </c:pt>
                <c:pt idx="421">
                  <c:v>154.72598122412938</c:v>
                </c:pt>
                <c:pt idx="422">
                  <c:v>154.70219349370714</c:v>
                </c:pt>
                <c:pt idx="423">
                  <c:v>154.67698258604867</c:v>
                </c:pt>
                <c:pt idx="424">
                  <c:v>154.65468907784444</c:v>
                </c:pt>
                <c:pt idx="425">
                  <c:v>154.63265542804533</c:v>
                </c:pt>
                <c:pt idx="426">
                  <c:v>154.59743738730899</c:v>
                </c:pt>
                <c:pt idx="427">
                  <c:v>154.55082971141081</c:v>
                </c:pt>
                <c:pt idx="428">
                  <c:v>154.5229167012167</c:v>
                </c:pt>
                <c:pt idx="429">
                  <c:v>154.49401030891738</c:v>
                </c:pt>
                <c:pt idx="430">
                  <c:v>154.44019817981422</c:v>
                </c:pt>
                <c:pt idx="431">
                  <c:v>154.4136812709886</c:v>
                </c:pt>
                <c:pt idx="432">
                  <c:v>154.38661026134915</c:v>
                </c:pt>
                <c:pt idx="433">
                  <c:v>154.36192550078249</c:v>
                </c:pt>
                <c:pt idx="434">
                  <c:v>154.32717486806933</c:v>
                </c:pt>
                <c:pt idx="435">
                  <c:v>154.29794719693089</c:v>
                </c:pt>
                <c:pt idx="436">
                  <c:v>154.24118717608616</c:v>
                </c:pt>
                <c:pt idx="437">
                  <c:v>154.20603215023345</c:v>
                </c:pt>
                <c:pt idx="438">
                  <c:v>154.18421603649412</c:v>
                </c:pt>
                <c:pt idx="439">
                  <c:v>154.16634073702033</c:v>
                </c:pt>
                <c:pt idx="440">
                  <c:v>154.14424857917939</c:v>
                </c:pt>
                <c:pt idx="441">
                  <c:v>154.11174186314591</c:v>
                </c:pt>
                <c:pt idx="442">
                  <c:v>154.08466059540487</c:v>
                </c:pt>
                <c:pt idx="443">
                  <c:v>154.04289873204985</c:v>
                </c:pt>
                <c:pt idx="444">
                  <c:v>154.00064839974655</c:v>
                </c:pt>
                <c:pt idx="445">
                  <c:v>153.97805982393945</c:v>
                </c:pt>
                <c:pt idx="446">
                  <c:v>153.96593870410572</c:v>
                </c:pt>
                <c:pt idx="447">
                  <c:v>153.95930413767772</c:v>
                </c:pt>
                <c:pt idx="448">
                  <c:v>153.9537355958569</c:v>
                </c:pt>
                <c:pt idx="449">
                  <c:v>153.95017396726948</c:v>
                </c:pt>
                <c:pt idx="450">
                  <c:v>153.94965110412662</c:v>
                </c:pt>
                <c:pt idx="451">
                  <c:v>153.94916857412755</c:v>
                </c:pt>
                <c:pt idx="452">
                  <c:v>153.94777227466273</c:v>
                </c:pt>
                <c:pt idx="453">
                  <c:v>153.94585155783327</c:v>
                </c:pt>
                <c:pt idx="454">
                  <c:v>153.94107301877958</c:v>
                </c:pt>
                <c:pt idx="455">
                  <c:v>153.93831943109629</c:v>
                </c:pt>
                <c:pt idx="456">
                  <c:v>153.93632577587792</c:v>
                </c:pt>
                <c:pt idx="457">
                  <c:v>153.92944178166201</c:v>
                </c:pt>
                <c:pt idx="458">
                  <c:v>153.91014216718102</c:v>
                </c:pt>
                <c:pt idx="459">
                  <c:v>153.89846290679864</c:v>
                </c:pt>
                <c:pt idx="460">
                  <c:v>153.88275769227945</c:v>
                </c:pt>
                <c:pt idx="461">
                  <c:v>153.85553783814001</c:v>
                </c:pt>
                <c:pt idx="462">
                  <c:v>153.82671265193537</c:v>
                </c:pt>
                <c:pt idx="463">
                  <c:v>153.80196793163788</c:v>
                </c:pt>
                <c:pt idx="464">
                  <c:v>153.77709652940791</c:v>
                </c:pt>
                <c:pt idx="465">
                  <c:v>153.7512199381917</c:v>
                </c:pt>
                <c:pt idx="466">
                  <c:v>153.72808149289133</c:v>
                </c:pt>
                <c:pt idx="467">
                  <c:v>153.70725894307122</c:v>
                </c:pt>
                <c:pt idx="468">
                  <c:v>153.69038304411862</c:v>
                </c:pt>
                <c:pt idx="469">
                  <c:v>153.67234935196245</c:v>
                </c:pt>
                <c:pt idx="470">
                  <c:v>153.65828477154921</c:v>
                </c:pt>
                <c:pt idx="471">
                  <c:v>153.64502154793763</c:v>
                </c:pt>
                <c:pt idx="472">
                  <c:v>153.62867617288998</c:v>
                </c:pt>
                <c:pt idx="473">
                  <c:v>153.6123107754722</c:v>
                </c:pt>
                <c:pt idx="474">
                  <c:v>153.59637367959542</c:v>
                </c:pt>
                <c:pt idx="475">
                  <c:v>153.57868692045912</c:v>
                </c:pt>
                <c:pt idx="476">
                  <c:v>153.55541257429118</c:v>
                </c:pt>
                <c:pt idx="477">
                  <c:v>153.53501790573409</c:v>
                </c:pt>
                <c:pt idx="478">
                  <c:v>153.52622727879231</c:v>
                </c:pt>
                <c:pt idx="479">
                  <c:v>153.5218903827147</c:v>
                </c:pt>
                <c:pt idx="480">
                  <c:v>153.51257902264359</c:v>
                </c:pt>
                <c:pt idx="481">
                  <c:v>153.50240520289384</c:v>
                </c:pt>
                <c:pt idx="482">
                  <c:v>153.4939700692365</c:v>
                </c:pt>
                <c:pt idx="483">
                  <c:v>153.48041075659228</c:v>
                </c:pt>
                <c:pt idx="484">
                  <c:v>153.46514414820109</c:v>
                </c:pt>
                <c:pt idx="485">
                  <c:v>153.45019176325164</c:v>
                </c:pt>
                <c:pt idx="486">
                  <c:v>153.42360684474005</c:v>
                </c:pt>
                <c:pt idx="487">
                  <c:v>153.40297834187109</c:v>
                </c:pt>
                <c:pt idx="488">
                  <c:v>153.39275558893382</c:v>
                </c:pt>
                <c:pt idx="489">
                  <c:v>153.38610872806797</c:v>
                </c:pt>
                <c:pt idx="490">
                  <c:v>153.38070104757279</c:v>
                </c:pt>
                <c:pt idx="491">
                  <c:v>153.37399463259422</c:v>
                </c:pt>
                <c:pt idx="492">
                  <c:v>153.36614243425865</c:v>
                </c:pt>
                <c:pt idx="493">
                  <c:v>153.35831329559213</c:v>
                </c:pt>
                <c:pt idx="494">
                  <c:v>153.33155642193651</c:v>
                </c:pt>
                <c:pt idx="495">
                  <c:v>153.31534552084744</c:v>
                </c:pt>
                <c:pt idx="496">
                  <c:v>153.29493265147377</c:v>
                </c:pt>
                <c:pt idx="497">
                  <c:v>153.2876314490405</c:v>
                </c:pt>
                <c:pt idx="498">
                  <c:v>153.2738478418039</c:v>
                </c:pt>
                <c:pt idx="499">
                  <c:v>153.25493051322829</c:v>
                </c:pt>
                <c:pt idx="500">
                  <c:v>153.24248208019137</c:v>
                </c:pt>
                <c:pt idx="501">
                  <c:v>153.23013173894853</c:v>
                </c:pt>
                <c:pt idx="502">
                  <c:v>153.20726855857828</c:v>
                </c:pt>
                <c:pt idx="503">
                  <c:v>153.17263108796354</c:v>
                </c:pt>
                <c:pt idx="504">
                  <c:v>153.13345346167313</c:v>
                </c:pt>
                <c:pt idx="505">
                  <c:v>153.09391683668622</c:v>
                </c:pt>
                <c:pt idx="506">
                  <c:v>153.05947215095563</c:v>
                </c:pt>
                <c:pt idx="507">
                  <c:v>153.03403318263142</c:v>
                </c:pt>
                <c:pt idx="508">
                  <c:v>152.99338338351347</c:v>
                </c:pt>
                <c:pt idx="509">
                  <c:v>152.96897366565184</c:v>
                </c:pt>
                <c:pt idx="510">
                  <c:v>152.95233016506438</c:v>
                </c:pt>
                <c:pt idx="511">
                  <c:v>152.94185813302758</c:v>
                </c:pt>
                <c:pt idx="512">
                  <c:v>152.9225869547063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172.91</c:v>
                </c:pt>
                <c:pt idx="1">
                  <c:v>172.94972662005608</c:v>
                </c:pt>
                <c:pt idx="2">
                  <c:v>173.09747722947861</c:v>
                </c:pt>
                <c:pt idx="3">
                  <c:v>173.24215273228137</c:v>
                </c:pt>
                <c:pt idx="4">
                  <c:v>172.86876353842757</c:v>
                </c:pt>
                <c:pt idx="5">
                  <c:v>172.56896817015709</c:v>
                </c:pt>
                <c:pt idx="6">
                  <c:v>172.36371409584294</c:v>
                </c:pt>
                <c:pt idx="7">
                  <c:v>172.12167768572343</c:v>
                </c:pt>
                <c:pt idx="8">
                  <c:v>171.90045955158092</c:v>
                </c:pt>
                <c:pt idx="9">
                  <c:v>171.65837458226207</c:v>
                </c:pt>
                <c:pt idx="10">
                  <c:v>171.4338198507198</c:v>
                </c:pt>
                <c:pt idx="11">
                  <c:v>171.22819395839042</c:v>
                </c:pt>
                <c:pt idx="12">
                  <c:v>170.95668277070777</c:v>
                </c:pt>
                <c:pt idx="13">
                  <c:v>170.74655082334215</c:v>
                </c:pt>
                <c:pt idx="14">
                  <c:v>170.62677764437214</c:v>
                </c:pt>
                <c:pt idx="15">
                  <c:v>170.46977456648762</c:v>
                </c:pt>
                <c:pt idx="16">
                  <c:v>170.32934082264364</c:v>
                </c:pt>
                <c:pt idx="17">
                  <c:v>170.25756238960687</c:v>
                </c:pt>
                <c:pt idx="18">
                  <c:v>170.20858989395842</c:v>
                </c:pt>
                <c:pt idx="19">
                  <c:v>170.26150040205187</c:v>
                </c:pt>
                <c:pt idx="20">
                  <c:v>170.23729260280393</c:v>
                </c:pt>
                <c:pt idx="21">
                  <c:v>170.48028202306949</c:v>
                </c:pt>
                <c:pt idx="22">
                  <c:v>170.62586203549284</c:v>
                </c:pt>
                <c:pt idx="23">
                  <c:v>170.7454932275993</c:v>
                </c:pt>
                <c:pt idx="24">
                  <c:v>170.89463580739346</c:v>
                </c:pt>
                <c:pt idx="25">
                  <c:v>171.0426888648775</c:v>
                </c:pt>
                <c:pt idx="26">
                  <c:v>171.53006686323405</c:v>
                </c:pt>
                <c:pt idx="27">
                  <c:v>171.38551627390549</c:v>
                </c:pt>
                <c:pt idx="28">
                  <c:v>171.44612704391452</c:v>
                </c:pt>
                <c:pt idx="29">
                  <c:v>171.40027262328007</c:v>
                </c:pt>
                <c:pt idx="30">
                  <c:v>171.32544290275845</c:v>
                </c:pt>
                <c:pt idx="31">
                  <c:v>171.26728950018574</c:v>
                </c:pt>
                <c:pt idx="32">
                  <c:v>171.19679052315189</c:v>
                </c:pt>
                <c:pt idx="33">
                  <c:v>171.15593976665389</c:v>
                </c:pt>
                <c:pt idx="34">
                  <c:v>171.12257670560663</c:v>
                </c:pt>
                <c:pt idx="35">
                  <c:v>171.07045483733688</c:v>
                </c:pt>
                <c:pt idx="36">
                  <c:v>171.06843847766564</c:v>
                </c:pt>
                <c:pt idx="37">
                  <c:v>171.02982723579566</c:v>
                </c:pt>
                <c:pt idx="38">
                  <c:v>170.99223983791882</c:v>
                </c:pt>
                <c:pt idx="39">
                  <c:v>170.93849503766708</c:v>
                </c:pt>
                <c:pt idx="40">
                  <c:v>170.84715926249507</c:v>
                </c:pt>
                <c:pt idx="41">
                  <c:v>170.80026979579145</c:v>
                </c:pt>
                <c:pt idx="42">
                  <c:v>170.76624622583498</c:v>
                </c:pt>
                <c:pt idx="43">
                  <c:v>170.76091884977956</c:v>
                </c:pt>
                <c:pt idx="44">
                  <c:v>170.74453497017501</c:v>
                </c:pt>
                <c:pt idx="45">
                  <c:v>170.70874498276331</c:v>
                </c:pt>
                <c:pt idx="46">
                  <c:v>170.66448742605121</c:v>
                </c:pt>
                <c:pt idx="47">
                  <c:v>170.61091410396281</c:v>
                </c:pt>
                <c:pt idx="48">
                  <c:v>170.54974436231203</c:v>
                </c:pt>
                <c:pt idx="49">
                  <c:v>170.50398405767029</c:v>
                </c:pt>
                <c:pt idx="50">
                  <c:v>170.45471260168449</c:v>
                </c:pt>
                <c:pt idx="51">
                  <c:v>170.24341190272361</c:v>
                </c:pt>
                <c:pt idx="52">
                  <c:v>170.38435966146122</c:v>
                </c:pt>
                <c:pt idx="53">
                  <c:v>170.51150351740969</c:v>
                </c:pt>
                <c:pt idx="54">
                  <c:v>170.60251656618647</c:v>
                </c:pt>
                <c:pt idx="55">
                  <c:v>170.70360625982823</c:v>
                </c:pt>
                <c:pt idx="56">
                  <c:v>170.77948394225612</c:v>
                </c:pt>
                <c:pt idx="57">
                  <c:v>170.87071215383554</c:v>
                </c:pt>
                <c:pt idx="58">
                  <c:v>170.97049538739401</c:v>
                </c:pt>
                <c:pt idx="59">
                  <c:v>171.10377313240235</c:v>
                </c:pt>
                <c:pt idx="60">
                  <c:v>171.30992725000539</c:v>
                </c:pt>
                <c:pt idx="61">
                  <c:v>171.40235020362371</c:v>
                </c:pt>
                <c:pt idx="62">
                  <c:v>171.44409906779194</c:v>
                </c:pt>
                <c:pt idx="63">
                  <c:v>171.44412551657382</c:v>
                </c:pt>
                <c:pt idx="64">
                  <c:v>171.44193108492752</c:v>
                </c:pt>
                <c:pt idx="65">
                  <c:v>171.42831365488436</c:v>
                </c:pt>
                <c:pt idx="66">
                  <c:v>171.41972657934676</c:v>
                </c:pt>
                <c:pt idx="67">
                  <c:v>171.42890818669542</c:v>
                </c:pt>
                <c:pt idx="68">
                  <c:v>171.41349761620046</c:v>
                </c:pt>
                <c:pt idx="69">
                  <c:v>171.39153337902729</c:v>
                </c:pt>
                <c:pt idx="70">
                  <c:v>171.36682818592109</c:v>
                </c:pt>
                <c:pt idx="71">
                  <c:v>171.33420983634497</c:v>
                </c:pt>
                <c:pt idx="72">
                  <c:v>171.30676618827891</c:v>
                </c:pt>
                <c:pt idx="73">
                  <c:v>171.29958127811489</c:v>
                </c:pt>
                <c:pt idx="74">
                  <c:v>171.36206612663264</c:v>
                </c:pt>
                <c:pt idx="75">
                  <c:v>171.49738245296882</c:v>
                </c:pt>
                <c:pt idx="76">
                  <c:v>171.73788259877816</c:v>
                </c:pt>
                <c:pt idx="77">
                  <c:v>171.78234080269203</c:v>
                </c:pt>
                <c:pt idx="78">
                  <c:v>172.09976188377465</c:v>
                </c:pt>
                <c:pt idx="79">
                  <c:v>172.31828088357506</c:v>
                </c:pt>
                <c:pt idx="80">
                  <c:v>172.43937350659002</c:v>
                </c:pt>
                <c:pt idx="81">
                  <c:v>172.55536580499302</c:v>
                </c:pt>
                <c:pt idx="82">
                  <c:v>172.67613064971826</c:v>
                </c:pt>
                <c:pt idx="83">
                  <c:v>172.76722765569139</c:v>
                </c:pt>
                <c:pt idx="84">
                  <c:v>172.85856953303647</c:v>
                </c:pt>
                <c:pt idx="85">
                  <c:v>172.95971021320202</c:v>
                </c:pt>
                <c:pt idx="86">
                  <c:v>173.04868943152957</c:v>
                </c:pt>
                <c:pt idx="87">
                  <c:v>173.20116744880895</c:v>
                </c:pt>
                <c:pt idx="88">
                  <c:v>173.32276778233236</c:v>
                </c:pt>
                <c:pt idx="89">
                  <c:v>173.44176221903484</c:v>
                </c:pt>
                <c:pt idx="90">
                  <c:v>173.64176801164427</c:v>
                </c:pt>
                <c:pt idx="91">
                  <c:v>173.87554429223306</c:v>
                </c:pt>
                <c:pt idx="92">
                  <c:v>174.04446977656582</c:v>
                </c:pt>
                <c:pt idx="93">
                  <c:v>174.21675225715805</c:v>
                </c:pt>
                <c:pt idx="94">
                  <c:v>174.53886493888234</c:v>
                </c:pt>
                <c:pt idx="95">
                  <c:v>174.77419186848994</c:v>
                </c:pt>
                <c:pt idx="96">
                  <c:v>174.91628141295615</c:v>
                </c:pt>
                <c:pt idx="97">
                  <c:v>175.07485752473622</c:v>
                </c:pt>
                <c:pt idx="98">
                  <c:v>175.27166237112016</c:v>
                </c:pt>
                <c:pt idx="99">
                  <c:v>175.38366067957418</c:v>
                </c:pt>
                <c:pt idx="100">
                  <c:v>175.45569086572365</c:v>
                </c:pt>
                <c:pt idx="101">
                  <c:v>175.469004940829</c:v>
                </c:pt>
                <c:pt idx="102">
                  <c:v>175.45101873010367</c:v>
                </c:pt>
                <c:pt idx="103">
                  <c:v>175.42728273265143</c:v>
                </c:pt>
                <c:pt idx="104">
                  <c:v>175.44116006057277</c:v>
                </c:pt>
                <c:pt idx="105">
                  <c:v>175.42400896297761</c:v>
                </c:pt>
                <c:pt idx="106">
                  <c:v>175.43535938106601</c:v>
                </c:pt>
                <c:pt idx="107">
                  <c:v>175.44494268818195</c:v>
                </c:pt>
                <c:pt idx="108">
                  <c:v>175.45106520725733</c:v>
                </c:pt>
                <c:pt idx="109">
                  <c:v>175.43152096170883</c:v>
                </c:pt>
                <c:pt idx="110">
                  <c:v>175.36178491778983</c:v>
                </c:pt>
                <c:pt idx="111">
                  <c:v>175.29963495359587</c:v>
                </c:pt>
                <c:pt idx="112">
                  <c:v>175.25798897026652</c:v>
                </c:pt>
                <c:pt idx="113">
                  <c:v>175.2273264804289</c:v>
                </c:pt>
                <c:pt idx="114">
                  <c:v>175.21280658201837</c:v>
                </c:pt>
                <c:pt idx="115">
                  <c:v>175.1752664298119</c:v>
                </c:pt>
                <c:pt idx="116">
                  <c:v>175.14937606332066</c:v>
                </c:pt>
                <c:pt idx="117">
                  <c:v>175.11536649152836</c:v>
                </c:pt>
                <c:pt idx="118">
                  <c:v>175.05587797978674</c:v>
                </c:pt>
                <c:pt idx="119">
                  <c:v>175.02699561297413</c:v>
                </c:pt>
                <c:pt idx="120">
                  <c:v>174.9981939648757</c:v>
                </c:pt>
                <c:pt idx="121">
                  <c:v>174.96662776573402</c:v>
                </c:pt>
                <c:pt idx="122">
                  <c:v>174.93774917508179</c:v>
                </c:pt>
                <c:pt idx="123">
                  <c:v>174.87817278293883</c:v>
                </c:pt>
                <c:pt idx="124">
                  <c:v>174.85941422042632</c:v>
                </c:pt>
                <c:pt idx="125">
                  <c:v>174.83510396349436</c:v>
                </c:pt>
                <c:pt idx="126">
                  <c:v>174.83380477677176</c:v>
                </c:pt>
                <c:pt idx="127">
                  <c:v>174.80914408021698</c:v>
                </c:pt>
                <c:pt idx="128">
                  <c:v>174.78393938395956</c:v>
                </c:pt>
                <c:pt idx="129">
                  <c:v>174.75333614427277</c:v>
                </c:pt>
                <c:pt idx="130">
                  <c:v>174.70365196079379</c:v>
                </c:pt>
                <c:pt idx="131">
                  <c:v>174.63225228470134</c:v>
                </c:pt>
                <c:pt idx="132">
                  <c:v>174.59408058338013</c:v>
                </c:pt>
                <c:pt idx="133">
                  <c:v>174.56830738635352</c:v>
                </c:pt>
                <c:pt idx="134">
                  <c:v>174.54100123420656</c:v>
                </c:pt>
                <c:pt idx="135">
                  <c:v>174.52628115304202</c:v>
                </c:pt>
                <c:pt idx="136">
                  <c:v>174.51506953074005</c:v>
                </c:pt>
                <c:pt idx="137">
                  <c:v>174.49603439647112</c:v>
                </c:pt>
                <c:pt idx="138">
                  <c:v>174.46899363495297</c:v>
                </c:pt>
                <c:pt idx="139">
                  <c:v>174.4468054155241</c:v>
                </c:pt>
                <c:pt idx="140">
                  <c:v>174.42133628533273</c:v>
                </c:pt>
                <c:pt idx="141">
                  <c:v>174.41706809006035</c:v>
                </c:pt>
                <c:pt idx="142">
                  <c:v>174.42922673247682</c:v>
                </c:pt>
                <c:pt idx="143">
                  <c:v>174.43907682671417</c:v>
                </c:pt>
                <c:pt idx="144">
                  <c:v>174.45224468028778</c:v>
                </c:pt>
                <c:pt idx="145">
                  <c:v>174.46464645446511</c:v>
                </c:pt>
                <c:pt idx="146">
                  <c:v>174.50490277138934</c:v>
                </c:pt>
                <c:pt idx="147">
                  <c:v>174.60313904957951</c:v>
                </c:pt>
                <c:pt idx="148">
                  <c:v>174.63680060665411</c:v>
                </c:pt>
                <c:pt idx="149">
                  <c:v>174.64836643653661</c:v>
                </c:pt>
                <c:pt idx="150">
                  <c:v>174.64717266963297</c:v>
                </c:pt>
                <c:pt idx="151">
                  <c:v>174.65022671621134</c:v>
                </c:pt>
                <c:pt idx="152">
                  <c:v>174.64761373510783</c:v>
                </c:pt>
                <c:pt idx="153">
                  <c:v>174.64015594767207</c:v>
                </c:pt>
                <c:pt idx="154">
                  <c:v>174.63946229068762</c:v>
                </c:pt>
                <c:pt idx="155">
                  <c:v>174.64839211422074</c:v>
                </c:pt>
                <c:pt idx="156">
                  <c:v>174.65050515226301</c:v>
                </c:pt>
                <c:pt idx="157">
                  <c:v>174.65382859345874</c:v>
                </c:pt>
                <c:pt idx="158">
                  <c:v>174.66318692389899</c:v>
                </c:pt>
                <c:pt idx="159">
                  <c:v>174.7049184215681</c:v>
                </c:pt>
                <c:pt idx="160">
                  <c:v>174.7298731782025</c:v>
                </c:pt>
                <c:pt idx="161">
                  <c:v>174.76842796495987</c:v>
                </c:pt>
                <c:pt idx="162">
                  <c:v>174.80807868009603</c:v>
                </c:pt>
                <c:pt idx="163">
                  <c:v>174.84079449599781</c:v>
                </c:pt>
                <c:pt idx="164">
                  <c:v>174.86182730986476</c:v>
                </c:pt>
                <c:pt idx="165">
                  <c:v>174.87163247668221</c:v>
                </c:pt>
                <c:pt idx="166">
                  <c:v>174.86921771198141</c:v>
                </c:pt>
                <c:pt idx="167">
                  <c:v>174.88498383499018</c:v>
                </c:pt>
                <c:pt idx="168">
                  <c:v>174.95805558804386</c:v>
                </c:pt>
                <c:pt idx="169">
                  <c:v>175.03849972730615</c:v>
                </c:pt>
                <c:pt idx="170">
                  <c:v>175.12602260917376</c:v>
                </c:pt>
                <c:pt idx="171">
                  <c:v>175.18674143486473</c:v>
                </c:pt>
                <c:pt idx="172">
                  <c:v>175.24491714245346</c:v>
                </c:pt>
                <c:pt idx="173">
                  <c:v>175.29420397492041</c:v>
                </c:pt>
                <c:pt idx="174">
                  <c:v>175.31764934754952</c:v>
                </c:pt>
                <c:pt idx="175">
                  <c:v>175.35798533817254</c:v>
                </c:pt>
                <c:pt idx="176">
                  <c:v>175.39227410688878</c:v>
                </c:pt>
                <c:pt idx="177">
                  <c:v>175.43581913117373</c:v>
                </c:pt>
                <c:pt idx="178">
                  <c:v>175.48342137292025</c:v>
                </c:pt>
                <c:pt idx="179">
                  <c:v>175.5052739897281</c:v>
                </c:pt>
                <c:pt idx="180">
                  <c:v>175.52216746767161</c:v>
                </c:pt>
                <c:pt idx="181">
                  <c:v>175.51570181053145</c:v>
                </c:pt>
                <c:pt idx="182">
                  <c:v>175.51100906463856</c:v>
                </c:pt>
                <c:pt idx="183">
                  <c:v>175.49288061700707</c:v>
                </c:pt>
                <c:pt idx="184">
                  <c:v>175.47564277771934</c:v>
                </c:pt>
                <c:pt idx="185">
                  <c:v>175.45831811267038</c:v>
                </c:pt>
                <c:pt idx="186">
                  <c:v>175.44138269095447</c:v>
                </c:pt>
                <c:pt idx="187">
                  <c:v>175.42623956178238</c:v>
                </c:pt>
                <c:pt idx="188">
                  <c:v>175.41889472046131</c:v>
                </c:pt>
                <c:pt idx="189">
                  <c:v>175.40143951342708</c:v>
                </c:pt>
                <c:pt idx="190">
                  <c:v>175.38198212897302</c:v>
                </c:pt>
                <c:pt idx="191">
                  <c:v>175.36331629281446</c:v>
                </c:pt>
                <c:pt idx="192">
                  <c:v>175.34095269056752</c:v>
                </c:pt>
                <c:pt idx="193">
                  <c:v>175.32765469279488</c:v>
                </c:pt>
                <c:pt idx="194">
                  <c:v>175.33009700691187</c:v>
                </c:pt>
                <c:pt idx="195">
                  <c:v>175.33212437307222</c:v>
                </c:pt>
                <c:pt idx="196">
                  <c:v>175.34654002359127</c:v>
                </c:pt>
                <c:pt idx="197">
                  <c:v>175.37159494726095</c:v>
                </c:pt>
                <c:pt idx="198">
                  <c:v>175.40047588508907</c:v>
                </c:pt>
                <c:pt idx="199">
                  <c:v>175.41032976238077</c:v>
                </c:pt>
                <c:pt idx="200">
                  <c:v>175.42052065078349</c:v>
                </c:pt>
                <c:pt idx="201">
                  <c:v>175.4374047559316</c:v>
                </c:pt>
                <c:pt idx="202">
                  <c:v>175.45876174464235</c:v>
                </c:pt>
                <c:pt idx="203">
                  <c:v>175.46515572161641</c:v>
                </c:pt>
                <c:pt idx="204">
                  <c:v>175.46290958530585</c:v>
                </c:pt>
                <c:pt idx="205">
                  <c:v>175.45736588865856</c:v>
                </c:pt>
                <c:pt idx="206">
                  <c:v>175.45031319526439</c:v>
                </c:pt>
                <c:pt idx="207">
                  <c:v>175.43563514580489</c:v>
                </c:pt>
                <c:pt idx="208">
                  <c:v>175.41636000438797</c:v>
                </c:pt>
                <c:pt idx="209">
                  <c:v>175.39821625158939</c:v>
                </c:pt>
                <c:pt idx="210">
                  <c:v>175.37708142620781</c:v>
                </c:pt>
                <c:pt idx="211">
                  <c:v>175.35290232413092</c:v>
                </c:pt>
                <c:pt idx="212">
                  <c:v>175.33454391489033</c:v>
                </c:pt>
                <c:pt idx="213">
                  <c:v>175.31961360425535</c:v>
                </c:pt>
                <c:pt idx="214">
                  <c:v>175.28843926550184</c:v>
                </c:pt>
                <c:pt idx="215">
                  <c:v>175.27135868489722</c:v>
                </c:pt>
                <c:pt idx="216">
                  <c:v>175.25559258818996</c:v>
                </c:pt>
                <c:pt idx="217">
                  <c:v>175.24609205857294</c:v>
                </c:pt>
                <c:pt idx="218">
                  <c:v>175.22776391961938</c:v>
                </c:pt>
                <c:pt idx="219">
                  <c:v>175.21473479232799</c:v>
                </c:pt>
                <c:pt idx="220">
                  <c:v>175.1951136153497</c:v>
                </c:pt>
                <c:pt idx="221">
                  <c:v>175.16494256802093</c:v>
                </c:pt>
                <c:pt idx="222">
                  <c:v>175.15608939720272</c:v>
                </c:pt>
                <c:pt idx="223">
                  <c:v>175.1422296154995</c:v>
                </c:pt>
                <c:pt idx="224">
                  <c:v>175.14681236403209</c:v>
                </c:pt>
                <c:pt idx="225">
                  <c:v>175.13421024321642</c:v>
                </c:pt>
                <c:pt idx="226">
                  <c:v>175.11649347074797</c:v>
                </c:pt>
                <c:pt idx="227">
                  <c:v>175.08107119485197</c:v>
                </c:pt>
                <c:pt idx="228">
                  <c:v>175.07025117437075</c:v>
                </c:pt>
                <c:pt idx="229">
                  <c:v>175.06337061777089</c:v>
                </c:pt>
                <c:pt idx="230">
                  <c:v>175.05807774447126</c:v>
                </c:pt>
                <c:pt idx="231">
                  <c:v>175.04229812907298</c:v>
                </c:pt>
                <c:pt idx="232">
                  <c:v>175.03451740715821</c:v>
                </c:pt>
                <c:pt idx="233">
                  <c:v>175.01268840406055</c:v>
                </c:pt>
                <c:pt idx="234">
                  <c:v>175.00236755274997</c:v>
                </c:pt>
                <c:pt idx="235">
                  <c:v>174.97581993822871</c:v>
                </c:pt>
                <c:pt idx="236">
                  <c:v>174.9440824555958</c:v>
                </c:pt>
                <c:pt idx="237">
                  <c:v>174.93441000657722</c:v>
                </c:pt>
                <c:pt idx="238">
                  <c:v>174.91463574963964</c:v>
                </c:pt>
                <c:pt idx="239">
                  <c:v>174.89565184303336</c:v>
                </c:pt>
                <c:pt idx="240">
                  <c:v>174.90121225712736</c:v>
                </c:pt>
                <c:pt idx="241">
                  <c:v>174.89481430119233</c:v>
                </c:pt>
                <c:pt idx="242">
                  <c:v>174.88794445238091</c:v>
                </c:pt>
                <c:pt idx="243">
                  <c:v>174.87818873923158</c:v>
                </c:pt>
                <c:pt idx="244">
                  <c:v>174.85698872390122</c:v>
                </c:pt>
                <c:pt idx="245">
                  <c:v>174.7170120832869</c:v>
                </c:pt>
                <c:pt idx="246">
                  <c:v>174.73304485069957</c:v>
                </c:pt>
                <c:pt idx="247">
                  <c:v>174.77549072673403</c:v>
                </c:pt>
                <c:pt idx="248">
                  <c:v>174.79394383353474</c:v>
                </c:pt>
                <c:pt idx="249">
                  <c:v>174.82132287157251</c:v>
                </c:pt>
                <c:pt idx="250">
                  <c:v>174.84247896819522</c:v>
                </c:pt>
                <c:pt idx="251">
                  <c:v>174.87228078759281</c:v>
                </c:pt>
                <c:pt idx="252">
                  <c:v>174.90587786136427</c:v>
                </c:pt>
                <c:pt idx="253">
                  <c:v>174.93799590508996</c:v>
                </c:pt>
                <c:pt idx="254">
                  <c:v>174.93109814429999</c:v>
                </c:pt>
                <c:pt idx="255">
                  <c:v>174.95838162504501</c:v>
                </c:pt>
                <c:pt idx="256">
                  <c:v>174.9830783659406</c:v>
                </c:pt>
                <c:pt idx="257">
                  <c:v>174.987906921514</c:v>
                </c:pt>
                <c:pt idx="258">
                  <c:v>175.00014800141017</c:v>
                </c:pt>
                <c:pt idx="259">
                  <c:v>175.02289313636297</c:v>
                </c:pt>
                <c:pt idx="260">
                  <c:v>175.04129746946683</c:v>
                </c:pt>
                <c:pt idx="261">
                  <c:v>175.07446110294865</c:v>
                </c:pt>
                <c:pt idx="262">
                  <c:v>175.06411606013614</c:v>
                </c:pt>
                <c:pt idx="263">
                  <c:v>175.04955421987023</c:v>
                </c:pt>
                <c:pt idx="264">
                  <c:v>175.05563799043776</c:v>
                </c:pt>
                <c:pt idx="265">
                  <c:v>175.07141774344487</c:v>
                </c:pt>
                <c:pt idx="266">
                  <c:v>175.08577253419904</c:v>
                </c:pt>
                <c:pt idx="267">
                  <c:v>175.03109531372286</c:v>
                </c:pt>
                <c:pt idx="268">
                  <c:v>175.01751475755023</c:v>
                </c:pt>
                <c:pt idx="269">
                  <c:v>175.01864511308028</c:v>
                </c:pt>
                <c:pt idx="270">
                  <c:v>175.01432060064033</c:v>
                </c:pt>
                <c:pt idx="271">
                  <c:v>175.0120246643892</c:v>
                </c:pt>
                <c:pt idx="272">
                  <c:v>174.98641886696328</c:v>
                </c:pt>
                <c:pt idx="273">
                  <c:v>174.90666183302702</c:v>
                </c:pt>
                <c:pt idx="274">
                  <c:v>174.87028409860656</c:v>
                </c:pt>
                <c:pt idx="275">
                  <c:v>174.88257640171332</c:v>
                </c:pt>
                <c:pt idx="276">
                  <c:v>174.8939116665685</c:v>
                </c:pt>
                <c:pt idx="277">
                  <c:v>174.86574905060658</c:v>
                </c:pt>
                <c:pt idx="278">
                  <c:v>174.86219168412021</c:v>
                </c:pt>
                <c:pt idx="279">
                  <c:v>174.86130171089707</c:v>
                </c:pt>
                <c:pt idx="280">
                  <c:v>174.84922545622044</c:v>
                </c:pt>
                <c:pt idx="281">
                  <c:v>174.87135555188394</c:v>
                </c:pt>
                <c:pt idx="282">
                  <c:v>174.83779116718406</c:v>
                </c:pt>
                <c:pt idx="283">
                  <c:v>174.83442488702613</c:v>
                </c:pt>
                <c:pt idx="284">
                  <c:v>174.80778774214667</c:v>
                </c:pt>
                <c:pt idx="285">
                  <c:v>174.74618840166499</c:v>
                </c:pt>
                <c:pt idx="286">
                  <c:v>174.70958343290241</c:v>
                </c:pt>
                <c:pt idx="287">
                  <c:v>174.66112052804408</c:v>
                </c:pt>
                <c:pt idx="288">
                  <c:v>174.61116828280913</c:v>
                </c:pt>
                <c:pt idx="289">
                  <c:v>174.57992550994305</c:v>
                </c:pt>
                <c:pt idx="290">
                  <c:v>174.53627603257374</c:v>
                </c:pt>
                <c:pt idx="291">
                  <c:v>174.49459501863871</c:v>
                </c:pt>
                <c:pt idx="292">
                  <c:v>174.43925327753888</c:v>
                </c:pt>
                <c:pt idx="293">
                  <c:v>174.41437970859158</c:v>
                </c:pt>
                <c:pt idx="294">
                  <c:v>174.37159110783344</c:v>
                </c:pt>
                <c:pt idx="295">
                  <c:v>174.32546231610445</c:v>
                </c:pt>
                <c:pt idx="296">
                  <c:v>174.27144230172468</c:v>
                </c:pt>
                <c:pt idx="297">
                  <c:v>174.23197042683137</c:v>
                </c:pt>
                <c:pt idx="298">
                  <c:v>174.19352760465378</c:v>
                </c:pt>
                <c:pt idx="299">
                  <c:v>174.18232500671948</c:v>
                </c:pt>
                <c:pt idx="300">
                  <c:v>174.17057127191484</c:v>
                </c:pt>
                <c:pt idx="301">
                  <c:v>174.1502618905744</c:v>
                </c:pt>
                <c:pt idx="302">
                  <c:v>174.11152731704738</c:v>
                </c:pt>
                <c:pt idx="303">
                  <c:v>174.09290954270631</c:v>
                </c:pt>
                <c:pt idx="304">
                  <c:v>174.09138328091453</c:v>
                </c:pt>
                <c:pt idx="305">
                  <c:v>174.02212883823711</c:v>
                </c:pt>
                <c:pt idx="306">
                  <c:v>174.00815884802492</c:v>
                </c:pt>
                <c:pt idx="307">
                  <c:v>174.00891240904593</c:v>
                </c:pt>
                <c:pt idx="308">
                  <c:v>173.98894134273053</c:v>
                </c:pt>
                <c:pt idx="309">
                  <c:v>173.97045625717212</c:v>
                </c:pt>
                <c:pt idx="310">
                  <c:v>173.92722879132072</c:v>
                </c:pt>
                <c:pt idx="311">
                  <c:v>173.87298523954459</c:v>
                </c:pt>
                <c:pt idx="312">
                  <c:v>173.84902030926921</c:v>
                </c:pt>
                <c:pt idx="313">
                  <c:v>173.82751623193636</c:v>
                </c:pt>
                <c:pt idx="314">
                  <c:v>173.78666345254206</c:v>
                </c:pt>
                <c:pt idx="315">
                  <c:v>173.70639437125729</c:v>
                </c:pt>
                <c:pt idx="316">
                  <c:v>173.60882471229615</c:v>
                </c:pt>
                <c:pt idx="317">
                  <c:v>173.57105588695279</c:v>
                </c:pt>
                <c:pt idx="318">
                  <c:v>173.48130447286385</c:v>
                </c:pt>
                <c:pt idx="319">
                  <c:v>173.42132163767377</c:v>
                </c:pt>
                <c:pt idx="320">
                  <c:v>173.38476575478188</c:v>
                </c:pt>
                <c:pt idx="321">
                  <c:v>173.37160461403212</c:v>
                </c:pt>
                <c:pt idx="322">
                  <c:v>173.36960687429712</c:v>
                </c:pt>
                <c:pt idx="323">
                  <c:v>173.34957789278394</c:v>
                </c:pt>
                <c:pt idx="324">
                  <c:v>173.33924802513437</c:v>
                </c:pt>
                <c:pt idx="325">
                  <c:v>173.31825109406665</c:v>
                </c:pt>
                <c:pt idx="326">
                  <c:v>173.29504778872106</c:v>
                </c:pt>
                <c:pt idx="327">
                  <c:v>173.26815385120432</c:v>
                </c:pt>
                <c:pt idx="328">
                  <c:v>173.15713757137561</c:v>
                </c:pt>
                <c:pt idx="329">
                  <c:v>173.10592182756605</c:v>
                </c:pt>
                <c:pt idx="330">
                  <c:v>173.09566750562652</c:v>
                </c:pt>
                <c:pt idx="331">
                  <c:v>173.10214737076089</c:v>
                </c:pt>
                <c:pt idx="332">
                  <c:v>173.08979570839512</c:v>
                </c:pt>
                <c:pt idx="333">
                  <c:v>173.09957694381629</c:v>
                </c:pt>
                <c:pt idx="334">
                  <c:v>173.10185106873777</c:v>
                </c:pt>
                <c:pt idx="335">
                  <c:v>173.08446493590594</c:v>
                </c:pt>
                <c:pt idx="336">
                  <c:v>173.10148819593451</c:v>
                </c:pt>
                <c:pt idx="337">
                  <c:v>173.11914329278466</c:v>
                </c:pt>
                <c:pt idx="338">
                  <c:v>173.13621092855439</c:v>
                </c:pt>
                <c:pt idx="339">
                  <c:v>173.18025165450888</c:v>
                </c:pt>
                <c:pt idx="340">
                  <c:v>173.16419333597889</c:v>
                </c:pt>
                <c:pt idx="341">
                  <c:v>173.14817971806428</c:v>
                </c:pt>
                <c:pt idx="342">
                  <c:v>173.11005550167002</c:v>
                </c:pt>
                <c:pt idx="343">
                  <c:v>173.08038323295648</c:v>
                </c:pt>
                <c:pt idx="344">
                  <c:v>173.05208178903254</c:v>
                </c:pt>
                <c:pt idx="345">
                  <c:v>173.01666282930705</c:v>
                </c:pt>
                <c:pt idx="346">
                  <c:v>173.00424817385152</c:v>
                </c:pt>
                <c:pt idx="347">
                  <c:v>172.97396578044516</c:v>
                </c:pt>
                <c:pt idx="348">
                  <c:v>172.97207995755878</c:v>
                </c:pt>
                <c:pt idx="349">
                  <c:v>172.95800955937028</c:v>
                </c:pt>
                <c:pt idx="350">
                  <c:v>172.8597959120151</c:v>
                </c:pt>
                <c:pt idx="351">
                  <c:v>172.82259394776494</c:v>
                </c:pt>
                <c:pt idx="352">
                  <c:v>172.81684360464595</c:v>
                </c:pt>
                <c:pt idx="353">
                  <c:v>172.73132112726572</c:v>
                </c:pt>
                <c:pt idx="354">
                  <c:v>172.72676713608018</c:v>
                </c:pt>
                <c:pt idx="355">
                  <c:v>172.71054123222305</c:v>
                </c:pt>
                <c:pt idx="356">
                  <c:v>172.70396771412487</c:v>
                </c:pt>
                <c:pt idx="357">
                  <c:v>172.66052714633472</c:v>
                </c:pt>
                <c:pt idx="358">
                  <c:v>172.6438372946846</c:v>
                </c:pt>
                <c:pt idx="359">
                  <c:v>172.61596332413623</c:v>
                </c:pt>
                <c:pt idx="360">
                  <c:v>172.54273223761294</c:v>
                </c:pt>
                <c:pt idx="361">
                  <c:v>172.5051342318059</c:v>
                </c:pt>
                <c:pt idx="362">
                  <c:v>172.43649654921262</c:v>
                </c:pt>
                <c:pt idx="363">
                  <c:v>172.39149580698458</c:v>
                </c:pt>
                <c:pt idx="364">
                  <c:v>172.32671694230129</c:v>
                </c:pt>
                <c:pt idx="365">
                  <c:v>172.27605758186257</c:v>
                </c:pt>
                <c:pt idx="366">
                  <c:v>172.24351274048882</c:v>
                </c:pt>
                <c:pt idx="367">
                  <c:v>172.03634711661482</c:v>
                </c:pt>
                <c:pt idx="368">
                  <c:v>171.95516653272605</c:v>
                </c:pt>
                <c:pt idx="369">
                  <c:v>171.9139778939514</c:v>
                </c:pt>
                <c:pt idx="370">
                  <c:v>171.85729248430579</c:v>
                </c:pt>
                <c:pt idx="371">
                  <c:v>171.79277983814001</c:v>
                </c:pt>
                <c:pt idx="372">
                  <c:v>171.56517888390596</c:v>
                </c:pt>
                <c:pt idx="373">
                  <c:v>171.50121628969995</c:v>
                </c:pt>
                <c:pt idx="374">
                  <c:v>171.42455267267911</c:v>
                </c:pt>
                <c:pt idx="375">
                  <c:v>171.37781624124554</c:v>
                </c:pt>
                <c:pt idx="376">
                  <c:v>171.36984429050037</c:v>
                </c:pt>
                <c:pt idx="377">
                  <c:v>171.33848835344011</c:v>
                </c:pt>
                <c:pt idx="378">
                  <c:v>171.30668382211437</c:v>
                </c:pt>
                <c:pt idx="379">
                  <c:v>171.27507592055687</c:v>
                </c:pt>
                <c:pt idx="380">
                  <c:v>171.23249956120492</c:v>
                </c:pt>
                <c:pt idx="381">
                  <c:v>171.1980672517717</c:v>
                </c:pt>
                <c:pt idx="382">
                  <c:v>171.15900846429932</c:v>
                </c:pt>
                <c:pt idx="383">
                  <c:v>171.11754661895517</c:v>
                </c:pt>
                <c:pt idx="384">
                  <c:v>171.05857634122773</c:v>
                </c:pt>
                <c:pt idx="385">
                  <c:v>170.9483669716488</c:v>
                </c:pt>
                <c:pt idx="386">
                  <c:v>170.88376609922443</c:v>
                </c:pt>
                <c:pt idx="387">
                  <c:v>170.8416084086345</c:v>
                </c:pt>
                <c:pt idx="388">
                  <c:v>170.80617161262836</c:v>
                </c:pt>
                <c:pt idx="389">
                  <c:v>170.77867366130363</c:v>
                </c:pt>
                <c:pt idx="390">
                  <c:v>170.73594133109182</c:v>
                </c:pt>
                <c:pt idx="391">
                  <c:v>170.70485647572565</c:v>
                </c:pt>
                <c:pt idx="392">
                  <c:v>170.65475248327189</c:v>
                </c:pt>
                <c:pt idx="393">
                  <c:v>170.62717354813861</c:v>
                </c:pt>
                <c:pt idx="394">
                  <c:v>170.58335067100774</c:v>
                </c:pt>
                <c:pt idx="395">
                  <c:v>170.52401714398462</c:v>
                </c:pt>
                <c:pt idx="396">
                  <c:v>170.49093834777432</c:v>
                </c:pt>
                <c:pt idx="397">
                  <c:v>170.45333703033558</c:v>
                </c:pt>
                <c:pt idx="398">
                  <c:v>170.43266860211619</c:v>
                </c:pt>
                <c:pt idx="399">
                  <c:v>170.40402854243604</c:v>
                </c:pt>
                <c:pt idx="400">
                  <c:v>170.37096032883036</c:v>
                </c:pt>
                <c:pt idx="401">
                  <c:v>170.34739165018348</c:v>
                </c:pt>
                <c:pt idx="402">
                  <c:v>170.32218766101985</c:v>
                </c:pt>
                <c:pt idx="403">
                  <c:v>170.29133578751816</c:v>
                </c:pt>
                <c:pt idx="404">
                  <c:v>170.26658667520388</c:v>
                </c:pt>
                <c:pt idx="405">
                  <c:v>170.23962906632954</c:v>
                </c:pt>
                <c:pt idx="406">
                  <c:v>170.21075871673244</c:v>
                </c:pt>
                <c:pt idx="407">
                  <c:v>170.17887300164665</c:v>
                </c:pt>
                <c:pt idx="408">
                  <c:v>170.15467431982071</c:v>
                </c:pt>
                <c:pt idx="409">
                  <c:v>170.12552745583835</c:v>
                </c:pt>
                <c:pt idx="410">
                  <c:v>170.09669068849391</c:v>
                </c:pt>
                <c:pt idx="411">
                  <c:v>170.07460057079868</c:v>
                </c:pt>
                <c:pt idx="412">
                  <c:v>170.04863287689147</c:v>
                </c:pt>
                <c:pt idx="413">
                  <c:v>170.00888167825883</c:v>
                </c:pt>
                <c:pt idx="414">
                  <c:v>169.97890735553048</c:v>
                </c:pt>
                <c:pt idx="415">
                  <c:v>169.94499840318957</c:v>
                </c:pt>
                <c:pt idx="416">
                  <c:v>169.91726986278343</c:v>
                </c:pt>
                <c:pt idx="417">
                  <c:v>169.87629961669379</c:v>
                </c:pt>
                <c:pt idx="418">
                  <c:v>169.84123382096766</c:v>
                </c:pt>
                <c:pt idx="419">
                  <c:v>169.81603255351709</c:v>
                </c:pt>
                <c:pt idx="420">
                  <c:v>169.78821713179428</c:v>
                </c:pt>
                <c:pt idx="421">
                  <c:v>169.74125425997195</c:v>
                </c:pt>
                <c:pt idx="422">
                  <c:v>169.71774078400065</c:v>
                </c:pt>
                <c:pt idx="423">
                  <c:v>169.69377514392454</c:v>
                </c:pt>
                <c:pt idx="424">
                  <c:v>169.66901646871142</c:v>
                </c:pt>
                <c:pt idx="425">
                  <c:v>169.64601512907026</c:v>
                </c:pt>
                <c:pt idx="426">
                  <c:v>169.61696170565958</c:v>
                </c:pt>
                <c:pt idx="427">
                  <c:v>169.57805476084866</c:v>
                </c:pt>
                <c:pt idx="428">
                  <c:v>169.55445602177167</c:v>
                </c:pt>
                <c:pt idx="429">
                  <c:v>169.53105348593314</c:v>
                </c:pt>
                <c:pt idx="430">
                  <c:v>169.47996385157771</c:v>
                </c:pt>
                <c:pt idx="431">
                  <c:v>169.45791397854839</c:v>
                </c:pt>
                <c:pt idx="432">
                  <c:v>169.43300184271214</c:v>
                </c:pt>
                <c:pt idx="433">
                  <c:v>169.40972429900535</c:v>
                </c:pt>
                <c:pt idx="434">
                  <c:v>169.38203176339465</c:v>
                </c:pt>
                <c:pt idx="435">
                  <c:v>169.35832653376966</c:v>
                </c:pt>
                <c:pt idx="436">
                  <c:v>169.30767008248148</c:v>
                </c:pt>
                <c:pt idx="437">
                  <c:v>169.2777732218338</c:v>
                </c:pt>
                <c:pt idx="438">
                  <c:v>169.25463637581865</c:v>
                </c:pt>
                <c:pt idx="439">
                  <c:v>169.23723256910978</c:v>
                </c:pt>
                <c:pt idx="440">
                  <c:v>169.21629419312296</c:v>
                </c:pt>
                <c:pt idx="441">
                  <c:v>169.19055260070311</c:v>
                </c:pt>
                <c:pt idx="442">
                  <c:v>169.16728851914337</c:v>
                </c:pt>
                <c:pt idx="443">
                  <c:v>169.13435516344759</c:v>
                </c:pt>
                <c:pt idx="444">
                  <c:v>169.08713588585817</c:v>
                </c:pt>
                <c:pt idx="445">
                  <c:v>169.05158539568822</c:v>
                </c:pt>
                <c:pt idx="446">
                  <c:v>169.02792199094279</c:v>
                </c:pt>
                <c:pt idx="447">
                  <c:v>169.00696595646559</c:v>
                </c:pt>
                <c:pt idx="448">
                  <c:v>168.98745136153394</c:v>
                </c:pt>
                <c:pt idx="449">
                  <c:v>168.96877469133048</c:v>
                </c:pt>
                <c:pt idx="450">
                  <c:v>168.95254934119311</c:v>
                </c:pt>
                <c:pt idx="451">
                  <c:v>168.93645065652063</c:v>
                </c:pt>
                <c:pt idx="452">
                  <c:v>168.91974963650486</c:v>
                </c:pt>
                <c:pt idx="453">
                  <c:v>168.90266276926002</c:v>
                </c:pt>
                <c:pt idx="454">
                  <c:v>168.88388084453393</c:v>
                </c:pt>
                <c:pt idx="455">
                  <c:v>168.86712791828958</c:v>
                </c:pt>
                <c:pt idx="456">
                  <c:v>168.85035636355482</c:v>
                </c:pt>
                <c:pt idx="457">
                  <c:v>168.83089112316497</c:v>
                </c:pt>
                <c:pt idx="458">
                  <c:v>168.8042917076958</c:v>
                </c:pt>
                <c:pt idx="459">
                  <c:v>168.78320595280798</c:v>
                </c:pt>
                <c:pt idx="460">
                  <c:v>168.7603009571404</c:v>
                </c:pt>
                <c:pt idx="461">
                  <c:v>168.73032282537497</c:v>
                </c:pt>
                <c:pt idx="462">
                  <c:v>168.70010103833857</c:v>
                </c:pt>
                <c:pt idx="463">
                  <c:v>168.67398475062845</c:v>
                </c:pt>
                <c:pt idx="464">
                  <c:v>168.65042688340631</c:v>
                </c:pt>
                <c:pt idx="465">
                  <c:v>168.62287087778014</c:v>
                </c:pt>
                <c:pt idx="466">
                  <c:v>168.59867322568454</c:v>
                </c:pt>
                <c:pt idx="467">
                  <c:v>168.57210265358006</c:v>
                </c:pt>
                <c:pt idx="468">
                  <c:v>168.55066441828058</c:v>
                </c:pt>
                <c:pt idx="469">
                  <c:v>168.52693852409124</c:v>
                </c:pt>
                <c:pt idx="470">
                  <c:v>168.50580356443393</c:v>
                </c:pt>
                <c:pt idx="471">
                  <c:v>168.48262972033314</c:v>
                </c:pt>
                <c:pt idx="472">
                  <c:v>168.45524049994762</c:v>
                </c:pt>
                <c:pt idx="473">
                  <c:v>168.4299483267431</c:v>
                </c:pt>
                <c:pt idx="474">
                  <c:v>168.40655134770961</c:v>
                </c:pt>
                <c:pt idx="475">
                  <c:v>168.38105358908535</c:v>
                </c:pt>
                <c:pt idx="476">
                  <c:v>168.35123850874623</c:v>
                </c:pt>
                <c:pt idx="477">
                  <c:v>168.3233478365737</c:v>
                </c:pt>
                <c:pt idx="478">
                  <c:v>168.30450384049317</c:v>
                </c:pt>
                <c:pt idx="479">
                  <c:v>168.2892332038619</c:v>
                </c:pt>
                <c:pt idx="480">
                  <c:v>168.26818795536423</c:v>
                </c:pt>
                <c:pt idx="481">
                  <c:v>168.247267017947</c:v>
                </c:pt>
                <c:pt idx="482">
                  <c:v>168.22874451930318</c:v>
                </c:pt>
                <c:pt idx="483">
                  <c:v>168.20658553187607</c:v>
                </c:pt>
                <c:pt idx="484">
                  <c:v>168.18553770336666</c:v>
                </c:pt>
                <c:pt idx="485">
                  <c:v>168.16382747723867</c:v>
                </c:pt>
                <c:pt idx="486">
                  <c:v>168.13205280643061</c:v>
                </c:pt>
                <c:pt idx="487">
                  <c:v>168.09961093276712</c:v>
                </c:pt>
                <c:pt idx="488">
                  <c:v>168.0782575728818</c:v>
                </c:pt>
                <c:pt idx="489">
                  <c:v>168.05900957661268</c:v>
                </c:pt>
                <c:pt idx="490">
                  <c:v>168.0405911645822</c:v>
                </c:pt>
                <c:pt idx="491">
                  <c:v>168.02157878472659</c:v>
                </c:pt>
                <c:pt idx="492">
                  <c:v>168.00170082073546</c:v>
                </c:pt>
                <c:pt idx="493">
                  <c:v>167.98253505973767</c:v>
                </c:pt>
                <c:pt idx="494">
                  <c:v>167.94574873246441</c:v>
                </c:pt>
                <c:pt idx="495">
                  <c:v>167.92087403845713</c:v>
                </c:pt>
                <c:pt idx="496">
                  <c:v>167.8969277589384</c:v>
                </c:pt>
                <c:pt idx="497">
                  <c:v>167.88595724187977</c:v>
                </c:pt>
                <c:pt idx="498">
                  <c:v>167.86840499461098</c:v>
                </c:pt>
                <c:pt idx="499">
                  <c:v>167.84491348803328</c:v>
                </c:pt>
                <c:pt idx="500">
                  <c:v>167.82800020146428</c:v>
                </c:pt>
                <c:pt idx="501">
                  <c:v>167.81224825368508</c:v>
                </c:pt>
                <c:pt idx="502">
                  <c:v>167.78830384010715</c:v>
                </c:pt>
                <c:pt idx="503">
                  <c:v>167.75729443131729</c:v>
                </c:pt>
                <c:pt idx="504">
                  <c:v>167.72383911143856</c:v>
                </c:pt>
                <c:pt idx="505">
                  <c:v>167.69471344824834</c:v>
                </c:pt>
                <c:pt idx="506">
                  <c:v>167.66482546396264</c:v>
                </c:pt>
                <c:pt idx="507">
                  <c:v>167.64265364840946</c:v>
                </c:pt>
                <c:pt idx="508">
                  <c:v>167.602183815221</c:v>
                </c:pt>
                <c:pt idx="509">
                  <c:v>167.57402654188579</c:v>
                </c:pt>
                <c:pt idx="510">
                  <c:v>167.54991246643962</c:v>
                </c:pt>
                <c:pt idx="511">
                  <c:v>167.53112134091444</c:v>
                </c:pt>
                <c:pt idx="512">
                  <c:v>167.50385379564432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0">
                  <c:v>172.91</c:v>
                </c:pt>
                <c:pt idx="1">
                  <c:v>172.90972662005606</c:v>
                </c:pt>
                <c:pt idx="2">
                  <c:v>171.72058862751322</c:v>
                </c:pt>
                <c:pt idx="3">
                  <c:v>169.98226393049688</c:v>
                </c:pt>
                <c:pt idx="4">
                  <c:v>169.3521378830585</c:v>
                </c:pt>
                <c:pt idx="5">
                  <c:v>168.23519767938737</c:v>
                </c:pt>
                <c:pt idx="6">
                  <c:v>167.66098714051938</c:v>
                </c:pt>
                <c:pt idx="7">
                  <c:v>167.05712439841366</c:v>
                </c:pt>
                <c:pt idx="8">
                  <c:v>166.93284194438149</c:v>
                </c:pt>
                <c:pt idx="9">
                  <c:v>166.60549263232497</c:v>
                </c:pt>
                <c:pt idx="10">
                  <c:v>166.41210699552786</c:v>
                </c:pt>
                <c:pt idx="11">
                  <c:v>166.34835476477394</c:v>
                </c:pt>
                <c:pt idx="12">
                  <c:v>166.04069653089189</c:v>
                </c:pt>
                <c:pt idx="13">
                  <c:v>165.72560042952796</c:v>
                </c:pt>
                <c:pt idx="14">
                  <c:v>165.77041485360419</c:v>
                </c:pt>
                <c:pt idx="15">
                  <c:v>165.61692038054713</c:v>
                </c:pt>
                <c:pt idx="16">
                  <c:v>165.57784104120515</c:v>
                </c:pt>
                <c:pt idx="17">
                  <c:v>165.63992844895321</c:v>
                </c:pt>
                <c:pt idx="18">
                  <c:v>165.7120439742823</c:v>
                </c:pt>
                <c:pt idx="19">
                  <c:v>165.81221158247632</c:v>
                </c:pt>
                <c:pt idx="20">
                  <c:v>165.88817347495646</c:v>
                </c:pt>
                <c:pt idx="21">
                  <c:v>165.95682105014691</c:v>
                </c:pt>
                <c:pt idx="22">
                  <c:v>166.05429527077092</c:v>
                </c:pt>
                <c:pt idx="23">
                  <c:v>166.14641247705794</c:v>
                </c:pt>
                <c:pt idx="24">
                  <c:v>166.23350296654888</c:v>
                </c:pt>
                <c:pt idx="25">
                  <c:v>166.33152624250522</c:v>
                </c:pt>
                <c:pt idx="26">
                  <c:v>166.50182159474232</c:v>
                </c:pt>
                <c:pt idx="27">
                  <c:v>166.4298287559611</c:v>
                </c:pt>
                <c:pt idx="28">
                  <c:v>166.53044706741164</c:v>
                </c:pt>
                <c:pt idx="29">
                  <c:v>166.56718348002326</c:v>
                </c:pt>
                <c:pt idx="30">
                  <c:v>166.54836069035096</c:v>
                </c:pt>
                <c:pt idx="31">
                  <c:v>166.55430183476849</c:v>
                </c:pt>
                <c:pt idx="32">
                  <c:v>166.48087798816471</c:v>
                </c:pt>
                <c:pt idx="33">
                  <c:v>166.50987911436198</c:v>
                </c:pt>
                <c:pt idx="34">
                  <c:v>166.54311961275098</c:v>
                </c:pt>
                <c:pt idx="35">
                  <c:v>166.55272802448556</c:v>
                </c:pt>
                <c:pt idx="36">
                  <c:v>166.60216594255033</c:v>
                </c:pt>
                <c:pt idx="37">
                  <c:v>166.62042931457097</c:v>
                </c:pt>
                <c:pt idx="38">
                  <c:v>166.63649696333579</c:v>
                </c:pt>
                <c:pt idx="39">
                  <c:v>166.60687089076791</c:v>
                </c:pt>
                <c:pt idx="40">
                  <c:v>166.44945308413665</c:v>
                </c:pt>
                <c:pt idx="41">
                  <c:v>166.29006498976656</c:v>
                </c:pt>
                <c:pt idx="42">
                  <c:v>166.21240297292289</c:v>
                </c:pt>
                <c:pt idx="43">
                  <c:v>165.87742085285663</c:v>
                </c:pt>
                <c:pt idx="44">
                  <c:v>165.67401218805966</c:v>
                </c:pt>
                <c:pt idx="45">
                  <c:v>165.48435735482482</c:v>
                </c:pt>
                <c:pt idx="46">
                  <c:v>165.30062926447141</c:v>
                </c:pt>
                <c:pt idx="47">
                  <c:v>165.22584839973146</c:v>
                </c:pt>
                <c:pt idx="48">
                  <c:v>165.13844709556338</c:v>
                </c:pt>
                <c:pt idx="49">
                  <c:v>165.10223939136111</c:v>
                </c:pt>
                <c:pt idx="50">
                  <c:v>165.04396035197578</c:v>
                </c:pt>
                <c:pt idx="51">
                  <c:v>164.82141042725351</c:v>
                </c:pt>
                <c:pt idx="52">
                  <c:v>164.92292958208404</c:v>
                </c:pt>
                <c:pt idx="53">
                  <c:v>164.98821812903063</c:v>
                </c:pt>
                <c:pt idx="54">
                  <c:v>165.02108915907758</c:v>
                </c:pt>
                <c:pt idx="55">
                  <c:v>165.0387611356777</c:v>
                </c:pt>
                <c:pt idx="56">
                  <c:v>165.0621287885306</c:v>
                </c:pt>
                <c:pt idx="57">
                  <c:v>165.07712854278236</c:v>
                </c:pt>
                <c:pt idx="58">
                  <c:v>165.10151275015545</c:v>
                </c:pt>
                <c:pt idx="59">
                  <c:v>165.12059104517743</c:v>
                </c:pt>
                <c:pt idx="60">
                  <c:v>165.13176677428561</c:v>
                </c:pt>
                <c:pt idx="61">
                  <c:v>165.16412765200391</c:v>
                </c:pt>
                <c:pt idx="62">
                  <c:v>165.20981815469528</c:v>
                </c:pt>
                <c:pt idx="63">
                  <c:v>165.25148172661022</c:v>
                </c:pt>
                <c:pt idx="64">
                  <c:v>165.29048058200217</c:v>
                </c:pt>
                <c:pt idx="65">
                  <c:v>165.32169152114321</c:v>
                </c:pt>
                <c:pt idx="66">
                  <c:v>165.35337534229708</c:v>
                </c:pt>
                <c:pt idx="67">
                  <c:v>165.38661388608205</c:v>
                </c:pt>
                <c:pt idx="68">
                  <c:v>165.41443878082362</c:v>
                </c:pt>
                <c:pt idx="69">
                  <c:v>165.4352711556636</c:v>
                </c:pt>
                <c:pt idx="70">
                  <c:v>165.45163743575998</c:v>
                </c:pt>
                <c:pt idx="71">
                  <c:v>165.44816303789187</c:v>
                </c:pt>
                <c:pt idx="72">
                  <c:v>165.45619743488197</c:v>
                </c:pt>
                <c:pt idx="73">
                  <c:v>165.48448216907832</c:v>
                </c:pt>
                <c:pt idx="74">
                  <c:v>165.52271568482647</c:v>
                </c:pt>
                <c:pt idx="75">
                  <c:v>165.56058217782689</c:v>
                </c:pt>
                <c:pt idx="76">
                  <c:v>165.58093792209567</c:v>
                </c:pt>
                <c:pt idx="77">
                  <c:v>165.64001237174801</c:v>
                </c:pt>
                <c:pt idx="78">
                  <c:v>165.69948974767613</c:v>
                </c:pt>
                <c:pt idx="79">
                  <c:v>165.72744220875526</c:v>
                </c:pt>
                <c:pt idx="80">
                  <c:v>165.73000622436092</c:v>
                </c:pt>
                <c:pt idx="81">
                  <c:v>165.70929872645928</c:v>
                </c:pt>
                <c:pt idx="82">
                  <c:v>165.71411962953144</c:v>
                </c:pt>
                <c:pt idx="83">
                  <c:v>165.72932053226299</c:v>
                </c:pt>
                <c:pt idx="84">
                  <c:v>165.73828245822818</c:v>
                </c:pt>
                <c:pt idx="85">
                  <c:v>165.73405513240317</c:v>
                </c:pt>
                <c:pt idx="86">
                  <c:v>165.7381685704957</c:v>
                </c:pt>
                <c:pt idx="87">
                  <c:v>165.71336919594316</c:v>
                </c:pt>
                <c:pt idx="88">
                  <c:v>165.69899827623263</c:v>
                </c:pt>
                <c:pt idx="89">
                  <c:v>165.66168407032706</c:v>
                </c:pt>
                <c:pt idx="90">
                  <c:v>165.63002515077818</c:v>
                </c:pt>
                <c:pt idx="91">
                  <c:v>165.58889403157085</c:v>
                </c:pt>
                <c:pt idx="92">
                  <c:v>165.55704304988686</c:v>
                </c:pt>
                <c:pt idx="93">
                  <c:v>165.56124870256272</c:v>
                </c:pt>
                <c:pt idx="94">
                  <c:v>165.53784970774672</c:v>
                </c:pt>
                <c:pt idx="95">
                  <c:v>165.50492784400797</c:v>
                </c:pt>
                <c:pt idx="96">
                  <c:v>165.48475237275619</c:v>
                </c:pt>
                <c:pt idx="97">
                  <c:v>165.45848916224446</c:v>
                </c:pt>
                <c:pt idx="98">
                  <c:v>165.43735027734772</c:v>
                </c:pt>
                <c:pt idx="99">
                  <c:v>165.45561327638353</c:v>
                </c:pt>
                <c:pt idx="100">
                  <c:v>165.4781022275877</c:v>
                </c:pt>
                <c:pt idx="101">
                  <c:v>165.52924837285781</c:v>
                </c:pt>
                <c:pt idx="102">
                  <c:v>165.55959288494569</c:v>
                </c:pt>
                <c:pt idx="103">
                  <c:v>165.58298082035046</c:v>
                </c:pt>
                <c:pt idx="104">
                  <c:v>165.63694301056216</c:v>
                </c:pt>
                <c:pt idx="105">
                  <c:v>165.66606660361498</c:v>
                </c:pt>
                <c:pt idx="106">
                  <c:v>165.70749640459906</c:v>
                </c:pt>
                <c:pt idx="107">
                  <c:v>165.75097227280176</c:v>
                </c:pt>
                <c:pt idx="108">
                  <c:v>165.79316389680616</c:v>
                </c:pt>
                <c:pt idx="109">
                  <c:v>165.81761378993741</c:v>
                </c:pt>
                <c:pt idx="110">
                  <c:v>165.74107406910557</c:v>
                </c:pt>
                <c:pt idx="111">
                  <c:v>165.65617134998152</c:v>
                </c:pt>
                <c:pt idx="112">
                  <c:v>165.56396119777924</c:v>
                </c:pt>
                <c:pt idx="113">
                  <c:v>165.4723713522026</c:v>
                </c:pt>
                <c:pt idx="114">
                  <c:v>165.41242733546974</c:v>
                </c:pt>
                <c:pt idx="115">
                  <c:v>165.37921193879546</c:v>
                </c:pt>
                <c:pt idx="116">
                  <c:v>165.36345977131995</c:v>
                </c:pt>
                <c:pt idx="117">
                  <c:v>165.34281263657149</c:v>
                </c:pt>
                <c:pt idx="118">
                  <c:v>165.30455880865455</c:v>
                </c:pt>
                <c:pt idx="119">
                  <c:v>165.30504256844648</c:v>
                </c:pt>
                <c:pt idx="120">
                  <c:v>165.29817170147916</c:v>
                </c:pt>
                <c:pt idx="121">
                  <c:v>165.28121078748978</c:v>
                </c:pt>
                <c:pt idx="122">
                  <c:v>165.26059450443276</c:v>
                </c:pt>
                <c:pt idx="123">
                  <c:v>165.18787857847886</c:v>
                </c:pt>
                <c:pt idx="124">
                  <c:v>165.11313481544309</c:v>
                </c:pt>
                <c:pt idx="125">
                  <c:v>165.05151101508858</c:v>
                </c:pt>
                <c:pt idx="126">
                  <c:v>164.99207336392809</c:v>
                </c:pt>
                <c:pt idx="127">
                  <c:v>164.95037753797777</c:v>
                </c:pt>
                <c:pt idx="128">
                  <c:v>164.85972556973027</c:v>
                </c:pt>
                <c:pt idx="129">
                  <c:v>164.76114849295377</c:v>
                </c:pt>
                <c:pt idx="130">
                  <c:v>164.68435287942438</c:v>
                </c:pt>
                <c:pt idx="131">
                  <c:v>164.59412723797936</c:v>
                </c:pt>
                <c:pt idx="132">
                  <c:v>164.57362679268189</c:v>
                </c:pt>
                <c:pt idx="133">
                  <c:v>164.5290261765889</c:v>
                </c:pt>
                <c:pt idx="134">
                  <c:v>164.4989678996445</c:v>
                </c:pt>
                <c:pt idx="135">
                  <c:v>164.5212311057428</c:v>
                </c:pt>
                <c:pt idx="136">
                  <c:v>164.5463353661126</c:v>
                </c:pt>
                <c:pt idx="137">
                  <c:v>164.5629878605607</c:v>
                </c:pt>
                <c:pt idx="138">
                  <c:v>164.56423324559043</c:v>
                </c:pt>
                <c:pt idx="139">
                  <c:v>164.55840814954635</c:v>
                </c:pt>
                <c:pt idx="140">
                  <c:v>164.56379531773482</c:v>
                </c:pt>
                <c:pt idx="141">
                  <c:v>164.5924692921767</c:v>
                </c:pt>
                <c:pt idx="142">
                  <c:v>164.62748042673695</c:v>
                </c:pt>
                <c:pt idx="143">
                  <c:v>164.65610075529074</c:v>
                </c:pt>
                <c:pt idx="144">
                  <c:v>164.68829961299809</c:v>
                </c:pt>
                <c:pt idx="145">
                  <c:v>164.72393256895154</c:v>
                </c:pt>
                <c:pt idx="146">
                  <c:v>164.76289336938859</c:v>
                </c:pt>
                <c:pt idx="147">
                  <c:v>164.80541127525294</c:v>
                </c:pt>
                <c:pt idx="148">
                  <c:v>164.85047235737312</c:v>
                </c:pt>
                <c:pt idx="149">
                  <c:v>164.88691601516535</c:v>
                </c:pt>
                <c:pt idx="150">
                  <c:v>164.91427850302543</c:v>
                </c:pt>
                <c:pt idx="151">
                  <c:v>164.94258404157213</c:v>
                </c:pt>
                <c:pt idx="152">
                  <c:v>164.96492533011548</c:v>
                </c:pt>
                <c:pt idx="153">
                  <c:v>164.98679933397116</c:v>
                </c:pt>
                <c:pt idx="154">
                  <c:v>165.01077938223597</c:v>
                </c:pt>
                <c:pt idx="155">
                  <c:v>165.03402399359138</c:v>
                </c:pt>
                <c:pt idx="156">
                  <c:v>165.05966810495778</c:v>
                </c:pt>
                <c:pt idx="157">
                  <c:v>165.0857509333141</c:v>
                </c:pt>
                <c:pt idx="158">
                  <c:v>165.10832364378194</c:v>
                </c:pt>
                <c:pt idx="159">
                  <c:v>165.13911664600454</c:v>
                </c:pt>
                <c:pt idx="160">
                  <c:v>165.16244635424462</c:v>
                </c:pt>
                <c:pt idx="161">
                  <c:v>165.19276755081518</c:v>
                </c:pt>
                <c:pt idx="162">
                  <c:v>165.22294675577965</c:v>
                </c:pt>
                <c:pt idx="163">
                  <c:v>165.24538618068075</c:v>
                </c:pt>
                <c:pt idx="164">
                  <c:v>165.2655309811424</c:v>
                </c:pt>
                <c:pt idx="165">
                  <c:v>165.28917544470798</c:v>
                </c:pt>
                <c:pt idx="166">
                  <c:v>165.31220520700023</c:v>
                </c:pt>
                <c:pt idx="167">
                  <c:v>165.34927671963112</c:v>
                </c:pt>
                <c:pt idx="168">
                  <c:v>165.38928808963135</c:v>
                </c:pt>
                <c:pt idx="169">
                  <c:v>165.41999665261079</c:v>
                </c:pt>
                <c:pt idx="170">
                  <c:v>165.44389287113833</c:v>
                </c:pt>
                <c:pt idx="171">
                  <c:v>165.47901822460645</c:v>
                </c:pt>
                <c:pt idx="172">
                  <c:v>165.49833928905707</c:v>
                </c:pt>
                <c:pt idx="173">
                  <c:v>165.51660145056289</c:v>
                </c:pt>
                <c:pt idx="174">
                  <c:v>165.53860645694274</c:v>
                </c:pt>
                <c:pt idx="175">
                  <c:v>165.55839399749843</c:v>
                </c:pt>
                <c:pt idx="176">
                  <c:v>165.57131690259516</c:v>
                </c:pt>
                <c:pt idx="177">
                  <c:v>165.59651791535538</c:v>
                </c:pt>
                <c:pt idx="178">
                  <c:v>165.6312380371308</c:v>
                </c:pt>
                <c:pt idx="179">
                  <c:v>165.65985727137507</c:v>
                </c:pt>
                <c:pt idx="180">
                  <c:v>165.68857386268994</c:v>
                </c:pt>
                <c:pt idx="181">
                  <c:v>165.70911080701487</c:v>
                </c:pt>
                <c:pt idx="182">
                  <c:v>165.72980292723688</c:v>
                </c:pt>
                <c:pt idx="183">
                  <c:v>165.73705515795319</c:v>
                </c:pt>
                <c:pt idx="184">
                  <c:v>165.7434968410939</c:v>
                </c:pt>
                <c:pt idx="185">
                  <c:v>165.75058810814949</c:v>
                </c:pt>
                <c:pt idx="186">
                  <c:v>165.75864282754043</c:v>
                </c:pt>
                <c:pt idx="187">
                  <c:v>165.76839953097522</c:v>
                </c:pt>
                <c:pt idx="188">
                  <c:v>165.78643133254087</c:v>
                </c:pt>
                <c:pt idx="189">
                  <c:v>165.79223134821768</c:v>
                </c:pt>
                <c:pt idx="190">
                  <c:v>165.79165345021792</c:v>
                </c:pt>
                <c:pt idx="191">
                  <c:v>165.78852713121151</c:v>
                </c:pt>
                <c:pt idx="192">
                  <c:v>165.77622132355481</c:v>
                </c:pt>
                <c:pt idx="193">
                  <c:v>165.78736659928236</c:v>
                </c:pt>
                <c:pt idx="194">
                  <c:v>165.81138373633709</c:v>
                </c:pt>
                <c:pt idx="195">
                  <c:v>165.83304820687349</c:v>
                </c:pt>
                <c:pt idx="196">
                  <c:v>165.85539590001696</c:v>
                </c:pt>
                <c:pt idx="197">
                  <c:v>165.87610494975016</c:v>
                </c:pt>
                <c:pt idx="198">
                  <c:v>165.90309301575962</c:v>
                </c:pt>
                <c:pt idx="199">
                  <c:v>165.9238620867915</c:v>
                </c:pt>
                <c:pt idx="200">
                  <c:v>165.94357892025943</c:v>
                </c:pt>
                <c:pt idx="201">
                  <c:v>165.96691912537284</c:v>
                </c:pt>
                <c:pt idx="202">
                  <c:v>165.99525417247634</c:v>
                </c:pt>
                <c:pt idx="203">
                  <c:v>166.01352360929329</c:v>
                </c:pt>
                <c:pt idx="204">
                  <c:v>166.03072565239825</c:v>
                </c:pt>
                <c:pt idx="205">
                  <c:v>166.04690736598616</c:v>
                </c:pt>
                <c:pt idx="206">
                  <c:v>166.06210504479182</c:v>
                </c:pt>
                <c:pt idx="207">
                  <c:v>166.06842739846212</c:v>
                </c:pt>
                <c:pt idx="208">
                  <c:v>166.05851199409665</c:v>
                </c:pt>
                <c:pt idx="209">
                  <c:v>166.03876261519147</c:v>
                </c:pt>
                <c:pt idx="210">
                  <c:v>166.01497959166684</c:v>
                </c:pt>
                <c:pt idx="211">
                  <c:v>165.98331800110685</c:v>
                </c:pt>
                <c:pt idx="212">
                  <c:v>165.96535047319122</c:v>
                </c:pt>
                <c:pt idx="213">
                  <c:v>165.96264125525951</c:v>
                </c:pt>
                <c:pt idx="214">
                  <c:v>165.9146199477741</c:v>
                </c:pt>
                <c:pt idx="215">
                  <c:v>165.87207580184139</c:v>
                </c:pt>
                <c:pt idx="216">
                  <c:v>165.84529381046397</c:v>
                </c:pt>
                <c:pt idx="217">
                  <c:v>165.81500262566058</c:v>
                </c:pt>
                <c:pt idx="218">
                  <c:v>165.77750898587308</c:v>
                </c:pt>
                <c:pt idx="219">
                  <c:v>165.75068872487134</c:v>
                </c:pt>
                <c:pt idx="220">
                  <c:v>165.72228879691542</c:v>
                </c:pt>
                <c:pt idx="221">
                  <c:v>165.57472620664691</c:v>
                </c:pt>
                <c:pt idx="222">
                  <c:v>165.44562783756197</c:v>
                </c:pt>
                <c:pt idx="223">
                  <c:v>165.27714084090593</c:v>
                </c:pt>
                <c:pt idx="224">
                  <c:v>165.17834448527174</c:v>
                </c:pt>
                <c:pt idx="225">
                  <c:v>165.09623605493104</c:v>
                </c:pt>
                <c:pt idx="226">
                  <c:v>165.0377755072368</c:v>
                </c:pt>
                <c:pt idx="227">
                  <c:v>164.97704730222807</c:v>
                </c:pt>
                <c:pt idx="228">
                  <c:v>164.92968488117651</c:v>
                </c:pt>
                <c:pt idx="229">
                  <c:v>164.89478294090276</c:v>
                </c:pt>
                <c:pt idx="230">
                  <c:v>164.87118561193753</c:v>
                </c:pt>
                <c:pt idx="231">
                  <c:v>164.83288201741587</c:v>
                </c:pt>
                <c:pt idx="232">
                  <c:v>164.78537039763535</c:v>
                </c:pt>
                <c:pt idx="233">
                  <c:v>164.70143833237853</c:v>
                </c:pt>
                <c:pt idx="234">
                  <c:v>164.63561687772304</c:v>
                </c:pt>
                <c:pt idx="235">
                  <c:v>164.5068792531452</c:v>
                </c:pt>
                <c:pt idx="236">
                  <c:v>164.40653910334063</c:v>
                </c:pt>
                <c:pt idx="237">
                  <c:v>164.33611181120213</c:v>
                </c:pt>
                <c:pt idx="238">
                  <c:v>164.20100041254855</c:v>
                </c:pt>
                <c:pt idx="239">
                  <c:v>164.10967384720988</c:v>
                </c:pt>
                <c:pt idx="240">
                  <c:v>164.02848827324127</c:v>
                </c:pt>
                <c:pt idx="241">
                  <c:v>163.89996464104482</c:v>
                </c:pt>
                <c:pt idx="242">
                  <c:v>163.77689615748153</c:v>
                </c:pt>
                <c:pt idx="243">
                  <c:v>163.61825073601261</c:v>
                </c:pt>
                <c:pt idx="244">
                  <c:v>163.3822041430833</c:v>
                </c:pt>
                <c:pt idx="245">
                  <c:v>163.06695397373315</c:v>
                </c:pt>
                <c:pt idx="246">
                  <c:v>162.87746998269614</c:v>
                </c:pt>
                <c:pt idx="247">
                  <c:v>162.75666872091134</c:v>
                </c:pt>
                <c:pt idx="248">
                  <c:v>162.60865516954152</c:v>
                </c:pt>
                <c:pt idx="249">
                  <c:v>162.48429541345277</c:v>
                </c:pt>
                <c:pt idx="250">
                  <c:v>162.33289078939288</c:v>
                </c:pt>
                <c:pt idx="251">
                  <c:v>162.20269372519928</c:v>
                </c:pt>
                <c:pt idx="252">
                  <c:v>162.04011798509453</c:v>
                </c:pt>
                <c:pt idx="253">
                  <c:v>161.86934627896539</c:v>
                </c:pt>
                <c:pt idx="254">
                  <c:v>161.58249506930275</c:v>
                </c:pt>
                <c:pt idx="255">
                  <c:v>161.31708723125533</c:v>
                </c:pt>
                <c:pt idx="256">
                  <c:v>161.08886394112031</c:v>
                </c:pt>
                <c:pt idx="257">
                  <c:v>160.7468699592703</c:v>
                </c:pt>
                <c:pt idx="258">
                  <c:v>160.47516165594695</c:v>
                </c:pt>
                <c:pt idx="259">
                  <c:v>160.2349389836186</c:v>
                </c:pt>
                <c:pt idx="260">
                  <c:v>159.99502873644803</c:v>
                </c:pt>
                <c:pt idx="261">
                  <c:v>159.81803721781637</c:v>
                </c:pt>
                <c:pt idx="262">
                  <c:v>159.63874195071531</c:v>
                </c:pt>
                <c:pt idx="263">
                  <c:v>159.46553716676488</c:v>
                </c:pt>
                <c:pt idx="264">
                  <c:v>159.30844963113972</c:v>
                </c:pt>
                <c:pt idx="265">
                  <c:v>159.17518734132656</c:v>
                </c:pt>
                <c:pt idx="266">
                  <c:v>159.05318467714326</c:v>
                </c:pt>
                <c:pt idx="267">
                  <c:v>158.94667159836115</c:v>
                </c:pt>
                <c:pt idx="268">
                  <c:v>158.82081878562903</c:v>
                </c:pt>
                <c:pt idx="269">
                  <c:v>158.71420824060917</c:v>
                </c:pt>
                <c:pt idx="270">
                  <c:v>158.6273878829281</c:v>
                </c:pt>
                <c:pt idx="271">
                  <c:v>158.52682481830962</c:v>
                </c:pt>
                <c:pt idx="272">
                  <c:v>158.39884901090272</c:v>
                </c:pt>
                <c:pt idx="273">
                  <c:v>158.09745347621825</c:v>
                </c:pt>
                <c:pt idx="274">
                  <c:v>157.88798636833255</c:v>
                </c:pt>
                <c:pt idx="275">
                  <c:v>157.72591440065105</c:v>
                </c:pt>
                <c:pt idx="276">
                  <c:v>157.55306741266833</c:v>
                </c:pt>
                <c:pt idx="277">
                  <c:v>157.34120117169303</c:v>
                </c:pt>
                <c:pt idx="278">
                  <c:v>157.18169797110278</c:v>
                </c:pt>
                <c:pt idx="279">
                  <c:v>156.99938876000328</c:v>
                </c:pt>
                <c:pt idx="280">
                  <c:v>156.82099905112915</c:v>
                </c:pt>
                <c:pt idx="281">
                  <c:v>156.65972183989544</c:v>
                </c:pt>
                <c:pt idx="282">
                  <c:v>156.45988800220832</c:v>
                </c:pt>
                <c:pt idx="283">
                  <c:v>156.32246313224945</c:v>
                </c:pt>
                <c:pt idx="284">
                  <c:v>156.21223214304189</c:v>
                </c:pt>
                <c:pt idx="285">
                  <c:v>156.11903870887681</c:v>
                </c:pt>
                <c:pt idx="286">
                  <c:v>156.05490763756561</c:v>
                </c:pt>
                <c:pt idx="287">
                  <c:v>156.00120030944129</c:v>
                </c:pt>
                <c:pt idx="288">
                  <c:v>155.90103046838462</c:v>
                </c:pt>
                <c:pt idx="289">
                  <c:v>155.82608563741752</c:v>
                </c:pt>
                <c:pt idx="290">
                  <c:v>155.75404126087804</c:v>
                </c:pt>
                <c:pt idx="291">
                  <c:v>155.70580826196979</c:v>
                </c:pt>
                <c:pt idx="292">
                  <c:v>155.62965537629591</c:v>
                </c:pt>
                <c:pt idx="293">
                  <c:v>155.5817696628813</c:v>
                </c:pt>
                <c:pt idx="294">
                  <c:v>155.52277544477309</c:v>
                </c:pt>
                <c:pt idx="295">
                  <c:v>155.45947663539079</c:v>
                </c:pt>
                <c:pt idx="296">
                  <c:v>155.40260657578654</c:v>
                </c:pt>
                <c:pt idx="297">
                  <c:v>155.32779981599811</c:v>
                </c:pt>
                <c:pt idx="298">
                  <c:v>155.2085972510113</c:v>
                </c:pt>
                <c:pt idx="299">
                  <c:v>155.12035342033838</c:v>
                </c:pt>
                <c:pt idx="300">
                  <c:v>155.03611206445541</c:v>
                </c:pt>
                <c:pt idx="301">
                  <c:v>154.97481512499141</c:v>
                </c:pt>
                <c:pt idx="302">
                  <c:v>154.87076737911224</c:v>
                </c:pt>
                <c:pt idx="303">
                  <c:v>154.77783446807859</c:v>
                </c:pt>
                <c:pt idx="304">
                  <c:v>154.69176044292144</c:v>
                </c:pt>
                <c:pt idx="305">
                  <c:v>154.5176553447684</c:v>
                </c:pt>
                <c:pt idx="306">
                  <c:v>154.41395166331333</c:v>
                </c:pt>
                <c:pt idx="307">
                  <c:v>154.31506504676059</c:v>
                </c:pt>
                <c:pt idx="308">
                  <c:v>154.23456343153077</c:v>
                </c:pt>
                <c:pt idx="309">
                  <c:v>154.16756926681219</c:v>
                </c:pt>
                <c:pt idx="310">
                  <c:v>154.07267631081237</c:v>
                </c:pt>
                <c:pt idx="311">
                  <c:v>153.97450885015323</c:v>
                </c:pt>
                <c:pt idx="312">
                  <c:v>153.90481565507079</c:v>
                </c:pt>
                <c:pt idx="313">
                  <c:v>153.83295151063632</c:v>
                </c:pt>
                <c:pt idx="314">
                  <c:v>153.76387124782022</c:v>
                </c:pt>
                <c:pt idx="315">
                  <c:v>153.60779241627583</c:v>
                </c:pt>
                <c:pt idx="316">
                  <c:v>153.3929560909562</c:v>
                </c:pt>
                <c:pt idx="317">
                  <c:v>153.19890810171697</c:v>
                </c:pt>
                <c:pt idx="318">
                  <c:v>153.02700961618544</c:v>
                </c:pt>
                <c:pt idx="319">
                  <c:v>152.86886817441604</c:v>
                </c:pt>
                <c:pt idx="320">
                  <c:v>152.73960234405286</c:v>
                </c:pt>
                <c:pt idx="321">
                  <c:v>152.66197709492283</c:v>
                </c:pt>
                <c:pt idx="322">
                  <c:v>152.55063429433665</c:v>
                </c:pt>
                <c:pt idx="323">
                  <c:v>152.3860186519114</c:v>
                </c:pt>
                <c:pt idx="324">
                  <c:v>152.27090517418364</c:v>
                </c:pt>
                <c:pt idx="325">
                  <c:v>152.13291294314766</c:v>
                </c:pt>
                <c:pt idx="326">
                  <c:v>152.01654154415851</c:v>
                </c:pt>
                <c:pt idx="327">
                  <c:v>151.88357576748797</c:v>
                </c:pt>
                <c:pt idx="328">
                  <c:v>151.56895263503102</c:v>
                </c:pt>
                <c:pt idx="329">
                  <c:v>151.28677828066455</c:v>
                </c:pt>
                <c:pt idx="330">
                  <c:v>151.05725240431724</c:v>
                </c:pt>
                <c:pt idx="331">
                  <c:v>150.85830044729866</c:v>
                </c:pt>
                <c:pt idx="332">
                  <c:v>150.66463224709173</c:v>
                </c:pt>
                <c:pt idx="333">
                  <c:v>150.46557593499497</c:v>
                </c:pt>
                <c:pt idx="334">
                  <c:v>150.26670660083201</c:v>
                </c:pt>
                <c:pt idx="335">
                  <c:v>150.02462984454195</c:v>
                </c:pt>
                <c:pt idx="336">
                  <c:v>149.80153449609332</c:v>
                </c:pt>
                <c:pt idx="337">
                  <c:v>149.60342260607251</c:v>
                </c:pt>
                <c:pt idx="338">
                  <c:v>149.40178234655579</c:v>
                </c:pt>
                <c:pt idx="339">
                  <c:v>149.21619270003436</c:v>
                </c:pt>
                <c:pt idx="340">
                  <c:v>148.99477195405575</c:v>
                </c:pt>
                <c:pt idx="341">
                  <c:v>148.75669831702851</c:v>
                </c:pt>
                <c:pt idx="342">
                  <c:v>148.47179109110138</c:v>
                </c:pt>
                <c:pt idx="343">
                  <c:v>148.24756762410448</c:v>
                </c:pt>
                <c:pt idx="344">
                  <c:v>148.03553540281271</c:v>
                </c:pt>
                <c:pt idx="345">
                  <c:v>147.81735257083125</c:v>
                </c:pt>
                <c:pt idx="346">
                  <c:v>147.62591548887474</c:v>
                </c:pt>
                <c:pt idx="347">
                  <c:v>147.39679576168788</c:v>
                </c:pt>
                <c:pt idx="348">
                  <c:v>147.1996321283147</c:v>
                </c:pt>
                <c:pt idx="349">
                  <c:v>146.98301416819788</c:v>
                </c:pt>
                <c:pt idx="350">
                  <c:v>146.71439023375376</c:v>
                </c:pt>
                <c:pt idx="351">
                  <c:v>146.50063111942839</c:v>
                </c:pt>
                <c:pt idx="352">
                  <c:v>146.33807310847487</c:v>
                </c:pt>
                <c:pt idx="353">
                  <c:v>146.0926118253216</c:v>
                </c:pt>
                <c:pt idx="354">
                  <c:v>145.92411974911096</c:v>
                </c:pt>
                <c:pt idx="355">
                  <c:v>145.75885546687928</c:v>
                </c:pt>
                <c:pt idx="356">
                  <c:v>145.60456949709328</c:v>
                </c:pt>
                <c:pt idx="357">
                  <c:v>145.40828652632231</c:v>
                </c:pt>
                <c:pt idx="358">
                  <c:v>145.22795291718887</c:v>
                </c:pt>
                <c:pt idx="359">
                  <c:v>145.03852962878577</c:v>
                </c:pt>
                <c:pt idx="360">
                  <c:v>144.82936066849447</c:v>
                </c:pt>
                <c:pt idx="361">
                  <c:v>144.63498341045968</c:v>
                </c:pt>
                <c:pt idx="362">
                  <c:v>144.4406774270974</c:v>
                </c:pt>
                <c:pt idx="363">
                  <c:v>144.25547284066684</c:v>
                </c:pt>
                <c:pt idx="364">
                  <c:v>144.05938492478941</c:v>
                </c:pt>
                <c:pt idx="365">
                  <c:v>143.85478430388105</c:v>
                </c:pt>
                <c:pt idx="366">
                  <c:v>143.66834753778585</c:v>
                </c:pt>
                <c:pt idx="367">
                  <c:v>143.30997912627669</c:v>
                </c:pt>
                <c:pt idx="368">
                  <c:v>143.08045575481671</c:v>
                </c:pt>
                <c:pt idx="369">
                  <c:v>142.91570736179554</c:v>
                </c:pt>
                <c:pt idx="370">
                  <c:v>142.70288773674048</c:v>
                </c:pt>
                <c:pt idx="371">
                  <c:v>142.48730678882959</c:v>
                </c:pt>
                <c:pt idx="372">
                  <c:v>142.14267794313395</c:v>
                </c:pt>
                <c:pt idx="373">
                  <c:v>141.97397154088188</c:v>
                </c:pt>
                <c:pt idx="374">
                  <c:v>141.82493397423411</c:v>
                </c:pt>
                <c:pt idx="375">
                  <c:v>141.7175506499706</c:v>
                </c:pt>
                <c:pt idx="376">
                  <c:v>141.64045962779298</c:v>
                </c:pt>
                <c:pt idx="377">
                  <c:v>141.5328238820716</c:v>
                </c:pt>
                <c:pt idx="378">
                  <c:v>141.4311726779703</c:v>
                </c:pt>
                <c:pt idx="379">
                  <c:v>141.32589284054663</c:v>
                </c:pt>
                <c:pt idx="380">
                  <c:v>141.22447592098149</c:v>
                </c:pt>
                <c:pt idx="381">
                  <c:v>141.1252868917814</c:v>
                </c:pt>
                <c:pt idx="382">
                  <c:v>141.02508492222253</c:v>
                </c:pt>
                <c:pt idx="383">
                  <c:v>140.90836402054154</c:v>
                </c:pt>
                <c:pt idx="384">
                  <c:v>140.78845014700002</c:v>
                </c:pt>
                <c:pt idx="385">
                  <c:v>140.68388290991896</c:v>
                </c:pt>
                <c:pt idx="386">
                  <c:v>140.61376376331799</c:v>
                </c:pt>
                <c:pt idx="387">
                  <c:v>140.55750105429075</c:v>
                </c:pt>
                <c:pt idx="388">
                  <c:v>140.53104457901946</c:v>
                </c:pt>
                <c:pt idx="389">
                  <c:v>140.51090876506561</c:v>
                </c:pt>
                <c:pt idx="390">
                  <c:v>140.47016324310866</c:v>
                </c:pt>
                <c:pt idx="391">
                  <c:v>140.4358055300417</c:v>
                </c:pt>
                <c:pt idx="392">
                  <c:v>140.37214273387278</c:v>
                </c:pt>
                <c:pt idx="393">
                  <c:v>140.34407637133165</c:v>
                </c:pt>
                <c:pt idx="394">
                  <c:v>140.29456054711267</c:v>
                </c:pt>
                <c:pt idx="395">
                  <c:v>140.19911583329633</c:v>
                </c:pt>
                <c:pt idx="396">
                  <c:v>140.13971464643657</c:v>
                </c:pt>
                <c:pt idx="397">
                  <c:v>140.07807469952203</c:v>
                </c:pt>
                <c:pt idx="398">
                  <c:v>140.03311506279007</c:v>
                </c:pt>
                <c:pt idx="399">
                  <c:v>139.98893143467762</c:v>
                </c:pt>
                <c:pt idx="400">
                  <c:v>139.95746885319724</c:v>
                </c:pt>
                <c:pt idx="401">
                  <c:v>139.94166503405407</c:v>
                </c:pt>
                <c:pt idx="402">
                  <c:v>139.92282003109304</c:v>
                </c:pt>
                <c:pt idx="403">
                  <c:v>139.90680156238483</c:v>
                </c:pt>
                <c:pt idx="404">
                  <c:v>139.90544214660582</c:v>
                </c:pt>
                <c:pt idx="405">
                  <c:v>139.89955785365515</c:v>
                </c:pt>
                <c:pt idx="406">
                  <c:v>139.89700639730572</c:v>
                </c:pt>
                <c:pt idx="407">
                  <c:v>139.88901484713</c:v>
                </c:pt>
                <c:pt idx="408">
                  <c:v>139.89519017567753</c:v>
                </c:pt>
                <c:pt idx="409">
                  <c:v>139.89304725098739</c:v>
                </c:pt>
                <c:pt idx="410">
                  <c:v>139.88625861645747</c:v>
                </c:pt>
                <c:pt idx="411">
                  <c:v>139.88815102012251</c:v>
                </c:pt>
                <c:pt idx="412">
                  <c:v>139.88170404683342</c:v>
                </c:pt>
                <c:pt idx="413">
                  <c:v>139.85729589062964</c:v>
                </c:pt>
                <c:pt idx="414">
                  <c:v>139.84497548189987</c:v>
                </c:pt>
                <c:pt idx="415">
                  <c:v>139.82639651727681</c:v>
                </c:pt>
                <c:pt idx="416">
                  <c:v>139.81965711591403</c:v>
                </c:pt>
                <c:pt idx="417">
                  <c:v>139.80427839807285</c:v>
                </c:pt>
                <c:pt idx="418">
                  <c:v>139.7901236631983</c:v>
                </c:pt>
                <c:pt idx="419">
                  <c:v>139.77996304846434</c:v>
                </c:pt>
                <c:pt idx="420">
                  <c:v>139.76537944151505</c:v>
                </c:pt>
                <c:pt idx="421">
                  <c:v>139.71070818828682</c:v>
                </c:pt>
                <c:pt idx="422">
                  <c:v>139.68664620341363</c:v>
                </c:pt>
                <c:pt idx="423">
                  <c:v>139.66019002817279</c:v>
                </c:pt>
                <c:pt idx="424">
                  <c:v>139.64036168697746</c:v>
                </c:pt>
                <c:pt idx="425">
                  <c:v>139.61929572702039</c:v>
                </c:pt>
                <c:pt idx="426">
                  <c:v>139.5779130689584</c:v>
                </c:pt>
                <c:pt idx="427">
                  <c:v>139.52360466197297</c:v>
                </c:pt>
                <c:pt idx="428">
                  <c:v>139.49137738066173</c:v>
                </c:pt>
                <c:pt idx="429">
                  <c:v>139.45696713190162</c:v>
                </c:pt>
                <c:pt idx="430">
                  <c:v>139.40043250805073</c:v>
                </c:pt>
                <c:pt idx="431">
                  <c:v>139.36944856342882</c:v>
                </c:pt>
                <c:pt idx="432">
                  <c:v>139.34021867998615</c:v>
                </c:pt>
                <c:pt idx="433">
                  <c:v>139.31412670255963</c:v>
                </c:pt>
                <c:pt idx="434">
                  <c:v>139.27231797274402</c:v>
                </c:pt>
                <c:pt idx="435">
                  <c:v>139.23756786009213</c:v>
                </c:pt>
                <c:pt idx="436">
                  <c:v>139.17470426969084</c:v>
                </c:pt>
                <c:pt idx="437">
                  <c:v>139.13429107863311</c:v>
                </c:pt>
                <c:pt idx="438">
                  <c:v>139.11379569716959</c:v>
                </c:pt>
                <c:pt idx="439">
                  <c:v>139.09544890493089</c:v>
                </c:pt>
                <c:pt idx="440">
                  <c:v>139.07220296523582</c:v>
                </c:pt>
                <c:pt idx="441">
                  <c:v>139.0329311255887</c:v>
                </c:pt>
                <c:pt idx="442">
                  <c:v>139.00203267166637</c:v>
                </c:pt>
                <c:pt idx="443">
                  <c:v>138.9514423006521</c:v>
                </c:pt>
                <c:pt idx="444">
                  <c:v>138.91416091363493</c:v>
                </c:pt>
                <c:pt idx="445">
                  <c:v>138.90453425219067</c:v>
                </c:pt>
                <c:pt idx="446">
                  <c:v>138.90395541726866</c:v>
                </c:pt>
                <c:pt idx="447">
                  <c:v>138.91164231888985</c:v>
                </c:pt>
                <c:pt idx="448">
                  <c:v>138.92001983017985</c:v>
                </c:pt>
                <c:pt idx="449">
                  <c:v>138.93157324320848</c:v>
                </c:pt>
                <c:pt idx="450">
                  <c:v>138.94675286706013</c:v>
                </c:pt>
                <c:pt idx="451">
                  <c:v>138.96188649173448</c:v>
                </c:pt>
                <c:pt idx="452">
                  <c:v>138.97579491282059</c:v>
                </c:pt>
                <c:pt idx="453">
                  <c:v>138.98904034640651</c:v>
                </c:pt>
                <c:pt idx="454">
                  <c:v>138.99826519302522</c:v>
                </c:pt>
                <c:pt idx="455">
                  <c:v>139.009510943903</c:v>
                </c:pt>
                <c:pt idx="456">
                  <c:v>139.02229518820101</c:v>
                </c:pt>
                <c:pt idx="457">
                  <c:v>139.02799244015904</c:v>
                </c:pt>
                <c:pt idx="458">
                  <c:v>139.01599262666625</c:v>
                </c:pt>
                <c:pt idx="459">
                  <c:v>139.01371986078931</c:v>
                </c:pt>
                <c:pt idx="460">
                  <c:v>139.00521442741851</c:v>
                </c:pt>
                <c:pt idx="461">
                  <c:v>138.98075285090505</c:v>
                </c:pt>
                <c:pt idx="462">
                  <c:v>138.95332426553216</c:v>
                </c:pt>
                <c:pt idx="463">
                  <c:v>138.9299511126473</c:v>
                </c:pt>
                <c:pt idx="464">
                  <c:v>138.90376617540952</c:v>
                </c:pt>
                <c:pt idx="465">
                  <c:v>138.87956899860325</c:v>
                </c:pt>
                <c:pt idx="466">
                  <c:v>138.85748976009813</c:v>
                </c:pt>
                <c:pt idx="467">
                  <c:v>138.84241523256239</c:v>
                </c:pt>
                <c:pt idx="468">
                  <c:v>138.83010166995666</c:v>
                </c:pt>
                <c:pt idx="469">
                  <c:v>138.81776017983367</c:v>
                </c:pt>
                <c:pt idx="470">
                  <c:v>138.81076597866448</c:v>
                </c:pt>
                <c:pt idx="471">
                  <c:v>138.80741337554213</c:v>
                </c:pt>
                <c:pt idx="472">
                  <c:v>138.80211184583234</c:v>
                </c:pt>
                <c:pt idx="473">
                  <c:v>138.79467322420129</c:v>
                </c:pt>
                <c:pt idx="474">
                  <c:v>138.78619601148122</c:v>
                </c:pt>
                <c:pt idx="475">
                  <c:v>138.77632025183289</c:v>
                </c:pt>
                <c:pt idx="476">
                  <c:v>138.75958663983613</c:v>
                </c:pt>
                <c:pt idx="477">
                  <c:v>138.74668797489448</c:v>
                </c:pt>
                <c:pt idx="478">
                  <c:v>138.74795071709144</c:v>
                </c:pt>
                <c:pt idx="479">
                  <c:v>138.75454756156751</c:v>
                </c:pt>
                <c:pt idx="480">
                  <c:v>138.75697008992296</c:v>
                </c:pt>
                <c:pt idx="481">
                  <c:v>138.75754338784068</c:v>
                </c:pt>
                <c:pt idx="482">
                  <c:v>138.75919561916982</c:v>
                </c:pt>
                <c:pt idx="483">
                  <c:v>138.75423598130848</c:v>
                </c:pt>
                <c:pt idx="484">
                  <c:v>138.74475059303552</c:v>
                </c:pt>
                <c:pt idx="485">
                  <c:v>138.73655604926461</c:v>
                </c:pt>
                <c:pt idx="486">
                  <c:v>138.71516088304949</c:v>
                </c:pt>
                <c:pt idx="487">
                  <c:v>138.70634575097506</c:v>
                </c:pt>
                <c:pt idx="488">
                  <c:v>138.70725360498585</c:v>
                </c:pt>
                <c:pt idx="489">
                  <c:v>138.71320787952325</c:v>
                </c:pt>
                <c:pt idx="490">
                  <c:v>138.72081093056337</c:v>
                </c:pt>
                <c:pt idx="491">
                  <c:v>138.72641048046185</c:v>
                </c:pt>
                <c:pt idx="492">
                  <c:v>138.73058404778183</c:v>
                </c:pt>
                <c:pt idx="493">
                  <c:v>138.73409153144658</c:v>
                </c:pt>
                <c:pt idx="494">
                  <c:v>138.71736411140861</c:v>
                </c:pt>
                <c:pt idx="495">
                  <c:v>138.70981700323776</c:v>
                </c:pt>
                <c:pt idx="496">
                  <c:v>138.69293754400914</c:v>
                </c:pt>
                <c:pt idx="497">
                  <c:v>138.68930565620124</c:v>
                </c:pt>
                <c:pt idx="498">
                  <c:v>138.67929068899682</c:v>
                </c:pt>
                <c:pt idx="499">
                  <c:v>138.66494753842329</c:v>
                </c:pt>
                <c:pt idx="500">
                  <c:v>138.65696395891845</c:v>
                </c:pt>
                <c:pt idx="501">
                  <c:v>138.64801522421197</c:v>
                </c:pt>
                <c:pt idx="502">
                  <c:v>138.62623327704941</c:v>
                </c:pt>
                <c:pt idx="503">
                  <c:v>138.58796774460978</c:v>
                </c:pt>
                <c:pt idx="504">
                  <c:v>138.54306781190769</c:v>
                </c:pt>
                <c:pt idx="505">
                  <c:v>138.4931202251241</c:v>
                </c:pt>
                <c:pt idx="506">
                  <c:v>138.45411883794861</c:v>
                </c:pt>
                <c:pt idx="507">
                  <c:v>138.42541271685337</c:v>
                </c:pt>
                <c:pt idx="508">
                  <c:v>138.38458295180595</c:v>
                </c:pt>
                <c:pt idx="509">
                  <c:v>138.3639207894179</c:v>
                </c:pt>
                <c:pt idx="510">
                  <c:v>138.35474786368914</c:v>
                </c:pt>
                <c:pt idx="511">
                  <c:v>138.35259492514072</c:v>
                </c:pt>
                <c:pt idx="512">
                  <c:v>138.34132011376829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ax val="46069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ax val="185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172.91</c:v>
                </c:pt>
                <c:pt idx="1">
                  <c:v>172.95</c:v>
                </c:pt>
                <c:pt idx="2">
                  <c:v>171.47</c:v>
                </c:pt>
                <c:pt idx="3">
                  <c:v>168.94</c:v>
                </c:pt>
                <c:pt idx="4">
                  <c:v>169.11</c:v>
                </c:pt>
                <c:pt idx="5">
                  <c:v>167.17</c:v>
                </c:pt>
                <c:pt idx="6">
                  <c:v>166.92</c:v>
                </c:pt>
                <c:pt idx="7">
                  <c:v>166.13</c:v>
                </c:pt>
                <c:pt idx="8">
                  <c:v>167.27</c:v>
                </c:pt>
                <c:pt idx="9">
                  <c:v>166.17</c:v>
                </c:pt>
                <c:pt idx="10">
                  <c:v>166.44</c:v>
                </c:pt>
                <c:pt idx="11">
                  <c:v>167.17</c:v>
                </c:pt>
                <c:pt idx="12">
                  <c:v>165.78</c:v>
                </c:pt>
                <c:pt idx="13">
                  <c:v>165.11</c:v>
                </c:pt>
                <c:pt idx="14">
                  <c:v>167.64</c:v>
                </c:pt>
                <c:pt idx="15">
                  <c:v>165.6</c:v>
                </c:pt>
                <c:pt idx="16">
                  <c:v>166.56</c:v>
                </c:pt>
                <c:pt idx="17">
                  <c:v>167.86</c:v>
                </c:pt>
                <c:pt idx="18">
                  <c:v>168.15</c:v>
                </c:pt>
                <c:pt idx="19">
                  <c:v>169.62</c:v>
                </c:pt>
                <c:pt idx="20">
                  <c:v>168.53</c:v>
                </c:pt>
                <c:pt idx="21">
                  <c:v>171.7</c:v>
                </c:pt>
                <c:pt idx="22">
                  <c:v>170.97</c:v>
                </c:pt>
                <c:pt idx="23">
                  <c:v>170.92</c:v>
                </c:pt>
                <c:pt idx="24">
                  <c:v>171.42</c:v>
                </c:pt>
                <c:pt idx="25">
                  <c:v>171.47</c:v>
                </c:pt>
                <c:pt idx="26">
                  <c:v>173.85</c:v>
                </c:pt>
                <c:pt idx="27">
                  <c:v>167.67</c:v>
                </c:pt>
                <c:pt idx="28">
                  <c:v>170.61</c:v>
                </c:pt>
                <c:pt idx="29">
                  <c:v>168.88</c:v>
                </c:pt>
                <c:pt idx="30">
                  <c:v>167.52</c:v>
                </c:pt>
                <c:pt idx="31">
                  <c:v>167.86</c:v>
                </c:pt>
                <c:pt idx="32">
                  <c:v>166.32</c:v>
                </c:pt>
                <c:pt idx="33">
                  <c:v>168.65</c:v>
                </c:pt>
                <c:pt idx="34">
                  <c:v>168.83</c:v>
                </c:pt>
                <c:pt idx="35">
                  <c:v>168.25</c:v>
                </c:pt>
                <c:pt idx="36">
                  <c:v>169.6</c:v>
                </c:pt>
                <c:pt idx="37">
                  <c:v>168.26</c:v>
                </c:pt>
                <c:pt idx="38">
                  <c:v>168.16</c:v>
                </c:pt>
                <c:pt idx="39">
                  <c:v>167.03</c:v>
                </c:pt>
                <c:pt idx="40">
                  <c:v>165.34</c:v>
                </c:pt>
                <c:pt idx="41">
                  <c:v>164.59</c:v>
                </c:pt>
                <c:pt idx="42">
                  <c:v>165.37</c:v>
                </c:pt>
                <c:pt idx="43">
                  <c:v>162.04</c:v>
                </c:pt>
                <c:pt idx="44">
                  <c:v>163</c:v>
                </c:pt>
                <c:pt idx="45">
                  <c:v>163.11000000000001</c:v>
                </c:pt>
                <c:pt idx="46">
                  <c:v>163.05000000000001</c:v>
                </c:pt>
                <c:pt idx="47">
                  <c:v>164.73</c:v>
                </c:pt>
                <c:pt idx="48">
                  <c:v>164.54</c:v>
                </c:pt>
                <c:pt idx="49">
                  <c:v>165.3</c:v>
                </c:pt>
                <c:pt idx="50">
                  <c:v>164.78</c:v>
                </c:pt>
                <c:pt idx="51">
                  <c:v>164.66</c:v>
                </c:pt>
                <c:pt idx="52">
                  <c:v>171.26</c:v>
                </c:pt>
                <c:pt idx="53">
                  <c:v>171.8</c:v>
                </c:pt>
                <c:pt idx="54">
                  <c:v>171.86</c:v>
                </c:pt>
                <c:pt idx="55">
                  <c:v>172.45</c:v>
                </c:pt>
                <c:pt idx="56">
                  <c:v>172.02</c:v>
                </c:pt>
                <c:pt idx="57">
                  <c:v>172.6</c:v>
                </c:pt>
                <c:pt idx="58">
                  <c:v>172.73</c:v>
                </c:pt>
                <c:pt idx="59">
                  <c:v>173.57</c:v>
                </c:pt>
                <c:pt idx="60">
                  <c:v>175.01</c:v>
                </c:pt>
                <c:pt idx="61">
                  <c:v>172.98</c:v>
                </c:pt>
                <c:pt idx="62">
                  <c:v>171.44</c:v>
                </c:pt>
                <c:pt idx="63">
                  <c:v>169.68</c:v>
                </c:pt>
                <c:pt idx="64">
                  <c:v>169.65</c:v>
                </c:pt>
                <c:pt idx="65">
                  <c:v>169.14</c:v>
                </c:pt>
                <c:pt idx="66">
                  <c:v>169.58</c:v>
                </c:pt>
                <c:pt idx="67">
                  <c:v>170.61</c:v>
                </c:pt>
                <c:pt idx="68">
                  <c:v>168.95</c:v>
                </c:pt>
                <c:pt idx="69">
                  <c:v>168.36</c:v>
                </c:pt>
                <c:pt idx="70">
                  <c:v>168.1</c:v>
                </c:pt>
                <c:pt idx="71">
                  <c:v>166.95</c:v>
                </c:pt>
                <c:pt idx="72">
                  <c:v>167.5</c:v>
                </c:pt>
                <c:pt idx="73">
                  <c:v>169.48</c:v>
                </c:pt>
                <c:pt idx="74">
                  <c:v>172.27</c:v>
                </c:pt>
                <c:pt idx="75">
                  <c:v>174.13</c:v>
                </c:pt>
                <c:pt idx="76">
                  <c:v>176.46</c:v>
                </c:pt>
                <c:pt idx="77">
                  <c:v>171.22</c:v>
                </c:pt>
                <c:pt idx="78">
                  <c:v>177.41</c:v>
                </c:pt>
                <c:pt idx="79">
                  <c:v>176.68</c:v>
                </c:pt>
                <c:pt idx="80">
                  <c:v>175.58</c:v>
                </c:pt>
                <c:pt idx="81">
                  <c:v>176.14</c:v>
                </c:pt>
                <c:pt idx="82">
                  <c:v>175.91</c:v>
                </c:pt>
                <c:pt idx="83">
                  <c:v>175.15</c:v>
                </c:pt>
                <c:pt idx="84">
                  <c:v>175.45</c:v>
                </c:pt>
                <c:pt idx="85">
                  <c:v>176.15</c:v>
                </c:pt>
                <c:pt idx="86">
                  <c:v>175.82</c:v>
                </c:pt>
                <c:pt idx="87">
                  <c:v>178.02</c:v>
                </c:pt>
                <c:pt idx="88">
                  <c:v>177.41</c:v>
                </c:pt>
                <c:pt idx="89">
                  <c:v>178.06</c:v>
                </c:pt>
                <c:pt idx="90">
                  <c:v>179.79</c:v>
                </c:pt>
                <c:pt idx="91">
                  <c:v>180.9</c:v>
                </c:pt>
                <c:pt idx="92">
                  <c:v>179.87</c:v>
                </c:pt>
                <c:pt idx="93">
                  <c:v>179.46</c:v>
                </c:pt>
                <c:pt idx="94">
                  <c:v>183.11</c:v>
                </c:pt>
                <c:pt idx="95">
                  <c:v>182.19</c:v>
                </c:pt>
                <c:pt idx="96">
                  <c:v>180.31</c:v>
                </c:pt>
                <c:pt idx="97">
                  <c:v>181.08</c:v>
                </c:pt>
                <c:pt idx="98">
                  <c:v>182.09</c:v>
                </c:pt>
                <c:pt idx="99">
                  <c:v>179.27</c:v>
                </c:pt>
                <c:pt idx="100">
                  <c:v>177.99</c:v>
                </c:pt>
                <c:pt idx="101">
                  <c:v>173.38</c:v>
                </c:pt>
                <c:pt idx="102">
                  <c:v>171.15</c:v>
                </c:pt>
                <c:pt idx="103">
                  <c:v>170.48</c:v>
                </c:pt>
                <c:pt idx="104">
                  <c:v>172.9</c:v>
                </c:pt>
                <c:pt idx="105">
                  <c:v>171.23</c:v>
                </c:pt>
                <c:pt idx="106">
                  <c:v>173.89</c:v>
                </c:pt>
                <c:pt idx="107">
                  <c:v>173.49</c:v>
                </c:pt>
                <c:pt idx="108">
                  <c:v>173.2</c:v>
                </c:pt>
                <c:pt idx="109">
                  <c:v>171.04</c:v>
                </c:pt>
                <c:pt idx="110">
                  <c:v>165.9</c:v>
                </c:pt>
                <c:pt idx="111">
                  <c:v>165.07</c:v>
                </c:pt>
                <c:pt idx="112">
                  <c:v>163.83000000000001</c:v>
                </c:pt>
                <c:pt idx="113">
                  <c:v>163.33000000000001</c:v>
                </c:pt>
                <c:pt idx="114">
                  <c:v>163.81</c:v>
                </c:pt>
                <c:pt idx="115">
                  <c:v>166.14</c:v>
                </c:pt>
                <c:pt idx="116">
                  <c:v>166.48</c:v>
                </c:pt>
                <c:pt idx="117">
                  <c:v>166.68</c:v>
                </c:pt>
                <c:pt idx="118">
                  <c:v>167.28</c:v>
                </c:pt>
                <c:pt idx="119">
                  <c:v>168.08</c:v>
                </c:pt>
                <c:pt idx="120">
                  <c:v>167.35</c:v>
                </c:pt>
                <c:pt idx="121">
                  <c:v>166.74</c:v>
                </c:pt>
                <c:pt idx="122">
                  <c:v>166.26</c:v>
                </c:pt>
                <c:pt idx="123">
                  <c:v>164.93</c:v>
                </c:pt>
                <c:pt idx="124">
                  <c:v>162.88999999999999</c:v>
                </c:pt>
                <c:pt idx="125">
                  <c:v>163.58000000000001</c:v>
                </c:pt>
                <c:pt idx="126">
                  <c:v>162.6</c:v>
                </c:pt>
                <c:pt idx="127">
                  <c:v>164.39</c:v>
                </c:pt>
                <c:pt idx="128">
                  <c:v>162.12</c:v>
                </c:pt>
                <c:pt idx="129">
                  <c:v>161.9</c:v>
                </c:pt>
                <c:pt idx="130">
                  <c:v>163.59</c:v>
                </c:pt>
                <c:pt idx="131">
                  <c:v>163.95</c:v>
                </c:pt>
                <c:pt idx="132">
                  <c:v>166.38</c:v>
                </c:pt>
                <c:pt idx="133">
                  <c:v>163.86</c:v>
                </c:pt>
                <c:pt idx="134">
                  <c:v>164.76</c:v>
                </c:pt>
                <c:pt idx="135">
                  <c:v>169.89</c:v>
                </c:pt>
                <c:pt idx="136">
                  <c:v>170.37</c:v>
                </c:pt>
                <c:pt idx="137">
                  <c:v>169.36</c:v>
                </c:pt>
                <c:pt idx="138">
                  <c:v>167.66</c:v>
                </c:pt>
                <c:pt idx="139">
                  <c:v>166.28</c:v>
                </c:pt>
                <c:pt idx="140">
                  <c:v>168.17</c:v>
                </c:pt>
                <c:pt idx="141">
                  <c:v>171.02</c:v>
                </c:pt>
                <c:pt idx="142">
                  <c:v>172.75</c:v>
                </c:pt>
                <c:pt idx="143">
                  <c:v>173.21</c:v>
                </c:pt>
                <c:pt idx="144">
                  <c:v>173.18</c:v>
                </c:pt>
                <c:pt idx="145">
                  <c:v>172.67</c:v>
                </c:pt>
                <c:pt idx="146">
                  <c:v>174.96</c:v>
                </c:pt>
                <c:pt idx="147">
                  <c:v>178.04</c:v>
                </c:pt>
                <c:pt idx="148">
                  <c:v>174.04</c:v>
                </c:pt>
                <c:pt idx="149">
                  <c:v>172.49</c:v>
                </c:pt>
                <c:pt idx="150">
                  <c:v>171.79</c:v>
                </c:pt>
                <c:pt idx="151">
                  <c:v>172.37</c:v>
                </c:pt>
                <c:pt idx="152">
                  <c:v>172.39</c:v>
                </c:pt>
                <c:pt idx="153">
                  <c:v>171.42</c:v>
                </c:pt>
                <c:pt idx="154">
                  <c:v>172.37</c:v>
                </c:pt>
                <c:pt idx="155">
                  <c:v>173.71</c:v>
                </c:pt>
                <c:pt idx="156">
                  <c:v>172.52</c:v>
                </c:pt>
                <c:pt idx="157">
                  <c:v>172.62</c:v>
                </c:pt>
                <c:pt idx="158">
                  <c:v>173.82</c:v>
                </c:pt>
                <c:pt idx="159">
                  <c:v>175.85</c:v>
                </c:pt>
                <c:pt idx="160">
                  <c:v>175.21</c:v>
                </c:pt>
                <c:pt idx="161">
                  <c:v>175.74</c:v>
                </c:pt>
                <c:pt idx="162">
                  <c:v>175.87</c:v>
                </c:pt>
                <c:pt idx="163">
                  <c:v>175.97</c:v>
                </c:pt>
                <c:pt idx="164">
                  <c:v>175.3</c:v>
                </c:pt>
                <c:pt idx="165">
                  <c:v>173.92</c:v>
                </c:pt>
                <c:pt idx="166">
                  <c:v>172.09</c:v>
                </c:pt>
                <c:pt idx="167">
                  <c:v>172.88</c:v>
                </c:pt>
                <c:pt idx="168">
                  <c:v>177.54</c:v>
                </c:pt>
                <c:pt idx="169">
                  <c:v>178.52</c:v>
                </c:pt>
                <c:pt idx="170">
                  <c:v>179.3</c:v>
                </c:pt>
                <c:pt idx="171">
                  <c:v>177.34</c:v>
                </c:pt>
                <c:pt idx="172">
                  <c:v>178.19</c:v>
                </c:pt>
                <c:pt idx="173">
                  <c:v>177.81</c:v>
                </c:pt>
                <c:pt idx="174">
                  <c:v>175.78</c:v>
                </c:pt>
                <c:pt idx="175">
                  <c:v>177.25</c:v>
                </c:pt>
                <c:pt idx="176">
                  <c:v>177.36</c:v>
                </c:pt>
                <c:pt idx="177">
                  <c:v>177.21</c:v>
                </c:pt>
                <c:pt idx="178">
                  <c:v>176.87</c:v>
                </c:pt>
                <c:pt idx="179">
                  <c:v>175.21</c:v>
                </c:pt>
                <c:pt idx="180">
                  <c:v>174.66</c:v>
                </c:pt>
                <c:pt idx="181">
                  <c:v>171.18</c:v>
                </c:pt>
                <c:pt idx="182">
                  <c:v>172.11</c:v>
                </c:pt>
                <c:pt idx="183">
                  <c:v>169.92</c:v>
                </c:pt>
                <c:pt idx="184">
                  <c:v>169.4</c:v>
                </c:pt>
                <c:pt idx="185">
                  <c:v>169.69</c:v>
                </c:pt>
                <c:pt idx="186">
                  <c:v>170</c:v>
                </c:pt>
                <c:pt idx="187">
                  <c:v>170.05</c:v>
                </c:pt>
                <c:pt idx="188">
                  <c:v>171.38</c:v>
                </c:pt>
                <c:pt idx="189">
                  <c:v>169.55</c:v>
                </c:pt>
                <c:pt idx="190">
                  <c:v>168.53</c:v>
                </c:pt>
                <c:pt idx="191">
                  <c:v>167.97</c:v>
                </c:pt>
                <c:pt idx="192">
                  <c:v>167.21</c:v>
                </c:pt>
                <c:pt idx="193">
                  <c:v>170.42</c:v>
                </c:pt>
                <c:pt idx="194">
                  <c:v>172.54</c:v>
                </c:pt>
                <c:pt idx="195">
                  <c:v>172.99</c:v>
                </c:pt>
                <c:pt idx="196">
                  <c:v>174.81</c:v>
                </c:pt>
                <c:pt idx="197">
                  <c:v>176.1</c:v>
                </c:pt>
                <c:pt idx="198">
                  <c:v>175.9</c:v>
                </c:pt>
                <c:pt idx="199">
                  <c:v>174.48</c:v>
                </c:pt>
                <c:pt idx="200">
                  <c:v>174.67</c:v>
                </c:pt>
                <c:pt idx="201">
                  <c:v>175.06</c:v>
                </c:pt>
                <c:pt idx="202">
                  <c:v>175.01</c:v>
                </c:pt>
                <c:pt idx="203">
                  <c:v>174.37</c:v>
                </c:pt>
                <c:pt idx="204">
                  <c:v>172.95</c:v>
                </c:pt>
                <c:pt idx="205">
                  <c:v>172.16</c:v>
                </c:pt>
                <c:pt idx="206">
                  <c:v>171.79</c:v>
                </c:pt>
                <c:pt idx="207">
                  <c:v>169.84</c:v>
                </c:pt>
                <c:pt idx="208">
                  <c:v>167.5</c:v>
                </c:pt>
                <c:pt idx="209">
                  <c:v>166.21</c:v>
                </c:pt>
                <c:pt idx="210">
                  <c:v>166.08</c:v>
                </c:pt>
                <c:pt idx="211">
                  <c:v>165.59</c:v>
                </c:pt>
                <c:pt idx="212">
                  <c:v>166.34</c:v>
                </c:pt>
                <c:pt idx="213">
                  <c:v>167.85</c:v>
                </c:pt>
                <c:pt idx="214">
                  <c:v>164.71</c:v>
                </c:pt>
                <c:pt idx="215">
                  <c:v>164</c:v>
                </c:pt>
                <c:pt idx="216">
                  <c:v>165.11</c:v>
                </c:pt>
                <c:pt idx="217">
                  <c:v>164.26</c:v>
                </c:pt>
                <c:pt idx="218">
                  <c:v>164.34</c:v>
                </c:pt>
                <c:pt idx="219">
                  <c:v>164.74</c:v>
                </c:pt>
                <c:pt idx="220">
                  <c:v>165.15</c:v>
                </c:pt>
                <c:pt idx="221">
                  <c:v>158.62</c:v>
                </c:pt>
                <c:pt idx="222">
                  <c:v>158.33000000000001</c:v>
                </c:pt>
                <c:pt idx="223">
                  <c:v>156.72</c:v>
                </c:pt>
                <c:pt idx="224">
                  <c:v>158.74</c:v>
                </c:pt>
                <c:pt idx="225">
                  <c:v>160.34</c:v>
                </c:pt>
                <c:pt idx="226">
                  <c:v>162</c:v>
                </c:pt>
                <c:pt idx="227">
                  <c:v>163.05000000000001</c:v>
                </c:pt>
                <c:pt idx="228">
                  <c:v>162.16</c:v>
                </c:pt>
                <c:pt idx="229">
                  <c:v>162.72</c:v>
                </c:pt>
                <c:pt idx="230">
                  <c:v>163.44999999999999</c:v>
                </c:pt>
                <c:pt idx="231">
                  <c:v>163.05000000000001</c:v>
                </c:pt>
                <c:pt idx="232">
                  <c:v>161.69999999999999</c:v>
                </c:pt>
                <c:pt idx="233">
                  <c:v>160.18</c:v>
                </c:pt>
                <c:pt idx="234">
                  <c:v>160.49</c:v>
                </c:pt>
                <c:pt idx="235">
                  <c:v>157.79</c:v>
                </c:pt>
                <c:pt idx="236">
                  <c:v>159.47</c:v>
                </c:pt>
                <c:pt idx="237">
                  <c:v>159.84</c:v>
                </c:pt>
                <c:pt idx="238">
                  <c:v>156.77000000000001</c:v>
                </c:pt>
                <c:pt idx="239">
                  <c:v>158.9</c:v>
                </c:pt>
                <c:pt idx="240">
                  <c:v>157.97</c:v>
                </c:pt>
                <c:pt idx="241">
                  <c:v>156.02000000000001</c:v>
                </c:pt>
                <c:pt idx="242">
                  <c:v>156.13999999999999</c:v>
                </c:pt>
                <c:pt idx="243">
                  <c:v>154.43</c:v>
                </c:pt>
                <c:pt idx="244">
                  <c:v>151.47</c:v>
                </c:pt>
                <c:pt idx="245">
                  <c:v>152.79</c:v>
                </c:pt>
                <c:pt idx="246">
                  <c:v>151.29</c:v>
                </c:pt>
                <c:pt idx="247">
                  <c:v>152.81</c:v>
                </c:pt>
                <c:pt idx="248">
                  <c:v>152.44</c:v>
                </c:pt>
                <c:pt idx="249">
                  <c:v>152.88999999999999</c:v>
                </c:pt>
                <c:pt idx="250">
                  <c:v>151.72</c:v>
                </c:pt>
                <c:pt idx="251">
                  <c:v>152.06</c:v>
                </c:pt>
                <c:pt idx="252">
                  <c:v>150.21</c:v>
                </c:pt>
                <c:pt idx="253">
                  <c:v>149.65</c:v>
                </c:pt>
                <c:pt idx="254">
                  <c:v>146.27000000000001</c:v>
                </c:pt>
                <c:pt idx="255">
                  <c:v>145.4</c:v>
                </c:pt>
                <c:pt idx="256">
                  <c:v>146.54</c:v>
                </c:pt>
                <c:pt idx="257">
                  <c:v>142.63999999999999</c:v>
                </c:pt>
                <c:pt idx="258">
                  <c:v>144.5</c:v>
                </c:pt>
                <c:pt idx="259">
                  <c:v>144.94999999999999</c:v>
                </c:pt>
                <c:pt idx="260">
                  <c:v>144.78</c:v>
                </c:pt>
                <c:pt idx="261">
                  <c:v>146.54</c:v>
                </c:pt>
                <c:pt idx="262">
                  <c:v>148.25</c:v>
                </c:pt>
                <c:pt idx="263">
                  <c:v>148.55000000000001</c:v>
                </c:pt>
                <c:pt idx="264">
                  <c:v>148.09</c:v>
                </c:pt>
                <c:pt idx="265">
                  <c:v>148.62</c:v>
                </c:pt>
                <c:pt idx="266">
                  <c:v>149.12</c:v>
                </c:pt>
                <c:pt idx="267">
                  <c:v>154.61000000000001</c:v>
                </c:pt>
                <c:pt idx="268">
                  <c:v>150.25</c:v>
                </c:pt>
                <c:pt idx="269">
                  <c:v>150.37</c:v>
                </c:pt>
                <c:pt idx="270">
                  <c:v>151.9</c:v>
                </c:pt>
                <c:pt idx="271">
                  <c:v>150.69</c:v>
                </c:pt>
                <c:pt idx="272">
                  <c:v>150.27000000000001</c:v>
                </c:pt>
                <c:pt idx="273">
                  <c:v>143.49</c:v>
                </c:pt>
                <c:pt idx="274">
                  <c:v>145.66</c:v>
                </c:pt>
                <c:pt idx="275">
                  <c:v>145.35</c:v>
                </c:pt>
                <c:pt idx="276">
                  <c:v>144.58000000000001</c:v>
                </c:pt>
                <c:pt idx="277">
                  <c:v>144.35</c:v>
                </c:pt>
                <c:pt idx="278">
                  <c:v>145.63999999999999</c:v>
                </c:pt>
                <c:pt idx="279">
                  <c:v>143.99</c:v>
                </c:pt>
                <c:pt idx="280">
                  <c:v>144.58000000000001</c:v>
                </c:pt>
                <c:pt idx="281">
                  <c:v>143.38999999999999</c:v>
                </c:pt>
                <c:pt idx="282">
                  <c:v>144.1</c:v>
                </c:pt>
                <c:pt idx="283">
                  <c:v>145.81</c:v>
                </c:pt>
                <c:pt idx="284">
                  <c:v>149.1</c:v>
                </c:pt>
                <c:pt idx="285">
                  <c:v>153.5</c:v>
                </c:pt>
                <c:pt idx="286">
                  <c:v>153.85</c:v>
                </c:pt>
                <c:pt idx="287">
                  <c:v>156.41999999999999</c:v>
                </c:pt>
                <c:pt idx="288">
                  <c:v>151.51</c:v>
                </c:pt>
                <c:pt idx="289">
                  <c:v>152.02000000000001</c:v>
                </c:pt>
                <c:pt idx="290">
                  <c:v>153.47</c:v>
                </c:pt>
                <c:pt idx="291">
                  <c:v>155.99</c:v>
                </c:pt>
                <c:pt idx="292">
                  <c:v>154.19</c:v>
                </c:pt>
                <c:pt idx="293">
                  <c:v>153.88</c:v>
                </c:pt>
                <c:pt idx="294">
                  <c:v>154.61000000000001</c:v>
                </c:pt>
                <c:pt idx="295">
                  <c:v>154.44</c:v>
                </c:pt>
                <c:pt idx="296">
                  <c:v>156.25</c:v>
                </c:pt>
                <c:pt idx="297">
                  <c:v>152.33000000000001</c:v>
                </c:pt>
                <c:pt idx="298">
                  <c:v>148.16999999999999</c:v>
                </c:pt>
                <c:pt idx="299">
                  <c:v>148.34</c:v>
                </c:pt>
                <c:pt idx="300">
                  <c:v>148.59</c:v>
                </c:pt>
                <c:pt idx="301">
                  <c:v>151.34</c:v>
                </c:pt>
                <c:pt idx="302">
                  <c:v>148.99</c:v>
                </c:pt>
                <c:pt idx="303">
                  <c:v>148.11000000000001</c:v>
                </c:pt>
                <c:pt idx="304">
                  <c:v>147.15</c:v>
                </c:pt>
                <c:pt idx="305">
                  <c:v>145.44999999999999</c:v>
                </c:pt>
                <c:pt idx="306">
                  <c:v>146.44999999999999</c:v>
                </c:pt>
                <c:pt idx="307">
                  <c:v>145.54</c:v>
                </c:pt>
                <c:pt idx="308">
                  <c:v>148.63999999999999</c:v>
                </c:pt>
                <c:pt idx="309">
                  <c:v>149.66999999999999</c:v>
                </c:pt>
                <c:pt idx="310">
                  <c:v>149.27000000000001</c:v>
                </c:pt>
                <c:pt idx="311">
                  <c:v>149.94</c:v>
                </c:pt>
                <c:pt idx="312">
                  <c:v>149.66999999999999</c:v>
                </c:pt>
                <c:pt idx="313">
                  <c:v>149.12</c:v>
                </c:pt>
                <c:pt idx="314">
                  <c:v>151.37</c:v>
                </c:pt>
                <c:pt idx="315">
                  <c:v>146.61000000000001</c:v>
                </c:pt>
                <c:pt idx="316">
                  <c:v>143.19</c:v>
                </c:pt>
                <c:pt idx="317">
                  <c:v>140.30000000000001</c:v>
                </c:pt>
                <c:pt idx="318">
                  <c:v>145.59</c:v>
                </c:pt>
                <c:pt idx="319">
                  <c:v>144.13999999999999</c:v>
                </c:pt>
                <c:pt idx="320">
                  <c:v>144.43</c:v>
                </c:pt>
                <c:pt idx="321">
                  <c:v>146.75</c:v>
                </c:pt>
                <c:pt idx="322">
                  <c:v>142.84</c:v>
                </c:pt>
                <c:pt idx="323">
                  <c:v>140.09</c:v>
                </c:pt>
                <c:pt idx="324">
                  <c:v>142.84</c:v>
                </c:pt>
                <c:pt idx="325">
                  <c:v>141.72999999999999</c:v>
                </c:pt>
                <c:pt idx="326">
                  <c:v>143.46</c:v>
                </c:pt>
                <c:pt idx="327">
                  <c:v>142.26</c:v>
                </c:pt>
                <c:pt idx="328">
                  <c:v>135.31</c:v>
                </c:pt>
                <c:pt idx="329">
                  <c:v>133.38</c:v>
                </c:pt>
                <c:pt idx="330">
                  <c:v>133.76</c:v>
                </c:pt>
                <c:pt idx="331">
                  <c:v>134.31</c:v>
                </c:pt>
                <c:pt idx="332">
                  <c:v>135.58000000000001</c:v>
                </c:pt>
                <c:pt idx="333">
                  <c:v>133.55000000000001</c:v>
                </c:pt>
                <c:pt idx="334">
                  <c:v>133.75</c:v>
                </c:pt>
                <c:pt idx="335">
                  <c:v>131.99</c:v>
                </c:pt>
                <c:pt idx="336">
                  <c:v>130.74</c:v>
                </c:pt>
                <c:pt idx="337">
                  <c:v>131.91499999999999</c:v>
                </c:pt>
                <c:pt idx="338">
                  <c:v>131.43</c:v>
                </c:pt>
                <c:pt idx="339">
                  <c:v>130.44</c:v>
                </c:pt>
                <c:pt idx="340">
                  <c:v>131.68</c:v>
                </c:pt>
                <c:pt idx="341">
                  <c:v>130.31</c:v>
                </c:pt>
                <c:pt idx="342">
                  <c:v>128.44999999999999</c:v>
                </c:pt>
                <c:pt idx="343">
                  <c:v>131.5</c:v>
                </c:pt>
                <c:pt idx="344">
                  <c:v>131.97999999999999</c:v>
                </c:pt>
                <c:pt idx="345">
                  <c:v>131.79</c:v>
                </c:pt>
                <c:pt idx="346">
                  <c:v>131.80000000000001</c:v>
                </c:pt>
                <c:pt idx="347">
                  <c:v>130.15</c:v>
                </c:pt>
                <c:pt idx="348">
                  <c:v>130.12</c:v>
                </c:pt>
                <c:pt idx="349">
                  <c:v>129.34</c:v>
                </c:pt>
                <c:pt idx="350">
                  <c:v>131.37</c:v>
                </c:pt>
                <c:pt idx="351">
                  <c:v>130.66999999999999</c:v>
                </c:pt>
                <c:pt idx="352">
                  <c:v>131.91999999999999</c:v>
                </c:pt>
                <c:pt idx="353">
                  <c:v>131.44999999999999</c:v>
                </c:pt>
                <c:pt idx="354">
                  <c:v>130.91</c:v>
                </c:pt>
                <c:pt idx="355">
                  <c:v>131.85</c:v>
                </c:pt>
                <c:pt idx="356">
                  <c:v>131.74</c:v>
                </c:pt>
                <c:pt idx="357">
                  <c:v>131.11000000000001</c:v>
                </c:pt>
                <c:pt idx="358">
                  <c:v>130.03</c:v>
                </c:pt>
                <c:pt idx="359">
                  <c:v>129.96</c:v>
                </c:pt>
                <c:pt idx="360">
                  <c:v>131.83000000000001</c:v>
                </c:pt>
                <c:pt idx="361">
                  <c:v>129.9</c:v>
                </c:pt>
                <c:pt idx="362">
                  <c:v>132.30000000000001</c:v>
                </c:pt>
                <c:pt idx="363">
                  <c:v>130.85</c:v>
                </c:pt>
                <c:pt idx="364">
                  <c:v>131.41</c:v>
                </c:pt>
                <c:pt idx="365">
                  <c:v>129.29</c:v>
                </c:pt>
                <c:pt idx="366">
                  <c:v>129.07</c:v>
                </c:pt>
                <c:pt idx="367">
                  <c:v>129.07</c:v>
                </c:pt>
                <c:pt idx="368">
                  <c:v>129.09</c:v>
                </c:pt>
                <c:pt idx="369">
                  <c:v>131.05000000000001</c:v>
                </c:pt>
                <c:pt idx="370">
                  <c:v>128.02000000000001</c:v>
                </c:pt>
                <c:pt idx="371">
                  <c:v>128.22</c:v>
                </c:pt>
                <c:pt idx="372">
                  <c:v>131.04</c:v>
                </c:pt>
                <c:pt idx="373">
                  <c:v>132.04</c:v>
                </c:pt>
                <c:pt idx="374">
                  <c:v>135.26</c:v>
                </c:pt>
                <c:pt idx="375">
                  <c:v>136.47999999999999</c:v>
                </c:pt>
                <c:pt idx="376">
                  <c:v>135.38</c:v>
                </c:pt>
                <c:pt idx="377">
                  <c:v>134.44999999999999</c:v>
                </c:pt>
                <c:pt idx="378">
                  <c:v>135.04</c:v>
                </c:pt>
                <c:pt idx="379">
                  <c:v>134.47999999999999</c:v>
                </c:pt>
                <c:pt idx="380">
                  <c:v>136.08000000000001</c:v>
                </c:pt>
                <c:pt idx="381">
                  <c:v>135.26</c:v>
                </c:pt>
                <c:pt idx="382">
                  <c:v>135.57</c:v>
                </c:pt>
                <c:pt idx="383">
                  <c:v>133.81</c:v>
                </c:pt>
                <c:pt idx="384">
                  <c:v>135.35</c:v>
                </c:pt>
                <c:pt idx="385">
                  <c:v>145.44</c:v>
                </c:pt>
                <c:pt idx="386">
                  <c:v>143.24</c:v>
                </c:pt>
                <c:pt idx="387">
                  <c:v>141.69999999999999</c:v>
                </c:pt>
                <c:pt idx="388">
                  <c:v>146.04</c:v>
                </c:pt>
                <c:pt idx="389">
                  <c:v>145.66</c:v>
                </c:pt>
                <c:pt idx="390">
                  <c:v>144.51</c:v>
                </c:pt>
                <c:pt idx="391">
                  <c:v>143.44999999999999</c:v>
                </c:pt>
                <c:pt idx="392">
                  <c:v>141.57</c:v>
                </c:pt>
                <c:pt idx="393">
                  <c:v>143.88999999999999</c:v>
                </c:pt>
                <c:pt idx="394">
                  <c:v>142.86000000000001</c:v>
                </c:pt>
                <c:pt idx="395">
                  <c:v>137.91999999999999</c:v>
                </c:pt>
                <c:pt idx="396">
                  <c:v>139.28</c:v>
                </c:pt>
                <c:pt idx="397">
                  <c:v>139.56</c:v>
                </c:pt>
                <c:pt idx="398">
                  <c:v>139.44999999999999</c:v>
                </c:pt>
                <c:pt idx="399">
                  <c:v>140.80000000000001</c:v>
                </c:pt>
                <c:pt idx="400">
                  <c:v>143.91999999999999</c:v>
                </c:pt>
                <c:pt idx="401">
                  <c:v>145.21</c:v>
                </c:pt>
                <c:pt idx="402">
                  <c:v>144.87</c:v>
                </c:pt>
                <c:pt idx="403">
                  <c:v>146.87</c:v>
                </c:pt>
                <c:pt idx="404">
                  <c:v>149.35</c:v>
                </c:pt>
                <c:pt idx="405">
                  <c:v>148.62</c:v>
                </c:pt>
                <c:pt idx="406">
                  <c:v>150.4</c:v>
                </c:pt>
                <c:pt idx="407">
                  <c:v>149.55000000000001</c:v>
                </c:pt>
                <c:pt idx="408">
                  <c:v>152.16</c:v>
                </c:pt>
                <c:pt idx="409">
                  <c:v>150.72999999999999</c:v>
                </c:pt>
                <c:pt idx="410">
                  <c:v>148.97999999999999</c:v>
                </c:pt>
                <c:pt idx="411">
                  <c:v>149.63999999999999</c:v>
                </c:pt>
                <c:pt idx="412">
                  <c:v>148.19999999999999</c:v>
                </c:pt>
                <c:pt idx="413">
                  <c:v>147</c:v>
                </c:pt>
                <c:pt idx="414">
                  <c:v>147.63999999999999</c:v>
                </c:pt>
                <c:pt idx="415">
                  <c:v>146.97999999999999</c:v>
                </c:pt>
                <c:pt idx="416">
                  <c:v>148.65</c:v>
                </c:pt>
                <c:pt idx="417">
                  <c:v>150.28</c:v>
                </c:pt>
                <c:pt idx="418">
                  <c:v>148.63999999999999</c:v>
                </c:pt>
                <c:pt idx="419">
                  <c:v>146.88999999999999</c:v>
                </c:pt>
                <c:pt idx="420">
                  <c:v>146.38999999999999</c:v>
                </c:pt>
                <c:pt idx="421">
                  <c:v>141.71</c:v>
                </c:pt>
                <c:pt idx="422">
                  <c:v>143.1</c:v>
                </c:pt>
                <c:pt idx="423">
                  <c:v>142.66</c:v>
                </c:pt>
                <c:pt idx="424">
                  <c:v>144.22999999999999</c:v>
                </c:pt>
                <c:pt idx="425">
                  <c:v>143.53</c:v>
                </c:pt>
                <c:pt idx="426">
                  <c:v>140.63999999999999</c:v>
                </c:pt>
                <c:pt idx="427">
                  <c:v>140.03</c:v>
                </c:pt>
                <c:pt idx="428">
                  <c:v>141.22999999999999</c:v>
                </c:pt>
                <c:pt idx="429">
                  <c:v>140.72999999999999</c:v>
                </c:pt>
                <c:pt idx="430">
                  <c:v>141.76</c:v>
                </c:pt>
                <c:pt idx="431">
                  <c:v>141.03</c:v>
                </c:pt>
                <c:pt idx="432">
                  <c:v>141.9</c:v>
                </c:pt>
                <c:pt idx="433">
                  <c:v>142.16999999999999</c:v>
                </c:pt>
                <c:pt idx="434">
                  <c:v>139.91999999999999</c:v>
                </c:pt>
                <c:pt idx="435">
                  <c:v>140.44</c:v>
                </c:pt>
                <c:pt idx="436">
                  <c:v>140.16999999999999</c:v>
                </c:pt>
                <c:pt idx="437">
                  <c:v>140.44</c:v>
                </c:pt>
                <c:pt idx="438">
                  <c:v>143.13999999999999</c:v>
                </c:pt>
                <c:pt idx="439">
                  <c:v>142.31</c:v>
                </c:pt>
                <c:pt idx="440">
                  <c:v>141.97999999999999</c:v>
                </c:pt>
                <c:pt idx="441">
                  <c:v>139.69999999999999</c:v>
                </c:pt>
                <c:pt idx="442">
                  <c:v>140.79</c:v>
                </c:pt>
                <c:pt idx="443">
                  <c:v>138.84</c:v>
                </c:pt>
                <c:pt idx="444">
                  <c:v>144.71</c:v>
                </c:pt>
                <c:pt idx="445">
                  <c:v>150.08000000000001</c:v>
                </c:pt>
                <c:pt idx="446">
                  <c:v>148.88999999999999</c:v>
                </c:pt>
                <c:pt idx="447">
                  <c:v>151.54</c:v>
                </c:pt>
                <c:pt idx="448">
                  <c:v>151.16</c:v>
                </c:pt>
                <c:pt idx="449">
                  <c:v>152.66999999999999</c:v>
                </c:pt>
                <c:pt idx="450">
                  <c:v>153.71</c:v>
                </c:pt>
                <c:pt idx="451">
                  <c:v>153.63999999999999</c:v>
                </c:pt>
                <c:pt idx="452">
                  <c:v>153.18</c:v>
                </c:pt>
                <c:pt idx="453">
                  <c:v>153.03</c:v>
                </c:pt>
                <c:pt idx="454">
                  <c:v>151.51</c:v>
                </c:pt>
                <c:pt idx="455">
                  <c:v>151.55000000000001</c:v>
                </c:pt>
                <c:pt idx="456">
                  <c:v>152.63</c:v>
                </c:pt>
                <c:pt idx="457">
                  <c:v>150.12</c:v>
                </c:pt>
                <c:pt idx="458">
                  <c:v>146.16</c:v>
                </c:pt>
                <c:pt idx="459">
                  <c:v>147.55000000000001</c:v>
                </c:pt>
                <c:pt idx="460">
                  <c:v>146.09</c:v>
                </c:pt>
                <c:pt idx="461">
                  <c:v>143.6</c:v>
                </c:pt>
                <c:pt idx="462">
                  <c:v>142.9</c:v>
                </c:pt>
                <c:pt idx="463">
                  <c:v>142.86000000000001</c:v>
                </c:pt>
                <c:pt idx="464">
                  <c:v>141.58000000000001</c:v>
                </c:pt>
                <c:pt idx="465">
                  <c:v>142.94999999999999</c:v>
                </c:pt>
                <c:pt idx="466">
                  <c:v>142.62</c:v>
                </c:pt>
                <c:pt idx="467">
                  <c:v>145.08000000000001</c:v>
                </c:pt>
                <c:pt idx="468">
                  <c:v>144.38999999999999</c:v>
                </c:pt>
                <c:pt idx="469">
                  <c:v>145.02000000000001</c:v>
                </c:pt>
                <c:pt idx="470">
                  <c:v>145.85</c:v>
                </c:pt>
                <c:pt idx="471">
                  <c:v>147.83000000000001</c:v>
                </c:pt>
                <c:pt idx="472">
                  <c:v>148.77000000000001</c:v>
                </c:pt>
                <c:pt idx="473">
                  <c:v>147.11000000000001</c:v>
                </c:pt>
                <c:pt idx="474">
                  <c:v>146.1</c:v>
                </c:pt>
                <c:pt idx="475">
                  <c:v>146.33000000000001</c:v>
                </c:pt>
                <c:pt idx="476">
                  <c:v>145.5</c:v>
                </c:pt>
                <c:pt idx="477">
                  <c:v>146.11000000000001</c:v>
                </c:pt>
                <c:pt idx="478">
                  <c:v>147.97999999999999</c:v>
                </c:pt>
                <c:pt idx="479">
                  <c:v>148.74</c:v>
                </c:pt>
                <c:pt idx="480">
                  <c:v>149.51</c:v>
                </c:pt>
                <c:pt idx="481">
                  <c:v>148.61000000000001</c:v>
                </c:pt>
                <c:pt idx="482">
                  <c:v>148.06</c:v>
                </c:pt>
                <c:pt idx="483">
                  <c:v>146.91</c:v>
                </c:pt>
                <c:pt idx="484">
                  <c:v>145.02000000000001</c:v>
                </c:pt>
                <c:pt idx="485">
                  <c:v>145.63</c:v>
                </c:pt>
                <c:pt idx="486">
                  <c:v>144.63999999999999</c:v>
                </c:pt>
                <c:pt idx="487">
                  <c:v>149.69999999999999</c:v>
                </c:pt>
                <c:pt idx="488">
                  <c:v>149.04</c:v>
                </c:pt>
                <c:pt idx="489">
                  <c:v>150.65</c:v>
                </c:pt>
                <c:pt idx="490">
                  <c:v>151.22</c:v>
                </c:pt>
                <c:pt idx="491">
                  <c:v>150.37</c:v>
                </c:pt>
                <c:pt idx="492">
                  <c:v>150.08000000000001</c:v>
                </c:pt>
                <c:pt idx="493">
                  <c:v>149.37</c:v>
                </c:pt>
                <c:pt idx="494">
                  <c:v>148.16</c:v>
                </c:pt>
                <c:pt idx="495">
                  <c:v>147.05000000000001</c:v>
                </c:pt>
                <c:pt idx="496">
                  <c:v>143.68</c:v>
                </c:pt>
                <c:pt idx="497">
                  <c:v>143.74</c:v>
                </c:pt>
                <c:pt idx="498">
                  <c:v>143.78</c:v>
                </c:pt>
                <c:pt idx="499">
                  <c:v>144.24</c:v>
                </c:pt>
                <c:pt idx="500">
                  <c:v>144.16</c:v>
                </c:pt>
                <c:pt idx="501">
                  <c:v>143.52000000000001</c:v>
                </c:pt>
                <c:pt idx="502">
                  <c:v>142.22999999999999</c:v>
                </c:pt>
                <c:pt idx="503">
                  <c:v>139.91999999999999</c:v>
                </c:pt>
                <c:pt idx="504">
                  <c:v>138.96</c:v>
                </c:pt>
                <c:pt idx="505">
                  <c:v>137.01</c:v>
                </c:pt>
                <c:pt idx="506">
                  <c:v>139.37</c:v>
                </c:pt>
                <c:pt idx="507">
                  <c:v>139.91</c:v>
                </c:pt>
                <c:pt idx="508">
                  <c:v>141.36000000000001</c:v>
                </c:pt>
                <c:pt idx="509">
                  <c:v>143.47999999999999</c:v>
                </c:pt>
                <c:pt idx="510">
                  <c:v>145.91999999999999</c:v>
                </c:pt>
                <c:pt idx="511">
                  <c:v>146.57</c:v>
                </c:pt>
                <c:pt idx="512">
                  <c:v>146.32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Data!$J$2:$J$514</c:f>
              <c:numCache>
                <c:formatCode>General</c:formatCode>
                <c:ptCount val="513"/>
                <c:pt idx="19">
                  <c:v>167.94850000000002</c:v>
                </c:pt>
                <c:pt idx="20">
                  <c:v>167.7295</c:v>
                </c:pt>
                <c:pt idx="21">
                  <c:v>167.667</c:v>
                </c:pt>
                <c:pt idx="22">
                  <c:v>167.642</c:v>
                </c:pt>
                <c:pt idx="23">
                  <c:v>167.74099999999999</c:v>
                </c:pt>
                <c:pt idx="24">
                  <c:v>167.85649999999998</c:v>
                </c:pt>
                <c:pt idx="25">
                  <c:v>168.07149999999996</c:v>
                </c:pt>
                <c:pt idx="26">
                  <c:v>168.41799999999998</c:v>
                </c:pt>
                <c:pt idx="27">
                  <c:v>168.49499999999998</c:v>
                </c:pt>
                <c:pt idx="28">
                  <c:v>168.66199999999998</c:v>
                </c:pt>
                <c:pt idx="29">
                  <c:v>168.79749999999999</c:v>
                </c:pt>
                <c:pt idx="30">
                  <c:v>168.85150000000002</c:v>
                </c:pt>
                <c:pt idx="31">
                  <c:v>168.88600000000002</c:v>
                </c:pt>
                <c:pt idx="32">
                  <c:v>168.91300000000004</c:v>
                </c:pt>
                <c:pt idx="33">
                  <c:v>169.09000000000006</c:v>
                </c:pt>
                <c:pt idx="34">
                  <c:v>169.14950000000005</c:v>
                </c:pt>
                <c:pt idx="35">
                  <c:v>169.28200000000004</c:v>
                </c:pt>
                <c:pt idx="36">
                  <c:v>169.43400000000003</c:v>
                </c:pt>
                <c:pt idx="37">
                  <c:v>169.45400000000001</c:v>
                </c:pt>
                <c:pt idx="38">
                  <c:v>169.4545</c:v>
                </c:pt>
                <c:pt idx="39">
                  <c:v>169.32500000000002</c:v>
                </c:pt>
                <c:pt idx="40">
                  <c:v>169.16550000000001</c:v>
                </c:pt>
                <c:pt idx="41">
                  <c:v>168.81</c:v>
                </c:pt>
                <c:pt idx="42">
                  <c:v>168.53</c:v>
                </c:pt>
                <c:pt idx="43">
                  <c:v>168.08600000000004</c:v>
                </c:pt>
                <c:pt idx="44">
                  <c:v>167.66500000000002</c:v>
                </c:pt>
                <c:pt idx="45">
                  <c:v>167.24700000000001</c:v>
                </c:pt>
                <c:pt idx="46">
                  <c:v>166.70700000000002</c:v>
                </c:pt>
                <c:pt idx="47">
                  <c:v>166.56</c:v>
                </c:pt>
                <c:pt idx="48">
                  <c:v>166.25650000000002</c:v>
                </c:pt>
                <c:pt idx="49">
                  <c:v>166.07750000000001</c:v>
                </c:pt>
                <c:pt idx="50">
                  <c:v>165.94050000000001</c:v>
                </c:pt>
                <c:pt idx="51">
                  <c:v>165.78050000000002</c:v>
                </c:pt>
                <c:pt idx="52">
                  <c:v>166.0275</c:v>
                </c:pt>
                <c:pt idx="53">
                  <c:v>166.18500000000003</c:v>
                </c:pt>
                <c:pt idx="54">
                  <c:v>166.3365</c:v>
                </c:pt>
                <c:pt idx="55">
                  <c:v>166.54650000000004</c:v>
                </c:pt>
                <c:pt idx="56">
                  <c:v>166.66750000000002</c:v>
                </c:pt>
                <c:pt idx="57">
                  <c:v>166.8845</c:v>
                </c:pt>
                <c:pt idx="58">
                  <c:v>167.113</c:v>
                </c:pt>
                <c:pt idx="59">
                  <c:v>167.44</c:v>
                </c:pt>
                <c:pt idx="60">
                  <c:v>167.92350000000002</c:v>
                </c:pt>
                <c:pt idx="61">
                  <c:v>168.34300000000002</c:v>
                </c:pt>
                <c:pt idx="62">
                  <c:v>168.6465</c:v>
                </c:pt>
                <c:pt idx="63">
                  <c:v>169.02850000000001</c:v>
                </c:pt>
                <c:pt idx="64">
                  <c:v>169.36100000000002</c:v>
                </c:pt>
                <c:pt idx="65">
                  <c:v>169.66249999999997</c:v>
                </c:pt>
                <c:pt idx="66">
                  <c:v>169.98899999999998</c:v>
                </c:pt>
                <c:pt idx="67">
                  <c:v>170.28299999999999</c:v>
                </c:pt>
                <c:pt idx="68">
                  <c:v>170.50349999999997</c:v>
                </c:pt>
                <c:pt idx="69">
                  <c:v>170.65649999999999</c:v>
                </c:pt>
                <c:pt idx="70">
                  <c:v>170.82249999999996</c:v>
                </c:pt>
                <c:pt idx="71">
                  <c:v>170.93699999999998</c:v>
                </c:pt>
                <c:pt idx="72">
                  <c:v>170.74899999999997</c:v>
                </c:pt>
                <c:pt idx="73">
                  <c:v>170.63299999999998</c:v>
                </c:pt>
                <c:pt idx="74">
                  <c:v>170.65350000000001</c:v>
                </c:pt>
                <c:pt idx="75">
                  <c:v>170.73750000000001</c:v>
                </c:pt>
                <c:pt idx="76">
                  <c:v>170.95949999999999</c:v>
                </c:pt>
                <c:pt idx="77">
                  <c:v>170.8905</c:v>
                </c:pt>
                <c:pt idx="78">
                  <c:v>171.12449999999998</c:v>
                </c:pt>
                <c:pt idx="79">
                  <c:v>171.27999999999997</c:v>
                </c:pt>
                <c:pt idx="80">
                  <c:v>171.30849999999995</c:v>
                </c:pt>
                <c:pt idx="81">
                  <c:v>171.46649999999997</c:v>
                </c:pt>
                <c:pt idx="82">
                  <c:v>171.68999999999997</c:v>
                </c:pt>
                <c:pt idx="83">
                  <c:v>171.96349999999998</c:v>
                </c:pt>
                <c:pt idx="84">
                  <c:v>172.25349999999997</c:v>
                </c:pt>
                <c:pt idx="85">
                  <c:v>172.60399999999998</c:v>
                </c:pt>
                <c:pt idx="86">
                  <c:v>172.916</c:v>
                </c:pt>
                <c:pt idx="87">
                  <c:v>173.28649999999999</c:v>
                </c:pt>
                <c:pt idx="88">
                  <c:v>173.70949999999999</c:v>
                </c:pt>
                <c:pt idx="89">
                  <c:v>174.19450000000001</c:v>
                </c:pt>
                <c:pt idx="90">
                  <c:v>174.779</c:v>
                </c:pt>
                <c:pt idx="91">
                  <c:v>175.47649999999999</c:v>
                </c:pt>
                <c:pt idx="92">
                  <c:v>176.095</c:v>
                </c:pt>
                <c:pt idx="93">
                  <c:v>176.59399999999999</c:v>
                </c:pt>
                <c:pt idx="94">
                  <c:v>177.13600000000002</c:v>
                </c:pt>
                <c:pt idx="95">
                  <c:v>177.53900000000002</c:v>
                </c:pt>
                <c:pt idx="96">
                  <c:v>177.73150000000001</c:v>
                </c:pt>
                <c:pt idx="97">
                  <c:v>178.22450000000001</c:v>
                </c:pt>
                <c:pt idx="98">
                  <c:v>178.45850000000002</c:v>
                </c:pt>
                <c:pt idx="99">
                  <c:v>178.58800000000002</c:v>
                </c:pt>
                <c:pt idx="100">
                  <c:v>178.70850000000002</c:v>
                </c:pt>
                <c:pt idx="101">
                  <c:v>178.57050000000004</c:v>
                </c:pt>
                <c:pt idx="102">
                  <c:v>178.33250000000001</c:v>
                </c:pt>
                <c:pt idx="103">
                  <c:v>178.09900000000002</c:v>
                </c:pt>
                <c:pt idx="104">
                  <c:v>177.97150000000005</c:v>
                </c:pt>
                <c:pt idx="105">
                  <c:v>177.72550000000001</c:v>
                </c:pt>
                <c:pt idx="106">
                  <c:v>177.62900000000002</c:v>
                </c:pt>
                <c:pt idx="107">
                  <c:v>177.4025</c:v>
                </c:pt>
                <c:pt idx="108">
                  <c:v>177.19200000000001</c:v>
                </c:pt>
                <c:pt idx="109">
                  <c:v>176.84099999999998</c:v>
                </c:pt>
                <c:pt idx="110">
                  <c:v>176.1465</c:v>
                </c:pt>
                <c:pt idx="111">
                  <c:v>175.35500000000002</c:v>
                </c:pt>
                <c:pt idx="112">
                  <c:v>174.55300000000003</c:v>
                </c:pt>
                <c:pt idx="113">
                  <c:v>173.74650000000003</c:v>
                </c:pt>
                <c:pt idx="114">
                  <c:v>172.78149999999999</c:v>
                </c:pt>
                <c:pt idx="115">
                  <c:v>171.97899999999998</c:v>
                </c:pt>
                <c:pt idx="116">
                  <c:v>171.28749999999999</c:v>
                </c:pt>
                <c:pt idx="117">
                  <c:v>170.5675</c:v>
                </c:pt>
                <c:pt idx="118">
                  <c:v>169.827</c:v>
                </c:pt>
                <c:pt idx="119">
                  <c:v>169.26749999999998</c:v>
                </c:pt>
                <c:pt idx="120">
                  <c:v>168.73549999999997</c:v>
                </c:pt>
                <c:pt idx="121">
                  <c:v>168.40349999999998</c:v>
                </c:pt>
                <c:pt idx="122">
                  <c:v>168.15900000000002</c:v>
                </c:pt>
                <c:pt idx="123">
                  <c:v>167.88149999999999</c:v>
                </c:pt>
                <c:pt idx="124">
                  <c:v>167.381</c:v>
                </c:pt>
                <c:pt idx="125">
                  <c:v>166.99849999999998</c:v>
                </c:pt>
                <c:pt idx="126">
                  <c:v>166.434</c:v>
                </c:pt>
                <c:pt idx="127">
                  <c:v>165.97899999999998</c:v>
                </c:pt>
                <c:pt idx="128">
                  <c:v>165.42499999999995</c:v>
                </c:pt>
                <c:pt idx="129">
                  <c:v>164.96799999999996</c:v>
                </c:pt>
                <c:pt idx="130">
                  <c:v>164.85249999999996</c:v>
                </c:pt>
                <c:pt idx="131">
                  <c:v>164.79649999999998</c:v>
                </c:pt>
                <c:pt idx="132">
                  <c:v>164.92399999999998</c:v>
                </c:pt>
                <c:pt idx="133">
                  <c:v>164.95049999999998</c:v>
                </c:pt>
                <c:pt idx="134">
                  <c:v>164.99799999999999</c:v>
                </c:pt>
                <c:pt idx="135">
                  <c:v>165.18549999999999</c:v>
                </c:pt>
                <c:pt idx="136">
                  <c:v>165.38</c:v>
                </c:pt>
                <c:pt idx="137">
                  <c:v>165.51399999999998</c:v>
                </c:pt>
                <c:pt idx="138">
                  <c:v>165.53299999999999</c:v>
                </c:pt>
                <c:pt idx="139">
                  <c:v>165.44300000000001</c:v>
                </c:pt>
                <c:pt idx="140">
                  <c:v>165.48399999999998</c:v>
                </c:pt>
                <c:pt idx="141">
                  <c:v>165.69800000000001</c:v>
                </c:pt>
                <c:pt idx="142">
                  <c:v>166.02250000000001</c:v>
                </c:pt>
                <c:pt idx="143">
                  <c:v>166.43650000000002</c:v>
                </c:pt>
                <c:pt idx="144">
                  <c:v>166.95100000000002</c:v>
                </c:pt>
                <c:pt idx="145">
                  <c:v>167.40550000000002</c:v>
                </c:pt>
                <c:pt idx="146">
                  <c:v>168.02350000000001</c:v>
                </c:pt>
                <c:pt idx="147">
                  <c:v>168.70599999999999</c:v>
                </c:pt>
                <c:pt idx="148">
                  <c:v>169.30199999999999</c:v>
                </c:pt>
                <c:pt idx="149">
                  <c:v>169.83150000000001</c:v>
                </c:pt>
                <c:pt idx="150">
                  <c:v>170.2415</c:v>
                </c:pt>
                <c:pt idx="151">
                  <c:v>170.66249999999999</c:v>
                </c:pt>
                <c:pt idx="152">
                  <c:v>170.96299999999999</c:v>
                </c:pt>
                <c:pt idx="153">
                  <c:v>171.34100000000001</c:v>
                </c:pt>
                <c:pt idx="154">
                  <c:v>171.72149999999999</c:v>
                </c:pt>
                <c:pt idx="155">
                  <c:v>171.91249999999997</c:v>
                </c:pt>
                <c:pt idx="156">
                  <c:v>172.01999999999998</c:v>
                </c:pt>
                <c:pt idx="157">
                  <c:v>172.18299999999999</c:v>
                </c:pt>
                <c:pt idx="158">
                  <c:v>172.49100000000001</c:v>
                </c:pt>
                <c:pt idx="159">
                  <c:v>172.96949999999998</c:v>
                </c:pt>
                <c:pt idx="160">
                  <c:v>173.32149999999999</c:v>
                </c:pt>
                <c:pt idx="161">
                  <c:v>173.55749999999998</c:v>
                </c:pt>
                <c:pt idx="162">
                  <c:v>173.71349999999998</c:v>
                </c:pt>
                <c:pt idx="163">
                  <c:v>173.85149999999996</c:v>
                </c:pt>
                <c:pt idx="164">
                  <c:v>173.95750000000001</c:v>
                </c:pt>
                <c:pt idx="165">
                  <c:v>174.02</c:v>
                </c:pt>
                <c:pt idx="166">
                  <c:v>173.87650000000002</c:v>
                </c:pt>
                <c:pt idx="167">
                  <c:v>173.61850000000001</c:v>
                </c:pt>
                <c:pt idx="168">
                  <c:v>173.79349999999997</c:v>
                </c:pt>
                <c:pt idx="169">
                  <c:v>174.095</c:v>
                </c:pt>
                <c:pt idx="170">
                  <c:v>174.47050000000002</c:v>
                </c:pt>
                <c:pt idx="171">
                  <c:v>174.71900000000002</c:v>
                </c:pt>
                <c:pt idx="172">
                  <c:v>175.00900000000004</c:v>
                </c:pt>
                <c:pt idx="173">
                  <c:v>175.32850000000002</c:v>
                </c:pt>
                <c:pt idx="174">
                  <c:v>175.49900000000005</c:v>
                </c:pt>
                <c:pt idx="175">
                  <c:v>175.67600000000002</c:v>
                </c:pt>
                <c:pt idx="176">
                  <c:v>175.91800000000003</c:v>
                </c:pt>
                <c:pt idx="177">
                  <c:v>176.14750000000004</c:v>
                </c:pt>
                <c:pt idx="178">
                  <c:v>176.3</c:v>
                </c:pt>
                <c:pt idx="179">
                  <c:v>176.268</c:v>
                </c:pt>
                <c:pt idx="180">
                  <c:v>176.2405</c:v>
                </c:pt>
                <c:pt idx="181">
                  <c:v>176.01249999999999</c:v>
                </c:pt>
                <c:pt idx="182">
                  <c:v>175.8245</c:v>
                </c:pt>
                <c:pt idx="183">
                  <c:v>175.52199999999999</c:v>
                </c:pt>
                <c:pt idx="184">
                  <c:v>175.227</c:v>
                </c:pt>
                <c:pt idx="185">
                  <c:v>175.0155</c:v>
                </c:pt>
                <c:pt idx="186">
                  <c:v>174.911</c:v>
                </c:pt>
                <c:pt idx="187">
                  <c:v>174.76950000000002</c:v>
                </c:pt>
                <c:pt idx="188">
                  <c:v>174.46150000000003</c:v>
                </c:pt>
                <c:pt idx="189">
                  <c:v>174.01300000000003</c:v>
                </c:pt>
                <c:pt idx="190">
                  <c:v>173.47450000000006</c:v>
                </c:pt>
                <c:pt idx="191">
                  <c:v>173.00600000000003</c:v>
                </c:pt>
                <c:pt idx="192">
                  <c:v>172.45700000000005</c:v>
                </c:pt>
                <c:pt idx="193">
                  <c:v>172.08750000000003</c:v>
                </c:pt>
                <c:pt idx="194">
                  <c:v>171.92550000000006</c:v>
                </c:pt>
                <c:pt idx="195">
                  <c:v>171.71250000000003</c:v>
                </c:pt>
                <c:pt idx="196">
                  <c:v>171.58500000000001</c:v>
                </c:pt>
                <c:pt idx="197">
                  <c:v>171.52950000000001</c:v>
                </c:pt>
                <c:pt idx="198">
                  <c:v>171.48099999999997</c:v>
                </c:pt>
                <c:pt idx="199">
                  <c:v>171.44449999999998</c:v>
                </c:pt>
                <c:pt idx="200">
                  <c:v>171.44499999999999</c:v>
                </c:pt>
                <c:pt idx="201">
                  <c:v>171.63900000000001</c:v>
                </c:pt>
                <c:pt idx="202">
                  <c:v>171.78400000000002</c:v>
                </c:pt>
                <c:pt idx="203">
                  <c:v>172.00650000000002</c:v>
                </c:pt>
                <c:pt idx="204">
                  <c:v>172.18400000000003</c:v>
                </c:pt>
                <c:pt idx="205">
                  <c:v>172.30749999999998</c:v>
                </c:pt>
                <c:pt idx="206">
                  <c:v>172.39699999999999</c:v>
                </c:pt>
                <c:pt idx="207">
                  <c:v>172.38649999999998</c:v>
                </c:pt>
                <c:pt idx="208">
                  <c:v>172.19249999999997</c:v>
                </c:pt>
                <c:pt idx="209">
                  <c:v>172.02550000000002</c:v>
                </c:pt>
                <c:pt idx="210">
                  <c:v>171.90299999999996</c:v>
                </c:pt>
                <c:pt idx="211">
                  <c:v>171.78399999999999</c:v>
                </c:pt>
                <c:pt idx="212">
                  <c:v>171.7405</c:v>
                </c:pt>
                <c:pt idx="213">
                  <c:v>171.61200000000002</c:v>
                </c:pt>
                <c:pt idx="214">
                  <c:v>171.22050000000002</c:v>
                </c:pt>
                <c:pt idx="215">
                  <c:v>170.77100000000002</c:v>
                </c:pt>
                <c:pt idx="216">
                  <c:v>170.286</c:v>
                </c:pt>
                <c:pt idx="217">
                  <c:v>169.69400000000002</c:v>
                </c:pt>
                <c:pt idx="218">
                  <c:v>169.11600000000004</c:v>
                </c:pt>
                <c:pt idx="219">
                  <c:v>168.62899999999999</c:v>
                </c:pt>
                <c:pt idx="220">
                  <c:v>168.15299999999999</c:v>
                </c:pt>
                <c:pt idx="221">
                  <c:v>167.33099999999996</c:v>
                </c:pt>
                <c:pt idx="222">
                  <c:v>166.49700000000001</c:v>
                </c:pt>
                <c:pt idx="223">
                  <c:v>165.61449999999996</c:v>
                </c:pt>
                <c:pt idx="224">
                  <c:v>164.90399999999994</c:v>
                </c:pt>
                <c:pt idx="225">
                  <c:v>164.31299999999996</c:v>
                </c:pt>
                <c:pt idx="226">
                  <c:v>163.82349999999997</c:v>
                </c:pt>
                <c:pt idx="227">
                  <c:v>163.48400000000001</c:v>
                </c:pt>
                <c:pt idx="228">
                  <c:v>163.21700000000001</c:v>
                </c:pt>
                <c:pt idx="229">
                  <c:v>163.04249999999999</c:v>
                </c:pt>
                <c:pt idx="230">
                  <c:v>162.911</c:v>
                </c:pt>
                <c:pt idx="231">
                  <c:v>162.78399999999999</c:v>
                </c:pt>
                <c:pt idx="232">
                  <c:v>162.55199999999999</c:v>
                </c:pt>
                <c:pt idx="233">
                  <c:v>162.16849999999999</c:v>
                </c:pt>
                <c:pt idx="234">
                  <c:v>161.95749999999998</c:v>
                </c:pt>
                <c:pt idx="235">
                  <c:v>161.64699999999999</c:v>
                </c:pt>
                <c:pt idx="236">
                  <c:v>161.36499999999998</c:v>
                </c:pt>
                <c:pt idx="237">
                  <c:v>161.14399999999998</c:v>
                </c:pt>
                <c:pt idx="238">
                  <c:v>160.76549999999997</c:v>
                </c:pt>
                <c:pt idx="239">
                  <c:v>160.4735</c:v>
                </c:pt>
                <c:pt idx="240">
                  <c:v>160.11449999999999</c:v>
                </c:pt>
                <c:pt idx="241">
                  <c:v>159.9845</c:v>
                </c:pt>
                <c:pt idx="242">
                  <c:v>159.875</c:v>
                </c:pt>
                <c:pt idx="243">
                  <c:v>159.76049999999998</c:v>
                </c:pt>
                <c:pt idx="244">
                  <c:v>159.39699999999999</c:v>
                </c:pt>
                <c:pt idx="245">
                  <c:v>159.01949999999997</c:v>
                </c:pt>
                <c:pt idx="246">
                  <c:v>158.48399999999998</c:v>
                </c:pt>
                <c:pt idx="247">
                  <c:v>157.97199999999995</c:v>
                </c:pt>
                <c:pt idx="248">
                  <c:v>157.48599999999996</c:v>
                </c:pt>
                <c:pt idx="249">
                  <c:v>156.99449999999996</c:v>
                </c:pt>
                <c:pt idx="250">
                  <c:v>156.40799999999996</c:v>
                </c:pt>
                <c:pt idx="251">
                  <c:v>155.85849999999999</c:v>
                </c:pt>
                <c:pt idx="252">
                  <c:v>155.28399999999999</c:v>
                </c:pt>
                <c:pt idx="253">
                  <c:v>154.75749999999999</c:v>
                </c:pt>
                <c:pt idx="254">
                  <c:v>154.04649999999998</c:v>
                </c:pt>
                <c:pt idx="255">
                  <c:v>153.42699999999999</c:v>
                </c:pt>
                <c:pt idx="256">
                  <c:v>152.78049999999999</c:v>
                </c:pt>
                <c:pt idx="257">
                  <c:v>151.9205</c:v>
                </c:pt>
                <c:pt idx="258">
                  <c:v>151.30699999999999</c:v>
                </c:pt>
                <c:pt idx="259">
                  <c:v>150.60949999999997</c:v>
                </c:pt>
                <c:pt idx="260">
                  <c:v>149.94999999999999</c:v>
                </c:pt>
                <c:pt idx="261">
                  <c:v>149.47599999999997</c:v>
                </c:pt>
                <c:pt idx="262">
                  <c:v>149.08150000000001</c:v>
                </c:pt>
                <c:pt idx="263">
                  <c:v>148.78749999999999</c:v>
                </c:pt>
                <c:pt idx="264">
                  <c:v>148.61850000000001</c:v>
                </c:pt>
                <c:pt idx="265">
                  <c:v>148.41000000000003</c:v>
                </c:pt>
                <c:pt idx="266">
                  <c:v>148.3015</c:v>
                </c:pt>
                <c:pt idx="267">
                  <c:v>148.39150000000001</c:v>
                </c:pt>
                <c:pt idx="268">
                  <c:v>148.28200000000001</c:v>
                </c:pt>
                <c:pt idx="269">
                  <c:v>148.15600000000001</c:v>
                </c:pt>
                <c:pt idx="270">
                  <c:v>148.16499999999999</c:v>
                </c:pt>
                <c:pt idx="271">
                  <c:v>148.09649999999999</c:v>
                </c:pt>
                <c:pt idx="272">
                  <c:v>148.09949999999998</c:v>
                </c:pt>
                <c:pt idx="273">
                  <c:v>147.79149999999998</c:v>
                </c:pt>
                <c:pt idx="274">
                  <c:v>147.76099999999997</c:v>
                </c:pt>
                <c:pt idx="275">
                  <c:v>147.75849999999997</c:v>
                </c:pt>
                <c:pt idx="276">
                  <c:v>147.66049999999998</c:v>
                </c:pt>
                <c:pt idx="277">
                  <c:v>147.74599999999995</c:v>
                </c:pt>
                <c:pt idx="278">
                  <c:v>147.803</c:v>
                </c:pt>
                <c:pt idx="279">
                  <c:v>147.75499999999997</c:v>
                </c:pt>
                <c:pt idx="280">
                  <c:v>147.74499999999998</c:v>
                </c:pt>
                <c:pt idx="281">
                  <c:v>147.58749999999998</c:v>
                </c:pt>
                <c:pt idx="282">
                  <c:v>147.37999999999997</c:v>
                </c:pt>
                <c:pt idx="283">
                  <c:v>147.24299999999997</c:v>
                </c:pt>
                <c:pt idx="284">
                  <c:v>147.29349999999994</c:v>
                </c:pt>
                <c:pt idx="285">
                  <c:v>147.53749999999997</c:v>
                </c:pt>
                <c:pt idx="286">
                  <c:v>147.77399999999997</c:v>
                </c:pt>
                <c:pt idx="287">
                  <c:v>147.86449999999996</c:v>
                </c:pt>
                <c:pt idx="288">
                  <c:v>147.92749999999995</c:v>
                </c:pt>
                <c:pt idx="289">
                  <c:v>148.00999999999996</c:v>
                </c:pt>
                <c:pt idx="290">
                  <c:v>148.08849999999998</c:v>
                </c:pt>
                <c:pt idx="291">
                  <c:v>148.35349999999994</c:v>
                </c:pt>
                <c:pt idx="292">
                  <c:v>148.54949999999997</c:v>
                </c:pt>
                <c:pt idx="293">
                  <c:v>149.06899999999999</c:v>
                </c:pt>
                <c:pt idx="294">
                  <c:v>149.51650000000001</c:v>
                </c:pt>
                <c:pt idx="295">
                  <c:v>149.97100000000003</c:v>
                </c:pt>
                <c:pt idx="296">
                  <c:v>150.55450000000002</c:v>
                </c:pt>
                <c:pt idx="297">
                  <c:v>150.95350000000002</c:v>
                </c:pt>
                <c:pt idx="298">
                  <c:v>151.08000000000001</c:v>
                </c:pt>
                <c:pt idx="299">
                  <c:v>151.29750000000004</c:v>
                </c:pt>
                <c:pt idx="300">
                  <c:v>151.49800000000002</c:v>
                </c:pt>
                <c:pt idx="301">
                  <c:v>151.89550000000003</c:v>
                </c:pt>
                <c:pt idx="302">
                  <c:v>152.14000000000004</c:v>
                </c:pt>
                <c:pt idx="303">
                  <c:v>152.25500000000005</c:v>
                </c:pt>
                <c:pt idx="304">
                  <c:v>152.15750000000003</c:v>
                </c:pt>
                <c:pt idx="305">
                  <c:v>151.75500000000002</c:v>
                </c:pt>
                <c:pt idx="306">
                  <c:v>151.38499999999999</c:v>
                </c:pt>
                <c:pt idx="307">
                  <c:v>150.84099999999998</c:v>
                </c:pt>
                <c:pt idx="308">
                  <c:v>150.69749999999996</c:v>
                </c:pt>
                <c:pt idx="309">
                  <c:v>150.57999999999998</c:v>
                </c:pt>
                <c:pt idx="310">
                  <c:v>150.36999999999998</c:v>
                </c:pt>
                <c:pt idx="311">
                  <c:v>150.06749999999997</c:v>
                </c:pt>
                <c:pt idx="312">
                  <c:v>149.8415</c:v>
                </c:pt>
                <c:pt idx="313">
                  <c:v>149.6035</c:v>
                </c:pt>
                <c:pt idx="314">
                  <c:v>149.44149999999999</c:v>
                </c:pt>
                <c:pt idx="315">
                  <c:v>149.05000000000001</c:v>
                </c:pt>
                <c:pt idx="316">
                  <c:v>148.39700000000002</c:v>
                </c:pt>
                <c:pt idx="317">
                  <c:v>147.7955</c:v>
                </c:pt>
                <c:pt idx="318">
                  <c:v>147.66650000000001</c:v>
                </c:pt>
                <c:pt idx="319">
                  <c:v>147.45650000000001</c:v>
                </c:pt>
                <c:pt idx="320">
                  <c:v>147.24850000000001</c:v>
                </c:pt>
                <c:pt idx="321">
                  <c:v>147.01900000000001</c:v>
                </c:pt>
                <c:pt idx="322">
                  <c:v>146.71150000000003</c:v>
                </c:pt>
                <c:pt idx="323">
                  <c:v>146.31050000000002</c:v>
                </c:pt>
                <c:pt idx="324">
                  <c:v>146.095</c:v>
                </c:pt>
                <c:pt idx="325">
                  <c:v>145.90900000000002</c:v>
                </c:pt>
                <c:pt idx="326">
                  <c:v>145.7595</c:v>
                </c:pt>
                <c:pt idx="327">
                  <c:v>145.59549999999999</c:v>
                </c:pt>
                <c:pt idx="328">
                  <c:v>144.92900000000003</c:v>
                </c:pt>
                <c:pt idx="329">
                  <c:v>144.11449999999996</c:v>
                </c:pt>
                <c:pt idx="330">
                  <c:v>143.339</c:v>
                </c:pt>
                <c:pt idx="331">
                  <c:v>142.55749999999995</c:v>
                </c:pt>
                <c:pt idx="332">
                  <c:v>141.85300000000001</c:v>
                </c:pt>
                <c:pt idx="333">
                  <c:v>141.0745</c:v>
                </c:pt>
                <c:pt idx="334">
                  <c:v>140.19349999999997</c:v>
                </c:pt>
                <c:pt idx="335">
                  <c:v>139.46250000000001</c:v>
                </c:pt>
                <c:pt idx="336">
                  <c:v>138.84</c:v>
                </c:pt>
                <c:pt idx="337">
                  <c:v>138.42075</c:v>
                </c:pt>
                <c:pt idx="338">
                  <c:v>137.71274999999997</c:v>
                </c:pt>
                <c:pt idx="339">
                  <c:v>137.02774999999997</c:v>
                </c:pt>
                <c:pt idx="340">
                  <c:v>136.39024999999998</c:v>
                </c:pt>
                <c:pt idx="341">
                  <c:v>135.56824999999998</c:v>
                </c:pt>
                <c:pt idx="342">
                  <c:v>134.84874999999997</c:v>
                </c:pt>
                <c:pt idx="343">
                  <c:v>134.41924999999998</c:v>
                </c:pt>
                <c:pt idx="344">
                  <c:v>133.87624999999997</c:v>
                </c:pt>
                <c:pt idx="345">
                  <c:v>133.37925000000001</c:v>
                </c:pt>
                <c:pt idx="346">
                  <c:v>132.79625000000001</c:v>
                </c:pt>
                <c:pt idx="347">
                  <c:v>132.19075000000004</c:v>
                </c:pt>
                <c:pt idx="348">
                  <c:v>131.93125000000001</c:v>
                </c:pt>
                <c:pt idx="349">
                  <c:v>131.72925000000004</c:v>
                </c:pt>
                <c:pt idx="350">
                  <c:v>131.60975000000002</c:v>
                </c:pt>
                <c:pt idx="351">
                  <c:v>131.42775</c:v>
                </c:pt>
                <c:pt idx="352">
                  <c:v>131.24475000000001</c:v>
                </c:pt>
                <c:pt idx="353">
                  <c:v>131.13974999999999</c:v>
                </c:pt>
                <c:pt idx="354">
                  <c:v>130.99775</c:v>
                </c:pt>
                <c:pt idx="355">
                  <c:v>130.99074999999999</c:v>
                </c:pt>
                <c:pt idx="356">
                  <c:v>131.04074999999997</c:v>
                </c:pt>
                <c:pt idx="357">
                  <c:v>131.00049999999999</c:v>
                </c:pt>
                <c:pt idx="358">
                  <c:v>130.93050000000002</c:v>
                </c:pt>
                <c:pt idx="359">
                  <c:v>130.90650000000005</c:v>
                </c:pt>
                <c:pt idx="360">
                  <c:v>130.91400000000004</c:v>
                </c:pt>
                <c:pt idx="361">
                  <c:v>130.89350000000002</c:v>
                </c:pt>
                <c:pt idx="362">
                  <c:v>131.08600000000004</c:v>
                </c:pt>
                <c:pt idx="363">
                  <c:v>131.05350000000001</c:v>
                </c:pt>
                <c:pt idx="364">
                  <c:v>131.02500000000003</c:v>
                </c:pt>
                <c:pt idx="365">
                  <c:v>130.89999999999998</c:v>
                </c:pt>
                <c:pt idx="366">
                  <c:v>130.76349999999999</c:v>
                </c:pt>
                <c:pt idx="367">
                  <c:v>130.70949999999999</c:v>
                </c:pt>
                <c:pt idx="368">
                  <c:v>130.65800000000002</c:v>
                </c:pt>
                <c:pt idx="369">
                  <c:v>130.74350000000004</c:v>
                </c:pt>
                <c:pt idx="370">
                  <c:v>130.57600000000002</c:v>
                </c:pt>
                <c:pt idx="371">
                  <c:v>130.45350000000002</c:v>
                </c:pt>
                <c:pt idx="372">
                  <c:v>130.40950000000001</c:v>
                </c:pt>
                <c:pt idx="373">
                  <c:v>130.43899999999999</c:v>
                </c:pt>
                <c:pt idx="374">
                  <c:v>130.65649999999997</c:v>
                </c:pt>
                <c:pt idx="375">
                  <c:v>130.88799999999998</c:v>
                </c:pt>
                <c:pt idx="376">
                  <c:v>131.07</c:v>
                </c:pt>
                <c:pt idx="377">
                  <c:v>131.23699999999997</c:v>
                </c:pt>
                <c:pt idx="378">
                  <c:v>131.48749999999998</c:v>
                </c:pt>
                <c:pt idx="379">
                  <c:v>131.71349999999998</c:v>
                </c:pt>
                <c:pt idx="380">
                  <c:v>131.92599999999999</c:v>
                </c:pt>
                <c:pt idx="381">
                  <c:v>132.19399999999996</c:v>
                </c:pt>
                <c:pt idx="382">
                  <c:v>132.35750000000002</c:v>
                </c:pt>
                <c:pt idx="383">
                  <c:v>132.50549999999998</c:v>
                </c:pt>
                <c:pt idx="384">
                  <c:v>132.70249999999999</c:v>
                </c:pt>
                <c:pt idx="385">
                  <c:v>133.51</c:v>
                </c:pt>
                <c:pt idx="386">
                  <c:v>134.21850000000001</c:v>
                </c:pt>
                <c:pt idx="387">
                  <c:v>134.85</c:v>
                </c:pt>
                <c:pt idx="388">
                  <c:v>135.69749999999999</c:v>
                </c:pt>
                <c:pt idx="389">
                  <c:v>136.42799999999997</c:v>
                </c:pt>
                <c:pt idx="390">
                  <c:v>137.25249999999997</c:v>
                </c:pt>
                <c:pt idx="391">
                  <c:v>138.01399999999995</c:v>
                </c:pt>
                <c:pt idx="392">
                  <c:v>138.54049999999995</c:v>
                </c:pt>
                <c:pt idx="393">
                  <c:v>139.13299999999998</c:v>
                </c:pt>
                <c:pt idx="394">
                  <c:v>139.51299999999998</c:v>
                </c:pt>
                <c:pt idx="395">
                  <c:v>139.58500000000001</c:v>
                </c:pt>
                <c:pt idx="396">
                  <c:v>139.78000000000003</c:v>
                </c:pt>
                <c:pt idx="397">
                  <c:v>140.03550000000001</c:v>
                </c:pt>
                <c:pt idx="398">
                  <c:v>140.25600000000003</c:v>
                </c:pt>
                <c:pt idx="399">
                  <c:v>140.57200000000003</c:v>
                </c:pt>
                <c:pt idx="400">
                  <c:v>140.96400000000003</c:v>
                </c:pt>
                <c:pt idx="401">
                  <c:v>141.46150000000003</c:v>
                </c:pt>
                <c:pt idx="402">
                  <c:v>141.9265</c:v>
                </c:pt>
                <c:pt idx="403">
                  <c:v>142.5795</c:v>
                </c:pt>
                <c:pt idx="404">
                  <c:v>143.27950000000001</c:v>
                </c:pt>
                <c:pt idx="405">
                  <c:v>143.43849999999998</c:v>
                </c:pt>
                <c:pt idx="406">
                  <c:v>143.79649999999998</c:v>
                </c:pt>
                <c:pt idx="407">
                  <c:v>144.18900000000002</c:v>
                </c:pt>
                <c:pt idx="408">
                  <c:v>144.49499999999998</c:v>
                </c:pt>
                <c:pt idx="409">
                  <c:v>144.74849999999998</c:v>
                </c:pt>
                <c:pt idx="410">
                  <c:v>144.97200000000001</c:v>
                </c:pt>
                <c:pt idx="411">
                  <c:v>145.28149999999999</c:v>
                </c:pt>
                <c:pt idx="412">
                  <c:v>145.613</c:v>
                </c:pt>
                <c:pt idx="413">
                  <c:v>145.76849999999996</c:v>
                </c:pt>
                <c:pt idx="414">
                  <c:v>146.00749999999999</c:v>
                </c:pt>
                <c:pt idx="415">
                  <c:v>146.46049999999997</c:v>
                </c:pt>
                <c:pt idx="416">
                  <c:v>146.929</c:v>
                </c:pt>
                <c:pt idx="417">
                  <c:v>147.465</c:v>
                </c:pt>
                <c:pt idx="418">
                  <c:v>147.92450000000002</c:v>
                </c:pt>
                <c:pt idx="419">
                  <c:v>148.22899999999998</c:v>
                </c:pt>
                <c:pt idx="420">
                  <c:v>148.35250000000002</c:v>
                </c:pt>
                <c:pt idx="421">
                  <c:v>148.17750000000001</c:v>
                </c:pt>
                <c:pt idx="422">
                  <c:v>148.089</c:v>
                </c:pt>
                <c:pt idx="423">
                  <c:v>147.87849999999997</c:v>
                </c:pt>
                <c:pt idx="424">
                  <c:v>147.6225</c:v>
                </c:pt>
                <c:pt idx="425">
                  <c:v>147.36799999999999</c:v>
                </c:pt>
                <c:pt idx="426">
                  <c:v>146.88</c:v>
                </c:pt>
                <c:pt idx="427">
                  <c:v>146.404</c:v>
                </c:pt>
                <c:pt idx="428">
                  <c:v>145.85749999999999</c:v>
                </c:pt>
                <c:pt idx="429">
                  <c:v>145.35749999999999</c:v>
                </c:pt>
                <c:pt idx="430">
                  <c:v>144.99650000000003</c:v>
                </c:pt>
                <c:pt idx="431">
                  <c:v>144.566</c:v>
                </c:pt>
                <c:pt idx="432">
                  <c:v>144.25100000000003</c:v>
                </c:pt>
                <c:pt idx="433">
                  <c:v>144.00949999999997</c:v>
                </c:pt>
                <c:pt idx="434">
                  <c:v>143.62350000000001</c:v>
                </c:pt>
                <c:pt idx="435">
                  <c:v>143.29650000000004</c:v>
                </c:pt>
                <c:pt idx="436">
                  <c:v>142.8725</c:v>
                </c:pt>
                <c:pt idx="437">
                  <c:v>142.38050000000001</c:v>
                </c:pt>
                <c:pt idx="438">
                  <c:v>142.10550000000001</c:v>
                </c:pt>
                <c:pt idx="439">
                  <c:v>141.87650000000002</c:v>
                </c:pt>
                <c:pt idx="440">
                  <c:v>141.65600000000001</c:v>
                </c:pt>
                <c:pt idx="441">
                  <c:v>141.55549999999999</c:v>
                </c:pt>
                <c:pt idx="442">
                  <c:v>141.44</c:v>
                </c:pt>
                <c:pt idx="443">
                  <c:v>141.24900000000002</c:v>
                </c:pt>
                <c:pt idx="444">
                  <c:v>141.273</c:v>
                </c:pt>
                <c:pt idx="445">
                  <c:v>141.60050000000001</c:v>
                </c:pt>
                <c:pt idx="446">
                  <c:v>142.01299999999998</c:v>
                </c:pt>
                <c:pt idx="447">
                  <c:v>142.58850000000001</c:v>
                </c:pt>
                <c:pt idx="448">
                  <c:v>143.08499999999998</c:v>
                </c:pt>
                <c:pt idx="449">
                  <c:v>143.68199999999996</c:v>
                </c:pt>
                <c:pt idx="450">
                  <c:v>144.27949999999998</c:v>
                </c:pt>
                <c:pt idx="451">
                  <c:v>144.91</c:v>
                </c:pt>
                <c:pt idx="452">
                  <c:v>145.47399999999999</c:v>
                </c:pt>
                <c:pt idx="453">
                  <c:v>146.017</c:v>
                </c:pt>
                <c:pt idx="454">
                  <c:v>146.59649999999996</c:v>
                </c:pt>
                <c:pt idx="455">
                  <c:v>147.15199999999999</c:v>
                </c:pt>
                <c:pt idx="456">
                  <c:v>147.77500000000001</c:v>
                </c:pt>
                <c:pt idx="457">
                  <c:v>148.25900000000001</c:v>
                </c:pt>
                <c:pt idx="458">
                  <c:v>148.41000000000003</c:v>
                </c:pt>
                <c:pt idx="459">
                  <c:v>148.67200000000003</c:v>
                </c:pt>
                <c:pt idx="460">
                  <c:v>148.8775</c:v>
                </c:pt>
                <c:pt idx="461">
                  <c:v>149.07250000000002</c:v>
                </c:pt>
                <c:pt idx="462">
                  <c:v>149.178</c:v>
                </c:pt>
                <c:pt idx="463">
                  <c:v>149.37900000000002</c:v>
                </c:pt>
                <c:pt idx="464">
                  <c:v>149.22250000000003</c:v>
                </c:pt>
                <c:pt idx="465">
                  <c:v>148.86599999999999</c:v>
                </c:pt>
                <c:pt idx="466">
                  <c:v>148.55249999999998</c:v>
                </c:pt>
                <c:pt idx="467">
                  <c:v>148.22949999999997</c:v>
                </c:pt>
                <c:pt idx="468">
                  <c:v>147.89099999999996</c:v>
                </c:pt>
                <c:pt idx="469">
                  <c:v>147.50849999999997</c:v>
                </c:pt>
                <c:pt idx="470">
                  <c:v>147.11549999999997</c:v>
                </c:pt>
                <c:pt idx="471">
                  <c:v>146.82499999999996</c:v>
                </c:pt>
                <c:pt idx="472">
                  <c:v>146.60449999999997</c:v>
                </c:pt>
                <c:pt idx="473">
                  <c:v>146.30849999999998</c:v>
                </c:pt>
                <c:pt idx="474">
                  <c:v>146.03799999999998</c:v>
                </c:pt>
                <c:pt idx="475">
                  <c:v>145.77699999999999</c:v>
                </c:pt>
                <c:pt idx="476">
                  <c:v>145.42049999999998</c:v>
                </c:pt>
                <c:pt idx="477">
                  <c:v>145.21999999999997</c:v>
                </c:pt>
                <c:pt idx="478">
                  <c:v>145.31099999999998</c:v>
                </c:pt>
                <c:pt idx="479">
                  <c:v>145.37049999999999</c:v>
                </c:pt>
                <c:pt idx="480">
                  <c:v>145.54149999999998</c:v>
                </c:pt>
                <c:pt idx="481">
                  <c:v>145.79200000000003</c:v>
                </c:pt>
                <c:pt idx="482">
                  <c:v>146.05000000000001</c:v>
                </c:pt>
                <c:pt idx="483">
                  <c:v>146.2525</c:v>
                </c:pt>
                <c:pt idx="484">
                  <c:v>146.42450000000002</c:v>
                </c:pt>
                <c:pt idx="485">
                  <c:v>146.55850000000001</c:v>
                </c:pt>
                <c:pt idx="486">
                  <c:v>146.65950000000001</c:v>
                </c:pt>
                <c:pt idx="487">
                  <c:v>146.89049999999997</c:v>
                </c:pt>
                <c:pt idx="488">
                  <c:v>147.12299999999999</c:v>
                </c:pt>
                <c:pt idx="489">
                  <c:v>147.40450000000001</c:v>
                </c:pt>
                <c:pt idx="490">
                  <c:v>147.673</c:v>
                </c:pt>
                <c:pt idx="491">
                  <c:v>147.79999999999998</c:v>
                </c:pt>
                <c:pt idx="492">
                  <c:v>147.86549999999997</c:v>
                </c:pt>
                <c:pt idx="493">
                  <c:v>147.97849999999997</c:v>
                </c:pt>
                <c:pt idx="494">
                  <c:v>148.08149999999998</c:v>
                </c:pt>
                <c:pt idx="495">
                  <c:v>148.11749999999998</c:v>
                </c:pt>
                <c:pt idx="496">
                  <c:v>148.0265</c:v>
                </c:pt>
                <c:pt idx="497">
                  <c:v>147.90799999999999</c:v>
                </c:pt>
                <c:pt idx="498">
                  <c:v>147.69799999999998</c:v>
                </c:pt>
                <c:pt idx="499">
                  <c:v>147.47300000000001</c:v>
                </c:pt>
                <c:pt idx="500">
                  <c:v>147.20549999999997</c:v>
                </c:pt>
                <c:pt idx="501">
                  <c:v>146.95099999999999</c:v>
                </c:pt>
                <c:pt idx="502">
                  <c:v>146.65950000000004</c:v>
                </c:pt>
                <c:pt idx="503">
                  <c:v>146.31</c:v>
                </c:pt>
                <c:pt idx="504">
                  <c:v>146.00700000000001</c:v>
                </c:pt>
                <c:pt idx="505">
                  <c:v>145.57600000000002</c:v>
                </c:pt>
                <c:pt idx="506">
                  <c:v>145.3125</c:v>
                </c:pt>
                <c:pt idx="507">
                  <c:v>144.82300000000001</c:v>
                </c:pt>
                <c:pt idx="508">
                  <c:v>144.43900000000002</c:v>
                </c:pt>
                <c:pt idx="509">
                  <c:v>144.08049999999997</c:v>
                </c:pt>
                <c:pt idx="510">
                  <c:v>143.81550000000001</c:v>
                </c:pt>
                <c:pt idx="511">
                  <c:v>143.62550000000005</c:v>
                </c:pt>
                <c:pt idx="512">
                  <c:v>143.43750000000003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172.51337401105906</c:v>
                </c:pt>
                <c:pt idx="20">
                  <c:v>171.66966550547389</c:v>
                </c:pt>
                <c:pt idx="21">
                  <c:v>171.2849790811417</c:v>
                </c:pt>
                <c:pt idx="22">
                  <c:v>171.15471135344643</c:v>
                </c:pt>
                <c:pt idx="23">
                  <c:v>171.50999763304443</c:v>
                </c:pt>
                <c:pt idx="24">
                  <c:v>171.93131236248658</c:v>
                </c:pt>
                <c:pt idx="25">
                  <c:v>172.43718087171794</c:v>
                </c:pt>
                <c:pt idx="26">
                  <c:v>173.44832739334234</c:v>
                </c:pt>
                <c:pt idx="27">
                  <c:v>173.42398836636781</c:v>
                </c:pt>
                <c:pt idx="28">
                  <c:v>173.64229210726478</c:v>
                </c:pt>
                <c:pt idx="29">
                  <c:v>173.63781262583205</c:v>
                </c:pt>
                <c:pt idx="30">
                  <c:v>173.60437957037902</c:v>
                </c:pt>
                <c:pt idx="31">
                  <c:v>173.59732297879549</c:v>
                </c:pt>
                <c:pt idx="32">
                  <c:v>173.55505535239911</c:v>
                </c:pt>
                <c:pt idx="33">
                  <c:v>173.37795129587428</c:v>
                </c:pt>
                <c:pt idx="34">
                  <c:v>173.38544381454716</c:v>
                </c:pt>
                <c:pt idx="35">
                  <c:v>173.20465538419552</c:v>
                </c:pt>
                <c:pt idx="36">
                  <c:v>173.14228602768961</c:v>
                </c:pt>
                <c:pt idx="37">
                  <c:v>173.13072279704573</c:v>
                </c:pt>
                <c:pt idx="38">
                  <c:v>173.13047878122276</c:v>
                </c:pt>
                <c:pt idx="39">
                  <c:v>173.15566024266533</c:v>
                </c:pt>
                <c:pt idx="40">
                  <c:v>173.3817766063261</c:v>
                </c:pt>
                <c:pt idx="41">
                  <c:v>173.31554278522285</c:v>
                </c:pt>
                <c:pt idx="42">
                  <c:v>173.16452944298499</c:v>
                </c:pt>
                <c:pt idx="43">
                  <c:v>173.40705806652858</c:v>
                </c:pt>
                <c:pt idx="44">
                  <c:v>173.20332389617542</c:v>
                </c:pt>
                <c:pt idx="45">
                  <c:v>172.83782745029279</c:v>
                </c:pt>
                <c:pt idx="46">
                  <c:v>171.66271164362266</c:v>
                </c:pt>
                <c:pt idx="47">
                  <c:v>171.5695613843088</c:v>
                </c:pt>
                <c:pt idx="48">
                  <c:v>170.95902462989159</c:v>
                </c:pt>
                <c:pt idx="49">
                  <c:v>170.62969033456483</c:v>
                </c:pt>
                <c:pt idx="50">
                  <c:v>170.47478796708162</c:v>
                </c:pt>
                <c:pt idx="51">
                  <c:v>170.25503837666085</c:v>
                </c:pt>
                <c:pt idx="52">
                  <c:v>171.12890899009386</c:v>
                </c:pt>
                <c:pt idx="53">
                  <c:v>171.79634002196494</c:v>
                </c:pt>
                <c:pt idx="54">
                  <c:v>172.39436926237269</c:v>
                </c:pt>
                <c:pt idx="55">
                  <c:v>173.15026057138741</c:v>
                </c:pt>
                <c:pt idx="56">
                  <c:v>173.58792552692279</c:v>
                </c:pt>
                <c:pt idx="57">
                  <c:v>174.27161673687445</c:v>
                </c:pt>
                <c:pt idx="58">
                  <c:v>174.9360942861841</c:v>
                </c:pt>
                <c:pt idx="59">
                  <c:v>175.77825931601149</c:v>
                </c:pt>
                <c:pt idx="60">
                  <c:v>176.84975524122962</c:v>
                </c:pt>
                <c:pt idx="61">
                  <c:v>177.39730423959557</c:v>
                </c:pt>
                <c:pt idx="62">
                  <c:v>177.68812834659192</c:v>
                </c:pt>
                <c:pt idx="63">
                  <c:v>177.5239632474912</c:v>
                </c:pt>
                <c:pt idx="64">
                  <c:v>177.36959511958707</c:v>
                </c:pt>
                <c:pt idx="65">
                  <c:v>177.1149369027502</c:v>
                </c:pt>
                <c:pt idx="66">
                  <c:v>176.76292803716066</c:v>
                </c:pt>
                <c:pt idx="67">
                  <c:v>176.59020256615611</c:v>
                </c:pt>
                <c:pt idx="68">
                  <c:v>176.24863533347994</c:v>
                </c:pt>
                <c:pt idx="69">
                  <c:v>175.96451290999104</c:v>
                </c:pt>
                <c:pt idx="70">
                  <c:v>175.5304456912308</c:v>
                </c:pt>
                <c:pt idx="71">
                  <c:v>175.09291449180054</c:v>
                </c:pt>
                <c:pt idx="72">
                  <c:v>175.17480899533155</c:v>
                </c:pt>
                <c:pt idx="73">
                  <c:v>175.06443365182488</c:v>
                </c:pt>
                <c:pt idx="74">
                  <c:v>175.11254060958126</c:v>
                </c:pt>
                <c:pt idx="75">
                  <c:v>175.39779081992916</c:v>
                </c:pt>
                <c:pt idx="76">
                  <c:v>176.25653978900627</c:v>
                </c:pt>
                <c:pt idx="77">
                  <c:v>176.13323723203925</c:v>
                </c:pt>
                <c:pt idx="78">
                  <c:v>177.08197906770181</c:v>
                </c:pt>
                <c:pt idx="79">
                  <c:v>177.65403284717311</c:v>
                </c:pt>
                <c:pt idx="80">
                  <c:v>177.75741267864913</c:v>
                </c:pt>
                <c:pt idx="81">
                  <c:v>178.23477669895993</c:v>
                </c:pt>
                <c:pt idx="82">
                  <c:v>178.74378435197804</c:v>
                </c:pt>
                <c:pt idx="83">
                  <c:v>179.11267521926754</c:v>
                </c:pt>
                <c:pt idx="84">
                  <c:v>179.47768824432706</c:v>
                </c:pt>
                <c:pt idx="85">
                  <c:v>179.87223050933594</c:v>
                </c:pt>
                <c:pt idx="86">
                  <c:v>180.17337780686515</c:v>
                </c:pt>
                <c:pt idx="87">
                  <c:v>180.80024957205649</c:v>
                </c:pt>
                <c:pt idx="88">
                  <c:v>181.14748918780435</c:v>
                </c:pt>
                <c:pt idx="89">
                  <c:v>181.42590366369964</c:v>
                </c:pt>
                <c:pt idx="90">
                  <c:v>181.82361840137935</c:v>
                </c:pt>
                <c:pt idx="91">
                  <c:v>182.00046158302928</c:v>
                </c:pt>
                <c:pt idx="92">
                  <c:v>181.71820942260968</c:v>
                </c:pt>
                <c:pt idx="93">
                  <c:v>181.46674439045768</c:v>
                </c:pt>
                <c:pt idx="94">
                  <c:v>182.38091292386704</c:v>
                </c:pt>
                <c:pt idx="95">
                  <c:v>183.04358144113661</c:v>
                </c:pt>
                <c:pt idx="96">
                  <c:v>183.34539357332608</c:v>
                </c:pt>
                <c:pt idx="97">
                  <c:v>183.11599412110883</c:v>
                </c:pt>
                <c:pt idx="98">
                  <c:v>183.62591725164825</c:v>
                </c:pt>
                <c:pt idx="99">
                  <c:v>183.69723869084234</c:v>
                </c:pt>
                <c:pt idx="100">
                  <c:v>183.62923282946224</c:v>
                </c:pt>
                <c:pt idx="101">
                  <c:v>183.92979089967776</c:v>
                </c:pt>
                <c:pt idx="102">
                  <c:v>184.5442405815626</c:v>
                </c:pt>
                <c:pt idx="103">
                  <c:v>185.11364903274796</c:v>
                </c:pt>
                <c:pt idx="104">
                  <c:v>185.27560778441259</c:v>
                </c:pt>
                <c:pt idx="105">
                  <c:v>185.59726292700356</c:v>
                </c:pt>
                <c:pt idx="106">
                  <c:v>185.64511508479214</c:v>
                </c:pt>
                <c:pt idx="107">
                  <c:v>185.62542527024294</c:v>
                </c:pt>
                <c:pt idx="108">
                  <c:v>185.62692888311207</c:v>
                </c:pt>
                <c:pt idx="109">
                  <c:v>185.69755011841517</c:v>
                </c:pt>
                <c:pt idx="110">
                  <c:v>186.13538914323257</c:v>
                </c:pt>
                <c:pt idx="111">
                  <c:v>186.22755066186116</c:v>
                </c:pt>
                <c:pt idx="112">
                  <c:v>186.35027907969507</c:v>
                </c:pt>
                <c:pt idx="113">
                  <c:v>186.31172565613028</c:v>
                </c:pt>
                <c:pt idx="114">
                  <c:v>185.28318540216625</c:v>
                </c:pt>
                <c:pt idx="115">
                  <c:v>183.98862052952373</c:v>
                </c:pt>
                <c:pt idx="116">
                  <c:v>182.86212901531212</c:v>
                </c:pt>
                <c:pt idx="117">
                  <c:v>181.34110492861581</c:v>
                </c:pt>
                <c:pt idx="118">
                  <c:v>179.21240883219099</c:v>
                </c:pt>
                <c:pt idx="119">
                  <c:v>177.55228599285269</c:v>
                </c:pt>
                <c:pt idx="120">
                  <c:v>175.9606504446183</c:v>
                </c:pt>
                <c:pt idx="121">
                  <c:v>175.3342773544417</c:v>
                </c:pt>
                <c:pt idx="122">
                  <c:v>175.02654656259963</c:v>
                </c:pt>
                <c:pt idx="123">
                  <c:v>174.80247430013705</c:v>
                </c:pt>
                <c:pt idx="124">
                  <c:v>174.22119359529046</c:v>
                </c:pt>
                <c:pt idx="125">
                  <c:v>173.78782373967428</c:v>
                </c:pt>
                <c:pt idx="126">
                  <c:v>172.6651894615124</c:v>
                </c:pt>
                <c:pt idx="127">
                  <c:v>171.3038569044277</c:v>
                </c:pt>
                <c:pt idx="128">
                  <c:v>169.80900681904959</c:v>
                </c:pt>
                <c:pt idx="129">
                  <c:v>168.75198620226701</c:v>
                </c:pt>
                <c:pt idx="130">
                  <c:v>168.65766477269619</c:v>
                </c:pt>
                <c:pt idx="131">
                  <c:v>168.6211033162036</c:v>
                </c:pt>
                <c:pt idx="132">
                  <c:v>168.78280483269651</c:v>
                </c:pt>
                <c:pt idx="133">
                  <c:v>168.77029594384717</c:v>
                </c:pt>
                <c:pt idx="134">
                  <c:v>168.78153552284519</c:v>
                </c:pt>
                <c:pt idx="135">
                  <c:v>169.53645379742974</c:v>
                </c:pt>
                <c:pt idx="136">
                  <c:v>170.28688023944039</c:v>
                </c:pt>
                <c:pt idx="137">
                  <c:v>170.70831430052431</c:v>
                </c:pt>
                <c:pt idx="138">
                  <c:v>170.75720721761985</c:v>
                </c:pt>
                <c:pt idx="139">
                  <c:v>170.54299834881294</c:v>
                </c:pt>
                <c:pt idx="140">
                  <c:v>170.66114979501268</c:v>
                </c:pt>
                <c:pt idx="141">
                  <c:v>171.4190142641429</c:v>
                </c:pt>
                <c:pt idx="142">
                  <c:v>172.55624036505085</c:v>
                </c:pt>
                <c:pt idx="143">
                  <c:v>173.68857854052169</c:v>
                </c:pt>
                <c:pt idx="144">
                  <c:v>174.59323692796542</c:v>
                </c:pt>
                <c:pt idx="145">
                  <c:v>175.28124417536463</c:v>
                </c:pt>
                <c:pt idx="146">
                  <c:v>176.24374529023186</c:v>
                </c:pt>
                <c:pt idx="147">
                  <c:v>177.86863441776893</c:v>
                </c:pt>
                <c:pt idx="148">
                  <c:v>178.20797339459662</c:v>
                </c:pt>
                <c:pt idx="149">
                  <c:v>178.12251041394899</c:v>
                </c:pt>
                <c:pt idx="150">
                  <c:v>178.02862101384142</c:v>
                </c:pt>
                <c:pt idx="151">
                  <c:v>177.90912062801107</c:v>
                </c:pt>
                <c:pt idx="152">
                  <c:v>177.95589293346805</c:v>
                </c:pt>
                <c:pt idx="153">
                  <c:v>177.48276693245776</c:v>
                </c:pt>
                <c:pt idx="154">
                  <c:v>177.03344988483016</c:v>
                </c:pt>
                <c:pt idx="155">
                  <c:v>177.22187552081715</c:v>
                </c:pt>
                <c:pt idx="156">
                  <c:v>177.28475070634877</c:v>
                </c:pt>
                <c:pt idx="157">
                  <c:v>177.30080421665386</c:v>
                </c:pt>
                <c:pt idx="158">
                  <c:v>177.18672212932043</c:v>
                </c:pt>
                <c:pt idx="159">
                  <c:v>176.88609613225026</c:v>
                </c:pt>
                <c:pt idx="160">
                  <c:v>176.64193925439167</c:v>
                </c:pt>
                <c:pt idx="161">
                  <c:v>176.86008511185594</c:v>
                </c:pt>
                <c:pt idx="162">
                  <c:v>177.14761537678228</c:v>
                </c:pt>
                <c:pt idx="163">
                  <c:v>177.41962954095732</c:v>
                </c:pt>
                <c:pt idx="164">
                  <c:v>177.56735128721249</c:v>
                </c:pt>
                <c:pt idx="165">
                  <c:v>177.57891763557998</c:v>
                </c:pt>
                <c:pt idx="166">
                  <c:v>177.50656321534055</c:v>
                </c:pt>
                <c:pt idx="167">
                  <c:v>176.69367924167375</c:v>
                </c:pt>
                <c:pt idx="168">
                  <c:v>177.33297528076659</c:v>
                </c:pt>
                <c:pt idx="169">
                  <c:v>178.15585549711156</c:v>
                </c:pt>
                <c:pt idx="170">
                  <c:v>178.9961949451816</c:v>
                </c:pt>
                <c:pt idx="171">
                  <c:v>179.30446858077377</c:v>
                </c:pt>
                <c:pt idx="172">
                  <c:v>179.70653754081528</c:v>
                </c:pt>
                <c:pt idx="173">
                  <c:v>179.86468562230431</c:v>
                </c:pt>
                <c:pt idx="174">
                  <c:v>179.81812223051233</c:v>
                </c:pt>
                <c:pt idx="175">
                  <c:v>179.97653313708406</c:v>
                </c:pt>
                <c:pt idx="176">
                  <c:v>180.01044541486928</c:v>
                </c:pt>
                <c:pt idx="177">
                  <c:v>179.9669123273504</c:v>
                </c:pt>
                <c:pt idx="178">
                  <c:v>179.96870692837626</c:v>
                </c:pt>
                <c:pt idx="179">
                  <c:v>179.96429458839668</c:v>
                </c:pt>
                <c:pt idx="180">
                  <c:v>179.97789270220918</c:v>
                </c:pt>
                <c:pt idx="181">
                  <c:v>180.38145687899598</c:v>
                </c:pt>
                <c:pt idx="182">
                  <c:v>180.52991222535564</c:v>
                </c:pt>
                <c:pt idx="183">
                  <c:v>180.91558527375466</c:v>
                </c:pt>
                <c:pt idx="184">
                  <c:v>181.27714519182021</c:v>
                </c:pt>
                <c:pt idx="185">
                  <c:v>181.53552090729616</c:v>
                </c:pt>
                <c:pt idx="186">
                  <c:v>181.69028702973839</c:v>
                </c:pt>
                <c:pt idx="187">
                  <c:v>181.83919656164142</c:v>
                </c:pt>
                <c:pt idx="188">
                  <c:v>181.55966366171009</c:v>
                </c:pt>
                <c:pt idx="189">
                  <c:v>181.16476857037551</c:v>
                </c:pt>
                <c:pt idx="190">
                  <c:v>180.57176848865117</c:v>
                </c:pt>
                <c:pt idx="191">
                  <c:v>180.26411168715103</c:v>
                </c:pt>
                <c:pt idx="192">
                  <c:v>179.72513695088657</c:v>
                </c:pt>
                <c:pt idx="193">
                  <c:v>178.94985765838385</c:v>
                </c:pt>
                <c:pt idx="194">
                  <c:v>178.57035705362867</c:v>
                </c:pt>
                <c:pt idx="195">
                  <c:v>177.89579796178472</c:v>
                </c:pt>
                <c:pt idx="196">
                  <c:v>177.37032990461765</c:v>
                </c:pt>
                <c:pt idx="197">
                  <c:v>177.10511787937824</c:v>
                </c:pt>
                <c:pt idx="198">
                  <c:v>176.87493382470186</c:v>
                </c:pt>
                <c:pt idx="199">
                  <c:v>176.74119002898581</c:v>
                </c:pt>
                <c:pt idx="200">
                  <c:v>176.74296981970699</c:v>
                </c:pt>
                <c:pt idx="201">
                  <c:v>177.17492249717577</c:v>
                </c:pt>
                <c:pt idx="202">
                  <c:v>177.52016192974105</c:v>
                </c:pt>
                <c:pt idx="203">
                  <c:v>177.78330762322838</c:v>
                </c:pt>
                <c:pt idx="204">
                  <c:v>177.84049845194377</c:v>
                </c:pt>
                <c:pt idx="205">
                  <c:v>177.84125051270308</c:v>
                </c:pt>
                <c:pt idx="206">
                  <c:v>177.830607312003</c:v>
                </c:pt>
                <c:pt idx="207">
                  <c:v>177.83997894756905</c:v>
                </c:pt>
                <c:pt idx="208">
                  <c:v>178.05727755669159</c:v>
                </c:pt>
                <c:pt idx="209">
                  <c:v>178.37710808482058</c:v>
                </c:pt>
                <c:pt idx="210">
                  <c:v>178.62232358751115</c:v>
                </c:pt>
                <c:pt idx="211">
                  <c:v>178.87085187327096</c:v>
                </c:pt>
                <c:pt idx="212">
                  <c:v>178.95509478382098</c:v>
                </c:pt>
                <c:pt idx="213">
                  <c:v>179.01472097912227</c:v>
                </c:pt>
                <c:pt idx="214">
                  <c:v>179.22066177468011</c:v>
                </c:pt>
                <c:pt idx="215">
                  <c:v>179.34238175927067</c:v>
                </c:pt>
                <c:pt idx="216">
                  <c:v>178.99177158828374</c:v>
                </c:pt>
                <c:pt idx="217">
                  <c:v>178.34519985593724</c:v>
                </c:pt>
                <c:pt idx="218">
                  <c:v>177.56366775662468</c:v>
                </c:pt>
                <c:pt idx="219">
                  <c:v>176.89571423302669</c:v>
                </c:pt>
                <c:pt idx="220">
                  <c:v>176.04285251012834</c:v>
                </c:pt>
                <c:pt idx="221">
                  <c:v>175.60708068948983</c:v>
                </c:pt>
                <c:pt idx="222">
                  <c:v>174.87597142286947</c:v>
                </c:pt>
                <c:pt idx="223">
                  <c:v>174.21699039828763</c:v>
                </c:pt>
                <c:pt idx="224">
                  <c:v>173.30032099885352</c:v>
                </c:pt>
                <c:pt idx="225">
                  <c:v>172.20785402018296</c:v>
                </c:pt>
                <c:pt idx="226">
                  <c:v>170.94224700683822</c:v>
                </c:pt>
                <c:pt idx="227">
                  <c:v>170.01825757873559</c:v>
                </c:pt>
                <c:pt idx="228">
                  <c:v>169.49155043472399</c:v>
                </c:pt>
                <c:pt idx="229">
                  <c:v>169.1586972189468</c:v>
                </c:pt>
                <c:pt idx="230">
                  <c:v>168.8631102847734</c:v>
                </c:pt>
                <c:pt idx="231">
                  <c:v>168.60231735488063</c:v>
                </c:pt>
                <c:pt idx="232">
                  <c:v>168.13871959109042</c:v>
                </c:pt>
                <c:pt idx="233">
                  <c:v>167.25450670570993</c:v>
                </c:pt>
                <c:pt idx="234">
                  <c:v>166.94882247004736</c:v>
                </c:pt>
                <c:pt idx="235">
                  <c:v>166.87055434546247</c:v>
                </c:pt>
                <c:pt idx="236">
                  <c:v>166.40719459320931</c:v>
                </c:pt>
                <c:pt idx="237">
                  <c:v>166.03718494922973</c:v>
                </c:pt>
                <c:pt idx="238">
                  <c:v>165.78719388490418</c:v>
                </c:pt>
                <c:pt idx="239">
                  <c:v>165.1921272535447</c:v>
                </c:pt>
                <c:pt idx="240">
                  <c:v>164.40846381716915</c:v>
                </c:pt>
                <c:pt idx="241">
                  <c:v>164.61334537154613</c:v>
                </c:pt>
                <c:pt idx="242">
                  <c:v>164.76489290594171</c:v>
                </c:pt>
                <c:pt idx="243">
                  <c:v>165.05218752309742</c:v>
                </c:pt>
                <c:pt idx="244">
                  <c:v>165.85427040262613</c:v>
                </c:pt>
                <c:pt idx="245">
                  <c:v>166.09757132517115</c:v>
                </c:pt>
                <c:pt idx="246">
                  <c:v>166.20406653911874</c:v>
                </c:pt>
                <c:pt idx="247">
                  <c:v>165.77483781035696</c:v>
                </c:pt>
                <c:pt idx="248">
                  <c:v>165.40054463896089</c:v>
                </c:pt>
                <c:pt idx="249">
                  <c:v>164.75997141619806</c:v>
                </c:pt>
                <c:pt idx="250">
                  <c:v>163.8871544695204</c:v>
                </c:pt>
                <c:pt idx="251">
                  <c:v>162.88408115221193</c:v>
                </c:pt>
                <c:pt idx="252">
                  <c:v>162.17618749172223</c:v>
                </c:pt>
                <c:pt idx="253">
                  <c:v>161.68361799829572</c:v>
                </c:pt>
                <c:pt idx="254">
                  <c:v>161.4011040717792</c:v>
                </c:pt>
                <c:pt idx="255">
                  <c:v>161.5055749134101</c:v>
                </c:pt>
                <c:pt idx="256">
                  <c:v>160.89228084153243</c:v>
                </c:pt>
                <c:pt idx="257">
                  <c:v>160.51371513263746</c:v>
                </c:pt>
                <c:pt idx="258">
                  <c:v>160.18956032316902</c:v>
                </c:pt>
                <c:pt idx="259">
                  <c:v>159.16645586550555</c:v>
                </c:pt>
                <c:pt idx="260">
                  <c:v>158.14382822938285</c:v>
                </c:pt>
                <c:pt idx="261">
                  <c:v>157.27882108228204</c:v>
                </c:pt>
                <c:pt idx="262">
                  <c:v>156.23663293855685</c:v>
                </c:pt>
                <c:pt idx="263">
                  <c:v>155.48593618827715</c:v>
                </c:pt>
                <c:pt idx="264">
                  <c:v>155.20153169639869</c:v>
                </c:pt>
                <c:pt idx="265">
                  <c:v>154.69409186170253</c:v>
                </c:pt>
                <c:pt idx="266">
                  <c:v>154.44968509805943</c:v>
                </c:pt>
                <c:pt idx="267">
                  <c:v>154.86182830859863</c:v>
                </c:pt>
                <c:pt idx="268">
                  <c:v>154.53429759873586</c:v>
                </c:pt>
                <c:pt idx="269">
                  <c:v>154.11183535172376</c:v>
                </c:pt>
                <c:pt idx="270">
                  <c:v>154.14401065570655</c:v>
                </c:pt>
                <c:pt idx="271">
                  <c:v>153.91690792565714</c:v>
                </c:pt>
                <c:pt idx="272">
                  <c:v>153.92455468689033</c:v>
                </c:pt>
                <c:pt idx="273">
                  <c:v>153.91513247891658</c:v>
                </c:pt>
                <c:pt idx="274">
                  <c:v>153.92249981741458</c:v>
                </c:pt>
                <c:pt idx="275">
                  <c:v>153.92407258193899</c:v>
                </c:pt>
                <c:pt idx="276">
                  <c:v>153.96828791820496</c:v>
                </c:pt>
                <c:pt idx="277">
                  <c:v>153.80885810662366</c:v>
                </c:pt>
                <c:pt idx="278">
                  <c:v>153.75783739669293</c:v>
                </c:pt>
                <c:pt idx="279">
                  <c:v>153.82110427314197</c:v>
                </c:pt>
                <c:pt idx="280">
                  <c:v>153.83237606595983</c:v>
                </c:pt>
                <c:pt idx="281">
                  <c:v>153.96236140200213</c:v>
                </c:pt>
                <c:pt idx="282">
                  <c:v>153.93177276130584</c:v>
                </c:pt>
                <c:pt idx="283">
                  <c:v>153.80634029206723</c:v>
                </c:pt>
                <c:pt idx="284">
                  <c:v>153.8996829890043</c:v>
                </c:pt>
                <c:pt idx="285">
                  <c:v>154.68803439298509</c:v>
                </c:pt>
                <c:pt idx="286">
                  <c:v>155.43927206232587</c:v>
                </c:pt>
                <c:pt idx="287">
                  <c:v>155.90324165329503</c:v>
                </c:pt>
                <c:pt idx="288">
                  <c:v>156.06411218780494</c:v>
                </c:pt>
                <c:pt idx="289">
                  <c:v>156.28320086977092</c:v>
                </c:pt>
                <c:pt idx="290">
                  <c:v>156.54487791069087</c:v>
                </c:pt>
                <c:pt idx="291">
                  <c:v>157.46029855931815</c:v>
                </c:pt>
                <c:pt idx="292">
                  <c:v>157.99250236599619</c:v>
                </c:pt>
                <c:pt idx="293">
                  <c:v>158.48317721479572</c:v>
                </c:pt>
                <c:pt idx="294">
                  <c:v>159.097767414239</c:v>
                </c:pt>
                <c:pt idx="295">
                  <c:v>159.58242938052624</c:v>
                </c:pt>
                <c:pt idx="296">
                  <c:v>160.20476855366704</c:v>
                </c:pt>
                <c:pt idx="297">
                  <c:v>160.17394701507988</c:v>
                </c:pt>
                <c:pt idx="298">
                  <c:v>160.0597854856573</c:v>
                </c:pt>
                <c:pt idx="299">
                  <c:v>159.7494318875379</c:v>
                </c:pt>
                <c:pt idx="300">
                  <c:v>159.45470812651354</c:v>
                </c:pt>
                <c:pt idx="301">
                  <c:v>158.88186107373733</c:v>
                </c:pt>
                <c:pt idx="302">
                  <c:v>158.26708224541713</c:v>
                </c:pt>
                <c:pt idx="303">
                  <c:v>157.95316036795631</c:v>
                </c:pt>
                <c:pt idx="304">
                  <c:v>158.14247724570271</c:v>
                </c:pt>
                <c:pt idx="305">
                  <c:v>158.40557021694582</c:v>
                </c:pt>
                <c:pt idx="306">
                  <c:v>158.36027814951905</c:v>
                </c:pt>
                <c:pt idx="307">
                  <c:v>157.85981651442447</c:v>
                </c:pt>
                <c:pt idx="308">
                  <c:v>157.7758283039816</c:v>
                </c:pt>
                <c:pt idx="309">
                  <c:v>157.64389783558474</c:v>
                </c:pt>
                <c:pt idx="310">
                  <c:v>157.32096509770216</c:v>
                </c:pt>
                <c:pt idx="311">
                  <c:v>156.49557943814926</c:v>
                </c:pt>
                <c:pt idx="312">
                  <c:v>155.97016354453442</c:v>
                </c:pt>
                <c:pt idx="313">
                  <c:v>155.43428319195448</c:v>
                </c:pt>
                <c:pt idx="314">
                  <c:v>154.85145680496424</c:v>
                </c:pt>
                <c:pt idx="315">
                  <c:v>154.05501222460256</c:v>
                </c:pt>
                <c:pt idx="316">
                  <c:v>152.82084971668226</c:v>
                </c:pt>
                <c:pt idx="317">
                  <c:v>153.14273726009884</c:v>
                </c:pt>
                <c:pt idx="318">
                  <c:v>153.09949190618133</c:v>
                </c:pt>
                <c:pt idx="319">
                  <c:v>153.10046752946758</c:v>
                </c:pt>
                <c:pt idx="320">
                  <c:v>153.02172048226484</c:v>
                </c:pt>
                <c:pt idx="321">
                  <c:v>152.46292621474419</c:v>
                </c:pt>
                <c:pt idx="322">
                  <c:v>152.37691966671494</c:v>
                </c:pt>
                <c:pt idx="323">
                  <c:v>152.65388602922678</c:v>
                </c:pt>
                <c:pt idx="324">
                  <c:v>152.60885406167824</c:v>
                </c:pt>
                <c:pt idx="325">
                  <c:v>152.70666492415248</c:v>
                </c:pt>
                <c:pt idx="326">
                  <c:v>152.63810290282385</c:v>
                </c:pt>
                <c:pt idx="327">
                  <c:v>152.65028553517882</c:v>
                </c:pt>
                <c:pt idx="328">
                  <c:v>153.1885473305299</c:v>
                </c:pt>
                <c:pt idx="329">
                  <c:v>153.53653123703049</c:v>
                </c:pt>
                <c:pt idx="330">
                  <c:v>153.4986537446178</c:v>
                </c:pt>
                <c:pt idx="331">
                  <c:v>152.9803794384984</c:v>
                </c:pt>
                <c:pt idx="332">
                  <c:v>152.15572748762241</c:v>
                </c:pt>
                <c:pt idx="333">
                  <c:v>151.41810921433844</c:v>
                </c:pt>
                <c:pt idx="334">
                  <c:v>149.82165449332675</c:v>
                </c:pt>
                <c:pt idx="335">
                  <c:v>149.25798956354268</c:v>
                </c:pt>
                <c:pt idx="336">
                  <c:v>149.20398419629501</c:v>
                </c:pt>
                <c:pt idx="337">
                  <c:v>149.20589000836335</c:v>
                </c:pt>
                <c:pt idx="338">
                  <c:v>148.37467017612704</c:v>
                </c:pt>
                <c:pt idx="339">
                  <c:v>147.71135695793225</c:v>
                </c:pt>
                <c:pt idx="340">
                  <c:v>146.73015149347356</c:v>
                </c:pt>
                <c:pt idx="341">
                  <c:v>145.01584243906808</c:v>
                </c:pt>
                <c:pt idx="342">
                  <c:v>144.15532146152225</c:v>
                </c:pt>
                <c:pt idx="343">
                  <c:v>143.49741714343872</c:v>
                </c:pt>
                <c:pt idx="344">
                  <c:v>142.09184804979461</c:v>
                </c:pt>
                <c:pt idx="345">
                  <c:v>140.75398801497204</c:v>
                </c:pt>
                <c:pt idx="346">
                  <c:v>138.46076268401515</c:v>
                </c:pt>
                <c:pt idx="347">
                  <c:v>135.81869167393495</c:v>
                </c:pt>
                <c:pt idx="348">
                  <c:v>135.35656731146335</c:v>
                </c:pt>
                <c:pt idx="349">
                  <c:v>135.26940800271836</c:v>
                </c:pt>
                <c:pt idx="350">
                  <c:v>135.02025771802923</c:v>
                </c:pt>
                <c:pt idx="351">
                  <c:v>134.61255681889565</c:v>
                </c:pt>
                <c:pt idx="352">
                  <c:v>133.77916880600083</c:v>
                </c:pt>
                <c:pt idx="353">
                  <c:v>133.43473417607203</c:v>
                </c:pt>
                <c:pt idx="354">
                  <c:v>132.93650292256049</c:v>
                </c:pt>
                <c:pt idx="355">
                  <c:v>132.91537785192904</c:v>
                </c:pt>
                <c:pt idx="356">
                  <c:v>132.98975318651677</c:v>
                </c:pt>
                <c:pt idx="357">
                  <c:v>132.90625278675134</c:v>
                </c:pt>
                <c:pt idx="358">
                  <c:v>132.87233282927295</c:v>
                </c:pt>
                <c:pt idx="359">
                  <c:v>132.88537022526017</c:v>
                </c:pt>
                <c:pt idx="360">
                  <c:v>132.90630519750368</c:v>
                </c:pt>
                <c:pt idx="361">
                  <c:v>132.92011527520253</c:v>
                </c:pt>
                <c:pt idx="362">
                  <c:v>132.84969707388237</c:v>
                </c:pt>
                <c:pt idx="363">
                  <c:v>132.80901192113959</c:v>
                </c:pt>
                <c:pt idx="364">
                  <c:v>132.73510002785312</c:v>
                </c:pt>
                <c:pt idx="365">
                  <c:v>132.73553233351208</c:v>
                </c:pt>
                <c:pt idx="366">
                  <c:v>132.719320194082</c:v>
                </c:pt>
                <c:pt idx="367">
                  <c:v>132.79216504369055</c:v>
                </c:pt>
                <c:pt idx="368">
                  <c:v>132.85010641309128</c:v>
                </c:pt>
                <c:pt idx="369">
                  <c:v>132.85091323102898</c:v>
                </c:pt>
                <c:pt idx="370">
                  <c:v>132.98473323335602</c:v>
                </c:pt>
                <c:pt idx="371">
                  <c:v>133.08133701329081</c:v>
                </c:pt>
                <c:pt idx="372">
                  <c:v>132.96234753291611</c:v>
                </c:pt>
                <c:pt idx="373">
                  <c:v>133.05532043748065</c:v>
                </c:pt>
                <c:pt idx="374">
                  <c:v>134.04653042992084</c:v>
                </c:pt>
                <c:pt idx="375">
                  <c:v>135.14315959252934</c:v>
                </c:pt>
                <c:pt idx="376">
                  <c:v>135.76703153738165</c:v>
                </c:pt>
                <c:pt idx="377">
                  <c:v>136.17151901351454</c:v>
                </c:pt>
                <c:pt idx="378">
                  <c:v>136.66662764448748</c:v>
                </c:pt>
                <c:pt idx="379">
                  <c:v>137.00522651161074</c:v>
                </c:pt>
                <c:pt idx="380">
                  <c:v>137.56721823349307</c:v>
                </c:pt>
                <c:pt idx="381">
                  <c:v>137.93829291145838</c:v>
                </c:pt>
                <c:pt idx="382">
                  <c:v>138.2973170271305</c:v>
                </c:pt>
                <c:pt idx="383">
                  <c:v>138.43465890014409</c:v>
                </c:pt>
                <c:pt idx="384">
                  <c:v>138.73924319654665</c:v>
                </c:pt>
                <c:pt idx="385">
                  <c:v>141.59713598383584</c:v>
                </c:pt>
                <c:pt idx="386">
                  <c:v>143.11058110150765</c:v>
                </c:pt>
                <c:pt idx="387">
                  <c:v>143.99293745265479</c:v>
                </c:pt>
                <c:pt idx="388">
                  <c:v>145.69477936674983</c:v>
                </c:pt>
                <c:pt idx="389">
                  <c:v>147.10725800694723</c:v>
                </c:pt>
                <c:pt idx="390">
                  <c:v>147.74309102243527</c:v>
                </c:pt>
                <c:pt idx="391">
                  <c:v>147.93977378662021</c:v>
                </c:pt>
                <c:pt idx="392">
                  <c:v>148.01555417287662</c:v>
                </c:pt>
                <c:pt idx="393">
                  <c:v>148.37567698747156</c:v>
                </c:pt>
                <c:pt idx="394">
                  <c:v>148.71003636476101</c:v>
                </c:pt>
                <c:pt idx="395">
                  <c:v>148.70427859566004</c:v>
                </c:pt>
                <c:pt idx="396">
                  <c:v>148.68495308655159</c:v>
                </c:pt>
                <c:pt idx="397">
                  <c:v>148.58258685367187</c:v>
                </c:pt>
                <c:pt idx="398">
                  <c:v>148.48196249367629</c:v>
                </c:pt>
                <c:pt idx="399">
                  <c:v>148.33632218209476</c:v>
                </c:pt>
                <c:pt idx="400">
                  <c:v>148.56330855580401</c:v>
                </c:pt>
                <c:pt idx="401">
                  <c:v>148.78633669658097</c:v>
                </c:pt>
                <c:pt idx="402">
                  <c:v>148.84613575250665</c:v>
                </c:pt>
                <c:pt idx="403">
                  <c:v>148.69193589999756</c:v>
                </c:pt>
                <c:pt idx="404">
                  <c:v>149.10580866257351</c:v>
                </c:pt>
                <c:pt idx="405">
                  <c:v>149.67237106227361</c:v>
                </c:pt>
                <c:pt idx="406">
                  <c:v>150.76183151816153</c:v>
                </c:pt>
                <c:pt idx="407">
                  <c:v>151.53140144280934</c:v>
                </c:pt>
                <c:pt idx="408">
                  <c:v>152.62958503454297</c:v>
                </c:pt>
                <c:pt idx="409">
                  <c:v>153.33915900296728</c:v>
                </c:pt>
                <c:pt idx="410">
                  <c:v>153.76669840301531</c:v>
                </c:pt>
                <c:pt idx="411">
                  <c:v>154.28389564607227</c:v>
                </c:pt>
                <c:pt idx="412">
                  <c:v>154.52779456326746</c:v>
                </c:pt>
                <c:pt idx="413">
                  <c:v>154.66522742908131</c:v>
                </c:pt>
                <c:pt idx="414">
                  <c:v>154.83176767499717</c:v>
                </c:pt>
                <c:pt idx="415">
                  <c:v>154.42496707504483</c:v>
                </c:pt>
                <c:pt idx="416">
                  <c:v>154.18593831338055</c:v>
                </c:pt>
                <c:pt idx="417">
                  <c:v>153.9754143291224</c:v>
                </c:pt>
                <c:pt idx="418">
                  <c:v>153.24078471377285</c:v>
                </c:pt>
                <c:pt idx="419">
                  <c:v>152.4017431340975</c:v>
                </c:pt>
                <c:pt idx="420">
                  <c:v>152.11422902574841</c:v>
                </c:pt>
                <c:pt idx="421">
                  <c:v>152.78528231850603</c:v>
                </c:pt>
                <c:pt idx="422">
                  <c:v>153.02085520767525</c:v>
                </c:pt>
                <c:pt idx="423">
                  <c:v>153.35835891097665</c:v>
                </c:pt>
                <c:pt idx="424">
                  <c:v>153.28814113527181</c:v>
                </c:pt>
                <c:pt idx="425">
                  <c:v>153.29617927138545</c:v>
                </c:pt>
                <c:pt idx="426">
                  <c:v>153.34025582025649</c:v>
                </c:pt>
                <c:pt idx="427">
                  <c:v>153.41531236307665</c:v>
                </c:pt>
                <c:pt idx="428">
                  <c:v>152.68111804015248</c:v>
                </c:pt>
                <c:pt idx="429">
                  <c:v>152.14321836169248</c:v>
                </c:pt>
                <c:pt idx="430">
                  <c:v>151.7388477872482</c:v>
                </c:pt>
                <c:pt idx="431">
                  <c:v>151.15779521909823</c:v>
                </c:pt>
                <c:pt idx="432">
                  <c:v>150.71243181134275</c:v>
                </c:pt>
                <c:pt idx="433">
                  <c:v>150.39896657850986</c:v>
                </c:pt>
                <c:pt idx="434">
                  <c:v>150.02224420245264</c:v>
                </c:pt>
                <c:pt idx="435">
                  <c:v>149.64122271386148</c:v>
                </c:pt>
                <c:pt idx="436">
                  <c:v>148.83259846262715</c:v>
                </c:pt>
                <c:pt idx="437">
                  <c:v>147.2995905235569</c:v>
                </c:pt>
                <c:pt idx="438">
                  <c:v>146.07434962784194</c:v>
                </c:pt>
                <c:pt idx="439">
                  <c:v>145.15072003568872</c:v>
                </c:pt>
                <c:pt idx="440">
                  <c:v>144.15185255974788</c:v>
                </c:pt>
                <c:pt idx="441">
                  <c:v>144.19966318470861</c:v>
                </c:pt>
                <c:pt idx="442">
                  <c:v>144.00058381500864</c:v>
                </c:pt>
                <c:pt idx="443">
                  <c:v>143.98994797277763</c:v>
                </c:pt>
                <c:pt idx="444">
                  <c:v>144.12980793525699</c:v>
                </c:pt>
                <c:pt idx="445">
                  <c:v>146.39282928751774</c:v>
                </c:pt>
                <c:pt idx="446">
                  <c:v>147.77862627264284</c:v>
                </c:pt>
                <c:pt idx="447">
                  <c:v>149.66862867858089</c:v>
                </c:pt>
                <c:pt idx="448">
                  <c:v>151.09557064791659</c:v>
                </c:pt>
                <c:pt idx="449">
                  <c:v>152.67324626921561</c:v>
                </c:pt>
                <c:pt idx="450">
                  <c:v>154.26610676790881</c:v>
                </c:pt>
                <c:pt idx="451">
                  <c:v>155.60025724667091</c:v>
                </c:pt>
                <c:pt idx="452">
                  <c:v>156.6737037554806</c:v>
                </c:pt>
                <c:pt idx="453">
                  <c:v>157.58909183655592</c:v>
                </c:pt>
                <c:pt idx="454">
                  <c:v>158.0431400954028</c:v>
                </c:pt>
                <c:pt idx="455">
                  <c:v>158.41754617079508</c:v>
                </c:pt>
                <c:pt idx="456">
                  <c:v>158.79012930855606</c:v>
                </c:pt>
                <c:pt idx="457">
                  <c:v>158.75555361986673</c:v>
                </c:pt>
                <c:pt idx="458">
                  <c:v>158.6809544475262</c:v>
                </c:pt>
                <c:pt idx="459">
                  <c:v>158.54749993404732</c:v>
                </c:pt>
                <c:pt idx="460">
                  <c:v>158.32859712372618</c:v>
                </c:pt>
                <c:pt idx="461">
                  <c:v>157.86424702715416</c:v>
                </c:pt>
                <c:pt idx="462">
                  <c:v>157.59387122174837</c:v>
                </c:pt>
                <c:pt idx="463">
                  <c:v>156.89967438185533</c:v>
                </c:pt>
                <c:pt idx="464">
                  <c:v>157.26446329786521</c:v>
                </c:pt>
                <c:pt idx="465">
                  <c:v>157.36695573574244</c:v>
                </c:pt>
                <c:pt idx="466">
                  <c:v>157.50043095754836</c:v>
                </c:pt>
                <c:pt idx="467">
                  <c:v>157.18973372580493</c:v>
                </c:pt>
                <c:pt idx="468">
                  <c:v>156.89649282674918</c:v>
                </c:pt>
                <c:pt idx="469">
                  <c:v>156.30679475104779</c:v>
                </c:pt>
                <c:pt idx="470">
                  <c:v>155.43669038802042</c:v>
                </c:pt>
                <c:pt idx="471">
                  <c:v>154.57306053830652</c:v>
                </c:pt>
                <c:pt idx="472">
                  <c:v>153.82404503596422</c:v>
                </c:pt>
                <c:pt idx="473">
                  <c:v>152.87467897378599</c:v>
                </c:pt>
                <c:pt idx="474">
                  <c:v>152.13060673620947</c:v>
                </c:pt>
                <c:pt idx="475">
                  <c:v>151.29558143481017</c:v>
                </c:pt>
                <c:pt idx="476">
                  <c:v>149.89807676474791</c:v>
                </c:pt>
                <c:pt idx="477">
                  <c:v>149.13535170161867</c:v>
                </c:pt>
                <c:pt idx="478">
                  <c:v>149.39912864150256</c:v>
                </c:pt>
                <c:pt idx="479">
                  <c:v>149.62700944220484</c:v>
                </c:pt>
                <c:pt idx="480">
                  <c:v>150.17757944621087</c:v>
                </c:pt>
                <c:pt idx="481">
                  <c:v>150.52673436146998</c:v>
                </c:pt>
                <c:pt idx="482">
                  <c:v>150.68244848296973</c:v>
                </c:pt>
                <c:pt idx="483">
                  <c:v>150.64570947300311</c:v>
                </c:pt>
                <c:pt idx="484">
                  <c:v>150.28445623100359</c:v>
                </c:pt>
                <c:pt idx="485">
                  <c:v>150.08199870979044</c:v>
                </c:pt>
                <c:pt idx="486">
                  <c:v>149.80295753322005</c:v>
                </c:pt>
                <c:pt idx="487">
                  <c:v>150.21881220069017</c:v>
                </c:pt>
                <c:pt idx="488">
                  <c:v>150.36436488470358</c:v>
                </c:pt>
                <c:pt idx="489">
                  <c:v>150.84842355804892</c:v>
                </c:pt>
                <c:pt idx="490">
                  <c:v>151.42975167636814</c:v>
                </c:pt>
                <c:pt idx="491">
                  <c:v>151.74606266122518</c:v>
                </c:pt>
                <c:pt idx="492">
                  <c:v>151.92131830279203</c:v>
                </c:pt>
                <c:pt idx="493">
                  <c:v>152.07145299393068</c:v>
                </c:pt>
                <c:pt idx="494">
                  <c:v>152.07795250585801</c:v>
                </c:pt>
                <c:pt idx="495">
                  <c:v>152.06013003323253</c:v>
                </c:pt>
                <c:pt idx="496">
                  <c:v>152.29412734524638</c:v>
                </c:pt>
                <c:pt idx="497">
                  <c:v>152.51760827197415</c:v>
                </c:pt>
                <c:pt idx="498">
                  <c:v>152.6627922519742</c:v>
                </c:pt>
                <c:pt idx="499">
                  <c:v>152.64260794604286</c:v>
                </c:pt>
                <c:pt idx="500">
                  <c:v>152.48382698773707</c:v>
                </c:pt>
                <c:pt idx="501">
                  <c:v>152.43117249056229</c:v>
                </c:pt>
                <c:pt idx="502">
                  <c:v>152.49968555941689</c:v>
                </c:pt>
                <c:pt idx="503">
                  <c:v>152.87829706360708</c:v>
                </c:pt>
                <c:pt idx="504">
                  <c:v>153.3404018816573</c:v>
                </c:pt>
                <c:pt idx="505">
                  <c:v>153.94307683344923</c:v>
                </c:pt>
                <c:pt idx="506">
                  <c:v>154.12382733892483</c:v>
                </c:pt>
                <c:pt idx="507">
                  <c:v>153.69557418292905</c:v>
                </c:pt>
                <c:pt idx="508">
                  <c:v>153.20727270993495</c:v>
                </c:pt>
                <c:pt idx="509">
                  <c:v>152.35175771636492</c:v>
                </c:pt>
                <c:pt idx="510">
                  <c:v>151.43779272042144</c:v>
                </c:pt>
                <c:pt idx="511">
                  <c:v>150.73184549651157</c:v>
                </c:pt>
                <c:pt idx="512">
                  <c:v>150.00325766261679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Data!$M$2:$M$514</c:f>
              <c:numCache>
                <c:formatCode>General</c:formatCode>
                <c:ptCount val="513"/>
                <c:pt idx="19">
                  <c:v>163.38362598894099</c:v>
                </c:pt>
                <c:pt idx="20">
                  <c:v>163.78933449452612</c:v>
                </c:pt>
                <c:pt idx="21">
                  <c:v>164.0490209188583</c:v>
                </c:pt>
                <c:pt idx="22">
                  <c:v>164.12928864655356</c:v>
                </c:pt>
                <c:pt idx="23">
                  <c:v>163.97200236695554</c:v>
                </c:pt>
                <c:pt idx="24">
                  <c:v>163.78168763751339</c:v>
                </c:pt>
                <c:pt idx="25">
                  <c:v>163.70581912828197</c:v>
                </c:pt>
                <c:pt idx="26">
                  <c:v>163.38767260665762</c:v>
                </c:pt>
                <c:pt idx="27">
                  <c:v>163.56601163363214</c:v>
                </c:pt>
                <c:pt idx="28">
                  <c:v>163.68170789273518</c:v>
                </c:pt>
                <c:pt idx="29">
                  <c:v>163.95718737416792</c:v>
                </c:pt>
                <c:pt idx="30">
                  <c:v>164.09862042962101</c:v>
                </c:pt>
                <c:pt idx="31">
                  <c:v>164.17467702120456</c:v>
                </c:pt>
                <c:pt idx="32">
                  <c:v>164.27094464760097</c:v>
                </c:pt>
                <c:pt idx="33">
                  <c:v>164.80204870412584</c:v>
                </c:pt>
                <c:pt idx="34">
                  <c:v>164.91355618545293</c:v>
                </c:pt>
                <c:pt idx="35">
                  <c:v>165.35934461580456</c:v>
                </c:pt>
                <c:pt idx="36">
                  <c:v>165.72571397231044</c:v>
                </c:pt>
                <c:pt idx="37">
                  <c:v>165.77727720295428</c:v>
                </c:pt>
                <c:pt idx="38">
                  <c:v>165.77852121877723</c:v>
                </c:pt>
                <c:pt idx="39">
                  <c:v>165.4943397573347</c:v>
                </c:pt>
                <c:pt idx="40">
                  <c:v>164.94922339367392</c:v>
                </c:pt>
                <c:pt idx="41">
                  <c:v>164.30445721477716</c:v>
                </c:pt>
                <c:pt idx="42">
                  <c:v>163.89547055701502</c:v>
                </c:pt>
                <c:pt idx="43">
                  <c:v>162.7649419334715</c:v>
                </c:pt>
                <c:pt idx="44">
                  <c:v>162.12667610382462</c:v>
                </c:pt>
                <c:pt idx="45">
                  <c:v>161.65617254970724</c:v>
                </c:pt>
                <c:pt idx="46">
                  <c:v>161.75128835637739</c:v>
                </c:pt>
                <c:pt idx="47">
                  <c:v>161.55043861569121</c:v>
                </c:pt>
                <c:pt idx="48">
                  <c:v>161.55397537010845</c:v>
                </c:pt>
                <c:pt idx="49">
                  <c:v>161.5253096654352</c:v>
                </c:pt>
                <c:pt idx="50">
                  <c:v>161.4062120329184</c:v>
                </c:pt>
                <c:pt idx="51">
                  <c:v>161.30596162333919</c:v>
                </c:pt>
                <c:pt idx="52">
                  <c:v>160.92609100990614</c:v>
                </c:pt>
                <c:pt idx="53">
                  <c:v>160.57365997803512</c:v>
                </c:pt>
                <c:pt idx="54">
                  <c:v>160.27863073762731</c:v>
                </c:pt>
                <c:pt idx="55">
                  <c:v>159.94273942861267</c:v>
                </c:pt>
                <c:pt idx="56">
                  <c:v>159.74707447307725</c:v>
                </c:pt>
                <c:pt idx="57">
                  <c:v>159.49738326312556</c:v>
                </c:pt>
                <c:pt idx="58">
                  <c:v>159.2899057138159</c:v>
                </c:pt>
                <c:pt idx="59">
                  <c:v>159.10174068398851</c:v>
                </c:pt>
                <c:pt idx="60">
                  <c:v>158.99724475877042</c:v>
                </c:pt>
                <c:pt idx="61">
                  <c:v>159.28869576040447</c:v>
                </c:pt>
                <c:pt idx="62">
                  <c:v>159.60487165340808</c:v>
                </c:pt>
                <c:pt idx="63">
                  <c:v>160.53303675250882</c:v>
                </c:pt>
                <c:pt idx="64">
                  <c:v>161.35240488041296</c:v>
                </c:pt>
                <c:pt idx="65">
                  <c:v>162.21006309724973</c:v>
                </c:pt>
                <c:pt idx="66">
                  <c:v>163.21507196283929</c:v>
                </c:pt>
                <c:pt idx="67">
                  <c:v>163.97579743384387</c:v>
                </c:pt>
                <c:pt idx="68">
                  <c:v>164.75836466652001</c:v>
                </c:pt>
                <c:pt idx="69">
                  <c:v>165.34848709000894</c:v>
                </c:pt>
                <c:pt idx="70">
                  <c:v>166.11455430876913</c:v>
                </c:pt>
                <c:pt idx="71">
                  <c:v>166.78108550819942</c:v>
                </c:pt>
                <c:pt idx="72">
                  <c:v>166.32319100466839</c:v>
                </c:pt>
                <c:pt idx="73">
                  <c:v>166.20156634817508</c:v>
                </c:pt>
                <c:pt idx="74">
                  <c:v>166.19445939041876</c:v>
                </c:pt>
                <c:pt idx="75">
                  <c:v>166.07720918007087</c:v>
                </c:pt>
                <c:pt idx="76">
                  <c:v>165.66246021099371</c:v>
                </c:pt>
                <c:pt idx="77">
                  <c:v>165.64776276796076</c:v>
                </c:pt>
                <c:pt idx="78">
                  <c:v>165.16702093229816</c:v>
                </c:pt>
                <c:pt idx="79">
                  <c:v>164.90596715282683</c:v>
                </c:pt>
                <c:pt idx="80">
                  <c:v>164.85958732135077</c:v>
                </c:pt>
                <c:pt idx="81">
                  <c:v>164.69822330104</c:v>
                </c:pt>
                <c:pt idx="82">
                  <c:v>164.6362156480219</c:v>
                </c:pt>
                <c:pt idx="83">
                  <c:v>164.81432478073242</c:v>
                </c:pt>
                <c:pt idx="84">
                  <c:v>165.02931175567289</c:v>
                </c:pt>
                <c:pt idx="85">
                  <c:v>165.33576949066403</c:v>
                </c:pt>
                <c:pt idx="86">
                  <c:v>165.65862219313485</c:v>
                </c:pt>
                <c:pt idx="87">
                  <c:v>165.77275042794349</c:v>
                </c:pt>
                <c:pt idx="88">
                  <c:v>166.27151081219563</c:v>
                </c:pt>
                <c:pt idx="89">
                  <c:v>166.96309633630037</c:v>
                </c:pt>
                <c:pt idx="90">
                  <c:v>167.73438159862064</c:v>
                </c:pt>
                <c:pt idx="91">
                  <c:v>168.9525384169707</c:v>
                </c:pt>
                <c:pt idx="92">
                  <c:v>170.47179057739032</c:v>
                </c:pt>
                <c:pt idx="93">
                  <c:v>171.72125560954231</c:v>
                </c:pt>
                <c:pt idx="94">
                  <c:v>171.891087076133</c:v>
                </c:pt>
                <c:pt idx="95">
                  <c:v>172.03441855886342</c:v>
                </c:pt>
                <c:pt idx="96">
                  <c:v>172.11760642667394</c:v>
                </c:pt>
                <c:pt idx="97">
                  <c:v>173.33300587889119</c:v>
                </c:pt>
                <c:pt idx="98">
                  <c:v>173.29108274835178</c:v>
                </c:pt>
                <c:pt idx="99">
                  <c:v>173.4787613091577</c:v>
                </c:pt>
                <c:pt idx="100">
                  <c:v>173.78776717053779</c:v>
                </c:pt>
                <c:pt idx="101">
                  <c:v>173.21120910032232</c:v>
                </c:pt>
                <c:pt idx="102">
                  <c:v>172.12075941843742</c:v>
                </c:pt>
                <c:pt idx="103">
                  <c:v>171.08435096725208</c:v>
                </c:pt>
                <c:pt idx="104">
                  <c:v>170.66739221558751</c:v>
                </c:pt>
                <c:pt idx="105">
                  <c:v>169.85373707299647</c:v>
                </c:pt>
                <c:pt idx="106">
                  <c:v>169.6128849152079</c:v>
                </c:pt>
                <c:pt idx="107">
                  <c:v>169.17957472975706</c:v>
                </c:pt>
                <c:pt idx="108">
                  <c:v>168.75707111688794</c:v>
                </c:pt>
                <c:pt idx="109">
                  <c:v>167.98444988158479</c:v>
                </c:pt>
                <c:pt idx="110">
                  <c:v>166.15761085676743</c:v>
                </c:pt>
                <c:pt idx="111">
                  <c:v>164.48244933813888</c:v>
                </c:pt>
                <c:pt idx="112">
                  <c:v>162.75572092030498</c:v>
                </c:pt>
                <c:pt idx="113">
                  <c:v>161.18127434386977</c:v>
                </c:pt>
                <c:pt idx="114">
                  <c:v>160.27981459783373</c:v>
                </c:pt>
                <c:pt idx="115">
                  <c:v>159.96937947047624</c:v>
                </c:pt>
                <c:pt idx="116">
                  <c:v>159.71287098468787</c:v>
                </c:pt>
                <c:pt idx="117">
                  <c:v>159.79389507138418</c:v>
                </c:pt>
                <c:pt idx="118">
                  <c:v>160.44159116780901</c:v>
                </c:pt>
                <c:pt idx="119">
                  <c:v>160.98271400714728</c:v>
                </c:pt>
                <c:pt idx="120">
                  <c:v>161.51034955538165</c:v>
                </c:pt>
                <c:pt idx="121">
                  <c:v>161.47272264555826</c:v>
                </c:pt>
                <c:pt idx="122">
                  <c:v>161.29145343740041</c:v>
                </c:pt>
                <c:pt idx="123">
                  <c:v>160.96052569986293</c:v>
                </c:pt>
                <c:pt idx="124">
                  <c:v>160.54080640470954</c:v>
                </c:pt>
                <c:pt idx="125">
                  <c:v>160.20917626032568</c:v>
                </c:pt>
                <c:pt idx="126">
                  <c:v>160.2028105384876</c:v>
                </c:pt>
                <c:pt idx="127">
                  <c:v>160.65414309557227</c:v>
                </c:pt>
                <c:pt idx="128">
                  <c:v>161.04099318095032</c:v>
                </c:pt>
                <c:pt idx="129">
                  <c:v>161.18401379773292</c:v>
                </c:pt>
                <c:pt idx="130">
                  <c:v>161.04733522730373</c:v>
                </c:pt>
                <c:pt idx="131">
                  <c:v>160.97189668379636</c:v>
                </c:pt>
                <c:pt idx="132">
                  <c:v>161.06519516730344</c:v>
                </c:pt>
                <c:pt idx="133">
                  <c:v>161.13070405615278</c:v>
                </c:pt>
                <c:pt idx="134">
                  <c:v>161.21446447715479</c:v>
                </c:pt>
                <c:pt idx="135">
                  <c:v>160.83454620257024</c:v>
                </c:pt>
                <c:pt idx="136">
                  <c:v>160.4731197605596</c:v>
                </c:pt>
                <c:pt idx="137">
                  <c:v>160.31968569947566</c:v>
                </c:pt>
                <c:pt idx="138">
                  <c:v>160.30879278238012</c:v>
                </c:pt>
                <c:pt idx="139">
                  <c:v>160.34300165118708</c:v>
                </c:pt>
                <c:pt idx="140">
                  <c:v>160.30685020498728</c:v>
                </c:pt>
                <c:pt idx="141">
                  <c:v>159.97698573585711</c:v>
                </c:pt>
                <c:pt idx="142">
                  <c:v>159.48875963494916</c:v>
                </c:pt>
                <c:pt idx="143">
                  <c:v>159.18442145947836</c:v>
                </c:pt>
                <c:pt idx="144">
                  <c:v>159.30876307203462</c:v>
                </c:pt>
                <c:pt idx="145">
                  <c:v>159.5297558246354</c:v>
                </c:pt>
                <c:pt idx="146">
                  <c:v>159.80325470976817</c:v>
                </c:pt>
                <c:pt idx="147">
                  <c:v>159.54336558223105</c:v>
                </c:pt>
                <c:pt idx="148">
                  <c:v>160.39602660540336</c:v>
                </c:pt>
                <c:pt idx="149">
                  <c:v>161.54048958605102</c:v>
                </c:pt>
                <c:pt idx="150">
                  <c:v>162.45437898615859</c:v>
                </c:pt>
                <c:pt idx="151">
                  <c:v>163.41587937198892</c:v>
                </c:pt>
                <c:pt idx="152">
                  <c:v>163.97010706653194</c:v>
                </c:pt>
                <c:pt idx="153">
                  <c:v>165.19923306754225</c:v>
                </c:pt>
                <c:pt idx="154">
                  <c:v>166.40955011516982</c:v>
                </c:pt>
                <c:pt idx="155">
                  <c:v>166.60312447918278</c:v>
                </c:pt>
                <c:pt idx="156">
                  <c:v>166.75524929365119</c:v>
                </c:pt>
                <c:pt idx="157">
                  <c:v>167.06519578334613</c:v>
                </c:pt>
                <c:pt idx="158">
                  <c:v>167.7952778706796</c:v>
                </c:pt>
                <c:pt idx="159">
                  <c:v>169.05290386774971</c:v>
                </c:pt>
                <c:pt idx="160">
                  <c:v>170.0010607456083</c:v>
                </c:pt>
                <c:pt idx="161">
                  <c:v>170.25491488814401</c:v>
                </c:pt>
                <c:pt idx="162">
                  <c:v>170.27938462321768</c:v>
                </c:pt>
                <c:pt idx="163">
                  <c:v>170.2833704590426</c:v>
                </c:pt>
                <c:pt idx="164">
                  <c:v>170.34764871278753</c:v>
                </c:pt>
                <c:pt idx="165">
                  <c:v>170.46108236442004</c:v>
                </c:pt>
                <c:pt idx="166">
                  <c:v>170.24643678465949</c:v>
                </c:pt>
                <c:pt idx="167">
                  <c:v>170.54332075832627</c:v>
                </c:pt>
                <c:pt idx="168">
                  <c:v>170.25402471923334</c:v>
                </c:pt>
                <c:pt idx="169">
                  <c:v>170.03414450288844</c:v>
                </c:pt>
                <c:pt idx="170">
                  <c:v>169.94480505481843</c:v>
                </c:pt>
                <c:pt idx="171">
                  <c:v>170.13353141922627</c:v>
                </c:pt>
                <c:pt idx="172">
                  <c:v>170.31146245918481</c:v>
                </c:pt>
                <c:pt idx="173">
                  <c:v>170.79231437769573</c:v>
                </c:pt>
                <c:pt idx="174">
                  <c:v>171.17987776948777</c:v>
                </c:pt>
                <c:pt idx="175">
                  <c:v>171.37546686291597</c:v>
                </c:pt>
                <c:pt idx="176">
                  <c:v>171.82555458513079</c:v>
                </c:pt>
                <c:pt idx="177">
                  <c:v>172.32808767264967</c:v>
                </c:pt>
                <c:pt idx="178">
                  <c:v>172.63129307162376</c:v>
                </c:pt>
                <c:pt idx="179">
                  <c:v>172.57170541160332</c:v>
                </c:pt>
                <c:pt idx="180">
                  <c:v>172.50310729779082</c:v>
                </c:pt>
                <c:pt idx="181">
                  <c:v>171.643543121004</c:v>
                </c:pt>
                <c:pt idx="182">
                  <c:v>171.11908777464436</c:v>
                </c:pt>
                <c:pt idx="183">
                  <c:v>170.12841472624532</c:v>
                </c:pt>
                <c:pt idx="184">
                  <c:v>169.1768548081798</c:v>
                </c:pt>
                <c:pt idx="185">
                  <c:v>168.49547909270385</c:v>
                </c:pt>
                <c:pt idx="186">
                  <c:v>168.13171297026162</c:v>
                </c:pt>
                <c:pt idx="187">
                  <c:v>167.69980343835863</c:v>
                </c:pt>
                <c:pt idx="188">
                  <c:v>167.36333633828997</c:v>
                </c:pt>
                <c:pt idx="189">
                  <c:v>166.86123142962455</c:v>
                </c:pt>
                <c:pt idx="190">
                  <c:v>166.37723151134895</c:v>
                </c:pt>
                <c:pt idx="191">
                  <c:v>165.74788831284903</c:v>
                </c:pt>
                <c:pt idx="192">
                  <c:v>165.18886304911354</c:v>
                </c:pt>
                <c:pt idx="193">
                  <c:v>165.22514234161622</c:v>
                </c:pt>
                <c:pt idx="194">
                  <c:v>165.28064294637144</c:v>
                </c:pt>
                <c:pt idx="195">
                  <c:v>165.52920203821535</c:v>
                </c:pt>
                <c:pt idx="196">
                  <c:v>165.79967009538237</c:v>
                </c:pt>
                <c:pt idx="197">
                  <c:v>165.95388212062178</c:v>
                </c:pt>
                <c:pt idx="198">
                  <c:v>166.08706617529808</c:v>
                </c:pt>
                <c:pt idx="199">
                  <c:v>166.14780997101414</c:v>
                </c:pt>
                <c:pt idx="200">
                  <c:v>166.147030180293</c:v>
                </c:pt>
                <c:pt idx="201">
                  <c:v>166.10307750282425</c:v>
                </c:pt>
                <c:pt idx="202">
                  <c:v>166.04783807025899</c:v>
                </c:pt>
                <c:pt idx="203">
                  <c:v>166.22969237677165</c:v>
                </c:pt>
                <c:pt idx="204">
                  <c:v>166.52750154805628</c:v>
                </c:pt>
                <c:pt idx="205">
                  <c:v>166.77374948729687</c:v>
                </c:pt>
                <c:pt idx="206">
                  <c:v>166.96339268799699</c:v>
                </c:pt>
                <c:pt idx="207">
                  <c:v>166.93302105243092</c:v>
                </c:pt>
                <c:pt idx="208">
                  <c:v>166.32772244330835</c:v>
                </c:pt>
                <c:pt idx="209">
                  <c:v>165.67389191517947</c:v>
                </c:pt>
                <c:pt idx="210">
                  <c:v>165.18367641248878</c:v>
                </c:pt>
                <c:pt idx="211">
                  <c:v>164.69714812672902</c:v>
                </c:pt>
                <c:pt idx="212">
                  <c:v>164.52590521617901</c:v>
                </c:pt>
                <c:pt idx="213">
                  <c:v>164.20927902087777</c:v>
                </c:pt>
                <c:pt idx="214">
                  <c:v>163.22033822531992</c:v>
                </c:pt>
                <c:pt idx="215">
                  <c:v>162.19961824072936</c:v>
                </c:pt>
                <c:pt idx="216">
                  <c:v>161.58022841171626</c:v>
                </c:pt>
                <c:pt idx="217">
                  <c:v>161.0428001440628</c:v>
                </c:pt>
                <c:pt idx="218">
                  <c:v>160.6683322433754</c:v>
                </c:pt>
                <c:pt idx="219">
                  <c:v>160.36228576697329</c:v>
                </c:pt>
                <c:pt idx="220">
                  <c:v>160.26314748987164</c:v>
                </c:pt>
                <c:pt idx="221">
                  <c:v>159.05491931051009</c:v>
                </c:pt>
                <c:pt idx="222">
                  <c:v>158.11802857713056</c:v>
                </c:pt>
                <c:pt idx="223">
                  <c:v>157.01200960171229</c:v>
                </c:pt>
                <c:pt idx="224">
                  <c:v>156.50767900114636</c:v>
                </c:pt>
                <c:pt idx="225">
                  <c:v>156.41814597981696</c:v>
                </c:pt>
                <c:pt idx="226">
                  <c:v>156.70475299316172</c:v>
                </c:pt>
                <c:pt idx="227">
                  <c:v>156.94974242126443</c:v>
                </c:pt>
                <c:pt idx="228">
                  <c:v>156.94244956527604</c:v>
                </c:pt>
                <c:pt idx="229">
                  <c:v>156.92630278105318</c:v>
                </c:pt>
                <c:pt idx="230">
                  <c:v>156.9588897152266</c:v>
                </c:pt>
                <c:pt idx="231">
                  <c:v>156.96568264511936</c:v>
                </c:pt>
                <c:pt idx="232">
                  <c:v>156.96528040890956</c:v>
                </c:pt>
                <c:pt idx="233">
                  <c:v>157.08249329429006</c:v>
                </c:pt>
                <c:pt idx="234">
                  <c:v>156.9661775299526</c:v>
                </c:pt>
                <c:pt idx="235">
                  <c:v>156.42344565453752</c:v>
                </c:pt>
                <c:pt idx="236">
                  <c:v>156.32280540679065</c:v>
                </c:pt>
                <c:pt idx="237">
                  <c:v>156.25081505077023</c:v>
                </c:pt>
                <c:pt idx="238">
                  <c:v>155.74380611509577</c:v>
                </c:pt>
                <c:pt idx="239">
                  <c:v>155.75487274645531</c:v>
                </c:pt>
                <c:pt idx="240">
                  <c:v>155.82053618283084</c:v>
                </c:pt>
                <c:pt idx="241">
                  <c:v>155.35565462845386</c:v>
                </c:pt>
                <c:pt idx="242">
                  <c:v>154.98510709405829</c:v>
                </c:pt>
                <c:pt idx="243">
                  <c:v>154.46881247690254</c:v>
                </c:pt>
                <c:pt idx="244">
                  <c:v>152.93972959737386</c:v>
                </c:pt>
                <c:pt idx="245">
                  <c:v>151.94142867482879</c:v>
                </c:pt>
                <c:pt idx="246">
                  <c:v>150.76393346088122</c:v>
                </c:pt>
                <c:pt idx="247">
                  <c:v>150.16916218964295</c:v>
                </c:pt>
                <c:pt idx="248">
                  <c:v>149.57145536103903</c:v>
                </c:pt>
                <c:pt idx="249">
                  <c:v>149.22902858380186</c:v>
                </c:pt>
                <c:pt idx="250">
                  <c:v>148.92884553047952</c:v>
                </c:pt>
                <c:pt idx="251">
                  <c:v>148.83291884778805</c:v>
                </c:pt>
                <c:pt idx="252">
                  <c:v>148.39181250827775</c:v>
                </c:pt>
                <c:pt idx="253">
                  <c:v>147.83138200170427</c:v>
                </c:pt>
                <c:pt idx="254">
                  <c:v>146.69189592822076</c:v>
                </c:pt>
                <c:pt idx="255">
                  <c:v>145.34842508658988</c:v>
                </c:pt>
                <c:pt idx="256">
                  <c:v>144.66871915846755</c:v>
                </c:pt>
                <c:pt idx="257">
                  <c:v>143.32728486736255</c:v>
                </c:pt>
                <c:pt idx="258">
                  <c:v>142.42443967683096</c:v>
                </c:pt>
                <c:pt idx="259">
                  <c:v>142.05254413449438</c:v>
                </c:pt>
                <c:pt idx="260">
                  <c:v>141.75617177061713</c:v>
                </c:pt>
                <c:pt idx="261">
                  <c:v>141.67317891771791</c:v>
                </c:pt>
                <c:pt idx="262">
                  <c:v>141.92636706144316</c:v>
                </c:pt>
                <c:pt idx="263">
                  <c:v>142.08906381172284</c:v>
                </c:pt>
                <c:pt idx="264">
                  <c:v>142.03546830360133</c:v>
                </c:pt>
                <c:pt idx="265">
                  <c:v>142.12590813829752</c:v>
                </c:pt>
                <c:pt idx="266">
                  <c:v>142.15331490194058</c:v>
                </c:pt>
                <c:pt idx="267">
                  <c:v>141.92117169140138</c:v>
                </c:pt>
                <c:pt idx="268">
                  <c:v>142.02970240126416</c:v>
                </c:pt>
                <c:pt idx="269">
                  <c:v>142.20016464827626</c:v>
                </c:pt>
                <c:pt idx="270">
                  <c:v>142.18598934429343</c:v>
                </c:pt>
                <c:pt idx="271">
                  <c:v>142.27609207434284</c:v>
                </c:pt>
                <c:pt idx="272">
                  <c:v>142.27444531310962</c:v>
                </c:pt>
                <c:pt idx="273">
                  <c:v>141.66786752108339</c:v>
                </c:pt>
                <c:pt idx="274">
                  <c:v>141.59950018258536</c:v>
                </c:pt>
                <c:pt idx="275">
                  <c:v>141.59292741806095</c:v>
                </c:pt>
                <c:pt idx="276">
                  <c:v>141.352712081795</c:v>
                </c:pt>
                <c:pt idx="277">
                  <c:v>141.68314189337624</c:v>
                </c:pt>
                <c:pt idx="278">
                  <c:v>141.84816260330706</c:v>
                </c:pt>
                <c:pt idx="279">
                  <c:v>141.68889572685796</c:v>
                </c:pt>
                <c:pt idx="280">
                  <c:v>141.65762393404012</c:v>
                </c:pt>
                <c:pt idx="281">
                  <c:v>141.21263859799782</c:v>
                </c:pt>
                <c:pt idx="282">
                  <c:v>140.8282272386941</c:v>
                </c:pt>
                <c:pt idx="283">
                  <c:v>140.6796597079327</c:v>
                </c:pt>
                <c:pt idx="284">
                  <c:v>140.68731701099557</c:v>
                </c:pt>
                <c:pt idx="285">
                  <c:v>140.38696560701484</c:v>
                </c:pt>
                <c:pt idx="286">
                  <c:v>140.10872793767408</c:v>
                </c:pt>
                <c:pt idx="287">
                  <c:v>139.8257583467049</c:v>
                </c:pt>
                <c:pt idx="288">
                  <c:v>139.79088781219497</c:v>
                </c:pt>
                <c:pt idx="289">
                  <c:v>139.736799130229</c:v>
                </c:pt>
                <c:pt idx="290">
                  <c:v>139.63212208930909</c:v>
                </c:pt>
                <c:pt idx="291">
                  <c:v>139.24670144068173</c:v>
                </c:pt>
                <c:pt idx="292">
                  <c:v>139.10649763400374</c:v>
                </c:pt>
                <c:pt idx="293">
                  <c:v>139.65482278520426</c:v>
                </c:pt>
                <c:pt idx="294">
                  <c:v>139.93523258576101</c:v>
                </c:pt>
                <c:pt idx="295">
                  <c:v>140.35957061947383</c:v>
                </c:pt>
                <c:pt idx="296">
                  <c:v>140.904231446333</c:v>
                </c:pt>
                <c:pt idx="297">
                  <c:v>141.73305298492016</c:v>
                </c:pt>
                <c:pt idx="298">
                  <c:v>142.10021451434272</c:v>
                </c:pt>
                <c:pt idx="299">
                  <c:v>142.84556811246219</c:v>
                </c:pt>
                <c:pt idx="300">
                  <c:v>143.5412918734865</c:v>
                </c:pt>
                <c:pt idx="301">
                  <c:v>144.90913892626273</c:v>
                </c:pt>
                <c:pt idx="302">
                  <c:v>146.01291775458296</c:v>
                </c:pt>
                <c:pt idx="303">
                  <c:v>146.55683963204379</c:v>
                </c:pt>
                <c:pt idx="304">
                  <c:v>146.17252275429735</c:v>
                </c:pt>
                <c:pt idx="305">
                  <c:v>145.10442978305423</c:v>
                </c:pt>
                <c:pt idx="306">
                  <c:v>144.40972185048093</c:v>
                </c:pt>
                <c:pt idx="307">
                  <c:v>143.82218348557549</c:v>
                </c:pt>
                <c:pt idx="308">
                  <c:v>143.61917169601833</c:v>
                </c:pt>
                <c:pt idx="309">
                  <c:v>143.51610216441523</c:v>
                </c:pt>
                <c:pt idx="310">
                  <c:v>143.4190349022978</c:v>
                </c:pt>
                <c:pt idx="311">
                  <c:v>143.63942056185067</c:v>
                </c:pt>
                <c:pt idx="312">
                  <c:v>143.71283645546558</c:v>
                </c:pt>
                <c:pt idx="313">
                  <c:v>143.77271680804552</c:v>
                </c:pt>
                <c:pt idx="314">
                  <c:v>144.03154319503574</c:v>
                </c:pt>
                <c:pt idx="315">
                  <c:v>144.04498777539746</c:v>
                </c:pt>
                <c:pt idx="316">
                  <c:v>143.97315028331778</c:v>
                </c:pt>
                <c:pt idx="317">
                  <c:v>142.44826273990117</c:v>
                </c:pt>
                <c:pt idx="318">
                  <c:v>142.2335080938187</c:v>
                </c:pt>
                <c:pt idx="319">
                  <c:v>141.81253247053243</c:v>
                </c:pt>
                <c:pt idx="320">
                  <c:v>141.47527951773517</c:v>
                </c:pt>
                <c:pt idx="321">
                  <c:v>141.57507378525582</c:v>
                </c:pt>
                <c:pt idx="322">
                  <c:v>141.04608033328512</c:v>
                </c:pt>
                <c:pt idx="323">
                  <c:v>139.96711397077326</c:v>
                </c:pt>
                <c:pt idx="324">
                  <c:v>139.58114593832175</c:v>
                </c:pt>
                <c:pt idx="325">
                  <c:v>139.11133507584756</c:v>
                </c:pt>
                <c:pt idx="326">
                  <c:v>138.88089709717616</c:v>
                </c:pt>
                <c:pt idx="327">
                  <c:v>138.54071446482115</c:v>
                </c:pt>
                <c:pt idx="328">
                  <c:v>136.66945266947016</c:v>
                </c:pt>
                <c:pt idx="329">
                  <c:v>134.69246876296944</c:v>
                </c:pt>
                <c:pt idx="330">
                  <c:v>133.1793462553822</c:v>
                </c:pt>
                <c:pt idx="331">
                  <c:v>132.13462056150149</c:v>
                </c:pt>
                <c:pt idx="332">
                  <c:v>131.5502725123776</c:v>
                </c:pt>
                <c:pt idx="333">
                  <c:v>130.73089078566156</c:v>
                </c:pt>
                <c:pt idx="334">
                  <c:v>130.5653455066732</c:v>
                </c:pt>
                <c:pt idx="335">
                  <c:v>129.66701043645733</c:v>
                </c:pt>
                <c:pt idx="336">
                  <c:v>128.476015803705</c:v>
                </c:pt>
                <c:pt idx="337">
                  <c:v>127.63560999163664</c:v>
                </c:pt>
                <c:pt idx="338">
                  <c:v>127.05082982387292</c:v>
                </c:pt>
                <c:pt idx="339">
                  <c:v>126.3441430420677</c:v>
                </c:pt>
                <c:pt idx="340">
                  <c:v>126.05034850652642</c:v>
                </c:pt>
                <c:pt idx="341">
                  <c:v>126.12065756093187</c:v>
                </c:pt>
                <c:pt idx="342">
                  <c:v>125.54217853847769</c:v>
                </c:pt>
                <c:pt idx="343">
                  <c:v>125.34108285656124</c:v>
                </c:pt>
                <c:pt idx="344">
                  <c:v>125.66065195020533</c:v>
                </c:pt>
                <c:pt idx="345">
                  <c:v>126.00451198502797</c:v>
                </c:pt>
                <c:pt idx="346">
                  <c:v>127.13173731598488</c:v>
                </c:pt>
                <c:pt idx="347">
                  <c:v>128.56280832606512</c:v>
                </c:pt>
                <c:pt idx="348">
                  <c:v>128.50593268853666</c:v>
                </c:pt>
                <c:pt idx="349">
                  <c:v>128.18909199728171</c:v>
                </c:pt>
                <c:pt idx="350">
                  <c:v>128.19924228197081</c:v>
                </c:pt>
                <c:pt idx="351">
                  <c:v>128.24294318110435</c:v>
                </c:pt>
                <c:pt idx="352">
                  <c:v>128.7103311939992</c:v>
                </c:pt>
                <c:pt idx="353">
                  <c:v>128.84476582392796</c:v>
                </c:pt>
                <c:pt idx="354">
                  <c:v>129.0589970774395</c:v>
                </c:pt>
                <c:pt idx="355">
                  <c:v>129.06612214807095</c:v>
                </c:pt>
                <c:pt idx="356">
                  <c:v>129.09174681348318</c:v>
                </c:pt>
                <c:pt idx="357">
                  <c:v>129.09474721324864</c:v>
                </c:pt>
                <c:pt idx="358">
                  <c:v>128.9886671707271</c:v>
                </c:pt>
                <c:pt idx="359">
                  <c:v>128.92762977473993</c:v>
                </c:pt>
                <c:pt idx="360">
                  <c:v>128.9216948024964</c:v>
                </c:pt>
                <c:pt idx="361">
                  <c:v>128.8668847247975</c:v>
                </c:pt>
                <c:pt idx="362">
                  <c:v>129.32230292611771</c:v>
                </c:pt>
                <c:pt idx="363">
                  <c:v>129.29798807886044</c:v>
                </c:pt>
                <c:pt idx="364">
                  <c:v>129.31489997214695</c:v>
                </c:pt>
                <c:pt idx="365">
                  <c:v>129.06446766648787</c:v>
                </c:pt>
                <c:pt idx="366">
                  <c:v>128.80767980591799</c:v>
                </c:pt>
                <c:pt idx="367">
                  <c:v>128.62683495630944</c:v>
                </c:pt>
                <c:pt idx="368">
                  <c:v>128.46589358690875</c:v>
                </c:pt>
                <c:pt idx="369">
                  <c:v>128.6360867689711</c:v>
                </c:pt>
                <c:pt idx="370">
                  <c:v>128.16726676664402</c:v>
                </c:pt>
                <c:pt idx="371">
                  <c:v>127.82566298670923</c:v>
                </c:pt>
                <c:pt idx="372">
                  <c:v>127.85665246708392</c:v>
                </c:pt>
                <c:pt idx="373">
                  <c:v>127.82267956251934</c:v>
                </c:pt>
                <c:pt idx="374">
                  <c:v>127.2664695700791</c:v>
                </c:pt>
                <c:pt idx="375">
                  <c:v>126.63284040747061</c:v>
                </c:pt>
                <c:pt idx="376">
                  <c:v>126.37296846261835</c:v>
                </c:pt>
                <c:pt idx="377">
                  <c:v>126.30248098648539</c:v>
                </c:pt>
                <c:pt idx="378">
                  <c:v>126.30837235551247</c:v>
                </c:pt>
                <c:pt idx="379">
                  <c:v>126.42177348838922</c:v>
                </c:pt>
                <c:pt idx="380">
                  <c:v>126.28478176650691</c:v>
                </c:pt>
                <c:pt idx="381">
                  <c:v>126.44970708854153</c:v>
                </c:pt>
                <c:pt idx="382">
                  <c:v>126.41768297286951</c:v>
                </c:pt>
                <c:pt idx="383">
                  <c:v>126.5763410998559</c:v>
                </c:pt>
                <c:pt idx="384">
                  <c:v>126.66575680345331</c:v>
                </c:pt>
                <c:pt idx="385">
                  <c:v>125.42286401616414</c:v>
                </c:pt>
                <c:pt idx="386">
                  <c:v>125.32641889849236</c:v>
                </c:pt>
                <c:pt idx="387">
                  <c:v>125.70706254734519</c:v>
                </c:pt>
                <c:pt idx="388">
                  <c:v>125.70022063325015</c:v>
                </c:pt>
                <c:pt idx="389">
                  <c:v>125.7487419930527</c:v>
                </c:pt>
                <c:pt idx="390">
                  <c:v>126.76190897756467</c:v>
                </c:pt>
                <c:pt idx="391">
                  <c:v>128.0882262133797</c:v>
                </c:pt>
                <c:pt idx="392">
                  <c:v>129.06544582712328</c:v>
                </c:pt>
                <c:pt idx="393">
                  <c:v>129.8903230125284</c:v>
                </c:pt>
                <c:pt idx="394">
                  <c:v>130.31596363523894</c:v>
                </c:pt>
                <c:pt idx="395">
                  <c:v>130.46572140433997</c:v>
                </c:pt>
                <c:pt idx="396">
                  <c:v>130.87504691344847</c:v>
                </c:pt>
                <c:pt idx="397">
                  <c:v>131.48841314632816</c:v>
                </c:pt>
                <c:pt idx="398">
                  <c:v>132.03003750632377</c:v>
                </c:pt>
                <c:pt idx="399">
                  <c:v>132.8076778179053</c:v>
                </c:pt>
                <c:pt idx="400">
                  <c:v>133.36469144419604</c:v>
                </c:pt>
                <c:pt idx="401">
                  <c:v>134.13666330341908</c:v>
                </c:pt>
                <c:pt idx="402">
                  <c:v>135.00686424749335</c:v>
                </c:pt>
                <c:pt idx="403">
                  <c:v>136.46706410000243</c:v>
                </c:pt>
                <c:pt idx="404">
                  <c:v>137.45319133742652</c:v>
                </c:pt>
                <c:pt idx="405">
                  <c:v>137.20462893772634</c:v>
                </c:pt>
                <c:pt idx="406">
                  <c:v>136.83116848183843</c:v>
                </c:pt>
                <c:pt idx="407">
                  <c:v>136.8465985571907</c:v>
                </c:pt>
                <c:pt idx="408">
                  <c:v>136.36041496545698</c:v>
                </c:pt>
                <c:pt idx="409">
                  <c:v>136.15784099703268</c:v>
                </c:pt>
                <c:pt idx="410">
                  <c:v>136.17730159698471</c:v>
                </c:pt>
                <c:pt idx="411">
                  <c:v>136.27910435392772</c:v>
                </c:pt>
                <c:pt idx="412">
                  <c:v>136.69820543673254</c:v>
                </c:pt>
                <c:pt idx="413">
                  <c:v>136.87177257091861</c:v>
                </c:pt>
                <c:pt idx="414">
                  <c:v>137.18323232500282</c:v>
                </c:pt>
                <c:pt idx="415">
                  <c:v>138.4960329249551</c:v>
                </c:pt>
                <c:pt idx="416">
                  <c:v>139.67206168661946</c:v>
                </c:pt>
                <c:pt idx="417">
                  <c:v>140.95458567087761</c:v>
                </c:pt>
                <c:pt idx="418">
                  <c:v>142.60821528622719</c:v>
                </c:pt>
                <c:pt idx="419">
                  <c:v>144.05625686590247</c:v>
                </c:pt>
                <c:pt idx="420">
                  <c:v>144.59077097425163</c:v>
                </c:pt>
                <c:pt idx="421">
                  <c:v>143.56971768149398</c:v>
                </c:pt>
                <c:pt idx="422">
                  <c:v>143.15714479232474</c:v>
                </c:pt>
                <c:pt idx="423">
                  <c:v>142.3986410890233</c:v>
                </c:pt>
                <c:pt idx="424">
                  <c:v>141.95685886472819</c:v>
                </c:pt>
                <c:pt idx="425">
                  <c:v>141.43982072861454</c:v>
                </c:pt>
                <c:pt idx="426">
                  <c:v>140.4197441797435</c:v>
                </c:pt>
                <c:pt idx="427">
                  <c:v>139.39268763692334</c:v>
                </c:pt>
                <c:pt idx="428">
                  <c:v>139.03388195984749</c:v>
                </c:pt>
                <c:pt idx="429">
                  <c:v>138.5717816383075</c:v>
                </c:pt>
                <c:pt idx="430">
                  <c:v>138.25415221275185</c:v>
                </c:pt>
                <c:pt idx="431">
                  <c:v>137.97420478090177</c:v>
                </c:pt>
                <c:pt idx="432">
                  <c:v>137.78956818865731</c:v>
                </c:pt>
                <c:pt idx="433">
                  <c:v>137.62003342149009</c:v>
                </c:pt>
                <c:pt idx="434">
                  <c:v>137.22475579754737</c:v>
                </c:pt>
                <c:pt idx="435">
                  <c:v>136.95177728613859</c:v>
                </c:pt>
                <c:pt idx="436">
                  <c:v>136.91240153737286</c:v>
                </c:pt>
                <c:pt idx="437">
                  <c:v>137.46140947644312</c:v>
                </c:pt>
                <c:pt idx="438">
                  <c:v>138.13665037215807</c:v>
                </c:pt>
                <c:pt idx="439">
                  <c:v>138.60227996431132</c:v>
                </c:pt>
                <c:pt idx="440">
                  <c:v>139.16014744025213</c:v>
                </c:pt>
                <c:pt idx="441">
                  <c:v>138.91133681529138</c:v>
                </c:pt>
                <c:pt idx="442">
                  <c:v>138.87941618499136</c:v>
                </c:pt>
                <c:pt idx="443">
                  <c:v>138.50805202722242</c:v>
                </c:pt>
                <c:pt idx="444">
                  <c:v>138.416192064743</c:v>
                </c:pt>
                <c:pt idx="445">
                  <c:v>136.80817071248228</c:v>
                </c:pt>
                <c:pt idx="446">
                  <c:v>136.24737372735711</c:v>
                </c:pt>
                <c:pt idx="447">
                  <c:v>135.50837132141913</c:v>
                </c:pt>
                <c:pt idx="448">
                  <c:v>135.07442935208337</c:v>
                </c:pt>
                <c:pt idx="449">
                  <c:v>134.69075373078431</c:v>
                </c:pt>
                <c:pt idx="450">
                  <c:v>134.29289323209116</c:v>
                </c:pt>
                <c:pt idx="451">
                  <c:v>134.21974275332909</c:v>
                </c:pt>
                <c:pt idx="452">
                  <c:v>134.27429624451938</c:v>
                </c:pt>
                <c:pt idx="453">
                  <c:v>134.44490816344407</c:v>
                </c:pt>
                <c:pt idx="454">
                  <c:v>135.14985990459712</c:v>
                </c:pt>
                <c:pt idx="455">
                  <c:v>135.8864538292049</c:v>
                </c:pt>
                <c:pt idx="456">
                  <c:v>136.75987069144395</c:v>
                </c:pt>
                <c:pt idx="457">
                  <c:v>137.7624463801333</c:v>
                </c:pt>
                <c:pt idx="458">
                  <c:v>138.13904555247385</c:v>
                </c:pt>
                <c:pt idx="459">
                  <c:v>138.79650006595273</c:v>
                </c:pt>
                <c:pt idx="460">
                  <c:v>139.42640287627381</c:v>
                </c:pt>
                <c:pt idx="461">
                  <c:v>140.28075297284587</c:v>
                </c:pt>
                <c:pt idx="462">
                  <c:v>140.76212877825162</c:v>
                </c:pt>
                <c:pt idx="463">
                  <c:v>141.8583256181447</c:v>
                </c:pt>
                <c:pt idx="464">
                  <c:v>141.18053670213484</c:v>
                </c:pt>
                <c:pt idx="465">
                  <c:v>140.36504426425753</c:v>
                </c:pt>
                <c:pt idx="466">
                  <c:v>139.6045690424516</c:v>
                </c:pt>
                <c:pt idx="467">
                  <c:v>139.26926627419502</c:v>
                </c:pt>
                <c:pt idx="468">
                  <c:v>138.88550717325074</c:v>
                </c:pt>
                <c:pt idx="469">
                  <c:v>138.71020524895215</c:v>
                </c:pt>
                <c:pt idx="470">
                  <c:v>138.79430961197951</c:v>
                </c:pt>
                <c:pt idx="471">
                  <c:v>139.0769394616934</c:v>
                </c:pt>
                <c:pt idx="472">
                  <c:v>139.38495496403573</c:v>
                </c:pt>
                <c:pt idx="473">
                  <c:v>139.74232102621397</c:v>
                </c:pt>
                <c:pt idx="474">
                  <c:v>139.94539326379049</c:v>
                </c:pt>
                <c:pt idx="475">
                  <c:v>140.2584185651898</c:v>
                </c:pt>
                <c:pt idx="476">
                  <c:v>140.94292323525204</c:v>
                </c:pt>
                <c:pt idx="477">
                  <c:v>141.30464829838127</c:v>
                </c:pt>
                <c:pt idx="478">
                  <c:v>141.2228713584974</c:v>
                </c:pt>
                <c:pt idx="479">
                  <c:v>141.11399055779515</c:v>
                </c:pt>
                <c:pt idx="480">
                  <c:v>140.9054205537891</c:v>
                </c:pt>
                <c:pt idx="481">
                  <c:v>141.05726563853008</c:v>
                </c:pt>
                <c:pt idx="482">
                  <c:v>141.41755151703029</c:v>
                </c:pt>
                <c:pt idx="483">
                  <c:v>141.85929052699689</c:v>
                </c:pt>
                <c:pt idx="484">
                  <c:v>142.56454376899646</c:v>
                </c:pt>
                <c:pt idx="485">
                  <c:v>143.03500129020958</c:v>
                </c:pt>
                <c:pt idx="486">
                  <c:v>143.51604246677996</c:v>
                </c:pt>
                <c:pt idx="487">
                  <c:v>143.56218779930978</c:v>
                </c:pt>
                <c:pt idx="488">
                  <c:v>143.8816351152964</c:v>
                </c:pt>
                <c:pt idx="489">
                  <c:v>143.9605764419511</c:v>
                </c:pt>
                <c:pt idx="490">
                  <c:v>143.91624832363186</c:v>
                </c:pt>
                <c:pt idx="491">
                  <c:v>143.85393733877478</c:v>
                </c:pt>
                <c:pt idx="492">
                  <c:v>143.80968169720791</c:v>
                </c:pt>
                <c:pt idx="493">
                  <c:v>143.88554700606926</c:v>
                </c:pt>
                <c:pt idx="494">
                  <c:v>144.08504749414195</c:v>
                </c:pt>
                <c:pt idx="495">
                  <c:v>144.17486996676743</c:v>
                </c:pt>
                <c:pt idx="496">
                  <c:v>143.75887265475362</c:v>
                </c:pt>
                <c:pt idx="497">
                  <c:v>143.29839172802582</c:v>
                </c:pt>
                <c:pt idx="498">
                  <c:v>142.73320774802576</c:v>
                </c:pt>
                <c:pt idx="499">
                  <c:v>142.30339205395717</c:v>
                </c:pt>
                <c:pt idx="500">
                  <c:v>141.92717301226287</c:v>
                </c:pt>
                <c:pt idx="501">
                  <c:v>141.4708275094377</c:v>
                </c:pt>
                <c:pt idx="502">
                  <c:v>140.81931444058318</c:v>
                </c:pt>
                <c:pt idx="503">
                  <c:v>139.74170293639293</c:v>
                </c:pt>
                <c:pt idx="504">
                  <c:v>138.67359811834271</c:v>
                </c:pt>
                <c:pt idx="505">
                  <c:v>137.20892316655082</c:v>
                </c:pt>
                <c:pt idx="506">
                  <c:v>136.50117266107517</c:v>
                </c:pt>
                <c:pt idx="507">
                  <c:v>135.95042581707096</c:v>
                </c:pt>
                <c:pt idx="508">
                  <c:v>135.67072729006509</c:v>
                </c:pt>
                <c:pt idx="509">
                  <c:v>135.80924228363503</c:v>
                </c:pt>
                <c:pt idx="510">
                  <c:v>136.19320727957859</c:v>
                </c:pt>
                <c:pt idx="511">
                  <c:v>136.51915450348852</c:v>
                </c:pt>
                <c:pt idx="512">
                  <c:v>136.87174233738327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ax val="46054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ax val="165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35">
                  <c:v>-0.29956808693701381</c:v>
                </c:pt>
                <c:pt idx="36">
                  <c:v>-0.28715013516240262</c:v>
                </c:pt>
                <c:pt idx="37">
                  <c:v>-0.27420941220062506</c:v>
                </c:pt>
                <c:pt idx="38">
                  <c:v>-0.32672661548260068</c:v>
                </c:pt>
                <c:pt idx="39">
                  <c:v>-0.45251175591803439</c:v>
                </c:pt>
                <c:pt idx="40">
                  <c:v>-0.55660598519964077</c:v>
                </c:pt>
                <c:pt idx="41">
                  <c:v>-0.54273833681518402</c:v>
                </c:pt>
                <c:pt idx="42">
                  <c:v>-0.71671502169083989</c:v>
                </c:pt>
                <c:pt idx="43">
                  <c:v>-0.72389743391167505</c:v>
                </c:pt>
                <c:pt idx="44">
                  <c:v>-0.67875501902121971</c:v>
                </c:pt>
                <c:pt idx="45">
                  <c:v>-0.61248483904330064</c:v>
                </c:pt>
                <c:pt idx="46">
                  <c:v>-0.42400746567820691</c:v>
                </c:pt>
                <c:pt idx="47">
                  <c:v>-0.28718591895755474</c:v>
                </c:pt>
                <c:pt idx="48">
                  <c:v>-0.12863231977614209</c:v>
                </c:pt>
                <c:pt idx="49">
                  <c:v>-4.6162563408856938E-2</c:v>
                </c:pt>
                <c:pt idx="50">
                  <c:v>9.9283927147661988E-3</c:v>
                </c:pt>
                <c:pt idx="51">
                  <c:v>0.4753773193214188</c:v>
                </c:pt>
                <c:pt idx="52">
                  <c:v>0.78518576558972897</c:v>
                </c:pt>
                <c:pt idx="53">
                  <c:v>0.94877902753256527</c:v>
                </c:pt>
                <c:pt idx="54">
                  <c:v>1.0438125179843372</c:v>
                </c:pt>
                <c:pt idx="55">
                  <c:v>1.0234191823200165</c:v>
                </c:pt>
                <c:pt idx="56">
                  <c:v>0.99387086171217676</c:v>
                </c:pt>
                <c:pt idx="57">
                  <c:v>0.92915016424461383</c:v>
                </c:pt>
                <c:pt idx="58">
                  <c:v>0.88896968840917578</c:v>
                </c:pt>
                <c:pt idx="59">
                  <c:v>0.90254133155866567</c:v>
                </c:pt>
                <c:pt idx="60">
                  <c:v>0.72558794586909658</c:v>
                </c:pt>
                <c:pt idx="61">
                  <c:v>0.46811024563650294</c:v>
                </c:pt>
                <c:pt idx="62">
                  <c:v>0.15855206759279694</c:v>
                </c:pt>
                <c:pt idx="63">
                  <c:v>-5.7378407591963665E-2</c:v>
                </c:pt>
                <c:pt idx="64">
                  <c:v>-0.23380712181249952</c:v>
                </c:pt>
                <c:pt idx="65">
                  <c:v>-0.31506853845116556</c:v>
                </c:pt>
                <c:pt idx="66">
                  <c:v>-0.29405055234077015</c:v>
                </c:pt>
                <c:pt idx="67">
                  <c:v>-0.38102693061146575</c:v>
                </c:pt>
                <c:pt idx="68">
                  <c:v>-0.46197930107351526</c:v>
                </c:pt>
                <c:pt idx="69">
                  <c:v>-0.51279950978269218</c:v>
                </c:pt>
                <c:pt idx="70">
                  <c:v>-0.5976983309314593</c:v>
                </c:pt>
                <c:pt idx="71">
                  <c:v>-0.58965412576349785</c:v>
                </c:pt>
                <c:pt idx="72">
                  <c:v>-0.43117352254650654</c:v>
                </c:pt>
                <c:pt idx="73">
                  <c:v>-0.13403507519953289</c:v>
                </c:pt>
                <c:pt idx="74">
                  <c:v>0.17538999988978632</c:v>
                </c:pt>
                <c:pt idx="75">
                  <c:v>0.50589007418646914</c:v>
                </c:pt>
                <c:pt idx="76">
                  <c:v>0.34802144876574748</c:v>
                </c:pt>
                <c:pt idx="77">
                  <c:v>0.6209712040028863</c:v>
                </c:pt>
                <c:pt idx="78">
                  <c:v>0.70660754409804105</c:v>
                </c:pt>
                <c:pt idx="79">
                  <c:v>0.64512722885340823</c:v>
                </c:pt>
                <c:pt idx="80">
                  <c:v>0.59912689036849276</c:v>
                </c:pt>
                <c:pt idx="81">
                  <c:v>0.5134590293848964</c:v>
                </c:pt>
                <c:pt idx="82">
                  <c:v>0.37242554580554321</c:v>
                </c:pt>
                <c:pt idx="83">
                  <c:v>0.27088106134341539</c:v>
                </c:pt>
                <c:pt idx="84">
                  <c:v>0.22432031896338334</c:v>
                </c:pt>
                <c:pt idx="85">
                  <c:v>0.14841964684740439</c:v>
                </c:pt>
                <c:pt idx="86">
                  <c:v>0.21922852489538203</c:v>
                </c:pt>
                <c:pt idx="87">
                  <c:v>0.19845288687517693</c:v>
                </c:pt>
                <c:pt idx="88">
                  <c:v>0.20132088388370684</c:v>
                </c:pt>
                <c:pt idx="89">
                  <c:v>0.28732213403825146</c:v>
                </c:pt>
                <c:pt idx="90">
                  <c:v>0.38069955223277474</c:v>
                </c:pt>
                <c:pt idx="91">
                  <c:v>0.33636771923712971</c:v>
                </c:pt>
                <c:pt idx="92">
                  <c:v>0.24684664490211938</c:v>
                </c:pt>
                <c:pt idx="93">
                  <c:v>0.39223177386390828</c:v>
                </c:pt>
                <c:pt idx="94">
                  <c:v>0.38468953226536895</c:v>
                </c:pt>
                <c:pt idx="95">
                  <c:v>0.21954901173895625</c:v>
                </c:pt>
                <c:pt idx="96">
                  <c:v>0.13290229464320813</c:v>
                </c:pt>
                <c:pt idx="97">
                  <c:v>0.11500946505055287</c:v>
                </c:pt>
                <c:pt idx="98">
                  <c:v>-0.10353557040202377</c:v>
                </c:pt>
                <c:pt idx="99">
                  <c:v>-0.33787384853420166</c:v>
                </c:pt>
                <c:pt idx="100">
                  <c:v>-0.7815693631138636</c:v>
                </c:pt>
                <c:pt idx="101">
                  <c:v>-1.1795592909689874</c:v>
                </c:pt>
                <c:pt idx="102">
                  <c:v>-1.4257945430841734</c:v>
                </c:pt>
                <c:pt idx="103">
                  <c:v>-1.3635585902530185</c:v>
                </c:pt>
                <c:pt idx="104">
                  <c:v>-1.3691477928967837</c:v>
                </c:pt>
                <c:pt idx="105">
                  <c:v>-1.1375044446616933</c:v>
                </c:pt>
                <c:pt idx="106">
                  <c:v>-0.9620009051401035</c:v>
                </c:pt>
                <c:pt idx="107">
                  <c:v>-0.82167235798334737</c:v>
                </c:pt>
                <c:pt idx="108">
                  <c:v>-0.82821334273987901</c:v>
                </c:pt>
                <c:pt idx="109">
                  <c:v>-1.1147553879728149</c:v>
                </c:pt>
                <c:pt idx="110">
                  <c:v>-1.2841807818158211</c:v>
                </c:pt>
                <c:pt idx="111">
                  <c:v>-1.3945565027871916</c:v>
                </c:pt>
                <c:pt idx="112">
                  <c:v>-1.411731407519615</c:v>
                </c:pt>
                <c:pt idx="113">
                  <c:v>-1.3038305773641616</c:v>
                </c:pt>
                <c:pt idx="114">
                  <c:v>-1.0021566678287019</c:v>
                </c:pt>
                <c:pt idx="115">
                  <c:v>-0.71955682421230582</c:v>
                </c:pt>
                <c:pt idx="116">
                  <c:v>-0.47102104374512344</c:v>
                </c:pt>
                <c:pt idx="117">
                  <c:v>-0.23026399666378961</c:v>
                </c:pt>
                <c:pt idx="118">
                  <c:v>6.2849597798200207E-3</c:v>
                </c:pt>
                <c:pt idx="119">
                  <c:v>0.1301407290248684</c:v>
                </c:pt>
                <c:pt idx="120">
                  <c:v>0.18423137028984993</c:v>
                </c:pt>
                <c:pt idx="121">
                  <c:v>0.19963545585363773</c:v>
                </c:pt>
                <c:pt idx="122">
                  <c:v>0.13528402633673942</c:v>
                </c:pt>
                <c:pt idx="123">
                  <c:v>-2.1302087612384835E-2</c:v>
                </c:pt>
                <c:pt idx="124">
                  <c:v>-5.321983805251973E-2</c:v>
                </c:pt>
                <c:pt idx="125">
                  <c:v>-0.11177889205242142</c:v>
                </c:pt>
                <c:pt idx="126">
                  <c:v>-6.9367411403566948E-3</c:v>
                </c:pt>
                <c:pt idx="127">
                  <c:v>-6.4257784254623473E-2</c:v>
                </c:pt>
                <c:pt idx="128">
                  <c:v>-8.9242044648348617E-2</c:v>
                </c:pt>
                <c:pt idx="129">
                  <c:v>2.9446618677260172E-2</c:v>
                </c:pt>
                <c:pt idx="130">
                  <c:v>0.14702022364994427</c:v>
                </c:pt>
                <c:pt idx="131">
                  <c:v>0.3894990042691675</c:v>
                </c:pt>
                <c:pt idx="132">
                  <c:v>0.38076960789528513</c:v>
                </c:pt>
                <c:pt idx="133">
                  <c:v>0.43243396157409686</c:v>
                </c:pt>
                <c:pt idx="134">
                  <c:v>0.78820673045130918</c:v>
                </c:pt>
                <c:pt idx="135">
                  <c:v>1.0173899466560119</c:v>
                </c:pt>
                <c:pt idx="136">
                  <c:v>1.0578079642184108</c:v>
                </c:pt>
                <c:pt idx="137">
                  <c:v>0.93134768663600109</c:v>
                </c:pt>
                <c:pt idx="138">
                  <c:v>0.72521950599475471</c:v>
                </c:pt>
                <c:pt idx="139">
                  <c:v>0.68699344571265064</c:v>
                </c:pt>
                <c:pt idx="140">
                  <c:v>0.81570821515028247</c:v>
                </c:pt>
                <c:pt idx="141">
                  <c:v>0.96897587407103325</c:v>
                </c:pt>
                <c:pt idx="142">
                  <c:v>1.0463413394387875</c:v>
                </c:pt>
                <c:pt idx="143">
                  <c:v>1.0384216759860501</c:v>
                </c:pt>
                <c:pt idx="144">
                  <c:v>0.94446285619782722</c:v>
                </c:pt>
                <c:pt idx="145">
                  <c:v>0.97803867346177364</c:v>
                </c:pt>
                <c:pt idx="146">
                  <c:v>1.1379774370934614</c:v>
                </c:pt>
                <c:pt idx="147">
                  <c:v>0.91431105257815393</c:v>
                </c:pt>
                <c:pt idx="148">
                  <c:v>0.61620273085678501</c:v>
                </c:pt>
                <c:pt idx="149">
                  <c:v>0.33990353947632501</c:v>
                </c:pt>
                <c:pt idx="150">
                  <c:v>0.17266984942011776</c:v>
                </c:pt>
                <c:pt idx="151">
                  <c:v>4.6431527765162572E-2</c:v>
                </c:pt>
                <c:pt idx="152">
                  <c:v>-0.11077938379147767</c:v>
                </c:pt>
                <c:pt idx="153">
                  <c:v>-0.15637965574323687</c:v>
                </c:pt>
                <c:pt idx="154">
                  <c:v>-0.10438878968476506</c:v>
                </c:pt>
                <c:pt idx="155">
                  <c:v>-0.15517590237699563</c:v>
                </c:pt>
                <c:pt idx="156">
                  <c:v>-0.18504145304560748</c:v>
                </c:pt>
                <c:pt idx="157">
                  <c:v>-0.12960699533836739</c:v>
                </c:pt>
                <c:pt idx="158">
                  <c:v>2.964995073685639E-2</c:v>
                </c:pt>
                <c:pt idx="159">
                  <c:v>7.5171568243902032E-2</c:v>
                </c:pt>
                <c:pt idx="160">
                  <c:v>0.12151510227027917</c:v>
                </c:pt>
                <c:pt idx="161">
                  <c:v>0.14014036998998947</c:v>
                </c:pt>
                <c:pt idx="162">
                  <c:v>0.13818205990479249</c:v>
                </c:pt>
                <c:pt idx="163">
                  <c:v>7.3970473866813435E-2</c:v>
                </c:pt>
                <c:pt idx="164">
                  <c:v>-7.1373317030425376E-2</c:v>
                </c:pt>
                <c:pt idx="165">
                  <c:v>-0.2885053149445107</c:v>
                </c:pt>
                <c:pt idx="166">
                  <c:v>-0.3713905109501261</c:v>
                </c:pt>
                <c:pt idx="167">
                  <c:v>-0.11796660030296779</c:v>
                </c:pt>
                <c:pt idx="168">
                  <c:v>9.8384309740068954E-2</c:v>
                </c:pt>
                <c:pt idx="169">
                  <c:v>0.26716933851388336</c:v>
                </c:pt>
                <c:pt idx="170">
                  <c:v>0.22182367247434231</c:v>
                </c:pt>
                <c:pt idx="171">
                  <c:v>0.22346418437845061</c:v>
                </c:pt>
                <c:pt idx="172">
                  <c:v>0.17546367742519942</c:v>
                </c:pt>
                <c:pt idx="173">
                  <c:v>-6.8336550625871517E-3</c:v>
                </c:pt>
                <c:pt idx="174">
                  <c:v>-4.0371909988466514E-2</c:v>
                </c:pt>
                <c:pt idx="175">
                  <c:v>-6.5612733341027685E-2</c:v>
                </c:pt>
                <c:pt idx="176">
                  <c:v>-0.10077276956394687</c:v>
                </c:pt>
                <c:pt idx="177">
                  <c:v>-0.15220250364820997</c:v>
                </c:pt>
                <c:pt idx="178">
                  <c:v>-0.29502615345732996</c:v>
                </c:pt>
                <c:pt idx="179">
                  <c:v>-0.41613665620153717</c:v>
                </c:pt>
                <c:pt idx="180">
                  <c:v>-0.70332626171005463</c:v>
                </c:pt>
                <c:pt idx="181">
                  <c:v>-0.79651715741062612</c:v>
                </c:pt>
                <c:pt idx="182">
                  <c:v>-0.96052388683042955</c:v>
                </c:pt>
                <c:pt idx="183">
                  <c:v>-1.0515543783226575</c:v>
                </c:pt>
                <c:pt idx="184">
                  <c:v>-1.0379837960537042</c:v>
                </c:pt>
                <c:pt idx="185">
                  <c:v>-0.95592055124756903</c:v>
                </c:pt>
                <c:pt idx="186">
                  <c:v>-0.84964317967578307</c:v>
                </c:pt>
                <c:pt idx="187">
                  <c:v>-0.65013697962745243</c:v>
                </c:pt>
                <c:pt idx="188">
                  <c:v>-0.60283722468551959</c:v>
                </c:pt>
                <c:pt idx="189">
                  <c:v>-0.60035075645185176</c:v>
                </c:pt>
                <c:pt idx="190">
                  <c:v>-0.59535828675420155</c:v>
                </c:pt>
                <c:pt idx="191">
                  <c:v>-0.60046340819891086</c:v>
                </c:pt>
                <c:pt idx="192">
                  <c:v>-0.35690518232219559</c:v>
                </c:pt>
                <c:pt idx="193">
                  <c:v>-3.9005106871526474E-2</c:v>
                </c:pt>
                <c:pt idx="194">
                  <c:v>0.20233955434399742</c:v>
                </c:pt>
                <c:pt idx="195">
                  <c:v>0.47001810575444902</c:v>
                </c:pt>
                <c:pt idx="196">
                  <c:v>0.70527544922282526</c:v>
                </c:pt>
                <c:pt idx="197">
                  <c:v>0.81118344446772483</c:v>
                </c:pt>
                <c:pt idx="198">
                  <c:v>0.75075950103095745</c:v>
                </c:pt>
                <c:pt idx="199">
                  <c:v>0.69028474975505238</c:v>
                </c:pt>
                <c:pt idx="200">
                  <c:v>0.6441385736901577</c:v>
                </c:pt>
                <c:pt idx="201">
                  <c:v>0.57984443559403276</c:v>
                </c:pt>
                <c:pt idx="202">
                  <c:v>0.46857190702967799</c:v>
                </c:pt>
                <c:pt idx="203">
                  <c:v>0.28284157532268145</c:v>
                </c:pt>
                <c:pt idx="204">
                  <c:v>9.9739301028139993E-2</c:v>
                </c:pt>
                <c:pt idx="205">
                  <c:v>-4.5541141252303963E-2</c:v>
                </c:pt>
                <c:pt idx="206">
                  <c:v>-0.26022786246708435</c:v>
                </c:pt>
                <c:pt idx="207">
                  <c:v>-0.53145863896739443</c:v>
                </c:pt>
                <c:pt idx="208">
                  <c:v>-0.75569191963875337</c:v>
                </c:pt>
                <c:pt idx="209">
                  <c:v>-0.86296253654249155</c:v>
                </c:pt>
                <c:pt idx="210">
                  <c:v>-0.91230741153982087</c:v>
                </c:pt>
                <c:pt idx="211">
                  <c:v>-0.84154557756683612</c:v>
                </c:pt>
                <c:pt idx="212">
                  <c:v>-0.64879316043028634</c:v>
                </c:pt>
                <c:pt idx="213">
                  <c:v>-0.68495721523380482</c:v>
                </c:pt>
                <c:pt idx="214">
                  <c:v>-0.70606782116627453</c:v>
                </c:pt>
                <c:pt idx="215">
                  <c:v>-0.59887914459807434</c:v>
                </c:pt>
                <c:pt idx="216">
                  <c:v>-0.54061162524649409</c:v>
                </c:pt>
                <c:pt idx="217">
                  <c:v>-0.45547882852606225</c:v>
                </c:pt>
                <c:pt idx="218">
                  <c:v>-0.33651041749131472</c:v>
                </c:pt>
                <c:pt idx="219">
                  <c:v>-0.20116586765288069</c:v>
                </c:pt>
                <c:pt idx="220">
                  <c:v>-0.50508814541016545</c:v>
                </c:pt>
                <c:pt idx="221">
                  <c:v>-0.66902883240957944</c:v>
                </c:pt>
                <c:pt idx="222">
                  <c:v>-0.81935219270402415</c:v>
                </c:pt>
                <c:pt idx="223">
                  <c:v>-0.71973468844384492</c:v>
                </c:pt>
                <c:pt idx="224">
                  <c:v>-0.49384420448456678</c:v>
                </c:pt>
                <c:pt idx="225">
                  <c:v>-0.19569518493397542</c:v>
                </c:pt>
                <c:pt idx="226">
                  <c:v>9.3631874554744865E-2</c:v>
                </c:pt>
                <c:pt idx="227">
                  <c:v>0.23824282404964325</c:v>
                </c:pt>
                <c:pt idx="228">
                  <c:v>0.37656038343458897</c:v>
                </c:pt>
                <c:pt idx="229">
                  <c:v>0.51367327836480481</c:v>
                </c:pt>
                <c:pt idx="230">
                  <c:v>0.56955870301163669</c:v>
                </c:pt>
                <c:pt idx="231">
                  <c:v>0.50967779649538425</c:v>
                </c:pt>
                <c:pt idx="232">
                  <c:v>0.36836519079628482</c:v>
                </c:pt>
                <c:pt idx="233">
                  <c:v>0.29936735994620189</c:v>
                </c:pt>
                <c:pt idx="234">
                  <c:v>8.6538522447892285E-2</c:v>
                </c:pt>
                <c:pt idx="235">
                  <c:v>7.4040164520519758E-2</c:v>
                </c:pt>
                <c:pt idx="236">
                  <c:v>0.10399036260410677</c:v>
                </c:pt>
                <c:pt idx="237">
                  <c:v>-6.0793324247959912E-2</c:v>
                </c:pt>
                <c:pt idx="238">
                  <c:v>-7.0037922634633709E-3</c:v>
                </c:pt>
                <c:pt idx="239">
                  <c:v>-1.4302625551467107E-2</c:v>
                </c:pt>
                <c:pt idx="240">
                  <c:v>-0.12456926432955839</c:v>
                </c:pt>
                <c:pt idx="241">
                  <c:v>-0.16120728670546747</c:v>
                </c:pt>
                <c:pt idx="242">
                  <c:v>-0.26619459384044575</c:v>
                </c:pt>
                <c:pt idx="243">
                  <c:v>-0.48768366884050351</c:v>
                </c:pt>
                <c:pt idx="244">
                  <c:v>-0.4963318407501216</c:v>
                </c:pt>
                <c:pt idx="245">
                  <c:v>-0.54995667785733948</c:v>
                </c:pt>
                <c:pt idx="246">
                  <c:v>-0.43497810755260469</c:v>
                </c:pt>
                <c:pt idx="247">
                  <c:v>-0.33997353604258507</c:v>
                </c:pt>
                <c:pt idx="248">
                  <c:v>-0.20936322385392137</c:v>
                </c:pt>
                <c:pt idx="249">
                  <c:v>-0.1661901658415168</c:v>
                </c:pt>
                <c:pt idx="250">
                  <c:v>-8.3340834477408698E-2</c:v>
                </c:pt>
                <c:pt idx="251">
                  <c:v>-0.11953701562649499</c:v>
                </c:pt>
                <c:pt idx="252">
                  <c:v>-0.14585391873358988</c:v>
                </c:pt>
                <c:pt idx="253">
                  <c:v>-0.34423248759169089</c:v>
                </c:pt>
                <c:pt idx="254">
                  <c:v>-0.47908973111689868</c:v>
                </c:pt>
                <c:pt idx="255">
                  <c:v>-0.43769815230881326</c:v>
                </c:pt>
                <c:pt idx="256">
                  <c:v>-0.60865046414143187</c:v>
                </c:pt>
                <c:pt idx="257">
                  <c:v>-0.53475722905646839</c:v>
                </c:pt>
                <c:pt idx="258">
                  <c:v>-0.40003724018362252</c:v>
                </c:pt>
                <c:pt idx="259">
                  <c:v>-0.2729096506549018</c:v>
                </c:pt>
                <c:pt idx="260">
                  <c:v>-3.3414960791383841E-2</c:v>
                </c:pt>
                <c:pt idx="261">
                  <c:v>0.26083981952449964</c:v>
                </c:pt>
                <c:pt idx="262">
                  <c:v>0.48341442914549582</c:v>
                </c:pt>
                <c:pt idx="263">
                  <c:v>0.59979034385704511</c:v>
                </c:pt>
                <c:pt idx="264">
                  <c:v>0.70531479991941026</c:v>
                </c:pt>
                <c:pt idx="265">
                  <c:v>0.79498392055642464</c:v>
                </c:pt>
                <c:pt idx="266">
                  <c:v>1.1866528339291951</c:v>
                </c:pt>
                <c:pt idx="267">
                  <c:v>1.1157688245916408</c:v>
                </c:pt>
                <c:pt idx="268">
                  <c:v>1.0420415323932732</c:v>
                </c:pt>
                <c:pt idx="269">
                  <c:v>1.0580049146141759</c:v>
                </c:pt>
                <c:pt idx="270">
                  <c:v>0.95207604101649612</c:v>
                </c:pt>
                <c:pt idx="271">
                  <c:v>0.82354641004359297</c:v>
                </c:pt>
                <c:pt idx="272">
                  <c:v>0.27983142710294451</c:v>
                </c:pt>
                <c:pt idx="273">
                  <c:v>7.4919045619637359E-2</c:v>
                </c:pt>
                <c:pt idx="274">
                  <c:v>-6.5335145255687621E-2</c:v>
                </c:pt>
                <c:pt idx="275">
                  <c:v>-0.18691769179463336</c:v>
                </c:pt>
                <c:pt idx="276">
                  <c:v>-0.25553609370749641</c:v>
                </c:pt>
                <c:pt idx="277">
                  <c:v>-0.18977523838985211</c:v>
                </c:pt>
                <c:pt idx="278">
                  <c:v>-0.23042675616744313</c:v>
                </c:pt>
                <c:pt idx="279">
                  <c:v>-0.19216771197611426</c:v>
                </c:pt>
                <c:pt idx="280">
                  <c:v>-0.21961211111920642</c:v>
                </c:pt>
                <c:pt idx="281">
                  <c:v>-0.16504537322648671</c:v>
                </c:pt>
                <c:pt idx="282">
                  <c:v>2.2577135813923732E-3</c:v>
                </c:pt>
                <c:pt idx="283">
                  <c:v>0.33227821860354489</c:v>
                </c:pt>
                <c:pt idx="284">
                  <c:v>0.817066906360296</c:v>
                </c:pt>
                <c:pt idx="285">
                  <c:v>1.1131240693928364</c:v>
                </c:pt>
                <c:pt idx="286">
                  <c:v>1.4145063421272517</c:v>
                </c:pt>
                <c:pt idx="287">
                  <c:v>1.2228472622759439</c:v>
                </c:pt>
                <c:pt idx="288">
                  <c:v>1.075311121714011</c:v>
                </c:pt>
                <c:pt idx="289">
                  <c:v>1.0207022254045812</c:v>
                </c:pt>
                <c:pt idx="290">
                  <c:v>1.0931595275205988</c:v>
                </c:pt>
                <c:pt idx="291">
                  <c:v>0.96327729024243403</c:v>
                </c:pt>
                <c:pt idx="292">
                  <c:v>0.80627400643149061</c:v>
                </c:pt>
                <c:pt idx="293">
                  <c:v>0.70503485646608821</c:v>
                </c:pt>
                <c:pt idx="294">
                  <c:v>0.58501189430749267</c:v>
                </c:pt>
                <c:pt idx="295">
                  <c:v>0.58453301849018047</c:v>
                </c:pt>
                <c:pt idx="296">
                  <c:v>0.29199968083613892</c:v>
                </c:pt>
                <c:pt idx="297">
                  <c:v>-0.18423442016806124</c:v>
                </c:pt>
                <c:pt idx="298">
                  <c:v>-0.47389323040991438</c:v>
                </c:pt>
                <c:pt idx="299">
                  <c:v>-0.6252403578583432</c:v>
                </c:pt>
                <c:pt idx="300">
                  <c:v>-0.52099332677151833</c:v>
                </c:pt>
                <c:pt idx="301">
                  <c:v>-0.58629226671831802</c:v>
                </c:pt>
                <c:pt idx="302">
                  <c:v>-0.65928801384179758</c:v>
                </c:pt>
                <c:pt idx="303">
                  <c:v>-0.73688417526934313</c:v>
                </c:pt>
                <c:pt idx="304">
                  <c:v>-0.85884163138747827</c:v>
                </c:pt>
                <c:pt idx="305">
                  <c:v>-0.8279455101103288</c:v>
                </c:pt>
                <c:pt idx="306">
                  <c:v>-0.82286803611649761</c:v>
                </c:pt>
                <c:pt idx="307">
                  <c:v>-0.57645504501420641</c:v>
                </c:pt>
                <c:pt idx="308">
                  <c:v>-0.32248370985610647</c:v>
                </c:pt>
                <c:pt idx="309">
                  <c:v>-0.16761280178273386</c:v>
                </c:pt>
                <c:pt idx="310">
                  <c:v>-1.4307786660250454E-2</c:v>
                </c:pt>
                <c:pt idx="311">
                  <c:v>7.0023261231111134E-2</c:v>
                </c:pt>
                <c:pt idx="312">
                  <c:v>8.8673446783329835E-2</c:v>
                </c:pt>
                <c:pt idx="313">
                  <c:v>0.24366582069401194</c:v>
                </c:pt>
                <c:pt idx="314">
                  <c:v>2.8072693471693555E-2</c:v>
                </c:pt>
                <c:pt idx="315">
                  <c:v>-0.32304281227803144</c:v>
                </c:pt>
                <c:pt idx="316">
                  <c:v>-0.70613542264434193</c:v>
                </c:pt>
                <c:pt idx="317">
                  <c:v>-0.56555039952570874</c:v>
                </c:pt>
                <c:pt idx="318">
                  <c:v>-0.53294613064947793</c:v>
                </c:pt>
                <c:pt idx="319">
                  <c:v>-0.45747384916963929</c:v>
                </c:pt>
                <c:pt idx="320">
                  <c:v>-0.2284965765989182</c:v>
                </c:pt>
                <c:pt idx="321">
                  <c:v>-0.31237197215929502</c:v>
                </c:pt>
                <c:pt idx="322">
                  <c:v>-0.51320002336871995</c:v>
                </c:pt>
                <c:pt idx="323">
                  <c:v>-0.42463715743236463</c:v>
                </c:pt>
                <c:pt idx="324">
                  <c:v>-0.40470063119751654</c:v>
                </c:pt>
                <c:pt idx="325">
                  <c:v>-0.2466583109799918</c:v>
                </c:pt>
                <c:pt idx="326">
                  <c:v>-0.1967623650275041</c:v>
                </c:pt>
                <c:pt idx="327">
                  <c:v>-0.58376920497763152</c:v>
                </c:pt>
                <c:pt idx="328">
                  <c:v>-0.90263550840212758</c:v>
                </c:pt>
                <c:pt idx="329">
                  <c:v>-1.0126010527800076</c:v>
                </c:pt>
                <c:pt idx="330">
                  <c:v>-0.97271014744553197</c:v>
                </c:pt>
                <c:pt idx="331">
                  <c:v>-0.79281754867368415</c:v>
                </c:pt>
                <c:pt idx="332">
                  <c:v>-0.7433961670592355</c:v>
                </c:pt>
                <c:pt idx="333">
                  <c:v>-0.63433462664901663</c:v>
                </c:pt>
                <c:pt idx="334">
                  <c:v>-0.61724582044719956</c:v>
                </c:pt>
                <c:pt idx="335">
                  <c:v>-0.62474572907046078</c:v>
                </c:pt>
                <c:pt idx="336">
                  <c:v>-0.49108245353306135</c:v>
                </c:pt>
                <c:pt idx="337">
                  <c:v>-0.38076572441074807</c:v>
                </c:pt>
                <c:pt idx="338">
                  <c:v>-0.32222522163504896</c:v>
                </c:pt>
                <c:pt idx="339">
                  <c:v>-0.15615803757732261</c:v>
                </c:pt>
                <c:pt idx="340">
                  <c:v>-9.7608915840267763E-2</c:v>
                </c:pt>
                <c:pt idx="341">
                  <c:v>-0.14056745911130886</c:v>
                </c:pt>
                <c:pt idx="342">
                  <c:v>6.8768028562659289E-2</c:v>
                </c:pt>
                <c:pt idx="343">
                  <c:v>0.26109468265215252</c:v>
                </c:pt>
                <c:pt idx="344">
                  <c:v>0.38932552600103598</c:v>
                </c:pt>
                <c:pt idx="345">
                  <c:v>0.48253646535746864</c:v>
                </c:pt>
                <c:pt idx="346">
                  <c:v>0.44187421572592012</c:v>
                </c:pt>
                <c:pt idx="347">
                  <c:v>0.42181192177323767</c:v>
                </c:pt>
                <c:pt idx="348">
                  <c:v>0.36688833699620105</c:v>
                </c:pt>
                <c:pt idx="349">
                  <c:v>0.47148497817059098</c:v>
                </c:pt>
                <c:pt idx="350">
                  <c:v>0.49528584592380653</c:v>
                </c:pt>
                <c:pt idx="351">
                  <c:v>0.59051339516973078</c:v>
                </c:pt>
                <c:pt idx="352">
                  <c:v>0.61440553788043628</c:v>
                </c:pt>
                <c:pt idx="353">
                  <c:v>0.58646597320103488</c:v>
                </c:pt>
                <c:pt idx="354">
                  <c:v>0.62061740449233183</c:v>
                </c:pt>
                <c:pt idx="355">
                  <c:v>0.62347293508333612</c:v>
                </c:pt>
                <c:pt idx="356">
                  <c:v>0.57195690366578011</c:v>
                </c:pt>
                <c:pt idx="357">
                  <c:v>0.45904083183018085</c:v>
                </c:pt>
                <c:pt idx="358">
                  <c:v>0.3769692447932822</c:v>
                </c:pt>
                <c:pt idx="359">
                  <c:v>0.4414797901249321</c:v>
                </c:pt>
                <c:pt idx="360">
                  <c:v>0.35097008262146301</c:v>
                </c:pt>
                <c:pt idx="361">
                  <c:v>0.44357190482809683</c:v>
                </c:pt>
                <c:pt idx="362">
                  <c:v>0.39938115006536323</c:v>
                </c:pt>
                <c:pt idx="363">
                  <c:v>0.39913124440325642</c:v>
                </c:pt>
                <c:pt idx="364">
                  <c:v>0.25449467227621692</c:v>
                </c:pt>
                <c:pt idx="365">
                  <c:v>0.14761493937143699</c:v>
                </c:pt>
                <c:pt idx="366">
                  <c:v>8.3706715762560169E-2</c:v>
                </c:pt>
                <c:pt idx="367">
                  <c:v>5.1167945107795765E-2</c:v>
                </c:pt>
                <c:pt idx="368">
                  <c:v>0.16368632167199437</c:v>
                </c:pt>
                <c:pt idx="369">
                  <c:v>4.2402091974252043E-2</c:v>
                </c:pt>
                <c:pt idx="370">
                  <c:v>-1.3032750899447665E-2</c:v>
                </c:pt>
                <c:pt idx="371">
                  <c:v>0.14294349571652631</c:v>
                </c:pt>
                <c:pt idx="372">
                  <c:v>0.30677763963568916</c:v>
                </c:pt>
                <c:pt idx="373">
                  <c:v>0.60792451018416405</c:v>
                </c:pt>
                <c:pt idx="374">
                  <c:v>0.85032881045400632</c:v>
                </c:pt>
                <c:pt idx="375">
                  <c:v>0.8932121203118335</c:v>
                </c:pt>
                <c:pt idx="376">
                  <c:v>0.8176047165278334</c:v>
                </c:pt>
                <c:pt idx="377">
                  <c:v>0.76683245649085852</c:v>
                </c:pt>
                <c:pt idx="378">
                  <c:v>0.65914986951321319</c:v>
                </c:pt>
                <c:pt idx="379">
                  <c:v>0.65778570925303825</c:v>
                </c:pt>
                <c:pt idx="380">
                  <c:v>0.56719341753767272</c:v>
                </c:pt>
                <c:pt idx="381">
                  <c:v>0.49624487087470981</c:v>
                </c:pt>
                <c:pt idx="382">
                  <c:v>0.30809427655768051</c:v>
                </c:pt>
                <c:pt idx="383">
                  <c:v>0.26624295583126101</c:v>
                </c:pt>
                <c:pt idx="384">
                  <c:v>0.86331730498128645</c:v>
                </c:pt>
                <c:pt idx="385">
                  <c:v>1.0432714988733831</c:v>
                </c:pt>
                <c:pt idx="386">
                  <c:v>0.99209119554765457</c:v>
                </c:pt>
                <c:pt idx="387">
                  <c:v>1.1717099099907016</c:v>
                </c:pt>
                <c:pt idx="388">
                  <c:v>1.1826831305174368</c:v>
                </c:pt>
                <c:pt idx="389">
                  <c:v>1.0355422130849581</c:v>
                </c:pt>
                <c:pt idx="390">
                  <c:v>0.80039516676146638</c:v>
                </c:pt>
                <c:pt idx="391">
                  <c:v>0.46825963372264479</c:v>
                </c:pt>
                <c:pt idx="392">
                  <c:v>0.35971161926951734</c:v>
                </c:pt>
                <c:pt idx="393">
                  <c:v>0.18238516680887518</c:v>
                </c:pt>
                <c:pt idx="394">
                  <c:v>-0.27869729069400018</c:v>
                </c:pt>
                <c:pt idx="395">
                  <c:v>-0.49077532101364518</c:v>
                </c:pt>
                <c:pt idx="396">
                  <c:v>-0.60346922029339245</c:v>
                </c:pt>
                <c:pt idx="397">
                  <c:v>-0.67147693167637623</c:v>
                </c:pt>
                <c:pt idx="398">
                  <c:v>-0.6132069086659806</c:v>
                </c:pt>
                <c:pt idx="399">
                  <c:v>-0.36448817149578838</c:v>
                </c:pt>
                <c:pt idx="400">
                  <c:v>-0.12539369960074565</c:v>
                </c:pt>
                <c:pt idx="401">
                  <c:v>-8.6022524456863536E-3</c:v>
                </c:pt>
                <c:pt idx="402">
                  <c:v>0.174762567163814</c:v>
                </c:pt>
                <c:pt idx="403">
                  <c:v>0.42047615943838812</c:v>
                </c:pt>
                <c:pt idx="404">
                  <c:v>0.48657499091780876</c:v>
                </c:pt>
                <c:pt idx="405">
                  <c:v>0.5957030934317622</c:v>
                </c:pt>
                <c:pt idx="406">
                  <c:v>0.55688225026647986</c:v>
                </c:pt>
                <c:pt idx="407">
                  <c:v>0.64690479645903176</c:v>
                </c:pt>
                <c:pt idx="408">
                  <c:v>0.55366696365332935</c:v>
                </c:pt>
                <c:pt idx="409">
                  <c:v>0.3287691854717778</c:v>
                </c:pt>
                <c:pt idx="410">
                  <c:v>0.18619025568762604</c:v>
                </c:pt>
                <c:pt idx="411">
                  <c:v>-3.1760050874568346E-2</c:v>
                </c:pt>
                <c:pt idx="412">
                  <c:v>-0.27013773410265118</c:v>
                </c:pt>
                <c:pt idx="413">
                  <c:v>-0.3907825492618402</c:v>
                </c:pt>
                <c:pt idx="414">
                  <c:v>-0.51338257349939109</c:v>
                </c:pt>
                <c:pt idx="415">
                  <c:v>-0.48091592962431928</c:v>
                </c:pt>
                <c:pt idx="416">
                  <c:v>-0.35441505930713468</c:v>
                </c:pt>
                <c:pt idx="417">
                  <c:v>-0.3834827193293604</c:v>
                </c:pt>
                <c:pt idx="418">
                  <c:v>-0.51467985386667214</c:v>
                </c:pt>
                <c:pt idx="419">
                  <c:v>-0.62206705459984013</c:v>
                </c:pt>
                <c:pt idx="420">
                  <c:v>-0.97424125369742676</c:v>
                </c:pt>
                <c:pt idx="421">
                  <c:v>-1.0717879353415001</c:v>
                </c:pt>
                <c:pt idx="422">
                  <c:v>-1.1189689670417091</c:v>
                </c:pt>
                <c:pt idx="423">
                  <c:v>-1.0012846165636913</c:v>
                </c:pt>
                <c:pt idx="424">
                  <c:v>-0.92901901331168557</c:v>
                </c:pt>
                <c:pt idx="425">
                  <c:v>-1.0266525447574149</c:v>
                </c:pt>
                <c:pt idx="426">
                  <c:v>-1.0778132289640809</c:v>
                </c:pt>
                <c:pt idx="427">
                  <c:v>-0.97919717936687689</c:v>
                </c:pt>
                <c:pt idx="428">
                  <c:v>-0.89813183100113669</c:v>
                </c:pt>
                <c:pt idx="429">
                  <c:v>-0.73262845191188652</c:v>
                </c:pt>
                <c:pt idx="430">
                  <c:v>-0.63352619149654354</c:v>
                </c:pt>
                <c:pt idx="431">
                  <c:v>-0.47768577366441656</c:v>
                </c:pt>
                <c:pt idx="432">
                  <c:v>-0.33165424596755688</c:v>
                </c:pt>
                <c:pt idx="433">
                  <c:v>-0.35949056027244597</c:v>
                </c:pt>
                <c:pt idx="434">
                  <c:v>-0.31725036349172164</c:v>
                </c:pt>
                <c:pt idx="435">
                  <c:v>-0.28299474474845132</c:v>
                </c:pt>
                <c:pt idx="436">
                  <c:v>-0.22043290024252071</c:v>
                </c:pt>
                <c:pt idx="437">
                  <c:v>1.2170477166723037E-2</c:v>
                </c:pt>
                <c:pt idx="438">
                  <c:v>0.11385504748951947</c:v>
                </c:pt>
                <c:pt idx="439">
                  <c:v>0.1598011058723362</c:v>
                </c:pt>
                <c:pt idx="440">
                  <c:v>4.3594113013707858E-2</c:v>
                </c:pt>
                <c:pt idx="441">
                  <c:v>4.6810658915976355E-2</c:v>
                </c:pt>
                <c:pt idx="442">
                  <c:v>-6.9401440322301E-2</c:v>
                </c:pt>
                <c:pt idx="443">
                  <c:v>0.24483524063119366</c:v>
                </c:pt>
                <c:pt idx="444">
                  <c:v>0.77992921081585431</c:v>
                </c:pt>
                <c:pt idx="445">
                  <c:v>1.0049802499771685</c:v>
                </c:pt>
                <c:pt idx="446">
                  <c:v>1.2666741149342691</c:v>
                </c:pt>
                <c:pt idx="447">
                  <c:v>1.341362040483711</c:v>
                </c:pt>
                <c:pt idx="448">
                  <c:v>1.412481150841741</c:v>
                </c:pt>
                <c:pt idx="449">
                  <c:v>1.4444215834408953</c:v>
                </c:pt>
                <c:pt idx="450">
                  <c:v>1.3760014737792825</c:v>
                </c:pt>
                <c:pt idx="451">
                  <c:v>1.2202389411586292</c:v>
                </c:pt>
                <c:pt idx="452">
                  <c:v>1.0348995036841548</c:v>
                </c:pt>
                <c:pt idx="453">
                  <c:v>0.75094869008075538</c:v>
                </c:pt>
                <c:pt idx="454">
                  <c:v>0.51791933878465146</c:v>
                </c:pt>
                <c:pt idx="455">
                  <c:v>0.39421228464077585</c:v>
                </c:pt>
                <c:pt idx="456">
                  <c:v>0.11550735397842349</c:v>
                </c:pt>
                <c:pt idx="457">
                  <c:v>-0.33853594703447776</c:v>
                </c:pt>
                <c:pt idx="458">
                  <c:v>-0.53648014827777368</c:v>
                </c:pt>
                <c:pt idx="459">
                  <c:v>-0.74418742823665895</c:v>
                </c:pt>
                <c:pt idx="460">
                  <c:v>-1.0111616980064031</c:v>
                </c:pt>
                <c:pt idx="461">
                  <c:v>-1.1847498761414377</c:v>
                </c:pt>
                <c:pt idx="462">
                  <c:v>-1.2458857393527289</c:v>
                </c:pt>
                <c:pt idx="463">
                  <c:v>-1.3096281046785629</c:v>
                </c:pt>
                <c:pt idx="464">
                  <c:v>-1.1995609784359291</c:v>
                </c:pt>
                <c:pt idx="465">
                  <c:v>-1.0920793171364518</c:v>
                </c:pt>
                <c:pt idx="466">
                  <c:v>-0.81131218974495567</c:v>
                </c:pt>
                <c:pt idx="467">
                  <c:v>-0.63582786250145973</c:v>
                </c:pt>
                <c:pt idx="468">
                  <c:v>-0.44984343657947806</c:v>
                </c:pt>
                <c:pt idx="469">
                  <c:v>-0.25323854620858705</c:v>
                </c:pt>
                <c:pt idx="470">
                  <c:v>1.3684187560902505E-2</c:v>
                </c:pt>
                <c:pt idx="471">
                  <c:v>0.24428669311464912</c:v>
                </c:pt>
                <c:pt idx="472">
                  <c:v>0.27355311415517758</c:v>
                </c:pt>
                <c:pt idx="473">
                  <c:v>0.21594978239976409</c:v>
                </c:pt>
                <c:pt idx="474">
                  <c:v>0.18555954427189597</c:v>
                </c:pt>
                <c:pt idx="475">
                  <c:v>0.10574940114175849</c:v>
                </c:pt>
                <c:pt idx="476">
                  <c:v>9.0804010183041711E-2</c:v>
                </c:pt>
                <c:pt idx="477">
                  <c:v>0.19750134703977507</c:v>
                </c:pt>
                <c:pt idx="478">
                  <c:v>0.30356098601500853</c:v>
                </c:pt>
                <c:pt idx="479">
                  <c:v>0.40360740652904015</c:v>
                </c:pt>
                <c:pt idx="480">
                  <c:v>0.38714485802839205</c:v>
                </c:pt>
                <c:pt idx="481">
                  <c:v>0.31997353979202176</c:v>
                </c:pt>
                <c:pt idx="482">
                  <c:v>0.1855202958629476</c:v>
                </c:pt>
                <c:pt idx="483">
                  <c:v>-3.1703603908814604E-2</c:v>
                </c:pt>
                <c:pt idx="484">
                  <c:v>-0.1298028929867924</c:v>
                </c:pt>
                <c:pt idx="485">
                  <c:v>-0.24990707213294502</c:v>
                </c:pt>
                <c:pt idx="486">
                  <c:v>9.159024330571891E-3</c:v>
                </c:pt>
                <c:pt idx="487">
                  <c:v>0.12724311862806431</c:v>
                </c:pt>
                <c:pt idx="488">
                  <c:v>0.29534834595547643</c:v>
                </c:pt>
                <c:pt idx="489">
                  <c:v>0.41894996760480718</c:v>
                </c:pt>
                <c:pt idx="490">
                  <c:v>0.41660223580228484</c:v>
                </c:pt>
                <c:pt idx="491">
                  <c:v>0.37022333225363391</c:v>
                </c:pt>
                <c:pt idx="492">
                  <c:v>0.27103056937549197</c:v>
                </c:pt>
                <c:pt idx="493">
                  <c:v>0.11140838578215384</c:v>
                </c:pt>
                <c:pt idx="494">
                  <c:v>-7.1594285240952571E-2</c:v>
                </c:pt>
                <c:pt idx="495">
                  <c:v>-0.40372283278697185</c:v>
                </c:pt>
                <c:pt idx="496">
                  <c:v>-0.59209511051517716</c:v>
                </c:pt>
                <c:pt idx="497">
                  <c:v>-0.68041580602537355</c:v>
                </c:pt>
                <c:pt idx="498">
                  <c:v>-0.67304196726157173</c:v>
                </c:pt>
                <c:pt idx="499">
                  <c:v>-0.63900273681450981</c:v>
                </c:pt>
                <c:pt idx="500">
                  <c:v>-0.62431602340574721</c:v>
                </c:pt>
                <c:pt idx="501">
                  <c:v>-0.66258753351957589</c:v>
                </c:pt>
                <c:pt idx="502">
                  <c:v>-0.79562982244267921</c:v>
                </c:pt>
                <c:pt idx="503">
                  <c:v>-0.89313105542249926</c:v>
                </c:pt>
                <c:pt idx="504">
                  <c:v>-1.0243885281781204</c:v>
                </c:pt>
                <c:pt idx="505">
                  <c:v>-0.89253410472131134</c:v>
                </c:pt>
                <c:pt idx="506">
                  <c:v>-0.71679215118213424</c:v>
                </c:pt>
                <c:pt idx="507">
                  <c:v>-0.46304723925562774</c:v>
                </c:pt>
                <c:pt idx="508">
                  <c:v>-0.12990009867622598</c:v>
                </c:pt>
                <c:pt idx="509">
                  <c:v>0.25626841795991995</c:v>
                </c:pt>
                <c:pt idx="510">
                  <c:v>0.54060840836243962</c:v>
                </c:pt>
                <c:pt idx="511">
                  <c:v>0.68755062576927495</c:v>
                </c:pt>
                <c:pt idx="512">
                  <c:v>0.84057464556941475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25">
                  <c:v>1.4415856590204896</c:v>
                </c:pt>
                <c:pt idx="26">
                  <c:v>1.113513203593385</c:v>
                </c:pt>
                <c:pt idx="27">
                  <c:v>1.0783166849129771</c:v>
                </c:pt>
                <c:pt idx="28">
                  <c:v>0.90044685762870813</c:v>
                </c:pt>
                <c:pt idx="29">
                  <c:v>0.64233862419942511</c:v>
                </c:pt>
                <c:pt idx="30">
                  <c:v>0.45991948263289828</c:v>
                </c:pt>
                <c:pt idx="31">
                  <c:v>0.18890825225875574</c:v>
                </c:pt>
                <c:pt idx="32">
                  <c:v>0.16029366148404733</c:v>
                </c:pt>
                <c:pt idx="33">
                  <c:v>0.15040708852396278</c:v>
                </c:pt>
                <c:pt idx="34">
                  <c:v>9.4679350865533252E-2</c:v>
                </c:pt>
                <c:pt idx="35">
                  <c:v>0.15763135867314304</c:v>
                </c:pt>
                <c:pt idx="36">
                  <c:v>9.8261776657153632E-2</c:v>
                </c:pt>
                <c:pt idx="37">
                  <c:v>4.2650146568774971E-2</c:v>
                </c:pt>
                <c:pt idx="38">
                  <c:v>-9.1548710583850834E-2</c:v>
                </c:pt>
                <c:pt idx="39">
                  <c:v>-0.33046178999879317</c:v>
                </c:pt>
                <c:pt idx="40">
                  <c:v>-0.57370751558030975</c:v>
                </c:pt>
                <c:pt idx="41">
                  <c:v>-0.69552445139964902</c:v>
                </c:pt>
                <c:pt idx="42">
                  <c:v>-1.0486798916980149</c:v>
                </c:pt>
                <c:pt idx="43">
                  <c:v>-1.2368366623967688</c:v>
                </c:pt>
                <c:pt idx="44">
                  <c:v>-1.3613830022616185</c:v>
                </c:pt>
                <c:pt idx="45">
                  <c:v>-1.4482340320445246</c:v>
                </c:pt>
                <c:pt idx="46">
                  <c:v>-1.3657585250989825</c:v>
                </c:pt>
                <c:pt idx="47">
                  <c:v>-1.300733458117719</c:v>
                </c:pt>
                <c:pt idx="48">
                  <c:v>-1.1743379388803419</c:v>
                </c:pt>
                <c:pt idx="49">
                  <c:v>-1.103408823365271</c:v>
                </c:pt>
                <c:pt idx="50">
                  <c:v>-1.0448357690629564</c:v>
                </c:pt>
                <c:pt idx="51">
                  <c:v>-0.46054251262594903</c:v>
                </c:pt>
                <c:pt idx="52">
                  <c:v>4.5562375039793324E-2</c:v>
                </c:pt>
                <c:pt idx="53">
                  <c:v>0.44635039386577091</c:v>
                </c:pt>
                <c:pt idx="54">
                  <c:v>0.80233701381362721</c:v>
                </c:pt>
                <c:pt idx="55">
                  <c:v>1.0377984737293104</c:v>
                </c:pt>
                <c:pt idx="56">
                  <c:v>1.2567178685495151</c:v>
                </c:pt>
                <c:pt idx="57">
                  <c:v>1.4242847121431055</c:v>
                </c:pt>
                <c:pt idx="58">
                  <c:v>1.6063466584099615</c:v>
                </c:pt>
                <c:pt idx="59">
                  <c:v>1.8455536344491179</c:v>
                </c:pt>
                <c:pt idx="60">
                  <c:v>1.849997235226823</c:v>
                </c:pt>
                <c:pt idx="61">
                  <c:v>1.7095470964033552</c:v>
                </c:pt>
                <c:pt idx="62">
                  <c:v>1.4396269352578486</c:v>
                </c:pt>
                <c:pt idx="63">
                  <c:v>1.209351858175097</c:v>
                </c:pt>
                <c:pt idx="64">
                  <c:v>0.97447136350143637</c:v>
                </c:pt>
                <c:pt idx="65">
                  <c:v>0.81444281224997894</c:v>
                </c:pt>
                <c:pt idx="66">
                  <c:v>0.76194816027518186</c:v>
                </c:pt>
                <c:pt idx="67">
                  <c:v>0.57971504935161988</c:v>
                </c:pt>
                <c:pt idx="68">
                  <c:v>0.38326785362119153</c:v>
                </c:pt>
                <c:pt idx="69">
                  <c:v>0.20424776746634166</c:v>
                </c:pt>
                <c:pt idx="70">
                  <c:v>-3.0075636415290319E-2</c:v>
                </c:pt>
                <c:pt idx="71">
                  <c:v>-0.1694449626882033</c:v>
                </c:pt>
                <c:pt idx="72">
                  <c:v>-0.11875774010783857</c:v>
                </c:pt>
                <c:pt idx="73">
                  <c:v>0.14487193843925184</c:v>
                </c:pt>
                <c:pt idx="74">
                  <c:v>0.49814451350101763</c:v>
                </c:pt>
                <c:pt idx="75">
                  <c:v>0.95511710634431779</c:v>
                </c:pt>
                <c:pt idx="76">
                  <c:v>0.88425384311503308</c:v>
                </c:pt>
                <c:pt idx="77">
                  <c:v>1.3124463993528934</c:v>
                </c:pt>
                <c:pt idx="78">
                  <c:v>1.5747346254725585</c:v>
                </c:pt>
                <c:pt idx="79">
                  <c:v>1.6745361174412778</c:v>
                </c:pt>
                <c:pt idx="80">
                  <c:v>1.7783175015484858</c:v>
                </c:pt>
                <c:pt idx="81">
                  <c:v>1.8210143979111137</c:v>
                </c:pt>
                <c:pt idx="82">
                  <c:v>1.7730873007831462</c:v>
                </c:pt>
                <c:pt idx="83">
                  <c:v>1.7392630816568726</c:v>
                </c:pt>
                <c:pt idx="84">
                  <c:v>1.7487824190176866</c:v>
                </c:pt>
                <c:pt idx="85">
                  <c:v>1.709986658613559</c:v>
                </c:pt>
                <c:pt idx="86">
                  <c:v>1.8356026678853823</c:v>
                </c:pt>
                <c:pt idx="87">
                  <c:v>1.8644402515839715</c:v>
                </c:pt>
                <c:pt idx="88">
                  <c:v>1.9176384695634283</c:v>
                </c:pt>
                <c:pt idx="89">
                  <c:v>2.075470253227536</c:v>
                </c:pt>
                <c:pt idx="90">
                  <c:v>2.264022559480253</c:v>
                </c:pt>
                <c:pt idx="91">
                  <c:v>2.3037826562938903</c:v>
                </c:pt>
                <c:pt idx="92">
                  <c:v>2.27597324318441</c:v>
                </c:pt>
                <c:pt idx="93">
                  <c:v>2.519416315612176</c:v>
                </c:pt>
                <c:pt idx="94">
                  <c:v>2.6080464570799791</c:v>
                </c:pt>
                <c:pt idx="95">
                  <c:v>2.4977931894883056</c:v>
                </c:pt>
                <c:pt idx="96">
                  <c:v>2.4443720460533598</c:v>
                </c:pt>
                <c:pt idx="97">
                  <c:v>2.4552315827233429</c:v>
                </c:pt>
                <c:pt idx="98">
                  <c:v>2.2108026546702604</c:v>
                </c:pt>
                <c:pt idx="99">
                  <c:v>1.8919959144045322</c:v>
                </c:pt>
                <c:pt idx="100">
                  <c:v>1.2529080590464048</c:v>
                </c:pt>
                <c:pt idx="101">
                  <c:v>0.56002830844903428</c:v>
                </c:pt>
                <c:pt idx="102">
                  <c:v>-4.2655579437195001E-2</c:v>
                </c:pt>
                <c:pt idx="103">
                  <c:v>-0.32130927416929467</c:v>
                </c:pt>
                <c:pt idx="104">
                  <c:v>-0.66918542503725575</c:v>
                </c:pt>
                <c:pt idx="105">
                  <c:v>-0.72191818796758866</c:v>
                </c:pt>
                <c:pt idx="106">
                  <c:v>-0.78691487473102484</c:v>
                </c:pt>
                <c:pt idx="107">
                  <c:v>-0.85200441707010555</c:v>
                </c:pt>
                <c:pt idx="108">
                  <c:v>-1.0655987375116069</c:v>
                </c:pt>
                <c:pt idx="109">
                  <c:v>-1.6308296297377467</c:v>
                </c:pt>
                <c:pt idx="110">
                  <c:v>-2.1213002190347083</c:v>
                </c:pt>
                <c:pt idx="111">
                  <c:v>-2.5803150657028766</c:v>
                </c:pt>
                <c:pt idx="112">
                  <c:v>-2.950422822315204</c:v>
                </c:pt>
                <c:pt idx="113">
                  <c:v>-3.1684796365007912</c:v>
                </c:pt>
                <c:pt idx="114">
                  <c:v>-3.1173448939225068</c:v>
                </c:pt>
                <c:pt idx="115">
                  <c:v>-3.0146342563591872</c:v>
                </c:pt>
                <c:pt idx="116">
                  <c:v>-2.8838537368282857</c:v>
                </c:pt>
                <c:pt idx="117">
                  <c:v>-2.7006626889128995</c:v>
                </c:pt>
                <c:pt idx="118">
                  <c:v>-2.4625424925243351</c:v>
                </c:pt>
                <c:pt idx="119">
                  <c:v>-2.3061515410230697</c:v>
                </c:pt>
                <c:pt idx="120">
                  <c:v>-2.2060030571856259</c:v>
                </c:pt>
                <c:pt idx="121">
                  <c:v>-2.140690107658429</c:v>
                </c:pt>
                <c:pt idx="122">
                  <c:v>-2.1712205305911425</c:v>
                </c:pt>
                <c:pt idx="123">
                  <c:v>-2.3331321664433631</c:v>
                </c:pt>
                <c:pt idx="124">
                  <c:v>-2.378354876396628</c:v>
                </c:pt>
                <c:pt idx="125">
                  <c:v>-2.4648586534096353</c:v>
                </c:pt>
                <c:pt idx="126">
                  <c:v>-2.36175068778266</c:v>
                </c:pt>
                <c:pt idx="127">
                  <c:v>-2.435136176960583</c:v>
                </c:pt>
                <c:pt idx="128">
                  <c:v>-2.4824309485163951</c:v>
                </c:pt>
                <c:pt idx="129">
                  <c:v>-2.3563806305214712</c:v>
                </c:pt>
                <c:pt idx="130">
                  <c:v>-2.202051969636301</c:v>
                </c:pt>
                <c:pt idx="131">
                  <c:v>-1.862198437949786</c:v>
                </c:pt>
                <c:pt idx="132">
                  <c:v>-1.7757354323498475</c:v>
                </c:pt>
                <c:pt idx="133">
                  <c:v>-1.6159625882775117</c:v>
                </c:pt>
                <c:pt idx="134">
                  <c:v>-1.0631381367874724</c:v>
                </c:pt>
                <c:pt idx="135">
                  <c:v>-0.5796074339187669</c:v>
                </c:pt>
                <c:pt idx="136">
                  <c:v>-0.27473742530176537</c:v>
                </c:pt>
                <c:pt idx="137">
                  <c:v>-0.16836078122517506</c:v>
                </c:pt>
                <c:pt idx="138">
                  <c:v>-0.19318408536773291</c:v>
                </c:pt>
                <c:pt idx="139">
                  <c:v>-5.9661784221674452E-2</c:v>
                </c:pt>
                <c:pt idx="140">
                  <c:v>0.27298003900352796</c:v>
                </c:pt>
                <c:pt idx="141">
                  <c:v>0.66849166644203706</c:v>
                </c:pt>
                <c:pt idx="142">
                  <c:v>1.0074424666694881</c:v>
                </c:pt>
                <c:pt idx="143">
                  <c:v>1.2591282222132634</c:v>
                </c:pt>
                <c:pt idx="144">
                  <c:v>1.4012851164744973</c:v>
                </c:pt>
                <c:pt idx="145">
                  <c:v>1.6793706021038872</c:v>
                </c:pt>
                <c:pt idx="146">
                  <c:v>2.1238037250089405</c:v>
                </c:pt>
                <c:pt idx="147">
                  <c:v>2.1287151036381715</c:v>
                </c:pt>
                <c:pt idx="148">
                  <c:v>1.9846574646309989</c:v>
                </c:pt>
                <c:pt idx="149">
                  <c:v>1.7933341581196203</c:v>
                </c:pt>
                <c:pt idx="150">
                  <c:v>1.6692679304184423</c:v>
                </c:pt>
                <c:pt idx="151">
                  <c:v>1.5546374907047777</c:v>
                </c:pt>
                <c:pt idx="152">
                  <c:v>1.3697317332002683</c:v>
                </c:pt>
                <c:pt idx="153">
                  <c:v>1.2850365473126999</c:v>
                </c:pt>
                <c:pt idx="154">
                  <c:v>1.3109302159499805</c:v>
                </c:pt>
                <c:pt idx="155">
                  <c:v>1.2213491276635011</c:v>
                </c:pt>
                <c:pt idx="156">
                  <c:v>1.1452232137334875</c:v>
                </c:pt>
                <c:pt idx="157">
                  <c:v>1.1682559226061358</c:v>
                </c:pt>
                <c:pt idx="158">
                  <c:v>1.3349253563655736</c:v>
                </c:pt>
                <c:pt idx="159">
                  <c:v>1.3992398659335947</c:v>
                </c:pt>
                <c:pt idx="160">
                  <c:v>1.4759621755275418</c:v>
                </c:pt>
                <c:pt idx="161">
                  <c:v>1.5296225357447497</c:v>
                </c:pt>
                <c:pt idx="162">
                  <c:v>1.5622097406357511</c:v>
                </c:pt>
                <c:pt idx="163">
                  <c:v>1.5164907730644757</c:v>
                </c:pt>
                <c:pt idx="164">
                  <c:v>1.3533036529096307</c:v>
                </c:pt>
                <c:pt idx="165">
                  <c:v>1.0640453262594178</c:v>
                </c:pt>
                <c:pt idx="166">
                  <c:v>0.88831250251627125</c:v>
                </c:pt>
                <c:pt idx="167">
                  <c:v>1.1122447630876877</c:v>
                </c:pt>
                <c:pt idx="168">
                  <c:v>1.3531917505657418</c:v>
                </c:pt>
                <c:pt idx="169">
                  <c:v>1.5887691139680271</c:v>
                </c:pt>
                <c:pt idx="170">
                  <c:v>1.5988793660470719</c:v>
                </c:pt>
                <c:pt idx="171">
                  <c:v>1.656385924045793</c:v>
                </c:pt>
                <c:pt idx="172">
                  <c:v>1.6522513364488418</c:v>
                </c:pt>
                <c:pt idx="173">
                  <c:v>1.4682455901954086</c:v>
                </c:pt>
                <c:pt idx="174">
                  <c:v>1.4246143577724126</c:v>
                </c:pt>
                <c:pt idx="175">
                  <c:v>1.3829703510845945</c:v>
                </c:pt>
                <c:pt idx="176">
                  <c:v>1.3226171224706889</c:v>
                </c:pt>
                <c:pt idx="177">
                  <c:v>1.2331367624743734</c:v>
                </c:pt>
                <c:pt idx="178">
                  <c:v>1.0165565743009211</c:v>
                </c:pt>
                <c:pt idx="179">
                  <c:v>0.79141190750632973</c:v>
                </c:pt>
                <c:pt idx="180">
                  <c:v>0.32839073657029871</c:v>
                </c:pt>
                <c:pt idx="181">
                  <c:v>3.6070551517070726E-2</c:v>
                </c:pt>
                <c:pt idx="182">
                  <c:v>-0.36806714961034004</c:v>
                </c:pt>
                <c:pt idx="183">
                  <c:v>-0.72198623568323228</c:v>
                </c:pt>
                <c:pt idx="184">
                  <c:v>-0.96791160242770502</c:v>
                </c:pt>
                <c:pt idx="185">
                  <c:v>-1.1248284954334622</c:v>
                </c:pt>
                <c:pt idx="186">
                  <c:v>-1.230961918780622</c:v>
                </c:pt>
                <c:pt idx="187">
                  <c:v>-1.1939899636391544</c:v>
                </c:pt>
                <c:pt idx="188">
                  <c:v>-1.2973995148686015</c:v>
                </c:pt>
                <c:pt idx="189">
                  <c:v>-1.4450007357478967</c:v>
                </c:pt>
                <c:pt idx="190">
                  <c:v>-1.5888478377387969</c:v>
                </c:pt>
                <c:pt idx="191">
                  <c:v>-1.7440688112332339</c:v>
                </c:pt>
                <c:pt idx="192">
                  <c:v>-1.5897368809370676</c:v>
                </c:pt>
                <c:pt idx="193">
                  <c:v>-1.28158808220428</c:v>
                </c:pt>
                <c:pt idx="194">
                  <c:v>-0.98965853240275692</c:v>
                </c:pt>
                <c:pt idx="195">
                  <c:v>-0.60447545455369323</c:v>
                </c:pt>
                <c:pt idx="196">
                  <c:v>-0.19289924877961084</c:v>
                </c:pt>
                <c:pt idx="197">
                  <c:v>0.11580460758221989</c:v>
                </c:pt>
                <c:pt idx="198">
                  <c:v>0.24307053940319179</c:v>
                </c:pt>
                <c:pt idx="199">
                  <c:v>0.35516697556604981</c:v>
                </c:pt>
                <c:pt idx="200">
                  <c:v>0.4700554429236945</c:v>
                </c:pt>
                <c:pt idx="201">
                  <c:v>0.55072241372607778</c:v>
                </c:pt>
                <c:pt idx="202">
                  <c:v>0.55659286191914248</c:v>
                </c:pt>
                <c:pt idx="203">
                  <c:v>0.44157292404281634</c:v>
                </c:pt>
                <c:pt idx="204">
                  <c:v>0.28340547500530988</c:v>
                </c:pt>
                <c:pt idx="205">
                  <c:v>0.12673974741178995</c:v>
                </c:pt>
                <c:pt idx="206">
                  <c:v>-0.15300393941976154</c:v>
                </c:pt>
                <c:pt idx="207">
                  <c:v>-0.55709937566192025</c:v>
                </c:pt>
                <c:pt idx="208">
                  <c:v>-0.97025563624296751</c:v>
                </c:pt>
                <c:pt idx="209">
                  <c:v>-1.2932668872823285</c:v>
                </c:pt>
                <c:pt idx="210">
                  <c:v>-1.5706886151646131</c:v>
                </c:pt>
                <c:pt idx="211">
                  <c:v>-1.7103131755833374</c:v>
                </c:pt>
                <c:pt idx="212">
                  <c:v>-1.6797590485543594</c:v>
                </c:pt>
                <c:pt idx="213">
                  <c:v>-1.8871624071663291</c:v>
                </c:pt>
                <c:pt idx="214">
                  <c:v>-2.0847899683903677</c:v>
                </c:pt>
                <c:pt idx="215">
                  <c:v>-2.1273210779716862</c:v>
                </c:pt>
                <c:pt idx="216">
                  <c:v>-2.2042064649317297</c:v>
                </c:pt>
                <c:pt idx="217">
                  <c:v>-2.2329433753428134</c:v>
                </c:pt>
                <c:pt idx="218">
                  <c:v>-2.1981025686808948</c:v>
                </c:pt>
                <c:pt idx="219">
                  <c:v>-2.1130494857556812</c:v>
                </c:pt>
                <c:pt idx="220">
                  <c:v>-2.5432437998655075</c:v>
                </c:pt>
                <c:pt idx="221">
                  <c:v>-2.8744416949673166</c:v>
                </c:pt>
                <c:pt idx="222">
                  <c:v>-3.2296031034377677</c:v>
                </c:pt>
                <c:pt idx="223">
                  <c:v>-3.3099192712885497</c:v>
                </c:pt>
                <c:pt idx="224">
                  <c:v>-3.2074898384504138</c:v>
                </c:pt>
                <c:pt idx="225">
                  <c:v>-2.9582646151333165</c:v>
                </c:pt>
                <c:pt idx="226">
                  <c:v>-2.6455295870059103</c:v>
                </c:pt>
                <c:pt idx="227">
                  <c:v>-2.4413579314986009</c:v>
                </c:pt>
                <c:pt idx="228">
                  <c:v>-2.2089002762550081</c:v>
                </c:pt>
                <c:pt idx="229">
                  <c:v>-1.9433690617335913</c:v>
                </c:pt>
                <c:pt idx="230">
                  <c:v>-1.7450939613338505</c:v>
                </c:pt>
                <c:pt idx="231">
                  <c:v>-1.6775554187262571</c:v>
                </c:pt>
                <c:pt idx="232">
                  <c:v>-1.7267767267262855</c:v>
                </c:pt>
                <c:pt idx="233">
                  <c:v>-1.7209327175898181</c:v>
                </c:pt>
                <c:pt idx="234">
                  <c:v>-1.912126924476155</c:v>
                </c:pt>
                <c:pt idx="235">
                  <c:v>-1.9061152412733975</c:v>
                </c:pt>
                <c:pt idx="236">
                  <c:v>-1.8501674525387841</c:v>
                </c:pt>
                <c:pt idx="237">
                  <c:v>-2.0301494704528409</c:v>
                </c:pt>
                <c:pt idx="238">
                  <c:v>-1.9781108865342105</c:v>
                </c:pt>
                <c:pt idx="239">
                  <c:v>-1.9889853762100813</c:v>
                </c:pt>
                <c:pt idx="240">
                  <c:v>-2.130394331070562</c:v>
                </c:pt>
                <c:pt idx="241">
                  <c:v>-2.2073341751228384</c:v>
                </c:pt>
                <c:pt idx="242">
                  <c:v>-2.3788701307179281</c:v>
                </c:pt>
                <c:pt idx="243">
                  <c:v>-2.7222801229281117</c:v>
                </c:pt>
                <c:pt idx="244">
                  <c:v>-2.8550112550252607</c:v>
                </c:pt>
                <c:pt idx="245">
                  <c:v>-3.0461252615968135</c:v>
                </c:pt>
                <c:pt idx="246">
                  <c:v>-3.0398912181802302</c:v>
                </c:pt>
                <c:pt idx="247">
                  <c:v>-3.0298800306808573</c:v>
                </c:pt>
                <c:pt idx="248">
                  <c:v>-2.9516105244556741</c:v>
                </c:pt>
                <c:pt idx="249">
                  <c:v>-2.9499850079036491</c:v>
                </c:pt>
                <c:pt idx="250">
                  <c:v>-2.887970885158893</c:v>
                </c:pt>
                <c:pt idx="251">
                  <c:v>-2.954051320214603</c:v>
                </c:pt>
                <c:pt idx="252">
                  <c:v>-3.0168317030050957</c:v>
                </c:pt>
                <c:pt idx="253">
                  <c:v>-3.30126839376112</c:v>
                </c:pt>
                <c:pt idx="254">
                  <c:v>-3.5558980700655525</c:v>
                </c:pt>
                <c:pt idx="255">
                  <c:v>-3.6239310293346705</c:v>
                </c:pt>
                <c:pt idx="256">
                  <c:v>-3.9470459572026471</c:v>
                </c:pt>
                <c:pt idx="257">
                  <c:v>-4.0068420293818008</c:v>
                </c:pt>
                <c:pt idx="258">
                  <c:v>-3.9721313505548608</c:v>
                </c:pt>
                <c:pt idx="259">
                  <c:v>-3.9132311736898657</c:v>
                </c:pt>
                <c:pt idx="260">
                  <c:v>-3.6820902240241935</c:v>
                </c:pt>
                <c:pt idx="261">
                  <c:v>-3.3226254888271853</c:v>
                </c:pt>
                <c:pt idx="262">
                  <c:v>-2.9791972719198156</c:v>
                </c:pt>
                <c:pt idx="263">
                  <c:v>-2.7128737712440056</c:v>
                </c:pt>
                <c:pt idx="264">
                  <c:v>-2.4310206152017884</c:v>
                </c:pt>
                <c:pt idx="265">
                  <c:v>-2.1426055144256679</c:v>
                </c:pt>
                <c:pt idx="266">
                  <c:v>-1.4542733925705988</c:v>
                </c:pt>
                <c:pt idx="267">
                  <c:v>-1.246215195760243</c:v>
                </c:pt>
                <c:pt idx="268">
                  <c:v>-1.0594321048602922</c:v>
                </c:pt>
                <c:pt idx="269">
                  <c:v>-0.77896749398584575</c:v>
                </c:pt>
                <c:pt idx="270">
                  <c:v>-0.64687735732940155</c:v>
                </c:pt>
                <c:pt idx="271">
                  <c:v>-0.56952038579140662</c:v>
                </c:pt>
                <c:pt idx="272">
                  <c:v>-1.0432775119563189</c:v>
                </c:pt>
                <c:pt idx="273">
                  <c:v>-1.2294601320347169</c:v>
                </c:pt>
                <c:pt idx="274">
                  <c:v>-1.3860481092239638</c:v>
                </c:pt>
                <c:pt idx="275">
                  <c:v>-1.5543600787115679</c:v>
                </c:pt>
                <c:pt idx="276">
                  <c:v>-1.6868625040513052</c:v>
                </c:pt>
                <c:pt idx="277">
                  <c:v>-1.6685454583311241</c:v>
                </c:pt>
                <c:pt idx="278">
                  <c:v>-1.7668036651505759</c:v>
                </c:pt>
                <c:pt idx="279">
                  <c:v>-1.7765865489532757</c:v>
                </c:pt>
                <c:pt idx="280">
                  <c:v>-1.8589339758761696</c:v>
                </c:pt>
                <c:pt idx="281">
                  <c:v>-1.8456285812900717</c:v>
                </c:pt>
                <c:pt idx="282">
                  <c:v>-1.6777610660868447</c:v>
                </c:pt>
                <c:pt idx="283">
                  <c:v>-1.2646710064138063</c:v>
                </c:pt>
                <c:pt idx="284">
                  <c:v>-0.57561559206698121</c:v>
                </c:pt>
                <c:pt idx="285">
                  <c:v>-1.2774116862317442E-3</c:v>
                </c:pt>
                <c:pt idx="286">
                  <c:v>0.6537314465799966</c:v>
                </c:pt>
                <c:pt idx="287">
                  <c:v>0.76778418229767453</c:v>
                </c:pt>
                <c:pt idx="288">
                  <c:v>0.8890758221642443</c:v>
                </c:pt>
                <c:pt idx="289">
                  <c:v>1.0896424822059601</c:v>
                </c:pt>
                <c:pt idx="290">
                  <c:v>1.435389666202127</c:v>
                </c:pt>
                <c:pt idx="291">
                  <c:v>1.5463267514845711</c:v>
                </c:pt>
                <c:pt idx="292">
                  <c:v>1.5908919692815005</c:v>
                </c:pt>
                <c:pt idx="293">
                  <c:v>1.6659115334326202</c:v>
                </c:pt>
                <c:pt idx="294">
                  <c:v>1.6921415448508981</c:v>
                </c:pt>
                <c:pt idx="295">
                  <c:v>1.837795923656131</c:v>
                </c:pt>
                <c:pt idx="296">
                  <c:v>1.6182625062111242</c:v>
                </c:pt>
                <c:pt idx="297">
                  <c:v>1.0959698001649087</c:v>
                </c:pt>
                <c:pt idx="298">
                  <c:v>0.68783768232057696</c:v>
                </c:pt>
                <c:pt idx="299">
                  <c:v>0.38018046540756245</c:v>
                </c:pt>
                <c:pt idx="300">
                  <c:v>0.3541791648015078</c:v>
                </c:pt>
                <c:pt idx="301">
                  <c:v>0.14230715817512873</c:v>
                </c:pt>
                <c:pt idx="302">
                  <c:v>-9.5510592408800221E-2</c:v>
                </c:pt>
                <c:pt idx="303">
                  <c:v>-0.3573277976536815</c:v>
                </c:pt>
                <c:pt idx="304">
                  <c:v>-0.6939956616186862</c:v>
                </c:pt>
                <c:pt idx="305">
                  <c:v>-0.87008591786911893</c:v>
                </c:pt>
                <c:pt idx="306">
                  <c:v>-1.0707254529044121</c:v>
                </c:pt>
                <c:pt idx="307">
                  <c:v>-0.96842622305567261</c:v>
                </c:pt>
                <c:pt idx="308">
                  <c:v>-0.79507581536159933</c:v>
                </c:pt>
                <c:pt idx="309">
                  <c:v>-0.68210810773391017</c:v>
                </c:pt>
                <c:pt idx="310">
                  <c:v>-0.53238003927648947</c:v>
                </c:pt>
                <c:pt idx="311">
                  <c:v>-0.43054317607735015</c:v>
                </c:pt>
                <c:pt idx="312">
                  <c:v>-0.38972462882929904</c:v>
                </c:pt>
                <c:pt idx="313">
                  <c:v>-0.17381579974511396</c:v>
                </c:pt>
                <c:pt idx="314">
                  <c:v>-0.38239075359950903</c:v>
                </c:pt>
                <c:pt idx="315">
                  <c:v>-0.81426696241874197</c:v>
                </c:pt>
                <c:pt idx="316">
                  <c:v>-1.3738934284461379</c:v>
                </c:pt>
                <c:pt idx="317">
                  <c:v>-1.3746960052089321</c:v>
                </c:pt>
                <c:pt idx="318">
                  <c:v>-1.4753282689950709</c:v>
                </c:pt>
                <c:pt idx="319">
                  <c:v>-1.5142244498076423</c:v>
                </c:pt>
                <c:pt idx="320">
                  <c:v>-1.3423713213866506</c:v>
                </c:pt>
                <c:pt idx="321">
                  <c:v>-1.5043397099868514</c:v>
                </c:pt>
                <c:pt idx="322">
                  <c:v>-1.8334677670384565</c:v>
                </c:pt>
                <c:pt idx="323">
                  <c:v>-1.8510641904601925</c:v>
                </c:pt>
                <c:pt idx="324">
                  <c:v>-1.9323028220247238</c:v>
                </c:pt>
                <c:pt idx="325">
                  <c:v>-1.8359250795521973</c:v>
                </c:pt>
                <c:pt idx="326">
                  <c:v>-1.8352197248565858</c:v>
                </c:pt>
                <c:pt idx="327">
                  <c:v>-2.3681688660511213</c:v>
                </c:pt>
                <c:pt idx="328">
                  <c:v>-2.9126940465761493</c:v>
                </c:pt>
                <c:pt idx="329">
                  <c:v>-3.2758098541490313</c:v>
                </c:pt>
                <c:pt idx="330">
                  <c:v>-3.4790964856759388</c:v>
                </c:pt>
                <c:pt idx="331">
                  <c:v>-3.4974082740725123</c:v>
                </c:pt>
                <c:pt idx="332">
                  <c:v>-3.6338359342228728</c:v>
                </c:pt>
                <c:pt idx="333">
                  <c:v>-3.6833580504749079</c:v>
                </c:pt>
                <c:pt idx="334">
                  <c:v>-3.820580699384891</c:v>
                </c:pt>
                <c:pt idx="335">
                  <c:v>-3.9842670402757676</c:v>
                </c:pt>
                <c:pt idx="336">
                  <c:v>-3.9733743781216333</c:v>
                </c:pt>
                <c:pt idx="337">
                  <c:v>-3.9582490801020072</c:v>
                </c:pt>
                <c:pt idx="338">
                  <c:v>-3.9802648827350708</c:v>
                </c:pt>
                <c:pt idx="339">
                  <c:v>-3.8532372080716755</c:v>
                </c:pt>
                <c:pt idx="340">
                  <c:v>-3.8190903152946873</c:v>
                </c:pt>
                <c:pt idx="341">
                  <c:v>-3.8971907233435559</c:v>
                </c:pt>
                <c:pt idx="342">
                  <c:v>-3.6706632285289231</c:v>
                </c:pt>
                <c:pt idx="343">
                  <c:v>-3.4130629037763924</c:v>
                </c:pt>
                <c:pt idx="344">
                  <c:v>-3.1875006789272504</c:v>
                </c:pt>
                <c:pt idx="345">
                  <c:v>-2.9736556232314513</c:v>
                </c:pt>
                <c:pt idx="346">
                  <c:v>-2.9038493189315204</c:v>
                </c:pt>
                <c:pt idx="347">
                  <c:v>-2.818458632440894</c:v>
                </c:pt>
                <c:pt idx="348">
                  <c:v>-2.7816601329688808</c:v>
                </c:pt>
                <c:pt idx="349">
                  <c:v>-2.5591922472518434</c:v>
                </c:pt>
                <c:pt idx="350">
                  <c:v>-2.4115699180176762</c:v>
                </c:pt>
                <c:pt idx="351">
                  <c:v>-2.1687140199793191</c:v>
                </c:pt>
                <c:pt idx="352">
                  <c:v>-1.9912204927985044</c:v>
                </c:pt>
                <c:pt idx="353">
                  <c:v>-1.8725435641776471</c:v>
                </c:pt>
                <c:pt idx="354">
                  <c:v>-1.6832377817632675</c:v>
                </c:pt>
                <c:pt idx="355">
                  <c:v>-1.5245140174014296</c:v>
                </c:pt>
                <c:pt idx="356">
                  <c:v>-1.4330408229025409</c:v>
                </c:pt>
                <c:pt idx="357">
                  <c:v>-1.431196686780595</c:v>
                </c:pt>
                <c:pt idx="358">
                  <c:v>-1.4190259626191732</c:v>
                </c:pt>
                <c:pt idx="359">
                  <c:v>-1.2441454697562904</c:v>
                </c:pt>
                <c:pt idx="360">
                  <c:v>-1.246912656604394</c:v>
                </c:pt>
                <c:pt idx="361">
                  <c:v>-1.0434178581907361</c:v>
                </c:pt>
                <c:pt idx="362">
                  <c:v>-0.98776332543712897</c:v>
                </c:pt>
                <c:pt idx="363">
                  <c:v>-0.88823041999842189</c:v>
                </c:pt>
                <c:pt idx="364">
                  <c:v>-0.96924332405640712</c:v>
                </c:pt>
                <c:pt idx="365">
                  <c:v>-1.0392193221183277</c:v>
                </c:pt>
                <c:pt idx="366">
                  <c:v>-1.0822008667865646</c:v>
                </c:pt>
                <c:pt idx="367">
                  <c:v>-1.1019476511643802</c:v>
                </c:pt>
                <c:pt idx="368">
                  <c:v>-0.94850769418218306</c:v>
                </c:pt>
                <c:pt idx="369">
                  <c:v>-1.0591914008863625</c:v>
                </c:pt>
                <c:pt idx="370">
                  <c:v>-1.1178844314849243</c:v>
                </c:pt>
                <c:pt idx="371">
                  <c:v>-0.926172310939819</c:v>
                </c:pt>
                <c:pt idx="372">
                  <c:v>-0.68564375711173398</c:v>
                </c:pt>
                <c:pt idx="373">
                  <c:v>-0.23251575901721822</c:v>
                </c:pt>
                <c:pt idx="374">
                  <c:v>0.22247074386612553</c:v>
                </c:pt>
                <c:pt idx="375">
                  <c:v>0.48865708380191109</c:v>
                </c:pt>
                <c:pt idx="376">
                  <c:v>0.6174508591498693</c:v>
                </c:pt>
                <c:pt idx="377">
                  <c:v>0.75838671323560902</c:v>
                </c:pt>
                <c:pt idx="378">
                  <c:v>0.815491593636267</c:v>
                </c:pt>
                <c:pt idx="379">
                  <c:v>0.9785738606893517</c:v>
                </c:pt>
                <c:pt idx="380">
                  <c:v>1.0297799233584044</c:v>
                </c:pt>
                <c:pt idx="381">
                  <c:v>1.082892594414119</c:v>
                </c:pt>
                <c:pt idx="382">
                  <c:v>0.97176556923650992</c:v>
                </c:pt>
                <c:pt idx="383">
                  <c:v>0.99647498746790575</c:v>
                </c:pt>
                <c:pt idx="384">
                  <c:v>1.8093786628632529</c:v>
                </c:pt>
                <c:pt idx="385">
                  <c:v>2.2501507314736955</c:v>
                </c:pt>
                <c:pt idx="386">
                  <c:v>2.4469932270348806</c:v>
                </c:pt>
                <c:pt idx="387">
                  <c:v>2.919539418975603</c:v>
                </c:pt>
                <c:pt idx="388">
                  <c:v>3.2261834221316974</c:v>
                </c:pt>
                <c:pt idx="389">
                  <c:v>3.3379280579704584</c:v>
                </c:pt>
                <c:pt idx="390">
                  <c:v>3.3028798033373334</c:v>
                </c:pt>
                <c:pt idx="391">
                  <c:v>3.0878091787291737</c:v>
                </c:pt>
                <c:pt idx="392">
                  <c:v>3.0691890690934258</c:v>
                </c:pt>
                <c:pt idx="393">
                  <c:v>2.9374589083350031</c:v>
                </c:pt>
                <c:pt idx="394">
                  <c:v>2.4067021281586278</c:v>
                </c:pt>
                <c:pt idx="395">
                  <c:v>2.0719302675855715</c:v>
                </c:pt>
                <c:pt idx="396">
                  <c:v>1.808369063232476</c:v>
                </c:pt>
                <c:pt idx="397">
                  <c:v>1.5724921189303984</c:v>
                </c:pt>
                <c:pt idx="398">
                  <c:v>1.4774604147742991</c:v>
                </c:pt>
                <c:pt idx="399">
                  <c:v>1.6350571090705444</c:v>
                </c:pt>
                <c:pt idx="400">
                  <c:v>1.8428031560654006</c:v>
                </c:pt>
                <c:pt idx="401">
                  <c:v>1.9574440401090385</c:v>
                </c:pt>
                <c:pt idx="402">
                  <c:v>2.1844995015094923</c:v>
                </c:pt>
                <c:pt idx="403">
                  <c:v>2.5353321336436636</c:v>
                </c:pt>
                <c:pt idx="404">
                  <c:v>2.7230747128525365</c:v>
                </c:pt>
                <c:pt idx="405">
                  <c:v>2.981128588724431</c:v>
                </c:pt>
                <c:pt idx="406">
                  <c:v>3.0815283081257689</c:v>
                </c:pt>
                <c:pt idx="407">
                  <c:v>3.3332770534330791</c:v>
                </c:pt>
                <c:pt idx="408">
                  <c:v>3.378455961540709</c:v>
                </c:pt>
                <c:pt idx="409">
                  <c:v>3.2357504797271019</c:v>
                </c:pt>
                <c:pt idx="410">
                  <c:v>3.1397191138648566</c:v>
                </c:pt>
                <c:pt idx="411">
                  <c:v>2.9138287945840204</c:v>
                </c:pt>
                <c:pt idx="412">
                  <c:v>2.6079166778302749</c:v>
                </c:pt>
                <c:pt idx="413">
                  <c:v>2.3895762253556256</c:v>
                </c:pt>
                <c:pt idx="414">
                  <c:v>2.1386305577432267</c:v>
                </c:pt>
                <c:pt idx="415">
                  <c:v>2.0508682192122194</c:v>
                </c:pt>
                <c:pt idx="416">
                  <c:v>2.0887653247026208</c:v>
                </c:pt>
                <c:pt idx="417">
                  <c:v>1.9638269848480547</c:v>
                </c:pt>
                <c:pt idx="418">
                  <c:v>1.7039598868440748</c:v>
                </c:pt>
                <c:pt idx="419">
                  <c:v>1.4410559224609472</c:v>
                </c:pt>
                <c:pt idx="420">
                  <c:v>0.84532140993900384</c:v>
                </c:pt>
                <c:pt idx="421">
                  <c:v>0.47982774445955556</c:v>
                </c:pt>
                <c:pt idx="422">
                  <c:v>0.15290447099891935</c:v>
                </c:pt>
                <c:pt idx="423">
                  <c:v>2.0267667336014483E-2</c:v>
                </c:pt>
                <c:pt idx="424">
                  <c:v>-0.13972148273990115</c:v>
                </c:pt>
                <c:pt idx="425">
                  <c:v>-0.49401815037498409</c:v>
                </c:pt>
                <c:pt idx="426">
                  <c:v>-0.81463214182267052</c:v>
                </c:pt>
                <c:pt idx="427">
                  <c:v>-0.96081538706718561</c:v>
                </c:pt>
                <c:pt idx="428">
                  <c:v>-1.1042829964517296</c:v>
                </c:pt>
                <c:pt idx="429">
                  <c:v>-1.121936730340451</c:v>
                </c:pt>
                <c:pt idx="430">
                  <c:v>-1.1812160177992439</c:v>
                </c:pt>
                <c:pt idx="431">
                  <c:v>-1.1447970433832211</c:v>
                </c:pt>
                <c:pt idx="432">
                  <c:v>-1.0816790771782507</c:v>
                </c:pt>
                <c:pt idx="433">
                  <c:v>-1.1993880315512513</c:v>
                </c:pt>
                <c:pt idx="434">
                  <c:v>-1.2364604256434575</c:v>
                </c:pt>
                <c:pt idx="435">
                  <c:v>-1.2729534930873001</c:v>
                </c:pt>
                <c:pt idx="436">
                  <c:v>-1.2654998736419998</c:v>
                </c:pt>
                <c:pt idx="437">
                  <c:v>-1.0298538769410754</c:v>
                </c:pt>
                <c:pt idx="438">
                  <c:v>-0.89970554474589903</c:v>
                </c:pt>
                <c:pt idx="439">
                  <c:v>-0.81380920989499828</c:v>
                </c:pt>
                <c:pt idx="440">
                  <c:v>-0.91911767450019966</c:v>
                </c:pt>
                <c:pt idx="441">
                  <c:v>-0.9041984638689371</c:v>
                </c:pt>
                <c:pt idx="442">
                  <c:v>-1.0377609231877898</c:v>
                </c:pt>
                <c:pt idx="443">
                  <c:v>-0.66231543207649679</c:v>
                </c:pt>
                <c:pt idx="444">
                  <c:v>6.7760840812127299E-2</c:v>
                </c:pt>
                <c:pt idx="445">
                  <c:v>0.54405694246773351</c:v>
                </c:pt>
                <c:pt idx="446">
                  <c:v>1.1224193361584014</c:v>
                </c:pt>
                <c:pt idx="447">
                  <c:v>1.532447771828771</c:v>
                </c:pt>
                <c:pt idx="448">
                  <c:v>1.9566871698972363</c:v>
                </c:pt>
                <c:pt idx="449">
                  <c:v>2.3497329983566146</c:v>
                </c:pt>
                <c:pt idx="450">
                  <c:v>2.6253132571398226</c:v>
                </c:pt>
                <c:pt idx="451">
                  <c:v>2.7746104598088266</c:v>
                </c:pt>
                <c:pt idx="452">
                  <c:v>2.847995898255391</c:v>
                </c:pt>
                <c:pt idx="453">
                  <c:v>2.7517822571721808</c:v>
                </c:pt>
                <c:pt idx="454">
                  <c:v>2.6482327405722401</c:v>
                </c:pt>
                <c:pt idx="455">
                  <c:v>2.6230787575885586</c:v>
                </c:pt>
                <c:pt idx="456">
                  <c:v>2.3732506654208123</c:v>
                </c:pt>
                <c:pt idx="457">
                  <c:v>1.8345733776492921</c:v>
                </c:pt>
                <c:pt idx="458">
                  <c:v>1.5025091393365528</c:v>
                </c:pt>
                <c:pt idx="459">
                  <c:v>1.1087550023185031</c:v>
                </c:pt>
                <c:pt idx="460">
                  <c:v>0.58899030804715835</c:v>
                </c:pt>
                <c:pt idx="461">
                  <c:v>0.11921466087676436</c:v>
                </c:pt>
                <c:pt idx="462">
                  <c:v>-0.2533926371727091</c:v>
                </c:pt>
                <c:pt idx="463">
                  <c:v>-0.64454202866818378</c:v>
                </c:pt>
                <c:pt idx="464">
                  <c:v>-0.83436514703453213</c:v>
                </c:pt>
                <c:pt idx="465">
                  <c:v>-0.99990331501916785</c:v>
                </c:pt>
                <c:pt idx="466">
                  <c:v>-0.92196423506391056</c:v>
                </c:pt>
                <c:pt idx="467">
                  <c:v>-0.90543687344577961</c:v>
                </c:pt>
                <c:pt idx="468">
                  <c:v>-0.83191330666866747</c:v>
                </c:pt>
                <c:pt idx="469">
                  <c:v>-0.69861805284992329</c:v>
                </c:pt>
                <c:pt idx="470">
                  <c:v>-0.42827427219020819</c:v>
                </c:pt>
                <c:pt idx="471">
                  <c:v>-0.13660009335779932</c:v>
                </c:pt>
                <c:pt idx="472">
                  <c:v>-3.89453937784765E-2</c:v>
                </c:pt>
                <c:pt idx="473">
                  <c:v>-4.2561279933948981E-2</c:v>
                </c:pt>
                <c:pt idx="474">
                  <c:v>-2.6561631993843093E-2</c:v>
                </c:pt>
                <c:pt idx="475">
                  <c:v>-7.9934424838540963E-2</c:v>
                </c:pt>
                <c:pt idx="476">
                  <c:v>-7.2178813251497331E-2</c:v>
                </c:pt>
                <c:pt idx="477">
                  <c:v>8.3893860365179762E-2</c:v>
                </c:pt>
                <c:pt idx="478">
                  <c:v>0.26584374584416537</c:v>
                </c:pt>
                <c:pt idx="479">
                  <c:v>0.466792017990457</c:v>
                </c:pt>
                <c:pt idx="480">
                  <c:v>0.54711568399690691</c:v>
                </c:pt>
                <c:pt idx="481">
                  <c:v>0.55993775070854213</c:v>
                </c:pt>
                <c:pt idx="482">
                  <c:v>0.47186458074520488</c:v>
                </c:pt>
                <c:pt idx="483">
                  <c:v>0.24671477999623903</c:v>
                </c:pt>
                <c:pt idx="484">
                  <c:v>0.11616476767156314</c:v>
                </c:pt>
                <c:pt idx="485">
                  <c:v>-6.6416179507825746E-2</c:v>
                </c:pt>
                <c:pt idx="486">
                  <c:v>0.19493967303833415</c:v>
                </c:pt>
                <c:pt idx="487">
                  <c:v>0.34483454699284266</c:v>
                </c:pt>
                <c:pt idx="488">
                  <c:v>0.58677686080912395</c:v>
                </c:pt>
                <c:pt idx="489">
                  <c:v>0.81511597435965655</c:v>
                </c:pt>
                <c:pt idx="490">
                  <c:v>0.91691880150770544</c:v>
                </c:pt>
                <c:pt idx="491">
                  <c:v>0.96309573102246304</c:v>
                </c:pt>
                <c:pt idx="492">
                  <c:v>0.93166061048819415</c:v>
                </c:pt>
                <c:pt idx="493">
                  <c:v>0.79989052334039457</c:v>
                </c:pt>
                <c:pt idx="494">
                  <c:v>0.59898928100705007</c:v>
                </c:pt>
                <c:pt idx="495">
                  <c:v>0.16593002526428791</c:v>
                </c:pt>
                <c:pt idx="496">
                  <c:v>-0.17046603009271166</c:v>
                </c:pt>
                <c:pt idx="497">
                  <c:v>-0.42889067710925133</c:v>
                </c:pt>
                <c:pt idx="498">
                  <c:v>-0.58977733016084244</c:v>
                </c:pt>
                <c:pt idx="499">
                  <c:v>-0.715488783917408</c:v>
                </c:pt>
                <c:pt idx="500">
                  <c:v>-0.85688107636008226</c:v>
                </c:pt>
                <c:pt idx="501">
                  <c:v>-1.060799469853805</c:v>
                </c:pt>
                <c:pt idx="502">
                  <c:v>-1.3927492143875781</c:v>
                </c:pt>
                <c:pt idx="503">
                  <c:v>-1.713533211223023</c:v>
                </c:pt>
                <c:pt idx="504">
                  <c:v>-2.1008878160231745</c:v>
                </c:pt>
                <c:pt idx="505">
                  <c:v>-2.1921669187466932</c:v>
                </c:pt>
                <c:pt idx="506">
                  <c:v>-2.1956230030030497</c:v>
                </c:pt>
                <c:pt idx="507">
                  <c:v>-2.0576399008904502</c:v>
                </c:pt>
                <c:pt idx="508">
                  <c:v>-1.7569677849801053</c:v>
                </c:pt>
                <c:pt idx="509">
                  <c:v>-1.3067321638539795</c:v>
                </c:pt>
                <c:pt idx="510">
                  <c:v>-0.88724007136084992</c:v>
                </c:pt>
                <c:pt idx="511">
                  <c:v>-0.56841019751169597</c:v>
                </c:pt>
                <c:pt idx="512">
                  <c:v>-0.20524251631920265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4">
                  <c:v>0.53209146734441026</c:v>
                </c:pt>
                <c:pt idx="35">
                  <c:v>0.45719944561015685</c:v>
                </c:pt>
                <c:pt idx="36">
                  <c:v>0.38541191181955625</c:v>
                </c:pt>
                <c:pt idx="37">
                  <c:v>0.31685955876940003</c:v>
                </c:pt>
                <c:pt idx="38">
                  <c:v>0.23517790489874985</c:v>
                </c:pt>
                <c:pt idx="39">
                  <c:v>0.12204996591924124</c:v>
                </c:pt>
                <c:pt idx="40">
                  <c:v>-1.7101530380668972E-2</c:v>
                </c:pt>
                <c:pt idx="41">
                  <c:v>-0.15278611458446498</c:v>
                </c:pt>
                <c:pt idx="42">
                  <c:v>-0.33196487000717501</c:v>
                </c:pt>
                <c:pt idx="43">
                  <c:v>-0.51293922848509377</c:v>
                </c:pt>
                <c:pt idx="44">
                  <c:v>-0.68262798324039875</c:v>
                </c:pt>
                <c:pt idx="45">
                  <c:v>-0.83574919300122397</c:v>
                </c:pt>
                <c:pt idx="46">
                  <c:v>-0.94175105942077564</c:v>
                </c:pt>
                <c:pt idx="47">
                  <c:v>-1.0135475391601643</c:v>
                </c:pt>
                <c:pt idx="48">
                  <c:v>-1.0457056191041998</c:v>
                </c:pt>
                <c:pt idx="49">
                  <c:v>-1.0572462599564141</c:v>
                </c:pt>
                <c:pt idx="50">
                  <c:v>-1.0547641617777226</c:v>
                </c:pt>
                <c:pt idx="51">
                  <c:v>-0.93591983194736783</c:v>
                </c:pt>
                <c:pt idx="52">
                  <c:v>-0.73962339054993564</c:v>
                </c:pt>
                <c:pt idx="53">
                  <c:v>-0.50242863366679436</c:v>
                </c:pt>
                <c:pt idx="54">
                  <c:v>-0.24147550417071004</c:v>
                </c:pt>
                <c:pt idx="55">
                  <c:v>1.4379291409294059E-2</c:v>
                </c:pt>
                <c:pt idx="56">
                  <c:v>0.26284700683733825</c:v>
                </c:pt>
                <c:pt idx="57">
                  <c:v>0.49513454789849171</c:v>
                </c:pt>
                <c:pt idx="58">
                  <c:v>0.71737697000078571</c:v>
                </c:pt>
                <c:pt idx="59">
                  <c:v>0.94301230289045224</c:v>
                </c:pt>
                <c:pt idx="60">
                  <c:v>1.1244092893577264</c:v>
                </c:pt>
                <c:pt idx="61">
                  <c:v>1.2414368507668523</c:v>
                </c:pt>
                <c:pt idx="62">
                  <c:v>1.2810748676650516</c:v>
                </c:pt>
                <c:pt idx="63">
                  <c:v>1.2667302657670607</c:v>
                </c:pt>
                <c:pt idx="64">
                  <c:v>1.2082784853139359</c:v>
                </c:pt>
                <c:pt idx="65">
                  <c:v>1.1295113507011445</c:v>
                </c:pt>
                <c:pt idx="66">
                  <c:v>1.055998712615952</c:v>
                </c:pt>
                <c:pt idx="67">
                  <c:v>0.96074197996308563</c:v>
                </c:pt>
                <c:pt idx="68">
                  <c:v>0.84524715469470679</c:v>
                </c:pt>
                <c:pt idx="69">
                  <c:v>0.71704727724903383</c:v>
                </c:pt>
                <c:pt idx="70">
                  <c:v>0.56762269451616898</c:v>
                </c:pt>
                <c:pt idx="71">
                  <c:v>0.42020916307529455</c:v>
                </c:pt>
                <c:pt idx="72">
                  <c:v>0.31241578243866797</c:v>
                </c:pt>
                <c:pt idx="73">
                  <c:v>0.27890701363878473</c:v>
                </c:pt>
                <c:pt idx="74">
                  <c:v>0.32275451361123131</c:v>
                </c:pt>
                <c:pt idx="75">
                  <c:v>0.44922703215784865</c:v>
                </c:pt>
                <c:pt idx="76">
                  <c:v>0.5362323943492856</c:v>
                </c:pt>
                <c:pt idx="77">
                  <c:v>0.69147519535000712</c:v>
                </c:pt>
                <c:pt idx="78">
                  <c:v>0.86812708137451744</c:v>
                </c:pt>
                <c:pt idx="79">
                  <c:v>1.0294088885878696</c:v>
                </c:pt>
                <c:pt idx="80">
                  <c:v>1.179190611179993</c:v>
                </c:pt>
                <c:pt idx="81">
                  <c:v>1.3075553685262173</c:v>
                </c:pt>
                <c:pt idx="82">
                  <c:v>1.400661754977603</c:v>
                </c:pt>
                <c:pt idx="83">
                  <c:v>1.4683820203134572</c:v>
                </c:pt>
                <c:pt idx="84">
                  <c:v>1.5244621000543033</c:v>
                </c:pt>
                <c:pt idx="85">
                  <c:v>1.5615670117661546</c:v>
                </c:pt>
                <c:pt idx="86">
                  <c:v>1.6163741429900003</c:v>
                </c:pt>
                <c:pt idx="87">
                  <c:v>1.6659873647087946</c:v>
                </c:pt>
                <c:pt idx="88">
                  <c:v>1.7163175856797215</c:v>
                </c:pt>
                <c:pt idx="89">
                  <c:v>1.7881481191892845</c:v>
                </c:pt>
                <c:pt idx="90">
                  <c:v>1.8833230072474783</c:v>
                </c:pt>
                <c:pt idx="91">
                  <c:v>1.9674149370567606</c:v>
                </c:pt>
                <c:pt idx="92">
                  <c:v>2.0291265982822906</c:v>
                </c:pt>
                <c:pt idx="93">
                  <c:v>2.1271845417482678</c:v>
                </c:pt>
                <c:pt idx="94">
                  <c:v>2.2233569248146101</c:v>
                </c:pt>
                <c:pt idx="95">
                  <c:v>2.2782441777493494</c:v>
                </c:pt>
                <c:pt idx="96">
                  <c:v>2.3114697514101517</c:v>
                </c:pt>
                <c:pt idx="97">
                  <c:v>2.34022211767279</c:v>
                </c:pt>
                <c:pt idx="98">
                  <c:v>2.3143382250722841</c:v>
                </c:pt>
                <c:pt idx="99">
                  <c:v>2.2298697629387338</c:v>
                </c:pt>
                <c:pt idx="100">
                  <c:v>2.0344774221602684</c:v>
                </c:pt>
                <c:pt idx="101">
                  <c:v>1.7395875994180217</c:v>
                </c:pt>
                <c:pt idx="102">
                  <c:v>1.3831389636469784</c:v>
                </c:pt>
                <c:pt idx="103">
                  <c:v>1.0422493160837238</c:v>
                </c:pt>
                <c:pt idx="104">
                  <c:v>0.69996236785952792</c:v>
                </c:pt>
                <c:pt idx="105">
                  <c:v>0.41558625669410459</c:v>
                </c:pt>
                <c:pt idx="106">
                  <c:v>0.17508603040907869</c:v>
                </c:pt>
                <c:pt idx="107">
                  <c:v>-3.0332059086758179E-2</c:v>
                </c:pt>
                <c:pt idx="108">
                  <c:v>-0.23738539477172796</c:v>
                </c:pt>
                <c:pt idx="109">
                  <c:v>-0.51607424176493177</c:v>
                </c:pt>
                <c:pt idx="110">
                  <c:v>-0.83711943721888715</c:v>
                </c:pt>
                <c:pt idx="111">
                  <c:v>-1.185758562915685</c:v>
                </c:pt>
                <c:pt idx="112">
                  <c:v>-1.538691414795589</c:v>
                </c:pt>
                <c:pt idx="113">
                  <c:v>-1.8646490591366296</c:v>
                </c:pt>
                <c:pt idx="114">
                  <c:v>-2.1151882260938049</c:v>
                </c:pt>
                <c:pt idx="115">
                  <c:v>-2.2950774321468814</c:v>
                </c:pt>
                <c:pt idx="116">
                  <c:v>-2.4128326930831623</c:v>
                </c:pt>
                <c:pt idx="117">
                  <c:v>-2.4703986922491099</c:v>
                </c:pt>
                <c:pt idx="118">
                  <c:v>-2.4688274523041551</c:v>
                </c:pt>
                <c:pt idx="119">
                  <c:v>-2.4362922700479381</c:v>
                </c:pt>
                <c:pt idx="120">
                  <c:v>-2.3902344274754759</c:v>
                </c:pt>
                <c:pt idx="121">
                  <c:v>-2.3403255635120668</c:v>
                </c:pt>
                <c:pt idx="122">
                  <c:v>-2.3065045569278819</c:v>
                </c:pt>
                <c:pt idx="123">
                  <c:v>-2.3118300788309782</c:v>
                </c:pt>
                <c:pt idx="124">
                  <c:v>-2.3251350383441083</c:v>
                </c:pt>
                <c:pt idx="125">
                  <c:v>-2.3530797613572139</c:v>
                </c:pt>
                <c:pt idx="126">
                  <c:v>-2.3548139466423033</c:v>
                </c:pt>
                <c:pt idx="127">
                  <c:v>-2.3708783927059596</c:v>
                </c:pt>
                <c:pt idx="128">
                  <c:v>-2.3931889038680465</c:v>
                </c:pt>
                <c:pt idx="129">
                  <c:v>-2.3858272491987313</c:v>
                </c:pt>
                <c:pt idx="130">
                  <c:v>-2.3490721932862453</c:v>
                </c:pt>
                <c:pt idx="131">
                  <c:v>-2.2516974422189535</c:v>
                </c:pt>
                <c:pt idx="132">
                  <c:v>-2.1565050402451327</c:v>
                </c:pt>
                <c:pt idx="133">
                  <c:v>-2.0483965498516086</c:v>
                </c:pt>
                <c:pt idx="134">
                  <c:v>-1.8513448672387816</c:v>
                </c:pt>
                <c:pt idx="135">
                  <c:v>-1.5969973805747788</c:v>
                </c:pt>
                <c:pt idx="136">
                  <c:v>-1.3325453895201762</c:v>
                </c:pt>
                <c:pt idx="137">
                  <c:v>-1.0997084678611762</c:v>
                </c:pt>
                <c:pt idx="138">
                  <c:v>-0.91840359136248761</c:v>
                </c:pt>
                <c:pt idx="139">
                  <c:v>-0.74665522993432509</c:v>
                </c:pt>
                <c:pt idx="140">
                  <c:v>-0.5427281761467545</c:v>
                </c:pt>
                <c:pt idx="141">
                  <c:v>-0.30048420762899619</c:v>
                </c:pt>
                <c:pt idx="142">
                  <c:v>-3.8898872769299347E-2</c:v>
                </c:pt>
                <c:pt idx="143">
                  <c:v>0.22070654622721322</c:v>
                </c:pt>
                <c:pt idx="144">
                  <c:v>0.45682226027667006</c:v>
                </c:pt>
                <c:pt idx="145">
                  <c:v>0.70133192864211358</c:v>
                </c:pt>
                <c:pt idx="146">
                  <c:v>0.9858262879154791</c:v>
                </c:pt>
                <c:pt idx="147">
                  <c:v>1.2144040510600176</c:v>
                </c:pt>
                <c:pt idx="148">
                  <c:v>1.3684547337742139</c:v>
                </c:pt>
                <c:pt idx="149">
                  <c:v>1.4534306186432953</c:v>
                </c:pt>
                <c:pt idx="150">
                  <c:v>1.4965980809983246</c:v>
                </c:pt>
                <c:pt idx="151">
                  <c:v>1.5082059629396152</c:v>
                </c:pt>
                <c:pt idx="152">
                  <c:v>1.480511116991746</c:v>
                </c:pt>
                <c:pt idx="153">
                  <c:v>1.4414162030559368</c:v>
                </c:pt>
                <c:pt idx="154">
                  <c:v>1.4153190056347456</c:v>
                </c:pt>
                <c:pt idx="155">
                  <c:v>1.3765250300404968</c:v>
                </c:pt>
                <c:pt idx="156">
                  <c:v>1.3302646667790949</c:v>
                </c:pt>
                <c:pt idx="157">
                  <c:v>1.2978629179445031</c:v>
                </c:pt>
                <c:pt idx="158">
                  <c:v>1.3052754056287172</c:v>
                </c:pt>
                <c:pt idx="159">
                  <c:v>1.3240682976896927</c:v>
                </c:pt>
                <c:pt idx="160">
                  <c:v>1.3544470732572627</c:v>
                </c:pt>
                <c:pt idx="161">
                  <c:v>1.3894821657547602</c:v>
                </c:pt>
                <c:pt idx="162">
                  <c:v>1.4240276807309586</c:v>
                </c:pt>
                <c:pt idx="163">
                  <c:v>1.4425202991976622</c:v>
                </c:pt>
                <c:pt idx="164">
                  <c:v>1.4246769699400561</c:v>
                </c:pt>
                <c:pt idx="165">
                  <c:v>1.3525506412039285</c:v>
                </c:pt>
                <c:pt idx="166">
                  <c:v>1.2597030134663973</c:v>
                </c:pt>
                <c:pt idx="167">
                  <c:v>1.2302113633906555</c:v>
                </c:pt>
                <c:pt idx="168">
                  <c:v>1.2548074408256729</c:v>
                </c:pt>
                <c:pt idx="169">
                  <c:v>1.3215997754541438</c:v>
                </c:pt>
                <c:pt idx="170">
                  <c:v>1.3770556935727296</c:v>
                </c:pt>
                <c:pt idx="171">
                  <c:v>1.4329217396673424</c:v>
                </c:pt>
                <c:pt idx="172">
                  <c:v>1.4767876590236424</c:v>
                </c:pt>
                <c:pt idx="173">
                  <c:v>1.4750792452579957</c:v>
                </c:pt>
                <c:pt idx="174">
                  <c:v>1.4649862677608791</c:v>
                </c:pt>
                <c:pt idx="175">
                  <c:v>1.4485830844256222</c:v>
                </c:pt>
                <c:pt idx="176">
                  <c:v>1.4233898920346357</c:v>
                </c:pt>
                <c:pt idx="177">
                  <c:v>1.3853392661225834</c:v>
                </c:pt>
                <c:pt idx="178">
                  <c:v>1.311582727758251</c:v>
                </c:pt>
                <c:pt idx="179">
                  <c:v>1.2075485637078669</c:v>
                </c:pt>
                <c:pt idx="180">
                  <c:v>1.0317169982803533</c:v>
                </c:pt>
                <c:pt idx="181">
                  <c:v>0.83258770892769685</c:v>
                </c:pt>
                <c:pt idx="182">
                  <c:v>0.59245673722008951</c:v>
                </c:pt>
                <c:pt idx="183">
                  <c:v>0.32956814263942513</c:v>
                </c:pt>
                <c:pt idx="184">
                  <c:v>7.0072193625999091E-2</c:v>
                </c:pt>
                <c:pt idx="185">
                  <c:v>-0.16890794418589317</c:v>
                </c:pt>
                <c:pt idx="186">
                  <c:v>-0.38131873910483893</c:v>
                </c:pt>
                <c:pt idx="187">
                  <c:v>-0.54385298401170201</c:v>
                </c:pt>
                <c:pt idx="188">
                  <c:v>-0.69456229018308191</c:v>
                </c:pt>
                <c:pt idx="189">
                  <c:v>-0.84464997929604491</c:v>
                </c:pt>
                <c:pt idx="190">
                  <c:v>-0.99348955098459535</c:v>
                </c:pt>
                <c:pt idx="191">
                  <c:v>-1.143605403034323</c:v>
                </c:pt>
                <c:pt idx="192">
                  <c:v>-1.232831698614872</c:v>
                </c:pt>
                <c:pt idx="193">
                  <c:v>-1.2425829753327535</c:v>
                </c:pt>
                <c:pt idx="194">
                  <c:v>-1.1919980867467543</c:v>
                </c:pt>
                <c:pt idx="195">
                  <c:v>-1.0744935603081422</c:v>
                </c:pt>
                <c:pt idx="196">
                  <c:v>-0.8981746980024361</c:v>
                </c:pt>
                <c:pt idx="197">
                  <c:v>-0.69537883688550495</c:v>
                </c:pt>
                <c:pt idx="198">
                  <c:v>-0.50768896162776567</c:v>
                </c:pt>
                <c:pt idx="199">
                  <c:v>-0.33511777418900257</c:v>
                </c:pt>
                <c:pt idx="200">
                  <c:v>-0.1740831307664632</c:v>
                </c:pt>
                <c:pt idx="201">
                  <c:v>-2.9122021867954997E-2</c:v>
                </c:pt>
                <c:pt idx="202">
                  <c:v>8.8020954889464501E-2</c:v>
                </c:pt>
                <c:pt idx="203">
                  <c:v>0.15873134872013489</c:v>
                </c:pt>
                <c:pt idx="204">
                  <c:v>0.18366617397716989</c:v>
                </c:pt>
                <c:pt idx="205">
                  <c:v>0.17228088866409391</c:v>
                </c:pt>
                <c:pt idx="206">
                  <c:v>0.10722392304732282</c:v>
                </c:pt>
                <c:pt idx="207">
                  <c:v>-2.5640736694525781E-2</c:v>
                </c:pt>
                <c:pt idx="208">
                  <c:v>-0.21456371660421414</c:v>
                </c:pt>
                <c:pt idx="209">
                  <c:v>-0.43030435073983703</c:v>
                </c:pt>
                <c:pt idx="210">
                  <c:v>-0.65838120362479224</c:v>
                </c:pt>
                <c:pt idx="211">
                  <c:v>-0.86876759801650127</c:v>
                </c:pt>
                <c:pt idx="212">
                  <c:v>-1.0309658881240731</c:v>
                </c:pt>
                <c:pt idx="213">
                  <c:v>-1.2022051919325243</c:v>
                </c:pt>
                <c:pt idx="214">
                  <c:v>-1.3787221472240931</c:v>
                </c:pt>
                <c:pt idx="215">
                  <c:v>-1.5284419333736119</c:v>
                </c:pt>
                <c:pt idx="216">
                  <c:v>-1.6635948396852356</c:v>
                </c:pt>
                <c:pt idx="217">
                  <c:v>-1.7774645468167511</c:v>
                </c:pt>
                <c:pt idx="218">
                  <c:v>-1.8615921511895801</c:v>
                </c:pt>
                <c:pt idx="219">
                  <c:v>-1.9118836181028005</c:v>
                </c:pt>
                <c:pt idx="220">
                  <c:v>-2.0381556544553421</c:v>
                </c:pt>
                <c:pt idx="221">
                  <c:v>-2.2054128625577372</c:v>
                </c:pt>
                <c:pt idx="222">
                  <c:v>-2.4102509107337435</c:v>
                </c:pt>
                <c:pt idx="223">
                  <c:v>-2.5901845828447048</c:v>
                </c:pt>
                <c:pt idx="224">
                  <c:v>-2.713645633965847</c:v>
                </c:pt>
                <c:pt idx="225">
                  <c:v>-2.7625694301993411</c:v>
                </c:pt>
                <c:pt idx="226">
                  <c:v>-2.7391614615606552</c:v>
                </c:pt>
                <c:pt idx="227">
                  <c:v>-2.6796007555482442</c:v>
                </c:pt>
                <c:pt idx="228">
                  <c:v>-2.585460659689597</c:v>
                </c:pt>
                <c:pt idx="229">
                  <c:v>-2.4570423400983961</c:v>
                </c:pt>
                <c:pt idx="230">
                  <c:v>-2.3146526643454872</c:v>
                </c:pt>
                <c:pt idx="231">
                  <c:v>-2.1872332152216414</c:v>
                </c:pt>
                <c:pt idx="232">
                  <c:v>-2.0951419175225703</c:v>
                </c:pt>
                <c:pt idx="233">
                  <c:v>-2.02030007753602</c:v>
                </c:pt>
                <c:pt idx="234">
                  <c:v>-1.9986654469240472</c:v>
                </c:pt>
                <c:pt idx="235">
                  <c:v>-1.9801554057939172</c:v>
                </c:pt>
                <c:pt idx="236">
                  <c:v>-1.9541578151428909</c:v>
                </c:pt>
                <c:pt idx="237">
                  <c:v>-1.969356146204881</c:v>
                </c:pt>
                <c:pt idx="238">
                  <c:v>-1.9711070942707472</c:v>
                </c:pt>
                <c:pt idx="239">
                  <c:v>-1.9746827506586142</c:v>
                </c:pt>
                <c:pt idx="240">
                  <c:v>-2.0058250667410036</c:v>
                </c:pt>
                <c:pt idx="241">
                  <c:v>-2.0461268884173709</c:v>
                </c:pt>
                <c:pt idx="242">
                  <c:v>-2.1126755368774823</c:v>
                </c:pt>
                <c:pt idx="243">
                  <c:v>-2.2345964540876082</c:v>
                </c:pt>
                <c:pt idx="244">
                  <c:v>-2.3586794142751391</c:v>
                </c:pt>
                <c:pt idx="245">
                  <c:v>-2.496168583739474</c:v>
                </c:pt>
                <c:pt idx="246">
                  <c:v>-2.6049131106276255</c:v>
                </c:pt>
                <c:pt idx="247">
                  <c:v>-2.6899064946382722</c:v>
                </c:pt>
                <c:pt idx="248">
                  <c:v>-2.7422473006017527</c:v>
                </c:pt>
                <c:pt idx="249">
                  <c:v>-2.7837948420621323</c:v>
                </c:pt>
                <c:pt idx="250">
                  <c:v>-2.8046300506814843</c:v>
                </c:pt>
                <c:pt idx="251">
                  <c:v>-2.834514304588108</c:v>
                </c:pt>
                <c:pt idx="252">
                  <c:v>-2.8709777842715059</c:v>
                </c:pt>
                <c:pt idx="253">
                  <c:v>-2.9570359061694291</c:v>
                </c:pt>
                <c:pt idx="254">
                  <c:v>-3.0768083389486538</c:v>
                </c:pt>
                <c:pt idx="255">
                  <c:v>-3.1862328770258572</c:v>
                </c:pt>
                <c:pt idx="256">
                  <c:v>-3.3383954930612152</c:v>
                </c:pt>
                <c:pt idx="257">
                  <c:v>-3.4720848003253324</c:v>
                </c:pt>
                <c:pt idx="258">
                  <c:v>-3.5720941103712383</c:v>
                </c:pt>
                <c:pt idx="259">
                  <c:v>-3.6403215230349639</c:v>
                </c:pt>
                <c:pt idx="260">
                  <c:v>-3.6486752632328097</c:v>
                </c:pt>
                <c:pt idx="261">
                  <c:v>-3.583465308351685</c:v>
                </c:pt>
                <c:pt idx="262">
                  <c:v>-3.4626117010653115</c:v>
                </c:pt>
                <c:pt idx="263">
                  <c:v>-3.3126641151010507</c:v>
                </c:pt>
                <c:pt idx="264">
                  <c:v>-3.1363354151211986</c:v>
                </c:pt>
                <c:pt idx="265">
                  <c:v>-2.9375894349820926</c:v>
                </c:pt>
                <c:pt idx="266">
                  <c:v>-2.6409262264997939</c:v>
                </c:pt>
                <c:pt idx="267">
                  <c:v>-2.3619840203518838</c:v>
                </c:pt>
                <c:pt idx="268">
                  <c:v>-2.1014736372535654</c:v>
                </c:pt>
                <c:pt idx="269">
                  <c:v>-1.8369724086000216</c:v>
                </c:pt>
                <c:pt idx="270">
                  <c:v>-1.5989533983458977</c:v>
                </c:pt>
                <c:pt idx="271">
                  <c:v>-1.3930667958349996</c:v>
                </c:pt>
                <c:pt idx="272">
                  <c:v>-1.3231089390592634</c:v>
                </c:pt>
                <c:pt idx="273">
                  <c:v>-1.3043791776543543</c:v>
                </c:pt>
                <c:pt idx="274">
                  <c:v>-1.3207129639682762</c:v>
                </c:pt>
                <c:pt idx="275">
                  <c:v>-1.3674423869169345</c:v>
                </c:pt>
                <c:pt idx="276">
                  <c:v>-1.4313264103438088</c:v>
                </c:pt>
                <c:pt idx="277">
                  <c:v>-1.478770219941272</c:v>
                </c:pt>
                <c:pt idx="278">
                  <c:v>-1.5363769089831327</c:v>
                </c:pt>
                <c:pt idx="279">
                  <c:v>-1.5844188369771615</c:v>
                </c:pt>
                <c:pt idx="280">
                  <c:v>-1.6393218647569632</c:v>
                </c:pt>
                <c:pt idx="281">
                  <c:v>-1.680583208063585</c:v>
                </c:pt>
                <c:pt idx="282">
                  <c:v>-1.6800187796682371</c:v>
                </c:pt>
                <c:pt idx="283">
                  <c:v>-1.5969492250173511</c:v>
                </c:pt>
                <c:pt idx="284">
                  <c:v>-1.3926824984272772</c:v>
                </c:pt>
                <c:pt idx="285">
                  <c:v>-1.1144014810790681</c:v>
                </c:pt>
                <c:pt idx="286">
                  <c:v>-0.76077489554725519</c:v>
                </c:pt>
                <c:pt idx="287">
                  <c:v>-0.45506307997826934</c:v>
                </c:pt>
                <c:pt idx="288">
                  <c:v>-0.18623529954976661</c:v>
                </c:pt>
                <c:pt idx="289">
                  <c:v>6.8940256801378719E-2</c:v>
                </c:pt>
                <c:pt idx="290">
                  <c:v>0.34223013868152841</c:v>
                </c:pt>
                <c:pt idx="291">
                  <c:v>0.58304946124213708</c:v>
                </c:pt>
                <c:pt idx="292">
                  <c:v>0.78461796285000984</c:v>
                </c:pt>
                <c:pt idx="293">
                  <c:v>0.96087667696653201</c:v>
                </c:pt>
                <c:pt idx="294">
                  <c:v>1.1071296505434054</c:v>
                </c:pt>
                <c:pt idx="295">
                  <c:v>1.2532629051659505</c:v>
                </c:pt>
                <c:pt idx="296">
                  <c:v>1.3262628253749853</c:v>
                </c:pt>
                <c:pt idx="297">
                  <c:v>1.28020422033297</c:v>
                </c:pt>
                <c:pt idx="298">
                  <c:v>1.1617309127304913</c:v>
                </c:pt>
                <c:pt idx="299">
                  <c:v>1.0054208232659056</c:v>
                </c:pt>
                <c:pt idx="300">
                  <c:v>0.87517249157302612</c:v>
                </c:pt>
                <c:pt idx="301">
                  <c:v>0.72859942489344676</c:v>
                </c:pt>
                <c:pt idx="302">
                  <c:v>0.56377742143299736</c:v>
                </c:pt>
                <c:pt idx="303">
                  <c:v>0.37955637761566163</c:v>
                </c:pt>
                <c:pt idx="304">
                  <c:v>0.16484596976879207</c:v>
                </c:pt>
                <c:pt idx="305">
                  <c:v>-4.2140407758790133E-2</c:v>
                </c:pt>
                <c:pt idx="306">
                  <c:v>-0.24785741678791454</c:v>
                </c:pt>
                <c:pt idx="307">
                  <c:v>-0.3919711780414662</c:v>
                </c:pt>
                <c:pt idx="308">
                  <c:v>-0.47259210550549285</c:v>
                </c:pt>
                <c:pt idx="309">
                  <c:v>-0.51449530595117632</c:v>
                </c:pt>
                <c:pt idx="310">
                  <c:v>-0.51807225261623902</c:v>
                </c:pt>
                <c:pt idx="311">
                  <c:v>-0.50056643730846129</c:v>
                </c:pt>
                <c:pt idx="312">
                  <c:v>-0.47839807561262887</c:v>
                </c:pt>
                <c:pt idx="313">
                  <c:v>-0.4174816204391259</c:v>
                </c:pt>
                <c:pt idx="314">
                  <c:v>-0.41046344707120258</c:v>
                </c:pt>
                <c:pt idx="315">
                  <c:v>-0.49122415014071052</c:v>
                </c:pt>
                <c:pt idx="316">
                  <c:v>-0.66775800580179601</c:v>
                </c:pt>
                <c:pt idx="317">
                  <c:v>-0.80914560568322336</c:v>
                </c:pt>
                <c:pt idx="318">
                  <c:v>-0.94238213834559292</c:v>
                </c:pt>
                <c:pt idx="319">
                  <c:v>-1.056750600638003</c:v>
                </c:pt>
                <c:pt idx="320">
                  <c:v>-1.1138747447877324</c:v>
                </c:pt>
                <c:pt idx="321">
                  <c:v>-1.1919677378275564</c:v>
                </c:pt>
                <c:pt idx="322">
                  <c:v>-1.3202677436697365</c:v>
                </c:pt>
                <c:pt idx="323">
                  <c:v>-1.4264270330278279</c:v>
                </c:pt>
                <c:pt idx="324">
                  <c:v>-1.5276021908272073</c:v>
                </c:pt>
                <c:pt idx="325">
                  <c:v>-1.5892667685722055</c:v>
                </c:pt>
                <c:pt idx="326">
                  <c:v>-1.6384573598290817</c:v>
                </c:pt>
                <c:pt idx="327">
                  <c:v>-1.7843996610734898</c:v>
                </c:pt>
                <c:pt idx="328">
                  <c:v>-2.0100585381740217</c:v>
                </c:pt>
                <c:pt idx="329">
                  <c:v>-2.2632088013690237</c:v>
                </c:pt>
                <c:pt idx="330">
                  <c:v>-2.5063863382304068</c:v>
                </c:pt>
                <c:pt idx="331">
                  <c:v>-2.7045907253988282</c:v>
                </c:pt>
                <c:pt idx="332">
                  <c:v>-2.8904397671636373</c:v>
                </c:pt>
                <c:pt idx="333">
                  <c:v>-3.0490234238258913</c:v>
                </c:pt>
                <c:pt idx="334">
                  <c:v>-3.2033348789376914</c:v>
                </c:pt>
                <c:pt idx="335">
                  <c:v>-3.3595213112053068</c:v>
                </c:pt>
                <c:pt idx="336">
                  <c:v>-3.482291924588572</c:v>
                </c:pt>
                <c:pt idx="337">
                  <c:v>-3.5774833556912591</c:v>
                </c:pt>
                <c:pt idx="338">
                  <c:v>-3.6580396611000219</c:v>
                </c:pt>
                <c:pt idx="339">
                  <c:v>-3.6970791704943529</c:v>
                </c:pt>
                <c:pt idx="340">
                  <c:v>-3.7214813994544196</c:v>
                </c:pt>
                <c:pt idx="341">
                  <c:v>-3.756623264232247</c:v>
                </c:pt>
                <c:pt idx="342">
                  <c:v>-3.7394312570915824</c:v>
                </c:pt>
                <c:pt idx="343">
                  <c:v>-3.674157586428545</c:v>
                </c:pt>
                <c:pt idx="344">
                  <c:v>-3.5768262049282864</c:v>
                </c:pt>
                <c:pt idx="345">
                  <c:v>-3.4561920885889199</c:v>
                </c:pt>
                <c:pt idx="346">
                  <c:v>-3.3457235346574405</c:v>
                </c:pt>
                <c:pt idx="347">
                  <c:v>-3.2402705542141317</c:v>
                </c:pt>
                <c:pt idx="348">
                  <c:v>-3.1485484699650819</c:v>
                </c:pt>
                <c:pt idx="349">
                  <c:v>-3.0306772254224343</c:v>
                </c:pt>
                <c:pt idx="350">
                  <c:v>-2.9068557639414827</c:v>
                </c:pt>
                <c:pt idx="351">
                  <c:v>-2.7592274151490499</c:v>
                </c:pt>
                <c:pt idx="352">
                  <c:v>-2.6056260306789407</c:v>
                </c:pt>
                <c:pt idx="353">
                  <c:v>-2.459009537378682</c:v>
                </c:pt>
                <c:pt idx="354">
                  <c:v>-2.3038551862555994</c:v>
                </c:pt>
                <c:pt idx="355">
                  <c:v>-2.1479869524847657</c:v>
                </c:pt>
                <c:pt idx="356">
                  <c:v>-2.004997726568321</c:v>
                </c:pt>
                <c:pt idx="357">
                  <c:v>-1.8902375186107758</c:v>
                </c:pt>
                <c:pt idx="358">
                  <c:v>-1.7959952074124554</c:v>
                </c:pt>
                <c:pt idx="359">
                  <c:v>-1.6856252598812225</c:v>
                </c:pt>
                <c:pt idx="360">
                  <c:v>-1.597882739225857</c:v>
                </c:pt>
                <c:pt idx="361">
                  <c:v>-1.4869897630188329</c:v>
                </c:pt>
                <c:pt idx="362">
                  <c:v>-1.3871444755024922</c:v>
                </c:pt>
                <c:pt idx="363">
                  <c:v>-1.2873616644016783</c:v>
                </c:pt>
                <c:pt idx="364">
                  <c:v>-1.223737996332624</c:v>
                </c:pt>
                <c:pt idx="365">
                  <c:v>-1.1868342614897647</c:v>
                </c:pt>
                <c:pt idx="366">
                  <c:v>-1.1659075825491247</c:v>
                </c:pt>
                <c:pt idx="367">
                  <c:v>-1.153115596272176</c:v>
                </c:pt>
                <c:pt idx="368">
                  <c:v>-1.1121940158541774</c:v>
                </c:pt>
                <c:pt idx="369">
                  <c:v>-1.1015934928606146</c:v>
                </c:pt>
                <c:pt idx="370">
                  <c:v>-1.1048516805854767</c:v>
                </c:pt>
                <c:pt idx="371">
                  <c:v>-1.0691158066563453</c:v>
                </c:pt>
                <c:pt idx="372">
                  <c:v>-0.99242139674742313</c:v>
                </c:pt>
                <c:pt idx="373">
                  <c:v>-0.84044026920138226</c:v>
                </c:pt>
                <c:pt idx="374">
                  <c:v>-0.62785806658788079</c:v>
                </c:pt>
                <c:pt idx="375">
                  <c:v>-0.40455503650992242</c:v>
                </c:pt>
                <c:pt idx="376">
                  <c:v>-0.2001538573779641</c:v>
                </c:pt>
                <c:pt idx="377">
                  <c:v>-8.445743255249466E-3</c:v>
                </c:pt>
                <c:pt idx="378">
                  <c:v>0.15634172412305383</c:v>
                </c:pt>
                <c:pt idx="379">
                  <c:v>0.32078815143631345</c:v>
                </c:pt>
                <c:pt idx="380">
                  <c:v>0.46258650582073169</c:v>
                </c:pt>
                <c:pt idx="381">
                  <c:v>0.58664772353940919</c:v>
                </c:pt>
                <c:pt idx="382">
                  <c:v>0.66367129267882941</c:v>
                </c:pt>
                <c:pt idx="383">
                  <c:v>0.73023203163664474</c:v>
                </c:pt>
                <c:pt idx="384">
                  <c:v>0.94606135788196644</c:v>
                </c:pt>
                <c:pt idx="385">
                  <c:v>1.2068792326003124</c:v>
                </c:pt>
                <c:pt idx="386">
                  <c:v>1.4549020314872261</c:v>
                </c:pt>
                <c:pt idx="387">
                  <c:v>1.7478295089849014</c:v>
                </c:pt>
                <c:pt idx="388">
                  <c:v>2.0435002916142606</c:v>
                </c:pt>
                <c:pt idx="389">
                  <c:v>2.3023858448855004</c:v>
                </c:pt>
                <c:pt idx="390">
                  <c:v>2.5024846365758671</c:v>
                </c:pt>
                <c:pt idx="391">
                  <c:v>2.6195495450065289</c:v>
                </c:pt>
                <c:pt idx="392">
                  <c:v>2.7094774498239085</c:v>
                </c:pt>
                <c:pt idx="393">
                  <c:v>2.7550737415261279</c:v>
                </c:pt>
                <c:pt idx="394">
                  <c:v>2.685399418852628</c:v>
                </c:pt>
                <c:pt idx="395">
                  <c:v>2.5627055885992167</c:v>
                </c:pt>
                <c:pt idx="396">
                  <c:v>2.4118382835258685</c:v>
                </c:pt>
                <c:pt idx="397">
                  <c:v>2.2439690506067747</c:v>
                </c:pt>
                <c:pt idx="398">
                  <c:v>2.0906673234402797</c:v>
                </c:pt>
                <c:pt idx="399">
                  <c:v>1.9995452805663327</c:v>
                </c:pt>
                <c:pt idx="400">
                  <c:v>1.9681968556661462</c:v>
                </c:pt>
                <c:pt idx="401">
                  <c:v>1.9660462925547249</c:v>
                </c:pt>
                <c:pt idx="402">
                  <c:v>2.0097369343456783</c:v>
                </c:pt>
                <c:pt idx="403">
                  <c:v>2.1148559742052755</c:v>
                </c:pt>
                <c:pt idx="404">
                  <c:v>2.2364997219347278</c:v>
                </c:pt>
                <c:pt idx="405">
                  <c:v>2.3854254952926688</c:v>
                </c:pt>
                <c:pt idx="406">
                  <c:v>2.5246460578592891</c:v>
                </c:pt>
                <c:pt idx="407">
                  <c:v>2.6863722569740474</c:v>
                </c:pt>
                <c:pt idx="408">
                  <c:v>2.8247889978873797</c:v>
                </c:pt>
                <c:pt idx="409">
                  <c:v>2.9069812942553241</c:v>
                </c:pt>
                <c:pt idx="410">
                  <c:v>2.9535288581772305</c:v>
                </c:pt>
                <c:pt idx="411">
                  <c:v>2.9455888454585888</c:v>
                </c:pt>
                <c:pt idx="412">
                  <c:v>2.8780544119329261</c:v>
                </c:pt>
                <c:pt idx="413">
                  <c:v>2.7803587746174658</c:v>
                </c:pt>
                <c:pt idx="414">
                  <c:v>2.6520131312426178</c:v>
                </c:pt>
                <c:pt idx="415">
                  <c:v>2.5317841488365387</c:v>
                </c:pt>
                <c:pt idx="416">
                  <c:v>2.4431803840097555</c:v>
                </c:pt>
                <c:pt idx="417">
                  <c:v>2.3473097041774151</c:v>
                </c:pt>
                <c:pt idx="418">
                  <c:v>2.218639740710747</c:v>
                </c:pt>
                <c:pt idx="419">
                  <c:v>2.0631229770607873</c:v>
                </c:pt>
                <c:pt idx="420">
                  <c:v>1.8195626636364306</c:v>
                </c:pt>
                <c:pt idx="421">
                  <c:v>1.5516156798010556</c:v>
                </c:pt>
                <c:pt idx="422">
                  <c:v>1.2718734380406285</c:v>
                </c:pt>
                <c:pt idx="423">
                  <c:v>1.0215522838997058</c:v>
                </c:pt>
                <c:pt idx="424">
                  <c:v>0.78929753057178442</c:v>
                </c:pt>
                <c:pt idx="425">
                  <c:v>0.53263439438243076</c:v>
                </c:pt>
                <c:pt idx="426">
                  <c:v>0.26318108714141053</c:v>
                </c:pt>
                <c:pt idx="427">
                  <c:v>1.8381792299691307E-2</c:v>
                </c:pt>
                <c:pt idx="428">
                  <c:v>-0.20615116545059289</c:v>
                </c:pt>
                <c:pt idx="429">
                  <c:v>-0.38930827842856452</c:v>
                </c:pt>
                <c:pt idx="430">
                  <c:v>-0.54768982630270036</c:v>
                </c:pt>
                <c:pt idx="431">
                  <c:v>-0.66711126971880452</c:v>
                </c:pt>
                <c:pt idx="432">
                  <c:v>-0.75002483121069385</c:v>
                </c:pt>
                <c:pt idx="433">
                  <c:v>-0.83989747127880532</c:v>
                </c:pt>
                <c:pt idx="434">
                  <c:v>-0.91921006215173584</c:v>
                </c:pt>
                <c:pt idx="435">
                  <c:v>-0.98995874833884878</c:v>
                </c:pt>
                <c:pt idx="436">
                  <c:v>-1.0450669733994791</c:v>
                </c:pt>
                <c:pt idx="437">
                  <c:v>-1.0420243541077985</c:v>
                </c:pt>
                <c:pt idx="438">
                  <c:v>-1.0135605922354185</c:v>
                </c:pt>
                <c:pt idx="439">
                  <c:v>-0.97361031576733448</c:v>
                </c:pt>
                <c:pt idx="440">
                  <c:v>-0.96271178751390751</c:v>
                </c:pt>
                <c:pt idx="441">
                  <c:v>-0.95100912278491345</c:v>
                </c:pt>
                <c:pt idx="442">
                  <c:v>-0.96835948286548879</c:v>
                </c:pt>
                <c:pt idx="443">
                  <c:v>-0.90715067270769045</c:v>
                </c:pt>
                <c:pt idx="444">
                  <c:v>-0.71216837000372701</c:v>
                </c:pt>
                <c:pt idx="445">
                  <c:v>-0.46092330750943494</c:v>
                </c:pt>
                <c:pt idx="446">
                  <c:v>-0.14425477877586768</c:v>
                </c:pt>
                <c:pt idx="447">
                  <c:v>0.19108573134506007</c:v>
                </c:pt>
                <c:pt idx="448">
                  <c:v>0.54420601905549537</c:v>
                </c:pt>
                <c:pt idx="449">
                  <c:v>0.90531141491571931</c:v>
                </c:pt>
                <c:pt idx="450">
                  <c:v>1.2493117833605401</c:v>
                </c:pt>
                <c:pt idx="451">
                  <c:v>1.5543715186501974</c:v>
                </c:pt>
                <c:pt idx="452">
                  <c:v>1.8130963945712362</c:v>
                </c:pt>
                <c:pt idx="453">
                  <c:v>2.0008335670914255</c:v>
                </c:pt>
                <c:pt idx="454">
                  <c:v>2.1303134017875887</c:v>
                </c:pt>
                <c:pt idx="455">
                  <c:v>2.2288664729477827</c:v>
                </c:pt>
                <c:pt idx="456">
                  <c:v>2.2577433114423888</c:v>
                </c:pt>
                <c:pt idx="457">
                  <c:v>2.1731093246837698</c:v>
                </c:pt>
                <c:pt idx="458">
                  <c:v>2.0389892876143265</c:v>
                </c:pt>
                <c:pt idx="459">
                  <c:v>1.8529424305551621</c:v>
                </c:pt>
                <c:pt idx="460">
                  <c:v>1.6001520060535614</c:v>
                </c:pt>
                <c:pt idx="461">
                  <c:v>1.303964537018202</c:v>
                </c:pt>
                <c:pt idx="462">
                  <c:v>0.99249310218001985</c:v>
                </c:pt>
                <c:pt idx="463">
                  <c:v>0.66508607601037917</c:v>
                </c:pt>
                <c:pt idx="464">
                  <c:v>0.365195831401397</c:v>
                </c:pt>
                <c:pt idx="465">
                  <c:v>9.2176002117284023E-2</c:v>
                </c:pt>
                <c:pt idx="466">
                  <c:v>-0.11065204531895491</c:v>
                </c:pt>
                <c:pt idx="467">
                  <c:v>-0.26960901094431988</c:v>
                </c:pt>
                <c:pt idx="468">
                  <c:v>-0.38206987008918941</c:v>
                </c:pt>
                <c:pt idx="469">
                  <c:v>-0.44537950664133624</c:v>
                </c:pt>
                <c:pt idx="470">
                  <c:v>-0.4419584597511107</c:v>
                </c:pt>
                <c:pt idx="471">
                  <c:v>-0.38088678647244845</c:v>
                </c:pt>
                <c:pt idx="472">
                  <c:v>-0.31249850793365408</c:v>
                </c:pt>
                <c:pt idx="473">
                  <c:v>-0.25851106233371307</c:v>
                </c:pt>
                <c:pt idx="474">
                  <c:v>-0.21212117626573906</c:v>
                </c:pt>
                <c:pt idx="475">
                  <c:v>-0.18568382598029945</c:v>
                </c:pt>
                <c:pt idx="476">
                  <c:v>-0.16298282343453904</c:v>
                </c:pt>
                <c:pt idx="477">
                  <c:v>-0.11360748667459529</c:v>
                </c:pt>
                <c:pt idx="478">
                  <c:v>-3.7717240170843158E-2</c:v>
                </c:pt>
                <c:pt idx="479">
                  <c:v>6.3184611461416879E-2</c:v>
                </c:pt>
                <c:pt idx="480">
                  <c:v>0.15997082596851489</c:v>
                </c:pt>
                <c:pt idx="481">
                  <c:v>0.23996421091652037</c:v>
                </c:pt>
                <c:pt idx="482">
                  <c:v>0.28634428488225727</c:v>
                </c:pt>
                <c:pt idx="483">
                  <c:v>0.27841838390505363</c:v>
                </c:pt>
                <c:pt idx="484">
                  <c:v>0.24596766065835554</c:v>
                </c:pt>
                <c:pt idx="485">
                  <c:v>0.18349089262511928</c:v>
                </c:pt>
                <c:pt idx="486">
                  <c:v>0.18578064870776226</c:v>
                </c:pt>
                <c:pt idx="487">
                  <c:v>0.21759142836477835</c:v>
                </c:pt>
                <c:pt idx="488">
                  <c:v>0.29142851485364751</c:v>
                </c:pt>
                <c:pt idx="489">
                  <c:v>0.39616600675484936</c:v>
                </c:pt>
                <c:pt idx="490">
                  <c:v>0.5003165657054206</c:v>
                </c:pt>
                <c:pt idx="491">
                  <c:v>0.59287239876882913</c:v>
                </c:pt>
                <c:pt idx="492">
                  <c:v>0.66063004111270218</c:v>
                </c:pt>
                <c:pt idx="493">
                  <c:v>0.68848213755824073</c:v>
                </c:pt>
                <c:pt idx="494">
                  <c:v>0.67058356624800264</c:v>
                </c:pt>
                <c:pt idx="495">
                  <c:v>0.56965285805125976</c:v>
                </c:pt>
                <c:pt idx="496">
                  <c:v>0.4216290804224655</c:v>
                </c:pt>
                <c:pt idx="497">
                  <c:v>0.25152512891612216</c:v>
                </c:pt>
                <c:pt idx="498">
                  <c:v>8.3264637100729233E-2</c:v>
                </c:pt>
                <c:pt idx="499">
                  <c:v>-7.6486047102898219E-2</c:v>
                </c:pt>
                <c:pt idx="500">
                  <c:v>-0.23256505295433505</c:v>
                </c:pt>
                <c:pt idx="501">
                  <c:v>-0.39821193633422908</c:v>
                </c:pt>
                <c:pt idx="502">
                  <c:v>-0.59711939194489894</c:v>
                </c:pt>
                <c:pt idx="503">
                  <c:v>-0.82040215580052378</c:v>
                </c:pt>
                <c:pt idx="504">
                  <c:v>-1.0764992878450541</c:v>
                </c:pt>
                <c:pt idx="505">
                  <c:v>-1.2996328140253819</c:v>
                </c:pt>
                <c:pt idx="506">
                  <c:v>-1.4788308518209154</c:v>
                </c:pt>
                <c:pt idx="507">
                  <c:v>-1.5945926616348225</c:v>
                </c:pt>
                <c:pt idx="508">
                  <c:v>-1.6270676863038793</c:v>
                </c:pt>
                <c:pt idx="509">
                  <c:v>-1.5630005818138994</c:v>
                </c:pt>
                <c:pt idx="510">
                  <c:v>-1.4278484797232895</c:v>
                </c:pt>
                <c:pt idx="511">
                  <c:v>-1.2559608232809709</c:v>
                </c:pt>
                <c:pt idx="512">
                  <c:v>-1.0458171618886174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ax val="46044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  <c:max val="4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+ 20d SMA + 100d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Data!$C$2:$C$523</c:f>
              <c:numCache>
                <c:formatCode>_([$$-409]* #,##0.00_);_([$$-409]* \(#,##0.00\);_([$$-409]* "-"??_);_(@_)</c:formatCode>
                <c:ptCount val="522"/>
                <c:pt idx="0">
                  <c:v>172.91</c:v>
                </c:pt>
                <c:pt idx="1">
                  <c:v>172.95</c:v>
                </c:pt>
                <c:pt idx="2">
                  <c:v>171.47</c:v>
                </c:pt>
                <c:pt idx="3">
                  <c:v>168.94</c:v>
                </c:pt>
                <c:pt idx="4">
                  <c:v>169.11</c:v>
                </c:pt>
                <c:pt idx="5">
                  <c:v>167.17</c:v>
                </c:pt>
                <c:pt idx="6">
                  <c:v>166.92</c:v>
                </c:pt>
                <c:pt idx="7">
                  <c:v>166.13</c:v>
                </c:pt>
                <c:pt idx="8">
                  <c:v>167.27</c:v>
                </c:pt>
                <c:pt idx="9">
                  <c:v>166.17</c:v>
                </c:pt>
                <c:pt idx="10">
                  <c:v>166.44</c:v>
                </c:pt>
                <c:pt idx="11">
                  <c:v>167.17</c:v>
                </c:pt>
                <c:pt idx="12">
                  <c:v>165.78</c:v>
                </c:pt>
                <c:pt idx="13">
                  <c:v>165.11</c:v>
                </c:pt>
                <c:pt idx="14">
                  <c:v>167.64</c:v>
                </c:pt>
                <c:pt idx="15">
                  <c:v>165.6</c:v>
                </c:pt>
                <c:pt idx="16">
                  <c:v>166.56</c:v>
                </c:pt>
                <c:pt idx="17">
                  <c:v>167.86</c:v>
                </c:pt>
                <c:pt idx="18">
                  <c:v>168.15</c:v>
                </c:pt>
                <c:pt idx="19">
                  <c:v>169.62</c:v>
                </c:pt>
                <c:pt idx="20">
                  <c:v>168.53</c:v>
                </c:pt>
                <c:pt idx="21">
                  <c:v>171.7</c:v>
                </c:pt>
                <c:pt idx="22">
                  <c:v>170.97</c:v>
                </c:pt>
                <c:pt idx="23">
                  <c:v>170.92</c:v>
                </c:pt>
                <c:pt idx="24">
                  <c:v>171.42</c:v>
                </c:pt>
                <c:pt idx="25">
                  <c:v>171.47</c:v>
                </c:pt>
                <c:pt idx="26">
                  <c:v>173.85</c:v>
                </c:pt>
                <c:pt idx="27">
                  <c:v>167.67</c:v>
                </c:pt>
                <c:pt idx="28">
                  <c:v>170.61</c:v>
                </c:pt>
                <c:pt idx="29">
                  <c:v>168.88</c:v>
                </c:pt>
                <c:pt idx="30">
                  <c:v>167.52</c:v>
                </c:pt>
                <c:pt idx="31">
                  <c:v>167.86</c:v>
                </c:pt>
                <c:pt idx="32">
                  <c:v>166.32</c:v>
                </c:pt>
                <c:pt idx="33">
                  <c:v>168.65</c:v>
                </c:pt>
                <c:pt idx="34">
                  <c:v>168.83</c:v>
                </c:pt>
                <c:pt idx="35">
                  <c:v>168.25</c:v>
                </c:pt>
                <c:pt idx="36">
                  <c:v>169.6</c:v>
                </c:pt>
                <c:pt idx="37">
                  <c:v>168.26</c:v>
                </c:pt>
                <c:pt idx="38">
                  <c:v>168.16</c:v>
                </c:pt>
                <c:pt idx="39">
                  <c:v>167.03</c:v>
                </c:pt>
                <c:pt idx="40">
                  <c:v>165.34</c:v>
                </c:pt>
                <c:pt idx="41">
                  <c:v>164.59</c:v>
                </c:pt>
                <c:pt idx="42">
                  <c:v>165.37</c:v>
                </c:pt>
                <c:pt idx="43">
                  <c:v>162.04</c:v>
                </c:pt>
                <c:pt idx="44">
                  <c:v>163</c:v>
                </c:pt>
                <c:pt idx="45">
                  <c:v>163.11000000000001</c:v>
                </c:pt>
                <c:pt idx="46">
                  <c:v>163.05000000000001</c:v>
                </c:pt>
                <c:pt idx="47">
                  <c:v>164.73</c:v>
                </c:pt>
                <c:pt idx="48">
                  <c:v>164.54</c:v>
                </c:pt>
                <c:pt idx="49">
                  <c:v>165.3</c:v>
                </c:pt>
                <c:pt idx="50">
                  <c:v>164.78</c:v>
                </c:pt>
                <c:pt idx="51">
                  <c:v>164.66</c:v>
                </c:pt>
                <c:pt idx="52">
                  <c:v>171.26</c:v>
                </c:pt>
                <c:pt idx="53">
                  <c:v>171.8</c:v>
                </c:pt>
                <c:pt idx="54">
                  <c:v>171.86</c:v>
                </c:pt>
                <c:pt idx="55">
                  <c:v>172.45</c:v>
                </c:pt>
                <c:pt idx="56">
                  <c:v>172.02</c:v>
                </c:pt>
                <c:pt idx="57">
                  <c:v>172.6</c:v>
                </c:pt>
                <c:pt idx="58">
                  <c:v>172.73</c:v>
                </c:pt>
                <c:pt idx="59">
                  <c:v>173.57</c:v>
                </c:pt>
                <c:pt idx="60">
                  <c:v>175.01</c:v>
                </c:pt>
                <c:pt idx="61">
                  <c:v>172.98</c:v>
                </c:pt>
                <c:pt idx="62">
                  <c:v>171.44</c:v>
                </c:pt>
                <c:pt idx="63">
                  <c:v>169.68</c:v>
                </c:pt>
                <c:pt idx="64">
                  <c:v>169.65</c:v>
                </c:pt>
                <c:pt idx="65">
                  <c:v>169.14</c:v>
                </c:pt>
                <c:pt idx="66">
                  <c:v>169.58</c:v>
                </c:pt>
                <c:pt idx="67">
                  <c:v>170.61</c:v>
                </c:pt>
                <c:pt idx="68">
                  <c:v>168.95</c:v>
                </c:pt>
                <c:pt idx="69">
                  <c:v>168.36</c:v>
                </c:pt>
                <c:pt idx="70">
                  <c:v>168.1</c:v>
                </c:pt>
                <c:pt idx="71">
                  <c:v>166.95</c:v>
                </c:pt>
                <c:pt idx="72">
                  <c:v>167.5</c:v>
                </c:pt>
                <c:pt idx="73">
                  <c:v>169.48</c:v>
                </c:pt>
                <c:pt idx="74">
                  <c:v>172.27</c:v>
                </c:pt>
                <c:pt idx="75">
                  <c:v>174.13</c:v>
                </c:pt>
                <c:pt idx="76">
                  <c:v>176.46</c:v>
                </c:pt>
                <c:pt idx="77">
                  <c:v>171.22</c:v>
                </c:pt>
                <c:pt idx="78">
                  <c:v>177.41</c:v>
                </c:pt>
                <c:pt idx="79">
                  <c:v>176.68</c:v>
                </c:pt>
                <c:pt idx="80">
                  <c:v>175.58</c:v>
                </c:pt>
                <c:pt idx="81">
                  <c:v>176.14</c:v>
                </c:pt>
                <c:pt idx="82">
                  <c:v>175.91</c:v>
                </c:pt>
                <c:pt idx="83">
                  <c:v>175.15</c:v>
                </c:pt>
                <c:pt idx="84">
                  <c:v>175.45</c:v>
                </c:pt>
                <c:pt idx="85">
                  <c:v>176.15</c:v>
                </c:pt>
                <c:pt idx="86">
                  <c:v>175.82</c:v>
                </c:pt>
                <c:pt idx="87">
                  <c:v>178.02</c:v>
                </c:pt>
                <c:pt idx="88">
                  <c:v>177.41</c:v>
                </c:pt>
                <c:pt idx="89">
                  <c:v>178.06</c:v>
                </c:pt>
                <c:pt idx="90">
                  <c:v>179.79</c:v>
                </c:pt>
                <c:pt idx="91">
                  <c:v>180.9</c:v>
                </c:pt>
                <c:pt idx="92">
                  <c:v>179.87</c:v>
                </c:pt>
                <c:pt idx="93">
                  <c:v>179.46</c:v>
                </c:pt>
                <c:pt idx="94">
                  <c:v>183.11</c:v>
                </c:pt>
                <c:pt idx="95">
                  <c:v>182.19</c:v>
                </c:pt>
                <c:pt idx="96">
                  <c:v>180.31</c:v>
                </c:pt>
                <c:pt idx="97">
                  <c:v>181.08</c:v>
                </c:pt>
                <c:pt idx="98">
                  <c:v>182.09</c:v>
                </c:pt>
                <c:pt idx="99">
                  <c:v>179.27</c:v>
                </c:pt>
                <c:pt idx="100">
                  <c:v>177.99</c:v>
                </c:pt>
                <c:pt idx="101">
                  <c:v>173.38</c:v>
                </c:pt>
                <c:pt idx="102">
                  <c:v>171.15</c:v>
                </c:pt>
                <c:pt idx="103">
                  <c:v>170.48</c:v>
                </c:pt>
                <c:pt idx="104">
                  <c:v>172.9</c:v>
                </c:pt>
                <c:pt idx="105">
                  <c:v>171.23</c:v>
                </c:pt>
                <c:pt idx="106">
                  <c:v>173.89</c:v>
                </c:pt>
                <c:pt idx="107">
                  <c:v>173.49</c:v>
                </c:pt>
                <c:pt idx="108">
                  <c:v>173.2</c:v>
                </c:pt>
                <c:pt idx="109">
                  <c:v>171.04</c:v>
                </c:pt>
                <c:pt idx="110">
                  <c:v>165.9</c:v>
                </c:pt>
                <c:pt idx="111">
                  <c:v>165.07</c:v>
                </c:pt>
                <c:pt idx="112">
                  <c:v>163.83000000000001</c:v>
                </c:pt>
                <c:pt idx="113">
                  <c:v>163.33000000000001</c:v>
                </c:pt>
                <c:pt idx="114">
                  <c:v>163.81</c:v>
                </c:pt>
                <c:pt idx="115">
                  <c:v>166.14</c:v>
                </c:pt>
                <c:pt idx="116">
                  <c:v>166.48</c:v>
                </c:pt>
                <c:pt idx="117">
                  <c:v>166.68</c:v>
                </c:pt>
                <c:pt idx="118">
                  <c:v>167.28</c:v>
                </c:pt>
                <c:pt idx="119">
                  <c:v>168.08</c:v>
                </c:pt>
                <c:pt idx="120">
                  <c:v>167.35</c:v>
                </c:pt>
                <c:pt idx="121">
                  <c:v>166.74</c:v>
                </c:pt>
                <c:pt idx="122">
                  <c:v>166.26</c:v>
                </c:pt>
                <c:pt idx="123">
                  <c:v>164.93</c:v>
                </c:pt>
                <c:pt idx="124">
                  <c:v>162.88999999999999</c:v>
                </c:pt>
                <c:pt idx="125">
                  <c:v>163.58000000000001</c:v>
                </c:pt>
                <c:pt idx="126">
                  <c:v>162.6</c:v>
                </c:pt>
                <c:pt idx="127">
                  <c:v>164.39</c:v>
                </c:pt>
                <c:pt idx="128">
                  <c:v>162.12</c:v>
                </c:pt>
                <c:pt idx="129">
                  <c:v>161.9</c:v>
                </c:pt>
                <c:pt idx="130">
                  <c:v>163.59</c:v>
                </c:pt>
                <c:pt idx="131">
                  <c:v>163.95</c:v>
                </c:pt>
                <c:pt idx="132">
                  <c:v>166.38</c:v>
                </c:pt>
                <c:pt idx="133">
                  <c:v>163.86</c:v>
                </c:pt>
                <c:pt idx="134">
                  <c:v>164.76</c:v>
                </c:pt>
                <c:pt idx="135">
                  <c:v>169.89</c:v>
                </c:pt>
                <c:pt idx="136">
                  <c:v>170.37</c:v>
                </c:pt>
                <c:pt idx="137">
                  <c:v>169.36</c:v>
                </c:pt>
                <c:pt idx="138">
                  <c:v>167.66</c:v>
                </c:pt>
                <c:pt idx="139">
                  <c:v>166.28</c:v>
                </c:pt>
                <c:pt idx="140">
                  <c:v>168.17</c:v>
                </c:pt>
                <c:pt idx="141">
                  <c:v>171.02</c:v>
                </c:pt>
                <c:pt idx="142">
                  <c:v>172.75</c:v>
                </c:pt>
                <c:pt idx="143">
                  <c:v>173.21</c:v>
                </c:pt>
                <c:pt idx="144">
                  <c:v>173.18</c:v>
                </c:pt>
                <c:pt idx="145">
                  <c:v>172.67</c:v>
                </c:pt>
                <c:pt idx="146">
                  <c:v>174.96</c:v>
                </c:pt>
                <c:pt idx="147">
                  <c:v>178.04</c:v>
                </c:pt>
                <c:pt idx="148">
                  <c:v>174.04</c:v>
                </c:pt>
                <c:pt idx="149">
                  <c:v>172.49</c:v>
                </c:pt>
                <c:pt idx="150">
                  <c:v>171.79</c:v>
                </c:pt>
                <c:pt idx="151">
                  <c:v>172.37</c:v>
                </c:pt>
                <c:pt idx="152">
                  <c:v>172.39</c:v>
                </c:pt>
                <c:pt idx="153">
                  <c:v>171.42</c:v>
                </c:pt>
                <c:pt idx="154">
                  <c:v>172.37</c:v>
                </c:pt>
                <c:pt idx="155">
                  <c:v>173.71</c:v>
                </c:pt>
                <c:pt idx="156">
                  <c:v>172.52</c:v>
                </c:pt>
                <c:pt idx="157">
                  <c:v>172.62</c:v>
                </c:pt>
                <c:pt idx="158">
                  <c:v>173.82</c:v>
                </c:pt>
                <c:pt idx="159">
                  <c:v>175.85</c:v>
                </c:pt>
                <c:pt idx="160">
                  <c:v>175.21</c:v>
                </c:pt>
                <c:pt idx="161">
                  <c:v>175.74</c:v>
                </c:pt>
                <c:pt idx="162">
                  <c:v>175.87</c:v>
                </c:pt>
                <c:pt idx="163">
                  <c:v>175.97</c:v>
                </c:pt>
                <c:pt idx="164">
                  <c:v>175.3</c:v>
                </c:pt>
                <c:pt idx="165">
                  <c:v>173.92</c:v>
                </c:pt>
                <c:pt idx="166">
                  <c:v>172.09</c:v>
                </c:pt>
                <c:pt idx="167">
                  <c:v>172.88</c:v>
                </c:pt>
                <c:pt idx="168">
                  <c:v>177.54</c:v>
                </c:pt>
                <c:pt idx="169">
                  <c:v>178.52</c:v>
                </c:pt>
                <c:pt idx="170">
                  <c:v>179.3</c:v>
                </c:pt>
                <c:pt idx="171">
                  <c:v>177.34</c:v>
                </c:pt>
                <c:pt idx="172">
                  <c:v>178.19</c:v>
                </c:pt>
                <c:pt idx="173">
                  <c:v>177.81</c:v>
                </c:pt>
                <c:pt idx="174">
                  <c:v>175.78</c:v>
                </c:pt>
                <c:pt idx="175">
                  <c:v>177.25</c:v>
                </c:pt>
                <c:pt idx="176">
                  <c:v>177.36</c:v>
                </c:pt>
                <c:pt idx="177">
                  <c:v>177.21</c:v>
                </c:pt>
                <c:pt idx="178">
                  <c:v>176.87</c:v>
                </c:pt>
                <c:pt idx="179">
                  <c:v>175.21</c:v>
                </c:pt>
                <c:pt idx="180">
                  <c:v>174.66</c:v>
                </c:pt>
                <c:pt idx="181">
                  <c:v>171.18</c:v>
                </c:pt>
                <c:pt idx="182">
                  <c:v>172.11</c:v>
                </c:pt>
                <c:pt idx="183">
                  <c:v>169.92</c:v>
                </c:pt>
                <c:pt idx="184">
                  <c:v>169.4</c:v>
                </c:pt>
                <c:pt idx="185">
                  <c:v>169.69</c:v>
                </c:pt>
                <c:pt idx="186">
                  <c:v>170</c:v>
                </c:pt>
                <c:pt idx="187">
                  <c:v>170.05</c:v>
                </c:pt>
                <c:pt idx="188">
                  <c:v>171.38</c:v>
                </c:pt>
                <c:pt idx="189">
                  <c:v>169.55</c:v>
                </c:pt>
                <c:pt idx="190">
                  <c:v>168.53</c:v>
                </c:pt>
                <c:pt idx="191">
                  <c:v>167.97</c:v>
                </c:pt>
                <c:pt idx="192">
                  <c:v>167.21</c:v>
                </c:pt>
                <c:pt idx="193">
                  <c:v>170.42</c:v>
                </c:pt>
                <c:pt idx="194">
                  <c:v>172.54</c:v>
                </c:pt>
                <c:pt idx="195">
                  <c:v>172.99</c:v>
                </c:pt>
                <c:pt idx="196">
                  <c:v>174.81</c:v>
                </c:pt>
                <c:pt idx="197">
                  <c:v>176.1</c:v>
                </c:pt>
                <c:pt idx="198">
                  <c:v>175.9</c:v>
                </c:pt>
                <c:pt idx="199">
                  <c:v>174.48</c:v>
                </c:pt>
                <c:pt idx="200">
                  <c:v>174.67</c:v>
                </c:pt>
                <c:pt idx="201">
                  <c:v>175.06</c:v>
                </c:pt>
                <c:pt idx="202">
                  <c:v>175.01</c:v>
                </c:pt>
                <c:pt idx="203">
                  <c:v>174.37</c:v>
                </c:pt>
                <c:pt idx="204">
                  <c:v>172.95</c:v>
                </c:pt>
                <c:pt idx="205">
                  <c:v>172.16</c:v>
                </c:pt>
                <c:pt idx="206">
                  <c:v>171.79</c:v>
                </c:pt>
                <c:pt idx="207">
                  <c:v>169.84</c:v>
                </c:pt>
                <c:pt idx="208">
                  <c:v>167.5</c:v>
                </c:pt>
                <c:pt idx="209">
                  <c:v>166.21</c:v>
                </c:pt>
                <c:pt idx="210">
                  <c:v>166.08</c:v>
                </c:pt>
                <c:pt idx="211">
                  <c:v>165.59</c:v>
                </c:pt>
                <c:pt idx="212">
                  <c:v>166.34</c:v>
                </c:pt>
                <c:pt idx="213">
                  <c:v>167.85</c:v>
                </c:pt>
                <c:pt idx="214">
                  <c:v>164.71</c:v>
                </c:pt>
                <c:pt idx="215">
                  <c:v>164</c:v>
                </c:pt>
                <c:pt idx="216">
                  <c:v>165.11</c:v>
                </c:pt>
                <c:pt idx="217">
                  <c:v>164.26</c:v>
                </c:pt>
                <c:pt idx="218">
                  <c:v>164.34</c:v>
                </c:pt>
                <c:pt idx="219">
                  <c:v>164.74</c:v>
                </c:pt>
                <c:pt idx="220">
                  <c:v>165.15</c:v>
                </c:pt>
                <c:pt idx="221">
                  <c:v>158.62</c:v>
                </c:pt>
                <c:pt idx="222">
                  <c:v>158.33000000000001</c:v>
                </c:pt>
                <c:pt idx="223">
                  <c:v>156.72</c:v>
                </c:pt>
                <c:pt idx="224">
                  <c:v>158.74</c:v>
                </c:pt>
                <c:pt idx="225">
                  <c:v>160.34</c:v>
                </c:pt>
                <c:pt idx="226">
                  <c:v>162</c:v>
                </c:pt>
                <c:pt idx="227">
                  <c:v>163.05000000000001</c:v>
                </c:pt>
                <c:pt idx="228">
                  <c:v>162.16</c:v>
                </c:pt>
                <c:pt idx="229">
                  <c:v>162.72</c:v>
                </c:pt>
                <c:pt idx="230">
                  <c:v>163.44999999999999</c:v>
                </c:pt>
                <c:pt idx="231">
                  <c:v>163.05000000000001</c:v>
                </c:pt>
                <c:pt idx="232">
                  <c:v>161.69999999999999</c:v>
                </c:pt>
                <c:pt idx="233">
                  <c:v>160.18</c:v>
                </c:pt>
                <c:pt idx="234">
                  <c:v>160.49</c:v>
                </c:pt>
                <c:pt idx="235">
                  <c:v>157.79</c:v>
                </c:pt>
                <c:pt idx="236">
                  <c:v>159.47</c:v>
                </c:pt>
                <c:pt idx="237">
                  <c:v>159.84</c:v>
                </c:pt>
                <c:pt idx="238">
                  <c:v>156.77000000000001</c:v>
                </c:pt>
                <c:pt idx="239">
                  <c:v>158.9</c:v>
                </c:pt>
                <c:pt idx="240">
                  <c:v>157.97</c:v>
                </c:pt>
                <c:pt idx="241">
                  <c:v>156.02000000000001</c:v>
                </c:pt>
                <c:pt idx="242">
                  <c:v>156.13999999999999</c:v>
                </c:pt>
                <c:pt idx="243">
                  <c:v>154.43</c:v>
                </c:pt>
                <c:pt idx="244">
                  <c:v>151.47</c:v>
                </c:pt>
                <c:pt idx="245">
                  <c:v>152.79</c:v>
                </c:pt>
                <c:pt idx="246">
                  <c:v>151.29</c:v>
                </c:pt>
                <c:pt idx="247">
                  <c:v>152.81</c:v>
                </c:pt>
                <c:pt idx="248">
                  <c:v>152.44</c:v>
                </c:pt>
                <c:pt idx="249">
                  <c:v>152.88999999999999</c:v>
                </c:pt>
                <c:pt idx="250">
                  <c:v>151.72</c:v>
                </c:pt>
                <c:pt idx="251">
                  <c:v>152.06</c:v>
                </c:pt>
                <c:pt idx="252">
                  <c:v>150.21</c:v>
                </c:pt>
                <c:pt idx="253">
                  <c:v>149.65</c:v>
                </c:pt>
                <c:pt idx="254">
                  <c:v>146.27000000000001</c:v>
                </c:pt>
                <c:pt idx="255">
                  <c:v>145.4</c:v>
                </c:pt>
                <c:pt idx="256">
                  <c:v>146.54</c:v>
                </c:pt>
                <c:pt idx="257">
                  <c:v>142.63999999999999</c:v>
                </c:pt>
                <c:pt idx="258">
                  <c:v>144.5</c:v>
                </c:pt>
                <c:pt idx="259">
                  <c:v>144.94999999999999</c:v>
                </c:pt>
                <c:pt idx="260">
                  <c:v>144.78</c:v>
                </c:pt>
                <c:pt idx="261">
                  <c:v>146.54</c:v>
                </c:pt>
                <c:pt idx="262">
                  <c:v>148.25</c:v>
                </c:pt>
                <c:pt idx="263">
                  <c:v>148.55000000000001</c:v>
                </c:pt>
                <c:pt idx="264">
                  <c:v>148.09</c:v>
                </c:pt>
                <c:pt idx="265">
                  <c:v>148.62</c:v>
                </c:pt>
                <c:pt idx="266">
                  <c:v>149.12</c:v>
                </c:pt>
                <c:pt idx="267">
                  <c:v>154.61000000000001</c:v>
                </c:pt>
                <c:pt idx="268">
                  <c:v>150.25</c:v>
                </c:pt>
                <c:pt idx="269">
                  <c:v>150.37</c:v>
                </c:pt>
                <c:pt idx="270">
                  <c:v>151.9</c:v>
                </c:pt>
                <c:pt idx="271">
                  <c:v>150.69</c:v>
                </c:pt>
                <c:pt idx="272">
                  <c:v>150.27000000000001</c:v>
                </c:pt>
                <c:pt idx="273">
                  <c:v>143.49</c:v>
                </c:pt>
                <c:pt idx="274">
                  <c:v>145.66</c:v>
                </c:pt>
                <c:pt idx="275">
                  <c:v>145.35</c:v>
                </c:pt>
                <c:pt idx="276">
                  <c:v>144.58000000000001</c:v>
                </c:pt>
                <c:pt idx="277">
                  <c:v>144.35</c:v>
                </c:pt>
                <c:pt idx="278">
                  <c:v>145.63999999999999</c:v>
                </c:pt>
                <c:pt idx="279">
                  <c:v>143.99</c:v>
                </c:pt>
                <c:pt idx="280">
                  <c:v>144.58000000000001</c:v>
                </c:pt>
                <c:pt idx="281">
                  <c:v>143.38999999999999</c:v>
                </c:pt>
                <c:pt idx="282">
                  <c:v>144.1</c:v>
                </c:pt>
                <c:pt idx="283">
                  <c:v>145.81</c:v>
                </c:pt>
                <c:pt idx="284">
                  <c:v>149.1</c:v>
                </c:pt>
                <c:pt idx="285">
                  <c:v>153.5</c:v>
                </c:pt>
                <c:pt idx="286">
                  <c:v>153.85</c:v>
                </c:pt>
                <c:pt idx="287">
                  <c:v>156.41999999999999</c:v>
                </c:pt>
                <c:pt idx="288">
                  <c:v>151.51</c:v>
                </c:pt>
                <c:pt idx="289">
                  <c:v>152.02000000000001</c:v>
                </c:pt>
                <c:pt idx="290">
                  <c:v>153.47</c:v>
                </c:pt>
                <c:pt idx="291">
                  <c:v>155.99</c:v>
                </c:pt>
                <c:pt idx="292">
                  <c:v>154.19</c:v>
                </c:pt>
                <c:pt idx="293">
                  <c:v>153.88</c:v>
                </c:pt>
                <c:pt idx="294">
                  <c:v>154.61000000000001</c:v>
                </c:pt>
                <c:pt idx="295">
                  <c:v>154.44</c:v>
                </c:pt>
                <c:pt idx="296">
                  <c:v>156.25</c:v>
                </c:pt>
                <c:pt idx="297">
                  <c:v>152.33000000000001</c:v>
                </c:pt>
                <c:pt idx="298">
                  <c:v>148.16999999999999</c:v>
                </c:pt>
                <c:pt idx="299">
                  <c:v>148.34</c:v>
                </c:pt>
                <c:pt idx="300">
                  <c:v>148.59</c:v>
                </c:pt>
                <c:pt idx="301">
                  <c:v>151.34</c:v>
                </c:pt>
                <c:pt idx="302">
                  <c:v>148.99</c:v>
                </c:pt>
                <c:pt idx="303">
                  <c:v>148.11000000000001</c:v>
                </c:pt>
                <c:pt idx="304">
                  <c:v>147.15</c:v>
                </c:pt>
                <c:pt idx="305">
                  <c:v>145.44999999999999</c:v>
                </c:pt>
                <c:pt idx="306">
                  <c:v>146.44999999999999</c:v>
                </c:pt>
                <c:pt idx="307">
                  <c:v>145.54</c:v>
                </c:pt>
                <c:pt idx="308">
                  <c:v>148.63999999999999</c:v>
                </c:pt>
                <c:pt idx="309">
                  <c:v>149.66999999999999</c:v>
                </c:pt>
                <c:pt idx="310">
                  <c:v>149.27000000000001</c:v>
                </c:pt>
                <c:pt idx="311">
                  <c:v>149.94</c:v>
                </c:pt>
                <c:pt idx="312">
                  <c:v>149.66999999999999</c:v>
                </c:pt>
                <c:pt idx="313">
                  <c:v>149.12</c:v>
                </c:pt>
                <c:pt idx="314">
                  <c:v>151.37</c:v>
                </c:pt>
                <c:pt idx="315">
                  <c:v>146.61000000000001</c:v>
                </c:pt>
                <c:pt idx="316">
                  <c:v>143.19</c:v>
                </c:pt>
                <c:pt idx="317">
                  <c:v>140.30000000000001</c:v>
                </c:pt>
                <c:pt idx="318">
                  <c:v>145.59</c:v>
                </c:pt>
                <c:pt idx="319">
                  <c:v>144.13999999999999</c:v>
                </c:pt>
                <c:pt idx="320">
                  <c:v>144.43</c:v>
                </c:pt>
                <c:pt idx="321">
                  <c:v>146.75</c:v>
                </c:pt>
                <c:pt idx="322">
                  <c:v>142.84</c:v>
                </c:pt>
                <c:pt idx="323">
                  <c:v>140.09</c:v>
                </c:pt>
                <c:pt idx="324">
                  <c:v>142.84</c:v>
                </c:pt>
                <c:pt idx="325">
                  <c:v>141.72999999999999</c:v>
                </c:pt>
                <c:pt idx="326">
                  <c:v>143.46</c:v>
                </c:pt>
                <c:pt idx="327">
                  <c:v>142.26</c:v>
                </c:pt>
                <c:pt idx="328">
                  <c:v>135.31</c:v>
                </c:pt>
                <c:pt idx="329">
                  <c:v>133.38</c:v>
                </c:pt>
                <c:pt idx="330">
                  <c:v>133.76</c:v>
                </c:pt>
                <c:pt idx="331">
                  <c:v>134.31</c:v>
                </c:pt>
                <c:pt idx="332">
                  <c:v>135.58000000000001</c:v>
                </c:pt>
                <c:pt idx="333">
                  <c:v>133.55000000000001</c:v>
                </c:pt>
                <c:pt idx="334">
                  <c:v>133.75</c:v>
                </c:pt>
                <c:pt idx="335">
                  <c:v>131.99</c:v>
                </c:pt>
                <c:pt idx="336">
                  <c:v>130.74</c:v>
                </c:pt>
                <c:pt idx="337">
                  <c:v>131.91499999999999</c:v>
                </c:pt>
                <c:pt idx="338">
                  <c:v>131.43</c:v>
                </c:pt>
                <c:pt idx="339">
                  <c:v>130.44</c:v>
                </c:pt>
                <c:pt idx="340">
                  <c:v>131.68</c:v>
                </c:pt>
                <c:pt idx="341">
                  <c:v>130.31</c:v>
                </c:pt>
                <c:pt idx="342">
                  <c:v>128.44999999999999</c:v>
                </c:pt>
                <c:pt idx="343">
                  <c:v>131.5</c:v>
                </c:pt>
                <c:pt idx="344">
                  <c:v>131.97999999999999</c:v>
                </c:pt>
                <c:pt idx="345">
                  <c:v>131.79</c:v>
                </c:pt>
                <c:pt idx="346">
                  <c:v>131.80000000000001</c:v>
                </c:pt>
                <c:pt idx="347">
                  <c:v>130.15</c:v>
                </c:pt>
                <c:pt idx="348">
                  <c:v>130.12</c:v>
                </c:pt>
                <c:pt idx="349">
                  <c:v>129.34</c:v>
                </c:pt>
                <c:pt idx="350">
                  <c:v>131.37</c:v>
                </c:pt>
                <c:pt idx="351">
                  <c:v>130.66999999999999</c:v>
                </c:pt>
                <c:pt idx="352">
                  <c:v>131.91999999999999</c:v>
                </c:pt>
                <c:pt idx="353">
                  <c:v>131.44999999999999</c:v>
                </c:pt>
                <c:pt idx="354">
                  <c:v>130.91</c:v>
                </c:pt>
                <c:pt idx="355">
                  <c:v>131.85</c:v>
                </c:pt>
                <c:pt idx="356">
                  <c:v>131.74</c:v>
                </c:pt>
                <c:pt idx="357">
                  <c:v>131.11000000000001</c:v>
                </c:pt>
                <c:pt idx="358">
                  <c:v>130.03</c:v>
                </c:pt>
                <c:pt idx="359">
                  <c:v>129.96</c:v>
                </c:pt>
                <c:pt idx="360">
                  <c:v>131.83000000000001</c:v>
                </c:pt>
                <c:pt idx="361">
                  <c:v>129.9</c:v>
                </c:pt>
                <c:pt idx="362">
                  <c:v>132.30000000000001</c:v>
                </c:pt>
                <c:pt idx="363">
                  <c:v>130.85</c:v>
                </c:pt>
                <c:pt idx="364">
                  <c:v>131.41</c:v>
                </c:pt>
                <c:pt idx="365">
                  <c:v>129.29</c:v>
                </c:pt>
                <c:pt idx="366">
                  <c:v>129.07</c:v>
                </c:pt>
                <c:pt idx="367">
                  <c:v>129.07</c:v>
                </c:pt>
                <c:pt idx="368">
                  <c:v>129.09</c:v>
                </c:pt>
                <c:pt idx="369">
                  <c:v>131.05000000000001</c:v>
                </c:pt>
                <c:pt idx="370">
                  <c:v>128.02000000000001</c:v>
                </c:pt>
                <c:pt idx="371">
                  <c:v>128.22</c:v>
                </c:pt>
                <c:pt idx="372">
                  <c:v>131.04</c:v>
                </c:pt>
                <c:pt idx="373">
                  <c:v>132.04</c:v>
                </c:pt>
                <c:pt idx="374">
                  <c:v>135.26</c:v>
                </c:pt>
                <c:pt idx="375">
                  <c:v>136.47999999999999</c:v>
                </c:pt>
                <c:pt idx="376">
                  <c:v>135.38</c:v>
                </c:pt>
                <c:pt idx="377">
                  <c:v>134.44999999999999</c:v>
                </c:pt>
                <c:pt idx="378">
                  <c:v>135.04</c:v>
                </c:pt>
                <c:pt idx="379">
                  <c:v>134.47999999999999</c:v>
                </c:pt>
                <c:pt idx="380">
                  <c:v>136.08000000000001</c:v>
                </c:pt>
                <c:pt idx="381">
                  <c:v>135.26</c:v>
                </c:pt>
                <c:pt idx="382">
                  <c:v>135.57</c:v>
                </c:pt>
                <c:pt idx="383">
                  <c:v>133.81</c:v>
                </c:pt>
                <c:pt idx="384">
                  <c:v>135.35</c:v>
                </c:pt>
                <c:pt idx="385">
                  <c:v>145.44</c:v>
                </c:pt>
                <c:pt idx="386">
                  <c:v>143.24</c:v>
                </c:pt>
                <c:pt idx="387">
                  <c:v>141.69999999999999</c:v>
                </c:pt>
                <c:pt idx="388">
                  <c:v>146.04</c:v>
                </c:pt>
                <c:pt idx="389">
                  <c:v>145.66</c:v>
                </c:pt>
                <c:pt idx="390">
                  <c:v>144.51</c:v>
                </c:pt>
                <c:pt idx="391">
                  <c:v>143.44999999999999</c:v>
                </c:pt>
                <c:pt idx="392">
                  <c:v>141.57</c:v>
                </c:pt>
                <c:pt idx="393">
                  <c:v>143.88999999999999</c:v>
                </c:pt>
                <c:pt idx="394">
                  <c:v>142.86000000000001</c:v>
                </c:pt>
                <c:pt idx="395">
                  <c:v>137.91999999999999</c:v>
                </c:pt>
                <c:pt idx="396">
                  <c:v>139.28</c:v>
                </c:pt>
                <c:pt idx="397">
                  <c:v>139.56</c:v>
                </c:pt>
                <c:pt idx="398">
                  <c:v>139.44999999999999</c:v>
                </c:pt>
                <c:pt idx="399">
                  <c:v>140.80000000000001</c:v>
                </c:pt>
                <c:pt idx="400">
                  <c:v>143.91999999999999</c:v>
                </c:pt>
                <c:pt idx="401">
                  <c:v>145.21</c:v>
                </c:pt>
                <c:pt idx="402">
                  <c:v>144.87</c:v>
                </c:pt>
                <c:pt idx="403">
                  <c:v>146.87</c:v>
                </c:pt>
                <c:pt idx="404">
                  <c:v>149.35</c:v>
                </c:pt>
                <c:pt idx="405">
                  <c:v>148.62</c:v>
                </c:pt>
                <c:pt idx="406">
                  <c:v>150.4</c:v>
                </c:pt>
                <c:pt idx="407">
                  <c:v>149.55000000000001</c:v>
                </c:pt>
                <c:pt idx="408">
                  <c:v>152.16</c:v>
                </c:pt>
                <c:pt idx="409">
                  <c:v>150.72999999999999</c:v>
                </c:pt>
                <c:pt idx="410">
                  <c:v>148.97999999999999</c:v>
                </c:pt>
                <c:pt idx="411">
                  <c:v>149.63999999999999</c:v>
                </c:pt>
                <c:pt idx="412">
                  <c:v>148.19999999999999</c:v>
                </c:pt>
                <c:pt idx="413">
                  <c:v>147</c:v>
                </c:pt>
                <c:pt idx="414">
                  <c:v>147.63999999999999</c:v>
                </c:pt>
                <c:pt idx="415">
                  <c:v>146.97999999999999</c:v>
                </c:pt>
                <c:pt idx="416">
                  <c:v>148.65</c:v>
                </c:pt>
                <c:pt idx="417">
                  <c:v>150.28</c:v>
                </c:pt>
                <c:pt idx="418">
                  <c:v>148.63999999999999</c:v>
                </c:pt>
                <c:pt idx="419">
                  <c:v>146.88999999999999</c:v>
                </c:pt>
                <c:pt idx="420">
                  <c:v>146.38999999999999</c:v>
                </c:pt>
                <c:pt idx="421">
                  <c:v>141.71</c:v>
                </c:pt>
                <c:pt idx="422">
                  <c:v>143.1</c:v>
                </c:pt>
                <c:pt idx="423">
                  <c:v>142.66</c:v>
                </c:pt>
                <c:pt idx="424">
                  <c:v>144.22999999999999</c:v>
                </c:pt>
                <c:pt idx="425">
                  <c:v>143.53</c:v>
                </c:pt>
                <c:pt idx="426">
                  <c:v>140.63999999999999</c:v>
                </c:pt>
                <c:pt idx="427">
                  <c:v>140.03</c:v>
                </c:pt>
                <c:pt idx="428">
                  <c:v>141.22999999999999</c:v>
                </c:pt>
                <c:pt idx="429">
                  <c:v>140.72999999999999</c:v>
                </c:pt>
                <c:pt idx="430">
                  <c:v>141.76</c:v>
                </c:pt>
                <c:pt idx="431">
                  <c:v>141.03</c:v>
                </c:pt>
                <c:pt idx="432">
                  <c:v>141.9</c:v>
                </c:pt>
                <c:pt idx="433">
                  <c:v>142.16999999999999</c:v>
                </c:pt>
                <c:pt idx="434">
                  <c:v>139.91999999999999</c:v>
                </c:pt>
                <c:pt idx="435">
                  <c:v>140.44</c:v>
                </c:pt>
                <c:pt idx="436">
                  <c:v>140.16999999999999</c:v>
                </c:pt>
                <c:pt idx="437">
                  <c:v>140.44</c:v>
                </c:pt>
                <c:pt idx="438">
                  <c:v>143.13999999999999</c:v>
                </c:pt>
                <c:pt idx="439">
                  <c:v>142.31</c:v>
                </c:pt>
                <c:pt idx="440">
                  <c:v>141.97999999999999</c:v>
                </c:pt>
                <c:pt idx="441">
                  <c:v>139.69999999999999</c:v>
                </c:pt>
                <c:pt idx="442">
                  <c:v>140.79</c:v>
                </c:pt>
                <c:pt idx="443">
                  <c:v>138.84</c:v>
                </c:pt>
                <c:pt idx="444">
                  <c:v>144.71</c:v>
                </c:pt>
                <c:pt idx="445">
                  <c:v>150.08000000000001</c:v>
                </c:pt>
                <c:pt idx="446">
                  <c:v>148.88999999999999</c:v>
                </c:pt>
                <c:pt idx="447">
                  <c:v>151.54</c:v>
                </c:pt>
                <c:pt idx="448">
                  <c:v>151.16</c:v>
                </c:pt>
                <c:pt idx="449">
                  <c:v>152.66999999999999</c:v>
                </c:pt>
                <c:pt idx="450">
                  <c:v>153.71</c:v>
                </c:pt>
                <c:pt idx="451">
                  <c:v>153.63999999999999</c:v>
                </c:pt>
                <c:pt idx="452">
                  <c:v>153.18</c:v>
                </c:pt>
                <c:pt idx="453">
                  <c:v>153.03</c:v>
                </c:pt>
                <c:pt idx="454">
                  <c:v>151.51</c:v>
                </c:pt>
                <c:pt idx="455">
                  <c:v>151.55000000000001</c:v>
                </c:pt>
                <c:pt idx="456">
                  <c:v>152.63</c:v>
                </c:pt>
                <c:pt idx="457">
                  <c:v>150.12</c:v>
                </c:pt>
                <c:pt idx="458">
                  <c:v>146.16</c:v>
                </c:pt>
                <c:pt idx="459">
                  <c:v>147.55000000000001</c:v>
                </c:pt>
                <c:pt idx="460">
                  <c:v>146.09</c:v>
                </c:pt>
                <c:pt idx="461">
                  <c:v>143.6</c:v>
                </c:pt>
                <c:pt idx="462">
                  <c:v>142.9</c:v>
                </c:pt>
                <c:pt idx="463">
                  <c:v>142.86000000000001</c:v>
                </c:pt>
                <c:pt idx="464">
                  <c:v>141.58000000000001</c:v>
                </c:pt>
                <c:pt idx="465">
                  <c:v>142.94999999999999</c:v>
                </c:pt>
                <c:pt idx="466">
                  <c:v>142.62</c:v>
                </c:pt>
                <c:pt idx="467">
                  <c:v>145.08000000000001</c:v>
                </c:pt>
                <c:pt idx="468">
                  <c:v>144.38999999999999</c:v>
                </c:pt>
                <c:pt idx="469">
                  <c:v>145.02000000000001</c:v>
                </c:pt>
                <c:pt idx="470">
                  <c:v>145.85</c:v>
                </c:pt>
                <c:pt idx="471">
                  <c:v>147.83000000000001</c:v>
                </c:pt>
                <c:pt idx="472">
                  <c:v>148.77000000000001</c:v>
                </c:pt>
                <c:pt idx="473">
                  <c:v>147.11000000000001</c:v>
                </c:pt>
                <c:pt idx="474">
                  <c:v>146.1</c:v>
                </c:pt>
                <c:pt idx="475">
                  <c:v>146.33000000000001</c:v>
                </c:pt>
                <c:pt idx="476">
                  <c:v>145.5</c:v>
                </c:pt>
                <c:pt idx="477">
                  <c:v>146.11000000000001</c:v>
                </c:pt>
                <c:pt idx="478">
                  <c:v>147.97999999999999</c:v>
                </c:pt>
                <c:pt idx="479">
                  <c:v>148.74</c:v>
                </c:pt>
                <c:pt idx="480">
                  <c:v>149.51</c:v>
                </c:pt>
                <c:pt idx="481">
                  <c:v>148.61000000000001</c:v>
                </c:pt>
                <c:pt idx="482">
                  <c:v>148.06</c:v>
                </c:pt>
                <c:pt idx="483">
                  <c:v>146.91</c:v>
                </c:pt>
                <c:pt idx="484">
                  <c:v>145.02000000000001</c:v>
                </c:pt>
                <c:pt idx="485">
                  <c:v>145.63</c:v>
                </c:pt>
                <c:pt idx="486">
                  <c:v>144.63999999999999</c:v>
                </c:pt>
                <c:pt idx="487">
                  <c:v>149.69999999999999</c:v>
                </c:pt>
                <c:pt idx="488">
                  <c:v>149.04</c:v>
                </c:pt>
                <c:pt idx="489">
                  <c:v>150.65</c:v>
                </c:pt>
                <c:pt idx="490">
                  <c:v>151.22</c:v>
                </c:pt>
                <c:pt idx="491">
                  <c:v>150.37</c:v>
                </c:pt>
                <c:pt idx="492">
                  <c:v>150.08000000000001</c:v>
                </c:pt>
                <c:pt idx="493">
                  <c:v>149.37</c:v>
                </c:pt>
                <c:pt idx="494">
                  <c:v>148.16</c:v>
                </c:pt>
                <c:pt idx="495">
                  <c:v>147.05000000000001</c:v>
                </c:pt>
                <c:pt idx="496">
                  <c:v>143.68</c:v>
                </c:pt>
                <c:pt idx="497">
                  <c:v>143.74</c:v>
                </c:pt>
                <c:pt idx="498">
                  <c:v>143.78</c:v>
                </c:pt>
                <c:pt idx="499">
                  <c:v>144.24</c:v>
                </c:pt>
                <c:pt idx="500">
                  <c:v>144.16</c:v>
                </c:pt>
                <c:pt idx="501">
                  <c:v>143.52000000000001</c:v>
                </c:pt>
                <c:pt idx="502">
                  <c:v>142.22999999999999</c:v>
                </c:pt>
                <c:pt idx="503">
                  <c:v>139.91999999999999</c:v>
                </c:pt>
                <c:pt idx="504">
                  <c:v>138.96</c:v>
                </c:pt>
                <c:pt idx="505">
                  <c:v>137.01</c:v>
                </c:pt>
                <c:pt idx="506">
                  <c:v>139.37</c:v>
                </c:pt>
                <c:pt idx="507">
                  <c:v>139.91</c:v>
                </c:pt>
                <c:pt idx="508">
                  <c:v>141.36000000000001</c:v>
                </c:pt>
                <c:pt idx="509">
                  <c:v>143.47999999999999</c:v>
                </c:pt>
                <c:pt idx="510">
                  <c:v>145.91999999999999</c:v>
                </c:pt>
                <c:pt idx="511">
                  <c:v>146.57</c:v>
                </c:pt>
                <c:pt idx="512">
                  <c:v>146.32</c:v>
                </c:pt>
                <c:pt idx="513">
                  <c:v>147.66</c:v>
                </c:pt>
                <c:pt idx="514">
                  <c:v>146.74</c:v>
                </c:pt>
                <c:pt idx="515">
                  <c:v>144.4</c:v>
                </c:pt>
                <c:pt idx="516">
                  <c:v>144.58000000000001</c:v>
                </c:pt>
                <c:pt idx="517">
                  <c:v>145.87</c:v>
                </c:pt>
                <c:pt idx="518">
                  <c:v>148.78</c:v>
                </c:pt>
                <c:pt idx="519">
                  <c:v>148.5</c:v>
                </c:pt>
                <c:pt idx="520">
                  <c:v>148.69</c:v>
                </c:pt>
                <c:pt idx="521">
                  <c:v>153.63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B-4536-BB01-2BC035A9E0F4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Data!$J$2:$J$523</c:f>
              <c:numCache>
                <c:formatCode>General</c:formatCode>
                <c:ptCount val="522"/>
                <c:pt idx="19">
                  <c:v>167.94850000000002</c:v>
                </c:pt>
                <c:pt idx="20">
                  <c:v>167.7295</c:v>
                </c:pt>
                <c:pt idx="21">
                  <c:v>167.667</c:v>
                </c:pt>
                <c:pt idx="22">
                  <c:v>167.642</c:v>
                </c:pt>
                <c:pt idx="23">
                  <c:v>167.74099999999999</c:v>
                </c:pt>
                <c:pt idx="24">
                  <c:v>167.85649999999998</c:v>
                </c:pt>
                <c:pt idx="25">
                  <c:v>168.07149999999996</c:v>
                </c:pt>
                <c:pt idx="26">
                  <c:v>168.41799999999998</c:v>
                </c:pt>
                <c:pt idx="27">
                  <c:v>168.49499999999998</c:v>
                </c:pt>
                <c:pt idx="28">
                  <c:v>168.66199999999998</c:v>
                </c:pt>
                <c:pt idx="29">
                  <c:v>168.79749999999999</c:v>
                </c:pt>
                <c:pt idx="30">
                  <c:v>168.85150000000002</c:v>
                </c:pt>
                <c:pt idx="31">
                  <c:v>168.88600000000002</c:v>
                </c:pt>
                <c:pt idx="32">
                  <c:v>168.91300000000004</c:v>
                </c:pt>
                <c:pt idx="33">
                  <c:v>169.09000000000006</c:v>
                </c:pt>
                <c:pt idx="34">
                  <c:v>169.14950000000005</c:v>
                </c:pt>
                <c:pt idx="35">
                  <c:v>169.28200000000004</c:v>
                </c:pt>
                <c:pt idx="36">
                  <c:v>169.43400000000003</c:v>
                </c:pt>
                <c:pt idx="37">
                  <c:v>169.45400000000001</c:v>
                </c:pt>
                <c:pt idx="38">
                  <c:v>169.4545</c:v>
                </c:pt>
                <c:pt idx="39">
                  <c:v>169.32500000000002</c:v>
                </c:pt>
                <c:pt idx="40">
                  <c:v>169.16550000000001</c:v>
                </c:pt>
                <c:pt idx="41">
                  <c:v>168.81</c:v>
                </c:pt>
                <c:pt idx="42">
                  <c:v>168.53</c:v>
                </c:pt>
                <c:pt idx="43">
                  <c:v>168.08600000000004</c:v>
                </c:pt>
                <c:pt idx="44">
                  <c:v>167.66500000000002</c:v>
                </c:pt>
                <c:pt idx="45">
                  <c:v>167.24700000000001</c:v>
                </c:pt>
                <c:pt idx="46">
                  <c:v>166.70700000000002</c:v>
                </c:pt>
                <c:pt idx="47">
                  <c:v>166.56</c:v>
                </c:pt>
                <c:pt idx="48">
                  <c:v>166.25650000000002</c:v>
                </c:pt>
                <c:pt idx="49">
                  <c:v>166.07750000000001</c:v>
                </c:pt>
                <c:pt idx="50">
                  <c:v>165.94050000000001</c:v>
                </c:pt>
                <c:pt idx="51">
                  <c:v>165.78050000000002</c:v>
                </c:pt>
                <c:pt idx="52">
                  <c:v>166.0275</c:v>
                </c:pt>
                <c:pt idx="53">
                  <c:v>166.18500000000003</c:v>
                </c:pt>
                <c:pt idx="54">
                  <c:v>166.3365</c:v>
                </c:pt>
                <c:pt idx="55">
                  <c:v>166.54650000000004</c:v>
                </c:pt>
                <c:pt idx="56">
                  <c:v>166.66750000000002</c:v>
                </c:pt>
                <c:pt idx="57">
                  <c:v>166.8845</c:v>
                </c:pt>
                <c:pt idx="58">
                  <c:v>167.113</c:v>
                </c:pt>
                <c:pt idx="59">
                  <c:v>167.44</c:v>
                </c:pt>
                <c:pt idx="60">
                  <c:v>167.92350000000002</c:v>
                </c:pt>
                <c:pt idx="61">
                  <c:v>168.34300000000002</c:v>
                </c:pt>
                <c:pt idx="62">
                  <c:v>168.6465</c:v>
                </c:pt>
                <c:pt idx="63">
                  <c:v>169.02850000000001</c:v>
                </c:pt>
                <c:pt idx="64">
                  <c:v>169.36100000000002</c:v>
                </c:pt>
                <c:pt idx="65">
                  <c:v>169.66249999999997</c:v>
                </c:pt>
                <c:pt idx="66">
                  <c:v>169.98899999999998</c:v>
                </c:pt>
                <c:pt idx="67">
                  <c:v>170.28299999999999</c:v>
                </c:pt>
                <c:pt idx="68">
                  <c:v>170.50349999999997</c:v>
                </c:pt>
                <c:pt idx="69">
                  <c:v>170.65649999999999</c:v>
                </c:pt>
                <c:pt idx="70">
                  <c:v>170.82249999999996</c:v>
                </c:pt>
                <c:pt idx="71">
                  <c:v>170.93699999999998</c:v>
                </c:pt>
                <c:pt idx="72">
                  <c:v>170.74899999999997</c:v>
                </c:pt>
                <c:pt idx="73">
                  <c:v>170.63299999999998</c:v>
                </c:pt>
                <c:pt idx="74">
                  <c:v>170.65350000000001</c:v>
                </c:pt>
                <c:pt idx="75">
                  <c:v>170.73750000000001</c:v>
                </c:pt>
                <c:pt idx="76">
                  <c:v>170.95949999999999</c:v>
                </c:pt>
                <c:pt idx="77">
                  <c:v>170.8905</c:v>
                </c:pt>
                <c:pt idx="78">
                  <c:v>171.12449999999998</c:v>
                </c:pt>
                <c:pt idx="79">
                  <c:v>171.27999999999997</c:v>
                </c:pt>
                <c:pt idx="80">
                  <c:v>171.30849999999995</c:v>
                </c:pt>
                <c:pt idx="81">
                  <c:v>171.46649999999997</c:v>
                </c:pt>
                <c:pt idx="82">
                  <c:v>171.68999999999997</c:v>
                </c:pt>
                <c:pt idx="83">
                  <c:v>171.96349999999998</c:v>
                </c:pt>
                <c:pt idx="84">
                  <c:v>172.25349999999997</c:v>
                </c:pt>
                <c:pt idx="85">
                  <c:v>172.60399999999998</c:v>
                </c:pt>
                <c:pt idx="86">
                  <c:v>172.916</c:v>
                </c:pt>
                <c:pt idx="87">
                  <c:v>173.28649999999999</c:v>
                </c:pt>
                <c:pt idx="88">
                  <c:v>173.70949999999999</c:v>
                </c:pt>
                <c:pt idx="89">
                  <c:v>174.19450000000001</c:v>
                </c:pt>
                <c:pt idx="90">
                  <c:v>174.779</c:v>
                </c:pt>
                <c:pt idx="91">
                  <c:v>175.47649999999999</c:v>
                </c:pt>
                <c:pt idx="92">
                  <c:v>176.095</c:v>
                </c:pt>
                <c:pt idx="93">
                  <c:v>176.59399999999999</c:v>
                </c:pt>
                <c:pt idx="94">
                  <c:v>177.13600000000002</c:v>
                </c:pt>
                <c:pt idx="95">
                  <c:v>177.53900000000002</c:v>
                </c:pt>
                <c:pt idx="96">
                  <c:v>177.73150000000001</c:v>
                </c:pt>
                <c:pt idx="97">
                  <c:v>178.22450000000001</c:v>
                </c:pt>
                <c:pt idx="98">
                  <c:v>178.45850000000002</c:v>
                </c:pt>
                <c:pt idx="99">
                  <c:v>178.58800000000002</c:v>
                </c:pt>
                <c:pt idx="100">
                  <c:v>178.70850000000002</c:v>
                </c:pt>
                <c:pt idx="101">
                  <c:v>178.57050000000004</c:v>
                </c:pt>
                <c:pt idx="102">
                  <c:v>178.33250000000001</c:v>
                </c:pt>
                <c:pt idx="103">
                  <c:v>178.09900000000002</c:v>
                </c:pt>
                <c:pt idx="104">
                  <c:v>177.97150000000005</c:v>
                </c:pt>
                <c:pt idx="105">
                  <c:v>177.72550000000001</c:v>
                </c:pt>
                <c:pt idx="106">
                  <c:v>177.62900000000002</c:v>
                </c:pt>
                <c:pt idx="107">
                  <c:v>177.4025</c:v>
                </c:pt>
                <c:pt idx="108">
                  <c:v>177.19200000000001</c:v>
                </c:pt>
                <c:pt idx="109">
                  <c:v>176.84099999999998</c:v>
                </c:pt>
                <c:pt idx="110">
                  <c:v>176.1465</c:v>
                </c:pt>
                <c:pt idx="111">
                  <c:v>175.35500000000002</c:v>
                </c:pt>
                <c:pt idx="112">
                  <c:v>174.55300000000003</c:v>
                </c:pt>
                <c:pt idx="113">
                  <c:v>173.74650000000003</c:v>
                </c:pt>
                <c:pt idx="114">
                  <c:v>172.78149999999999</c:v>
                </c:pt>
                <c:pt idx="115">
                  <c:v>171.97899999999998</c:v>
                </c:pt>
                <c:pt idx="116">
                  <c:v>171.28749999999999</c:v>
                </c:pt>
                <c:pt idx="117">
                  <c:v>170.5675</c:v>
                </c:pt>
                <c:pt idx="118">
                  <c:v>169.827</c:v>
                </c:pt>
                <c:pt idx="119">
                  <c:v>169.26749999999998</c:v>
                </c:pt>
                <c:pt idx="120">
                  <c:v>168.73549999999997</c:v>
                </c:pt>
                <c:pt idx="121">
                  <c:v>168.40349999999998</c:v>
                </c:pt>
                <c:pt idx="122">
                  <c:v>168.15900000000002</c:v>
                </c:pt>
                <c:pt idx="123">
                  <c:v>167.88149999999999</c:v>
                </c:pt>
                <c:pt idx="124">
                  <c:v>167.381</c:v>
                </c:pt>
                <c:pt idx="125">
                  <c:v>166.99849999999998</c:v>
                </c:pt>
                <c:pt idx="126">
                  <c:v>166.434</c:v>
                </c:pt>
                <c:pt idx="127">
                  <c:v>165.97899999999998</c:v>
                </c:pt>
                <c:pt idx="128">
                  <c:v>165.42499999999995</c:v>
                </c:pt>
                <c:pt idx="129">
                  <c:v>164.96799999999996</c:v>
                </c:pt>
                <c:pt idx="130">
                  <c:v>164.85249999999996</c:v>
                </c:pt>
                <c:pt idx="131">
                  <c:v>164.79649999999998</c:v>
                </c:pt>
                <c:pt idx="132">
                  <c:v>164.92399999999998</c:v>
                </c:pt>
                <c:pt idx="133">
                  <c:v>164.95049999999998</c:v>
                </c:pt>
                <c:pt idx="134">
                  <c:v>164.99799999999999</c:v>
                </c:pt>
                <c:pt idx="135">
                  <c:v>165.18549999999999</c:v>
                </c:pt>
                <c:pt idx="136">
                  <c:v>165.38</c:v>
                </c:pt>
                <c:pt idx="137">
                  <c:v>165.51399999999998</c:v>
                </c:pt>
                <c:pt idx="138">
                  <c:v>165.53299999999999</c:v>
                </c:pt>
                <c:pt idx="139">
                  <c:v>165.44300000000001</c:v>
                </c:pt>
                <c:pt idx="140">
                  <c:v>165.48399999999998</c:v>
                </c:pt>
                <c:pt idx="141">
                  <c:v>165.69800000000001</c:v>
                </c:pt>
                <c:pt idx="142">
                  <c:v>166.02250000000001</c:v>
                </c:pt>
                <c:pt idx="143">
                  <c:v>166.43650000000002</c:v>
                </c:pt>
                <c:pt idx="144">
                  <c:v>166.95100000000002</c:v>
                </c:pt>
                <c:pt idx="145">
                  <c:v>167.40550000000002</c:v>
                </c:pt>
                <c:pt idx="146">
                  <c:v>168.02350000000001</c:v>
                </c:pt>
                <c:pt idx="147">
                  <c:v>168.70599999999999</c:v>
                </c:pt>
                <c:pt idx="148">
                  <c:v>169.30199999999999</c:v>
                </c:pt>
                <c:pt idx="149">
                  <c:v>169.83150000000001</c:v>
                </c:pt>
                <c:pt idx="150">
                  <c:v>170.2415</c:v>
                </c:pt>
                <c:pt idx="151">
                  <c:v>170.66249999999999</c:v>
                </c:pt>
                <c:pt idx="152">
                  <c:v>170.96299999999999</c:v>
                </c:pt>
                <c:pt idx="153">
                  <c:v>171.34100000000001</c:v>
                </c:pt>
                <c:pt idx="154">
                  <c:v>171.72149999999999</c:v>
                </c:pt>
                <c:pt idx="155">
                  <c:v>171.91249999999997</c:v>
                </c:pt>
                <c:pt idx="156">
                  <c:v>172.01999999999998</c:v>
                </c:pt>
                <c:pt idx="157">
                  <c:v>172.18299999999999</c:v>
                </c:pt>
                <c:pt idx="158">
                  <c:v>172.49100000000001</c:v>
                </c:pt>
                <c:pt idx="159">
                  <c:v>172.96949999999998</c:v>
                </c:pt>
                <c:pt idx="160">
                  <c:v>173.32149999999999</c:v>
                </c:pt>
                <c:pt idx="161">
                  <c:v>173.55749999999998</c:v>
                </c:pt>
                <c:pt idx="162">
                  <c:v>173.71349999999998</c:v>
                </c:pt>
                <c:pt idx="163">
                  <c:v>173.85149999999996</c:v>
                </c:pt>
                <c:pt idx="164">
                  <c:v>173.95750000000001</c:v>
                </c:pt>
                <c:pt idx="165">
                  <c:v>174.02</c:v>
                </c:pt>
                <c:pt idx="166">
                  <c:v>173.87650000000002</c:v>
                </c:pt>
                <c:pt idx="167">
                  <c:v>173.61850000000001</c:v>
                </c:pt>
                <c:pt idx="168">
                  <c:v>173.79349999999997</c:v>
                </c:pt>
                <c:pt idx="169">
                  <c:v>174.095</c:v>
                </c:pt>
                <c:pt idx="170">
                  <c:v>174.47050000000002</c:v>
                </c:pt>
                <c:pt idx="171">
                  <c:v>174.71900000000002</c:v>
                </c:pt>
                <c:pt idx="172">
                  <c:v>175.00900000000004</c:v>
                </c:pt>
                <c:pt idx="173">
                  <c:v>175.32850000000002</c:v>
                </c:pt>
                <c:pt idx="174">
                  <c:v>175.49900000000005</c:v>
                </c:pt>
                <c:pt idx="175">
                  <c:v>175.67600000000002</c:v>
                </c:pt>
                <c:pt idx="176">
                  <c:v>175.91800000000003</c:v>
                </c:pt>
                <c:pt idx="177">
                  <c:v>176.14750000000004</c:v>
                </c:pt>
                <c:pt idx="178">
                  <c:v>176.3</c:v>
                </c:pt>
                <c:pt idx="179">
                  <c:v>176.268</c:v>
                </c:pt>
                <c:pt idx="180">
                  <c:v>176.2405</c:v>
                </c:pt>
                <c:pt idx="181">
                  <c:v>176.01249999999999</c:v>
                </c:pt>
                <c:pt idx="182">
                  <c:v>175.8245</c:v>
                </c:pt>
                <c:pt idx="183">
                  <c:v>175.52199999999999</c:v>
                </c:pt>
                <c:pt idx="184">
                  <c:v>175.227</c:v>
                </c:pt>
                <c:pt idx="185">
                  <c:v>175.0155</c:v>
                </c:pt>
                <c:pt idx="186">
                  <c:v>174.911</c:v>
                </c:pt>
                <c:pt idx="187">
                  <c:v>174.76950000000002</c:v>
                </c:pt>
                <c:pt idx="188">
                  <c:v>174.46150000000003</c:v>
                </c:pt>
                <c:pt idx="189">
                  <c:v>174.01300000000003</c:v>
                </c:pt>
                <c:pt idx="190">
                  <c:v>173.47450000000006</c:v>
                </c:pt>
                <c:pt idx="191">
                  <c:v>173.00600000000003</c:v>
                </c:pt>
                <c:pt idx="192">
                  <c:v>172.45700000000005</c:v>
                </c:pt>
                <c:pt idx="193">
                  <c:v>172.08750000000003</c:v>
                </c:pt>
                <c:pt idx="194">
                  <c:v>171.92550000000006</c:v>
                </c:pt>
                <c:pt idx="195">
                  <c:v>171.71250000000003</c:v>
                </c:pt>
                <c:pt idx="196">
                  <c:v>171.58500000000001</c:v>
                </c:pt>
                <c:pt idx="197">
                  <c:v>171.52950000000001</c:v>
                </c:pt>
                <c:pt idx="198">
                  <c:v>171.48099999999997</c:v>
                </c:pt>
                <c:pt idx="199">
                  <c:v>171.44449999999998</c:v>
                </c:pt>
                <c:pt idx="200">
                  <c:v>171.44499999999999</c:v>
                </c:pt>
                <c:pt idx="201">
                  <c:v>171.63900000000001</c:v>
                </c:pt>
                <c:pt idx="202">
                  <c:v>171.78400000000002</c:v>
                </c:pt>
                <c:pt idx="203">
                  <c:v>172.00650000000002</c:v>
                </c:pt>
                <c:pt idx="204">
                  <c:v>172.18400000000003</c:v>
                </c:pt>
                <c:pt idx="205">
                  <c:v>172.30749999999998</c:v>
                </c:pt>
                <c:pt idx="206">
                  <c:v>172.39699999999999</c:v>
                </c:pt>
                <c:pt idx="207">
                  <c:v>172.38649999999998</c:v>
                </c:pt>
                <c:pt idx="208">
                  <c:v>172.19249999999997</c:v>
                </c:pt>
                <c:pt idx="209">
                  <c:v>172.02550000000002</c:v>
                </c:pt>
                <c:pt idx="210">
                  <c:v>171.90299999999996</c:v>
                </c:pt>
                <c:pt idx="211">
                  <c:v>171.78399999999999</c:v>
                </c:pt>
                <c:pt idx="212">
                  <c:v>171.7405</c:v>
                </c:pt>
                <c:pt idx="213">
                  <c:v>171.61200000000002</c:v>
                </c:pt>
                <c:pt idx="214">
                  <c:v>171.22050000000002</c:v>
                </c:pt>
                <c:pt idx="215">
                  <c:v>170.77100000000002</c:v>
                </c:pt>
                <c:pt idx="216">
                  <c:v>170.286</c:v>
                </c:pt>
                <c:pt idx="217">
                  <c:v>169.69400000000002</c:v>
                </c:pt>
                <c:pt idx="218">
                  <c:v>169.11600000000004</c:v>
                </c:pt>
                <c:pt idx="219">
                  <c:v>168.62899999999999</c:v>
                </c:pt>
                <c:pt idx="220">
                  <c:v>168.15299999999999</c:v>
                </c:pt>
                <c:pt idx="221">
                  <c:v>167.33099999999996</c:v>
                </c:pt>
                <c:pt idx="222">
                  <c:v>166.49700000000001</c:v>
                </c:pt>
                <c:pt idx="223">
                  <c:v>165.61449999999996</c:v>
                </c:pt>
                <c:pt idx="224">
                  <c:v>164.90399999999994</c:v>
                </c:pt>
                <c:pt idx="225">
                  <c:v>164.31299999999996</c:v>
                </c:pt>
                <c:pt idx="226">
                  <c:v>163.82349999999997</c:v>
                </c:pt>
                <c:pt idx="227">
                  <c:v>163.48400000000001</c:v>
                </c:pt>
                <c:pt idx="228">
                  <c:v>163.21700000000001</c:v>
                </c:pt>
                <c:pt idx="229">
                  <c:v>163.04249999999999</c:v>
                </c:pt>
                <c:pt idx="230">
                  <c:v>162.911</c:v>
                </c:pt>
                <c:pt idx="231">
                  <c:v>162.78399999999999</c:v>
                </c:pt>
                <c:pt idx="232">
                  <c:v>162.55199999999999</c:v>
                </c:pt>
                <c:pt idx="233">
                  <c:v>162.16849999999999</c:v>
                </c:pt>
                <c:pt idx="234">
                  <c:v>161.95749999999998</c:v>
                </c:pt>
                <c:pt idx="235">
                  <c:v>161.64699999999999</c:v>
                </c:pt>
                <c:pt idx="236">
                  <c:v>161.36499999999998</c:v>
                </c:pt>
                <c:pt idx="237">
                  <c:v>161.14399999999998</c:v>
                </c:pt>
                <c:pt idx="238">
                  <c:v>160.76549999999997</c:v>
                </c:pt>
                <c:pt idx="239">
                  <c:v>160.4735</c:v>
                </c:pt>
                <c:pt idx="240">
                  <c:v>160.11449999999999</c:v>
                </c:pt>
                <c:pt idx="241">
                  <c:v>159.9845</c:v>
                </c:pt>
                <c:pt idx="242">
                  <c:v>159.875</c:v>
                </c:pt>
                <c:pt idx="243">
                  <c:v>159.76049999999998</c:v>
                </c:pt>
                <c:pt idx="244">
                  <c:v>159.39699999999999</c:v>
                </c:pt>
                <c:pt idx="245">
                  <c:v>159.01949999999997</c:v>
                </c:pt>
                <c:pt idx="246">
                  <c:v>158.48399999999998</c:v>
                </c:pt>
                <c:pt idx="247">
                  <c:v>157.97199999999995</c:v>
                </c:pt>
                <c:pt idx="248">
                  <c:v>157.48599999999996</c:v>
                </c:pt>
                <c:pt idx="249">
                  <c:v>156.99449999999996</c:v>
                </c:pt>
                <c:pt idx="250">
                  <c:v>156.40799999999996</c:v>
                </c:pt>
                <c:pt idx="251">
                  <c:v>155.85849999999999</c:v>
                </c:pt>
                <c:pt idx="252">
                  <c:v>155.28399999999999</c:v>
                </c:pt>
                <c:pt idx="253">
                  <c:v>154.75749999999999</c:v>
                </c:pt>
                <c:pt idx="254">
                  <c:v>154.04649999999998</c:v>
                </c:pt>
                <c:pt idx="255">
                  <c:v>153.42699999999999</c:v>
                </c:pt>
                <c:pt idx="256">
                  <c:v>152.78049999999999</c:v>
                </c:pt>
                <c:pt idx="257">
                  <c:v>151.9205</c:v>
                </c:pt>
                <c:pt idx="258">
                  <c:v>151.30699999999999</c:v>
                </c:pt>
                <c:pt idx="259">
                  <c:v>150.60949999999997</c:v>
                </c:pt>
                <c:pt idx="260">
                  <c:v>149.94999999999999</c:v>
                </c:pt>
                <c:pt idx="261">
                  <c:v>149.47599999999997</c:v>
                </c:pt>
                <c:pt idx="262">
                  <c:v>149.08150000000001</c:v>
                </c:pt>
                <c:pt idx="263">
                  <c:v>148.78749999999999</c:v>
                </c:pt>
                <c:pt idx="264">
                  <c:v>148.61850000000001</c:v>
                </c:pt>
                <c:pt idx="265">
                  <c:v>148.41000000000003</c:v>
                </c:pt>
                <c:pt idx="266">
                  <c:v>148.3015</c:v>
                </c:pt>
                <c:pt idx="267">
                  <c:v>148.39150000000001</c:v>
                </c:pt>
                <c:pt idx="268">
                  <c:v>148.28200000000001</c:v>
                </c:pt>
                <c:pt idx="269">
                  <c:v>148.15600000000001</c:v>
                </c:pt>
                <c:pt idx="270">
                  <c:v>148.16499999999999</c:v>
                </c:pt>
                <c:pt idx="271">
                  <c:v>148.09649999999999</c:v>
                </c:pt>
                <c:pt idx="272">
                  <c:v>148.09949999999998</c:v>
                </c:pt>
                <c:pt idx="273">
                  <c:v>147.79149999999998</c:v>
                </c:pt>
                <c:pt idx="274">
                  <c:v>147.76099999999997</c:v>
                </c:pt>
                <c:pt idx="275">
                  <c:v>147.75849999999997</c:v>
                </c:pt>
                <c:pt idx="276">
                  <c:v>147.66049999999998</c:v>
                </c:pt>
                <c:pt idx="277">
                  <c:v>147.74599999999995</c:v>
                </c:pt>
                <c:pt idx="278">
                  <c:v>147.803</c:v>
                </c:pt>
                <c:pt idx="279">
                  <c:v>147.75499999999997</c:v>
                </c:pt>
                <c:pt idx="280">
                  <c:v>147.74499999999998</c:v>
                </c:pt>
                <c:pt idx="281">
                  <c:v>147.58749999999998</c:v>
                </c:pt>
                <c:pt idx="282">
                  <c:v>147.37999999999997</c:v>
                </c:pt>
                <c:pt idx="283">
                  <c:v>147.24299999999997</c:v>
                </c:pt>
                <c:pt idx="284">
                  <c:v>147.29349999999994</c:v>
                </c:pt>
                <c:pt idx="285">
                  <c:v>147.53749999999997</c:v>
                </c:pt>
                <c:pt idx="286">
                  <c:v>147.77399999999997</c:v>
                </c:pt>
                <c:pt idx="287">
                  <c:v>147.86449999999996</c:v>
                </c:pt>
                <c:pt idx="288">
                  <c:v>147.92749999999995</c:v>
                </c:pt>
                <c:pt idx="289">
                  <c:v>148.00999999999996</c:v>
                </c:pt>
                <c:pt idx="290">
                  <c:v>148.08849999999998</c:v>
                </c:pt>
                <c:pt idx="291">
                  <c:v>148.35349999999994</c:v>
                </c:pt>
                <c:pt idx="292">
                  <c:v>148.54949999999997</c:v>
                </c:pt>
                <c:pt idx="293">
                  <c:v>149.06899999999999</c:v>
                </c:pt>
                <c:pt idx="294">
                  <c:v>149.51650000000001</c:v>
                </c:pt>
                <c:pt idx="295">
                  <c:v>149.97100000000003</c:v>
                </c:pt>
                <c:pt idx="296">
                  <c:v>150.55450000000002</c:v>
                </c:pt>
                <c:pt idx="297">
                  <c:v>150.95350000000002</c:v>
                </c:pt>
                <c:pt idx="298">
                  <c:v>151.08000000000001</c:v>
                </c:pt>
                <c:pt idx="299">
                  <c:v>151.29750000000004</c:v>
                </c:pt>
                <c:pt idx="300">
                  <c:v>151.49800000000002</c:v>
                </c:pt>
                <c:pt idx="301">
                  <c:v>151.89550000000003</c:v>
                </c:pt>
                <c:pt idx="302">
                  <c:v>152.14000000000004</c:v>
                </c:pt>
                <c:pt idx="303">
                  <c:v>152.25500000000005</c:v>
                </c:pt>
                <c:pt idx="304">
                  <c:v>152.15750000000003</c:v>
                </c:pt>
                <c:pt idx="305">
                  <c:v>151.75500000000002</c:v>
                </c:pt>
                <c:pt idx="306">
                  <c:v>151.38499999999999</c:v>
                </c:pt>
                <c:pt idx="307">
                  <c:v>150.84099999999998</c:v>
                </c:pt>
                <c:pt idx="308">
                  <c:v>150.69749999999996</c:v>
                </c:pt>
                <c:pt idx="309">
                  <c:v>150.57999999999998</c:v>
                </c:pt>
                <c:pt idx="310">
                  <c:v>150.36999999999998</c:v>
                </c:pt>
                <c:pt idx="311">
                  <c:v>150.06749999999997</c:v>
                </c:pt>
                <c:pt idx="312">
                  <c:v>149.8415</c:v>
                </c:pt>
                <c:pt idx="313">
                  <c:v>149.6035</c:v>
                </c:pt>
                <c:pt idx="314">
                  <c:v>149.44149999999999</c:v>
                </c:pt>
                <c:pt idx="315">
                  <c:v>149.05000000000001</c:v>
                </c:pt>
                <c:pt idx="316">
                  <c:v>148.39700000000002</c:v>
                </c:pt>
                <c:pt idx="317">
                  <c:v>147.7955</c:v>
                </c:pt>
                <c:pt idx="318">
                  <c:v>147.66650000000001</c:v>
                </c:pt>
                <c:pt idx="319">
                  <c:v>147.45650000000001</c:v>
                </c:pt>
                <c:pt idx="320">
                  <c:v>147.24850000000001</c:v>
                </c:pt>
                <c:pt idx="321">
                  <c:v>147.01900000000001</c:v>
                </c:pt>
                <c:pt idx="322">
                  <c:v>146.71150000000003</c:v>
                </c:pt>
                <c:pt idx="323">
                  <c:v>146.31050000000002</c:v>
                </c:pt>
                <c:pt idx="324">
                  <c:v>146.095</c:v>
                </c:pt>
                <c:pt idx="325">
                  <c:v>145.90900000000002</c:v>
                </c:pt>
                <c:pt idx="326">
                  <c:v>145.7595</c:v>
                </c:pt>
                <c:pt idx="327">
                  <c:v>145.59549999999999</c:v>
                </c:pt>
                <c:pt idx="328">
                  <c:v>144.92900000000003</c:v>
                </c:pt>
                <c:pt idx="329">
                  <c:v>144.11449999999996</c:v>
                </c:pt>
                <c:pt idx="330">
                  <c:v>143.339</c:v>
                </c:pt>
                <c:pt idx="331">
                  <c:v>142.55749999999995</c:v>
                </c:pt>
                <c:pt idx="332">
                  <c:v>141.85300000000001</c:v>
                </c:pt>
                <c:pt idx="333">
                  <c:v>141.0745</c:v>
                </c:pt>
                <c:pt idx="334">
                  <c:v>140.19349999999997</c:v>
                </c:pt>
                <c:pt idx="335">
                  <c:v>139.46250000000001</c:v>
                </c:pt>
                <c:pt idx="336">
                  <c:v>138.84</c:v>
                </c:pt>
                <c:pt idx="337">
                  <c:v>138.42075</c:v>
                </c:pt>
                <c:pt idx="338">
                  <c:v>137.71274999999997</c:v>
                </c:pt>
                <c:pt idx="339">
                  <c:v>137.02774999999997</c:v>
                </c:pt>
                <c:pt idx="340">
                  <c:v>136.39024999999998</c:v>
                </c:pt>
                <c:pt idx="341">
                  <c:v>135.56824999999998</c:v>
                </c:pt>
                <c:pt idx="342">
                  <c:v>134.84874999999997</c:v>
                </c:pt>
                <c:pt idx="343">
                  <c:v>134.41924999999998</c:v>
                </c:pt>
                <c:pt idx="344">
                  <c:v>133.87624999999997</c:v>
                </c:pt>
                <c:pt idx="345">
                  <c:v>133.37925000000001</c:v>
                </c:pt>
                <c:pt idx="346">
                  <c:v>132.79625000000001</c:v>
                </c:pt>
                <c:pt idx="347">
                  <c:v>132.19075000000004</c:v>
                </c:pt>
                <c:pt idx="348">
                  <c:v>131.93125000000001</c:v>
                </c:pt>
                <c:pt idx="349">
                  <c:v>131.72925000000004</c:v>
                </c:pt>
                <c:pt idx="350">
                  <c:v>131.60975000000002</c:v>
                </c:pt>
                <c:pt idx="351">
                  <c:v>131.42775</c:v>
                </c:pt>
                <c:pt idx="352">
                  <c:v>131.24475000000001</c:v>
                </c:pt>
                <c:pt idx="353">
                  <c:v>131.13974999999999</c:v>
                </c:pt>
                <c:pt idx="354">
                  <c:v>130.99775</c:v>
                </c:pt>
                <c:pt idx="355">
                  <c:v>130.99074999999999</c:v>
                </c:pt>
                <c:pt idx="356">
                  <c:v>131.04074999999997</c:v>
                </c:pt>
                <c:pt idx="357">
                  <c:v>131.00049999999999</c:v>
                </c:pt>
                <c:pt idx="358">
                  <c:v>130.93050000000002</c:v>
                </c:pt>
                <c:pt idx="359">
                  <c:v>130.90650000000005</c:v>
                </c:pt>
                <c:pt idx="360">
                  <c:v>130.91400000000004</c:v>
                </c:pt>
                <c:pt idx="361">
                  <c:v>130.89350000000002</c:v>
                </c:pt>
                <c:pt idx="362">
                  <c:v>131.08600000000004</c:v>
                </c:pt>
                <c:pt idx="363">
                  <c:v>131.05350000000001</c:v>
                </c:pt>
                <c:pt idx="364">
                  <c:v>131.02500000000003</c:v>
                </c:pt>
                <c:pt idx="365">
                  <c:v>130.89999999999998</c:v>
                </c:pt>
                <c:pt idx="366">
                  <c:v>130.76349999999999</c:v>
                </c:pt>
                <c:pt idx="367">
                  <c:v>130.70949999999999</c:v>
                </c:pt>
                <c:pt idx="368">
                  <c:v>130.65800000000002</c:v>
                </c:pt>
                <c:pt idx="369">
                  <c:v>130.74350000000004</c:v>
                </c:pt>
                <c:pt idx="370">
                  <c:v>130.57600000000002</c:v>
                </c:pt>
                <c:pt idx="371">
                  <c:v>130.45350000000002</c:v>
                </c:pt>
                <c:pt idx="372">
                  <c:v>130.40950000000001</c:v>
                </c:pt>
                <c:pt idx="373">
                  <c:v>130.43899999999999</c:v>
                </c:pt>
                <c:pt idx="374">
                  <c:v>130.65649999999997</c:v>
                </c:pt>
                <c:pt idx="375">
                  <c:v>130.88799999999998</c:v>
                </c:pt>
                <c:pt idx="376">
                  <c:v>131.07</c:v>
                </c:pt>
                <c:pt idx="377">
                  <c:v>131.23699999999997</c:v>
                </c:pt>
                <c:pt idx="378">
                  <c:v>131.48749999999998</c:v>
                </c:pt>
                <c:pt idx="379">
                  <c:v>131.71349999999998</c:v>
                </c:pt>
                <c:pt idx="380">
                  <c:v>131.92599999999999</c:v>
                </c:pt>
                <c:pt idx="381">
                  <c:v>132.19399999999996</c:v>
                </c:pt>
                <c:pt idx="382">
                  <c:v>132.35750000000002</c:v>
                </c:pt>
                <c:pt idx="383">
                  <c:v>132.50549999999998</c:v>
                </c:pt>
                <c:pt idx="384">
                  <c:v>132.70249999999999</c:v>
                </c:pt>
                <c:pt idx="385">
                  <c:v>133.51</c:v>
                </c:pt>
                <c:pt idx="386">
                  <c:v>134.21850000000001</c:v>
                </c:pt>
                <c:pt idx="387">
                  <c:v>134.85</c:v>
                </c:pt>
                <c:pt idx="388">
                  <c:v>135.69749999999999</c:v>
                </c:pt>
                <c:pt idx="389">
                  <c:v>136.42799999999997</c:v>
                </c:pt>
                <c:pt idx="390">
                  <c:v>137.25249999999997</c:v>
                </c:pt>
                <c:pt idx="391">
                  <c:v>138.01399999999995</c:v>
                </c:pt>
                <c:pt idx="392">
                  <c:v>138.54049999999995</c:v>
                </c:pt>
                <c:pt idx="393">
                  <c:v>139.13299999999998</c:v>
                </c:pt>
                <c:pt idx="394">
                  <c:v>139.51299999999998</c:v>
                </c:pt>
                <c:pt idx="395">
                  <c:v>139.58500000000001</c:v>
                </c:pt>
                <c:pt idx="396">
                  <c:v>139.78000000000003</c:v>
                </c:pt>
                <c:pt idx="397">
                  <c:v>140.03550000000001</c:v>
                </c:pt>
                <c:pt idx="398">
                  <c:v>140.25600000000003</c:v>
                </c:pt>
                <c:pt idx="399">
                  <c:v>140.57200000000003</c:v>
                </c:pt>
                <c:pt idx="400">
                  <c:v>140.96400000000003</c:v>
                </c:pt>
                <c:pt idx="401">
                  <c:v>141.46150000000003</c:v>
                </c:pt>
                <c:pt idx="402">
                  <c:v>141.9265</c:v>
                </c:pt>
                <c:pt idx="403">
                  <c:v>142.5795</c:v>
                </c:pt>
                <c:pt idx="404">
                  <c:v>143.27950000000001</c:v>
                </c:pt>
                <c:pt idx="405">
                  <c:v>143.43849999999998</c:v>
                </c:pt>
                <c:pt idx="406">
                  <c:v>143.79649999999998</c:v>
                </c:pt>
                <c:pt idx="407">
                  <c:v>144.18900000000002</c:v>
                </c:pt>
                <c:pt idx="408">
                  <c:v>144.49499999999998</c:v>
                </c:pt>
                <c:pt idx="409">
                  <c:v>144.74849999999998</c:v>
                </c:pt>
                <c:pt idx="410">
                  <c:v>144.97200000000001</c:v>
                </c:pt>
                <c:pt idx="411">
                  <c:v>145.28149999999999</c:v>
                </c:pt>
                <c:pt idx="412">
                  <c:v>145.613</c:v>
                </c:pt>
                <c:pt idx="413">
                  <c:v>145.76849999999996</c:v>
                </c:pt>
                <c:pt idx="414">
                  <c:v>146.00749999999999</c:v>
                </c:pt>
                <c:pt idx="415">
                  <c:v>146.46049999999997</c:v>
                </c:pt>
                <c:pt idx="416">
                  <c:v>146.929</c:v>
                </c:pt>
                <c:pt idx="417">
                  <c:v>147.465</c:v>
                </c:pt>
                <c:pt idx="418">
                  <c:v>147.92450000000002</c:v>
                </c:pt>
                <c:pt idx="419">
                  <c:v>148.22899999999998</c:v>
                </c:pt>
                <c:pt idx="420">
                  <c:v>148.35250000000002</c:v>
                </c:pt>
                <c:pt idx="421">
                  <c:v>148.17750000000001</c:v>
                </c:pt>
                <c:pt idx="422">
                  <c:v>148.089</c:v>
                </c:pt>
                <c:pt idx="423">
                  <c:v>147.87849999999997</c:v>
                </c:pt>
                <c:pt idx="424">
                  <c:v>147.6225</c:v>
                </c:pt>
                <c:pt idx="425">
                  <c:v>147.36799999999999</c:v>
                </c:pt>
                <c:pt idx="426">
                  <c:v>146.88</c:v>
                </c:pt>
                <c:pt idx="427">
                  <c:v>146.404</c:v>
                </c:pt>
                <c:pt idx="428">
                  <c:v>145.85749999999999</c:v>
                </c:pt>
                <c:pt idx="429">
                  <c:v>145.35749999999999</c:v>
                </c:pt>
                <c:pt idx="430">
                  <c:v>144.99650000000003</c:v>
                </c:pt>
                <c:pt idx="431">
                  <c:v>144.566</c:v>
                </c:pt>
                <c:pt idx="432">
                  <c:v>144.25100000000003</c:v>
                </c:pt>
                <c:pt idx="433">
                  <c:v>144.00949999999997</c:v>
                </c:pt>
                <c:pt idx="434">
                  <c:v>143.62350000000001</c:v>
                </c:pt>
                <c:pt idx="435">
                  <c:v>143.29650000000004</c:v>
                </c:pt>
                <c:pt idx="436">
                  <c:v>142.8725</c:v>
                </c:pt>
                <c:pt idx="437">
                  <c:v>142.38050000000001</c:v>
                </c:pt>
                <c:pt idx="438">
                  <c:v>142.10550000000001</c:v>
                </c:pt>
                <c:pt idx="439">
                  <c:v>141.87650000000002</c:v>
                </c:pt>
                <c:pt idx="440">
                  <c:v>141.65600000000001</c:v>
                </c:pt>
                <c:pt idx="441">
                  <c:v>141.55549999999999</c:v>
                </c:pt>
                <c:pt idx="442">
                  <c:v>141.44</c:v>
                </c:pt>
                <c:pt idx="443">
                  <c:v>141.24900000000002</c:v>
                </c:pt>
                <c:pt idx="444">
                  <c:v>141.273</c:v>
                </c:pt>
                <c:pt idx="445">
                  <c:v>141.60050000000001</c:v>
                </c:pt>
                <c:pt idx="446">
                  <c:v>142.01299999999998</c:v>
                </c:pt>
                <c:pt idx="447">
                  <c:v>142.58850000000001</c:v>
                </c:pt>
                <c:pt idx="448">
                  <c:v>143.08499999999998</c:v>
                </c:pt>
                <c:pt idx="449">
                  <c:v>143.68199999999996</c:v>
                </c:pt>
                <c:pt idx="450">
                  <c:v>144.27949999999998</c:v>
                </c:pt>
                <c:pt idx="451">
                  <c:v>144.91</c:v>
                </c:pt>
                <c:pt idx="452">
                  <c:v>145.47399999999999</c:v>
                </c:pt>
                <c:pt idx="453">
                  <c:v>146.017</c:v>
                </c:pt>
                <c:pt idx="454">
                  <c:v>146.59649999999996</c:v>
                </c:pt>
                <c:pt idx="455">
                  <c:v>147.15199999999999</c:v>
                </c:pt>
                <c:pt idx="456">
                  <c:v>147.77500000000001</c:v>
                </c:pt>
                <c:pt idx="457">
                  <c:v>148.25900000000001</c:v>
                </c:pt>
                <c:pt idx="458">
                  <c:v>148.41000000000003</c:v>
                </c:pt>
                <c:pt idx="459">
                  <c:v>148.67200000000003</c:v>
                </c:pt>
                <c:pt idx="460">
                  <c:v>148.8775</c:v>
                </c:pt>
                <c:pt idx="461">
                  <c:v>149.07250000000002</c:v>
                </c:pt>
                <c:pt idx="462">
                  <c:v>149.178</c:v>
                </c:pt>
                <c:pt idx="463">
                  <c:v>149.37900000000002</c:v>
                </c:pt>
                <c:pt idx="464">
                  <c:v>149.22250000000003</c:v>
                </c:pt>
                <c:pt idx="465">
                  <c:v>148.86599999999999</c:v>
                </c:pt>
                <c:pt idx="466">
                  <c:v>148.55249999999998</c:v>
                </c:pt>
                <c:pt idx="467">
                  <c:v>148.22949999999997</c:v>
                </c:pt>
                <c:pt idx="468">
                  <c:v>147.89099999999996</c:v>
                </c:pt>
                <c:pt idx="469">
                  <c:v>147.50849999999997</c:v>
                </c:pt>
                <c:pt idx="470">
                  <c:v>147.11549999999997</c:v>
                </c:pt>
                <c:pt idx="471">
                  <c:v>146.82499999999996</c:v>
                </c:pt>
                <c:pt idx="472">
                  <c:v>146.60449999999997</c:v>
                </c:pt>
                <c:pt idx="473">
                  <c:v>146.30849999999998</c:v>
                </c:pt>
                <c:pt idx="474">
                  <c:v>146.03799999999998</c:v>
                </c:pt>
                <c:pt idx="475">
                  <c:v>145.77699999999999</c:v>
                </c:pt>
                <c:pt idx="476">
                  <c:v>145.42049999999998</c:v>
                </c:pt>
                <c:pt idx="477">
                  <c:v>145.21999999999997</c:v>
                </c:pt>
                <c:pt idx="478">
                  <c:v>145.31099999999998</c:v>
                </c:pt>
                <c:pt idx="479">
                  <c:v>145.37049999999999</c:v>
                </c:pt>
                <c:pt idx="480">
                  <c:v>145.54149999999998</c:v>
                </c:pt>
                <c:pt idx="481">
                  <c:v>145.79200000000003</c:v>
                </c:pt>
                <c:pt idx="482">
                  <c:v>146.05000000000001</c:v>
                </c:pt>
                <c:pt idx="483">
                  <c:v>146.2525</c:v>
                </c:pt>
                <c:pt idx="484">
                  <c:v>146.42450000000002</c:v>
                </c:pt>
                <c:pt idx="485">
                  <c:v>146.55850000000001</c:v>
                </c:pt>
                <c:pt idx="486">
                  <c:v>146.65950000000001</c:v>
                </c:pt>
                <c:pt idx="487">
                  <c:v>146.89049999999997</c:v>
                </c:pt>
                <c:pt idx="488">
                  <c:v>147.12299999999999</c:v>
                </c:pt>
                <c:pt idx="489">
                  <c:v>147.40450000000001</c:v>
                </c:pt>
                <c:pt idx="490">
                  <c:v>147.673</c:v>
                </c:pt>
                <c:pt idx="491">
                  <c:v>147.79999999999998</c:v>
                </c:pt>
                <c:pt idx="492">
                  <c:v>147.86549999999997</c:v>
                </c:pt>
                <c:pt idx="493">
                  <c:v>147.97849999999997</c:v>
                </c:pt>
                <c:pt idx="494">
                  <c:v>148.08149999999998</c:v>
                </c:pt>
                <c:pt idx="495">
                  <c:v>148.11749999999998</c:v>
                </c:pt>
                <c:pt idx="496">
                  <c:v>148.0265</c:v>
                </c:pt>
                <c:pt idx="497">
                  <c:v>147.90799999999999</c:v>
                </c:pt>
                <c:pt idx="498">
                  <c:v>147.69799999999998</c:v>
                </c:pt>
                <c:pt idx="499">
                  <c:v>147.47300000000001</c:v>
                </c:pt>
                <c:pt idx="500">
                  <c:v>147.20549999999997</c:v>
                </c:pt>
                <c:pt idx="501">
                  <c:v>146.95099999999999</c:v>
                </c:pt>
                <c:pt idx="502">
                  <c:v>146.65950000000004</c:v>
                </c:pt>
                <c:pt idx="503">
                  <c:v>146.31</c:v>
                </c:pt>
                <c:pt idx="504">
                  <c:v>146.00700000000001</c:v>
                </c:pt>
                <c:pt idx="505">
                  <c:v>145.57600000000002</c:v>
                </c:pt>
                <c:pt idx="506">
                  <c:v>145.3125</c:v>
                </c:pt>
                <c:pt idx="507">
                  <c:v>144.82300000000001</c:v>
                </c:pt>
                <c:pt idx="508">
                  <c:v>144.43900000000002</c:v>
                </c:pt>
                <c:pt idx="509">
                  <c:v>144.08049999999997</c:v>
                </c:pt>
                <c:pt idx="510">
                  <c:v>143.81550000000001</c:v>
                </c:pt>
                <c:pt idx="511">
                  <c:v>143.62550000000005</c:v>
                </c:pt>
                <c:pt idx="512">
                  <c:v>143.43750000000003</c:v>
                </c:pt>
                <c:pt idx="513">
                  <c:v>143.35200000000003</c:v>
                </c:pt>
                <c:pt idx="514">
                  <c:v>143.28100000000001</c:v>
                </c:pt>
                <c:pt idx="515">
                  <c:v>143.14850000000004</c:v>
                </c:pt>
                <c:pt idx="516">
                  <c:v>143.19350000000003</c:v>
                </c:pt>
                <c:pt idx="517">
                  <c:v>143.29999999999998</c:v>
                </c:pt>
                <c:pt idx="518">
                  <c:v>143.55000000000001</c:v>
                </c:pt>
                <c:pt idx="519">
                  <c:v>143.76300000000001</c:v>
                </c:pt>
                <c:pt idx="520">
                  <c:v>143.98949999999999</c:v>
                </c:pt>
                <c:pt idx="521">
                  <c:v>144.49500000000003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B-4536-BB01-2BC035A9E0F4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Data!$AB$2:$AB$523</c:f>
              <c:numCache>
                <c:formatCode>General</c:formatCode>
                <c:ptCount val="522"/>
                <c:pt idx="99">
                  <c:v>170.91630000000004</c:v>
                </c:pt>
                <c:pt idx="100">
                  <c:v>170.96710000000002</c:v>
                </c:pt>
                <c:pt idx="101">
                  <c:v>170.97140000000002</c:v>
                </c:pt>
                <c:pt idx="102">
                  <c:v>170.96820000000002</c:v>
                </c:pt>
                <c:pt idx="103">
                  <c:v>170.9836</c:v>
                </c:pt>
                <c:pt idx="104">
                  <c:v>171.02150000000006</c:v>
                </c:pt>
                <c:pt idx="105">
                  <c:v>171.06210000000002</c:v>
                </c:pt>
                <c:pt idx="106">
                  <c:v>171.1318</c:v>
                </c:pt>
                <c:pt idx="107">
                  <c:v>171.2054</c:v>
                </c:pt>
                <c:pt idx="108">
                  <c:v>171.2647</c:v>
                </c:pt>
                <c:pt idx="109">
                  <c:v>171.3134</c:v>
                </c:pt>
                <c:pt idx="110">
                  <c:v>171.30800000000002</c:v>
                </c:pt>
                <c:pt idx="111">
                  <c:v>171.28700000000001</c:v>
                </c:pt>
                <c:pt idx="112">
                  <c:v>171.26750000000001</c:v>
                </c:pt>
                <c:pt idx="113">
                  <c:v>171.24970000000002</c:v>
                </c:pt>
                <c:pt idx="114">
                  <c:v>171.21140000000003</c:v>
                </c:pt>
                <c:pt idx="115">
                  <c:v>171.21680000000003</c:v>
                </c:pt>
                <c:pt idx="116">
                  <c:v>171.21599999999998</c:v>
                </c:pt>
                <c:pt idx="117">
                  <c:v>171.20419999999999</c:v>
                </c:pt>
                <c:pt idx="118">
                  <c:v>171.19549999999995</c:v>
                </c:pt>
                <c:pt idx="119">
                  <c:v>171.18009999999995</c:v>
                </c:pt>
                <c:pt idx="120">
                  <c:v>171.16829999999993</c:v>
                </c:pt>
                <c:pt idx="121">
                  <c:v>171.1186999999999</c:v>
                </c:pt>
                <c:pt idx="122">
                  <c:v>171.07159999999993</c:v>
                </c:pt>
                <c:pt idx="123">
                  <c:v>171.01169999999993</c:v>
                </c:pt>
                <c:pt idx="124">
                  <c:v>170.92639999999992</c:v>
                </c:pt>
                <c:pt idx="125">
                  <c:v>170.84749999999997</c:v>
                </c:pt>
                <c:pt idx="126">
                  <c:v>170.73499999999993</c:v>
                </c:pt>
                <c:pt idx="127">
                  <c:v>170.70219999999995</c:v>
                </c:pt>
                <c:pt idx="128">
                  <c:v>170.61729999999997</c:v>
                </c:pt>
                <c:pt idx="129">
                  <c:v>170.54749999999996</c:v>
                </c:pt>
                <c:pt idx="130">
                  <c:v>170.50819999999996</c:v>
                </c:pt>
                <c:pt idx="131">
                  <c:v>170.4691</c:v>
                </c:pt>
                <c:pt idx="132">
                  <c:v>170.46970000000002</c:v>
                </c:pt>
                <c:pt idx="133">
                  <c:v>170.42179999999999</c:v>
                </c:pt>
                <c:pt idx="134">
                  <c:v>170.38109999999998</c:v>
                </c:pt>
                <c:pt idx="135">
                  <c:v>170.39749999999995</c:v>
                </c:pt>
                <c:pt idx="136">
                  <c:v>170.40519999999992</c:v>
                </c:pt>
                <c:pt idx="137">
                  <c:v>170.41619999999995</c:v>
                </c:pt>
                <c:pt idx="138">
                  <c:v>170.41119999999998</c:v>
                </c:pt>
                <c:pt idx="139">
                  <c:v>170.40369999999999</c:v>
                </c:pt>
                <c:pt idx="140">
                  <c:v>170.43199999999996</c:v>
                </c:pt>
                <c:pt idx="141">
                  <c:v>170.49629999999996</c:v>
                </c:pt>
                <c:pt idx="142">
                  <c:v>170.5701</c:v>
                </c:pt>
                <c:pt idx="143">
                  <c:v>170.68180000000001</c:v>
                </c:pt>
                <c:pt idx="144">
                  <c:v>170.78359999999998</c:v>
                </c:pt>
                <c:pt idx="145">
                  <c:v>170.87919999999994</c:v>
                </c:pt>
                <c:pt idx="146">
                  <c:v>170.99829999999994</c:v>
                </c:pt>
                <c:pt idx="147">
                  <c:v>171.13139999999996</c:v>
                </c:pt>
                <c:pt idx="148">
                  <c:v>171.22639999999996</c:v>
                </c:pt>
                <c:pt idx="149">
                  <c:v>171.29830000000001</c:v>
                </c:pt>
                <c:pt idx="150">
                  <c:v>171.36840000000001</c:v>
                </c:pt>
                <c:pt idx="151">
                  <c:v>171.44549999999998</c:v>
                </c:pt>
                <c:pt idx="152">
                  <c:v>171.45680000000002</c:v>
                </c:pt>
                <c:pt idx="153">
                  <c:v>171.453</c:v>
                </c:pt>
                <c:pt idx="154">
                  <c:v>171.45809999999994</c:v>
                </c:pt>
                <c:pt idx="155">
                  <c:v>171.47069999999997</c:v>
                </c:pt>
                <c:pt idx="156">
                  <c:v>171.47569999999999</c:v>
                </c:pt>
                <c:pt idx="157">
                  <c:v>171.47589999999997</c:v>
                </c:pt>
                <c:pt idx="158">
                  <c:v>171.48680000000002</c:v>
                </c:pt>
                <c:pt idx="159">
                  <c:v>171.50959999999998</c:v>
                </c:pt>
                <c:pt idx="160">
                  <c:v>171.51159999999996</c:v>
                </c:pt>
                <c:pt idx="161">
                  <c:v>171.53920000000002</c:v>
                </c:pt>
                <c:pt idx="162">
                  <c:v>171.58350000000002</c:v>
                </c:pt>
                <c:pt idx="163">
                  <c:v>171.64640000000003</c:v>
                </c:pt>
                <c:pt idx="164">
                  <c:v>171.70290000000006</c:v>
                </c:pt>
                <c:pt idx="165">
                  <c:v>171.75069999999999</c:v>
                </c:pt>
                <c:pt idx="166">
                  <c:v>171.77579999999998</c:v>
                </c:pt>
                <c:pt idx="167">
                  <c:v>171.79850000000002</c:v>
                </c:pt>
                <c:pt idx="168">
                  <c:v>171.88440000000006</c:v>
                </c:pt>
                <c:pt idx="169">
                  <c:v>171.98600000000002</c:v>
                </c:pt>
                <c:pt idx="170">
                  <c:v>172.09800000000004</c:v>
                </c:pt>
                <c:pt idx="171">
                  <c:v>172.20190000000002</c:v>
                </c:pt>
                <c:pt idx="172">
                  <c:v>172.30880000000002</c:v>
                </c:pt>
                <c:pt idx="173">
                  <c:v>172.39210000000003</c:v>
                </c:pt>
                <c:pt idx="174">
                  <c:v>172.4272</c:v>
                </c:pt>
                <c:pt idx="175">
                  <c:v>172.45840000000001</c:v>
                </c:pt>
                <c:pt idx="176">
                  <c:v>172.46740000000003</c:v>
                </c:pt>
                <c:pt idx="177">
                  <c:v>172.52730000000003</c:v>
                </c:pt>
                <c:pt idx="178">
                  <c:v>172.52190000000002</c:v>
                </c:pt>
                <c:pt idx="179">
                  <c:v>172.50720000000004</c:v>
                </c:pt>
                <c:pt idx="180">
                  <c:v>172.49800000000002</c:v>
                </c:pt>
                <c:pt idx="181">
                  <c:v>172.44840000000005</c:v>
                </c:pt>
                <c:pt idx="182">
                  <c:v>172.41040000000004</c:v>
                </c:pt>
                <c:pt idx="183">
                  <c:v>172.35810000000004</c:v>
                </c:pt>
                <c:pt idx="184">
                  <c:v>172.29760000000005</c:v>
                </c:pt>
                <c:pt idx="185">
                  <c:v>172.23300000000003</c:v>
                </c:pt>
                <c:pt idx="186">
                  <c:v>172.17480000000003</c:v>
                </c:pt>
                <c:pt idx="187">
                  <c:v>172.09510000000006</c:v>
                </c:pt>
                <c:pt idx="188">
                  <c:v>172.03480000000002</c:v>
                </c:pt>
                <c:pt idx="189">
                  <c:v>171.94970000000004</c:v>
                </c:pt>
                <c:pt idx="190">
                  <c:v>171.83710000000002</c:v>
                </c:pt>
                <c:pt idx="191">
                  <c:v>171.70780000000002</c:v>
                </c:pt>
                <c:pt idx="192">
                  <c:v>171.5812</c:v>
                </c:pt>
                <c:pt idx="193">
                  <c:v>171.49079999999998</c:v>
                </c:pt>
                <c:pt idx="194">
                  <c:v>171.38509999999999</c:v>
                </c:pt>
                <c:pt idx="195">
                  <c:v>171.29310000000001</c:v>
                </c:pt>
                <c:pt idx="196">
                  <c:v>171.23810000000006</c:v>
                </c:pt>
                <c:pt idx="197">
                  <c:v>171.18830000000003</c:v>
                </c:pt>
                <c:pt idx="198">
                  <c:v>171.12640000000002</c:v>
                </c:pt>
                <c:pt idx="199">
                  <c:v>171.07850000000002</c:v>
                </c:pt>
                <c:pt idx="200">
                  <c:v>171.0453</c:v>
                </c:pt>
                <c:pt idx="201">
                  <c:v>171.06209999999999</c:v>
                </c:pt>
                <c:pt idx="202">
                  <c:v>171.10069999999996</c:v>
                </c:pt>
                <c:pt idx="203">
                  <c:v>171.13959999999994</c:v>
                </c:pt>
                <c:pt idx="204">
                  <c:v>171.14009999999996</c:v>
                </c:pt>
                <c:pt idx="205">
                  <c:v>171.14939999999996</c:v>
                </c:pt>
                <c:pt idx="206">
                  <c:v>171.12839999999997</c:v>
                </c:pt>
                <c:pt idx="207">
                  <c:v>171.09189999999998</c:v>
                </c:pt>
                <c:pt idx="208">
                  <c:v>171.03489999999999</c:v>
                </c:pt>
                <c:pt idx="209">
                  <c:v>170.98660000000001</c:v>
                </c:pt>
                <c:pt idx="210">
                  <c:v>170.98839999999996</c:v>
                </c:pt>
                <c:pt idx="211">
                  <c:v>170.99360000000001</c:v>
                </c:pt>
                <c:pt idx="212">
                  <c:v>171.01870000000002</c:v>
                </c:pt>
                <c:pt idx="213">
                  <c:v>171.06389999999999</c:v>
                </c:pt>
                <c:pt idx="214">
                  <c:v>171.07289999999998</c:v>
                </c:pt>
                <c:pt idx="215">
                  <c:v>171.05149999999998</c:v>
                </c:pt>
                <c:pt idx="216">
                  <c:v>171.03779999999998</c:v>
                </c:pt>
                <c:pt idx="217">
                  <c:v>171.01359999999997</c:v>
                </c:pt>
                <c:pt idx="218">
                  <c:v>170.98420000000002</c:v>
                </c:pt>
                <c:pt idx="219">
                  <c:v>170.95080000000002</c:v>
                </c:pt>
                <c:pt idx="220">
                  <c:v>170.92880000000002</c:v>
                </c:pt>
                <c:pt idx="221">
                  <c:v>170.84760000000003</c:v>
                </c:pt>
                <c:pt idx="222">
                  <c:v>170.76830000000007</c:v>
                </c:pt>
                <c:pt idx="223">
                  <c:v>170.68620000000007</c:v>
                </c:pt>
                <c:pt idx="224">
                  <c:v>170.64470000000006</c:v>
                </c:pt>
                <c:pt idx="225">
                  <c:v>170.61230000000006</c:v>
                </c:pt>
                <c:pt idx="226">
                  <c:v>170.60630000000003</c:v>
                </c:pt>
                <c:pt idx="227">
                  <c:v>170.59290000000001</c:v>
                </c:pt>
                <c:pt idx="228">
                  <c:v>170.59329999999997</c:v>
                </c:pt>
                <c:pt idx="229">
                  <c:v>170.60149999999999</c:v>
                </c:pt>
                <c:pt idx="230">
                  <c:v>170.6001</c:v>
                </c:pt>
                <c:pt idx="231">
                  <c:v>170.59110000000001</c:v>
                </c:pt>
                <c:pt idx="232">
                  <c:v>170.54429999999999</c:v>
                </c:pt>
                <c:pt idx="233">
                  <c:v>170.50749999999999</c:v>
                </c:pt>
                <c:pt idx="234">
                  <c:v>170.4648</c:v>
                </c:pt>
                <c:pt idx="235">
                  <c:v>170.34380000000002</c:v>
                </c:pt>
                <c:pt idx="236">
                  <c:v>170.23480000000001</c:v>
                </c:pt>
                <c:pt idx="237">
                  <c:v>170.1396</c:v>
                </c:pt>
                <c:pt idx="238">
                  <c:v>170.0307</c:v>
                </c:pt>
                <c:pt idx="239">
                  <c:v>169.95690000000002</c:v>
                </c:pt>
                <c:pt idx="240">
                  <c:v>169.85490000000001</c:v>
                </c:pt>
                <c:pt idx="241">
                  <c:v>169.70490000000001</c:v>
                </c:pt>
                <c:pt idx="242">
                  <c:v>169.53880000000001</c:v>
                </c:pt>
                <c:pt idx="243">
                  <c:v>169.351</c:v>
                </c:pt>
                <c:pt idx="244">
                  <c:v>169.13389999999998</c:v>
                </c:pt>
                <c:pt idx="245">
                  <c:v>168.93510000000003</c:v>
                </c:pt>
                <c:pt idx="246">
                  <c:v>168.69839999999999</c:v>
                </c:pt>
                <c:pt idx="247">
                  <c:v>168.44610000000003</c:v>
                </c:pt>
                <c:pt idx="248">
                  <c:v>168.23009999999999</c:v>
                </c:pt>
                <c:pt idx="249">
                  <c:v>168.0341</c:v>
                </c:pt>
                <c:pt idx="250">
                  <c:v>167.83340000000001</c:v>
                </c:pt>
                <c:pt idx="251">
                  <c:v>167.63030000000006</c:v>
                </c:pt>
                <c:pt idx="252">
                  <c:v>167.40850000000003</c:v>
                </c:pt>
                <c:pt idx="253">
                  <c:v>167.19080000000002</c:v>
                </c:pt>
                <c:pt idx="254">
                  <c:v>166.92980000000003</c:v>
                </c:pt>
                <c:pt idx="255">
                  <c:v>166.64669999999998</c:v>
                </c:pt>
                <c:pt idx="256">
                  <c:v>166.3869</c:v>
                </c:pt>
                <c:pt idx="257">
                  <c:v>166.08709999999999</c:v>
                </c:pt>
                <c:pt idx="258">
                  <c:v>165.79390000000001</c:v>
                </c:pt>
                <c:pt idx="259">
                  <c:v>165.48489999999995</c:v>
                </c:pt>
                <c:pt idx="260">
                  <c:v>165.18059999999997</c:v>
                </c:pt>
                <c:pt idx="261">
                  <c:v>164.8886</c:v>
                </c:pt>
                <c:pt idx="262">
                  <c:v>164.61240000000001</c:v>
                </c:pt>
                <c:pt idx="263">
                  <c:v>164.3382</c:v>
                </c:pt>
                <c:pt idx="264">
                  <c:v>164.06609999999998</c:v>
                </c:pt>
                <c:pt idx="265">
                  <c:v>163.81309999999999</c:v>
                </c:pt>
                <c:pt idx="266">
                  <c:v>163.58340000000001</c:v>
                </c:pt>
                <c:pt idx="267">
                  <c:v>163.40070000000003</c:v>
                </c:pt>
                <c:pt idx="268">
                  <c:v>163.12780000000004</c:v>
                </c:pt>
                <c:pt idx="269">
                  <c:v>162.84630000000004</c:v>
                </c:pt>
                <c:pt idx="270">
                  <c:v>162.57230000000004</c:v>
                </c:pt>
                <c:pt idx="271">
                  <c:v>162.30580000000003</c:v>
                </c:pt>
                <c:pt idx="272">
                  <c:v>162.02660000000006</c:v>
                </c:pt>
                <c:pt idx="273">
                  <c:v>161.68340000000001</c:v>
                </c:pt>
                <c:pt idx="274">
                  <c:v>161.38220000000004</c:v>
                </c:pt>
                <c:pt idx="275">
                  <c:v>161.06320000000005</c:v>
                </c:pt>
                <c:pt idx="276">
                  <c:v>160.73540000000003</c:v>
                </c:pt>
                <c:pt idx="277">
                  <c:v>160.40680000000003</c:v>
                </c:pt>
                <c:pt idx="278">
                  <c:v>160.09450000000004</c:v>
                </c:pt>
                <c:pt idx="279">
                  <c:v>159.78230000000002</c:v>
                </c:pt>
                <c:pt idx="280">
                  <c:v>159.48150000000004</c:v>
                </c:pt>
                <c:pt idx="281">
                  <c:v>159.20360000000002</c:v>
                </c:pt>
                <c:pt idx="282">
                  <c:v>158.92350000000005</c:v>
                </c:pt>
                <c:pt idx="283">
                  <c:v>158.68240000000003</c:v>
                </c:pt>
                <c:pt idx="284">
                  <c:v>158.47940000000003</c:v>
                </c:pt>
                <c:pt idx="285">
                  <c:v>158.31750000000002</c:v>
                </c:pt>
                <c:pt idx="286">
                  <c:v>158.15600000000003</c:v>
                </c:pt>
                <c:pt idx="287">
                  <c:v>158.01970000000003</c:v>
                </c:pt>
                <c:pt idx="288">
                  <c:v>157.82100000000003</c:v>
                </c:pt>
                <c:pt idx="289">
                  <c:v>157.64570000000006</c:v>
                </c:pt>
                <c:pt idx="290">
                  <c:v>157.49510000000001</c:v>
                </c:pt>
                <c:pt idx="291">
                  <c:v>157.37530000000004</c:v>
                </c:pt>
                <c:pt idx="292">
                  <c:v>157.24510000000004</c:v>
                </c:pt>
                <c:pt idx="293">
                  <c:v>157.07970000000006</c:v>
                </c:pt>
                <c:pt idx="294">
                  <c:v>156.90040000000008</c:v>
                </c:pt>
                <c:pt idx="295">
                  <c:v>156.71490000000006</c:v>
                </c:pt>
                <c:pt idx="296">
                  <c:v>156.52930000000006</c:v>
                </c:pt>
                <c:pt idx="297">
                  <c:v>156.29160000000005</c:v>
                </c:pt>
                <c:pt idx="298">
                  <c:v>156.01430000000005</c:v>
                </c:pt>
                <c:pt idx="299">
                  <c:v>155.75290000000007</c:v>
                </c:pt>
                <c:pt idx="300">
                  <c:v>155.49210000000005</c:v>
                </c:pt>
                <c:pt idx="301">
                  <c:v>155.25490000000008</c:v>
                </c:pt>
                <c:pt idx="302">
                  <c:v>154.99470000000008</c:v>
                </c:pt>
                <c:pt idx="303">
                  <c:v>154.73210000000009</c:v>
                </c:pt>
                <c:pt idx="304">
                  <c:v>154.47410000000008</c:v>
                </c:pt>
                <c:pt idx="305">
                  <c:v>154.20700000000008</c:v>
                </c:pt>
                <c:pt idx="306">
                  <c:v>153.95360000000011</c:v>
                </c:pt>
                <c:pt idx="307">
                  <c:v>153.71060000000011</c:v>
                </c:pt>
                <c:pt idx="308">
                  <c:v>153.52200000000008</c:v>
                </c:pt>
                <c:pt idx="309">
                  <c:v>153.35660000000007</c:v>
                </c:pt>
                <c:pt idx="310">
                  <c:v>153.18850000000009</c:v>
                </c:pt>
                <c:pt idx="311">
                  <c:v>153.03200000000007</c:v>
                </c:pt>
                <c:pt idx="312">
                  <c:v>152.86530000000008</c:v>
                </c:pt>
                <c:pt idx="313">
                  <c:v>152.67800000000008</c:v>
                </c:pt>
                <c:pt idx="314">
                  <c:v>152.54460000000009</c:v>
                </c:pt>
                <c:pt idx="315">
                  <c:v>152.37070000000008</c:v>
                </c:pt>
                <c:pt idx="316">
                  <c:v>152.15150000000006</c:v>
                </c:pt>
                <c:pt idx="317">
                  <c:v>151.91190000000006</c:v>
                </c:pt>
                <c:pt idx="318">
                  <c:v>151.72440000000003</c:v>
                </c:pt>
                <c:pt idx="319">
                  <c:v>151.51840000000004</c:v>
                </c:pt>
                <c:pt idx="320">
                  <c:v>151.31120000000004</c:v>
                </c:pt>
                <c:pt idx="321">
                  <c:v>151.19250000000002</c:v>
                </c:pt>
                <c:pt idx="322">
                  <c:v>151.03760000000005</c:v>
                </c:pt>
                <c:pt idx="323">
                  <c:v>150.87130000000005</c:v>
                </c:pt>
                <c:pt idx="324">
                  <c:v>150.71230000000006</c:v>
                </c:pt>
                <c:pt idx="325">
                  <c:v>150.52620000000005</c:v>
                </c:pt>
                <c:pt idx="326">
                  <c:v>150.34080000000003</c:v>
                </c:pt>
                <c:pt idx="327">
                  <c:v>150.13290000000003</c:v>
                </c:pt>
                <c:pt idx="328">
                  <c:v>149.86440000000005</c:v>
                </c:pt>
                <c:pt idx="329">
                  <c:v>149.57100000000003</c:v>
                </c:pt>
                <c:pt idx="330">
                  <c:v>149.27410000000003</c:v>
                </c:pt>
                <c:pt idx="331">
                  <c:v>148.98670000000004</c:v>
                </c:pt>
                <c:pt idx="332">
                  <c:v>148.72550000000004</c:v>
                </c:pt>
                <c:pt idx="333">
                  <c:v>148.45920000000004</c:v>
                </c:pt>
                <c:pt idx="334">
                  <c:v>148.19180000000003</c:v>
                </c:pt>
                <c:pt idx="335">
                  <c:v>147.93380000000005</c:v>
                </c:pt>
                <c:pt idx="336">
                  <c:v>147.64650000000006</c:v>
                </c:pt>
                <c:pt idx="337">
                  <c:v>147.36725000000007</c:v>
                </c:pt>
                <c:pt idx="338">
                  <c:v>147.11385000000007</c:v>
                </c:pt>
                <c:pt idx="339">
                  <c:v>146.82925000000006</c:v>
                </c:pt>
                <c:pt idx="340">
                  <c:v>146.56635000000006</c:v>
                </c:pt>
                <c:pt idx="341">
                  <c:v>146.30925000000005</c:v>
                </c:pt>
                <c:pt idx="342">
                  <c:v>146.03235000000006</c:v>
                </c:pt>
                <c:pt idx="343">
                  <c:v>145.80305000000007</c:v>
                </c:pt>
                <c:pt idx="344">
                  <c:v>145.60815000000005</c:v>
                </c:pt>
                <c:pt idx="345">
                  <c:v>145.39815000000007</c:v>
                </c:pt>
                <c:pt idx="346">
                  <c:v>145.20325000000005</c:v>
                </c:pt>
                <c:pt idx="347">
                  <c:v>144.97665000000006</c:v>
                </c:pt>
                <c:pt idx="348">
                  <c:v>144.75345000000007</c:v>
                </c:pt>
                <c:pt idx="349">
                  <c:v>144.51795000000004</c:v>
                </c:pt>
                <c:pt idx="350">
                  <c:v>144.31445000000005</c:v>
                </c:pt>
                <c:pt idx="351">
                  <c:v>144.10055000000003</c:v>
                </c:pt>
                <c:pt idx="352">
                  <c:v>143.91765000000004</c:v>
                </c:pt>
                <c:pt idx="353">
                  <c:v>143.73565000000005</c:v>
                </c:pt>
                <c:pt idx="354">
                  <c:v>143.58205000000001</c:v>
                </c:pt>
                <c:pt idx="355">
                  <c:v>143.44655000000003</c:v>
                </c:pt>
                <c:pt idx="356">
                  <c:v>143.29855000000001</c:v>
                </c:pt>
                <c:pt idx="357">
                  <c:v>143.18325000000002</c:v>
                </c:pt>
                <c:pt idx="358">
                  <c:v>143.03855000000004</c:v>
                </c:pt>
                <c:pt idx="359">
                  <c:v>142.88864999999998</c:v>
                </c:pt>
                <c:pt idx="360">
                  <c:v>142.75914999999998</c:v>
                </c:pt>
                <c:pt idx="361">
                  <c:v>142.59274999999997</c:v>
                </c:pt>
                <c:pt idx="362">
                  <c:v>142.43324999999996</c:v>
                </c:pt>
                <c:pt idx="363">
                  <c:v>142.25624999999997</c:v>
                </c:pt>
                <c:pt idx="364">
                  <c:v>142.08944999999997</c:v>
                </c:pt>
                <c:pt idx="365">
                  <c:v>141.89614999999998</c:v>
                </c:pt>
                <c:pt idx="366">
                  <c:v>141.69565</c:v>
                </c:pt>
                <c:pt idx="367">
                  <c:v>141.44024999999999</c:v>
                </c:pt>
                <c:pt idx="368">
                  <c:v>141.22864999999999</c:v>
                </c:pt>
                <c:pt idx="369">
                  <c:v>141.03545</c:v>
                </c:pt>
                <c:pt idx="370">
                  <c:v>140.79665</c:v>
                </c:pt>
                <c:pt idx="371">
                  <c:v>140.57194999999999</c:v>
                </c:pt>
                <c:pt idx="372">
                  <c:v>140.37965</c:v>
                </c:pt>
                <c:pt idx="373">
                  <c:v>140.26515000000003</c:v>
                </c:pt>
                <c:pt idx="374">
                  <c:v>140.16115000000002</c:v>
                </c:pt>
                <c:pt idx="375">
                  <c:v>140.07245000000003</c:v>
                </c:pt>
                <c:pt idx="376">
                  <c:v>139.98045000000005</c:v>
                </c:pt>
                <c:pt idx="377">
                  <c:v>139.88145000000006</c:v>
                </c:pt>
                <c:pt idx="378">
                  <c:v>139.77545000000006</c:v>
                </c:pt>
                <c:pt idx="379">
                  <c:v>139.68035000000006</c:v>
                </c:pt>
                <c:pt idx="380">
                  <c:v>139.59535000000008</c:v>
                </c:pt>
                <c:pt idx="381">
                  <c:v>139.51405000000005</c:v>
                </c:pt>
                <c:pt idx="382">
                  <c:v>139.42875000000006</c:v>
                </c:pt>
                <c:pt idx="383">
                  <c:v>139.30875000000003</c:v>
                </c:pt>
                <c:pt idx="384">
                  <c:v>139.17125000000004</c:v>
                </c:pt>
                <c:pt idx="385">
                  <c:v>139.09065000000007</c:v>
                </c:pt>
                <c:pt idx="386">
                  <c:v>138.98455000000004</c:v>
                </c:pt>
                <c:pt idx="387">
                  <c:v>138.83735000000004</c:v>
                </c:pt>
                <c:pt idx="388">
                  <c:v>138.78265000000005</c:v>
                </c:pt>
                <c:pt idx="389">
                  <c:v>138.71905000000007</c:v>
                </c:pt>
                <c:pt idx="390">
                  <c:v>138.62945000000005</c:v>
                </c:pt>
                <c:pt idx="391">
                  <c:v>138.50405000000006</c:v>
                </c:pt>
                <c:pt idx="392">
                  <c:v>138.37785000000005</c:v>
                </c:pt>
                <c:pt idx="393">
                  <c:v>138.27795000000003</c:v>
                </c:pt>
                <c:pt idx="394">
                  <c:v>138.16045000000003</c:v>
                </c:pt>
                <c:pt idx="395">
                  <c:v>137.99525000000006</c:v>
                </c:pt>
                <c:pt idx="396">
                  <c:v>137.82555000000005</c:v>
                </c:pt>
                <c:pt idx="397">
                  <c:v>137.69785000000005</c:v>
                </c:pt>
                <c:pt idx="398">
                  <c:v>137.61065000000005</c:v>
                </c:pt>
                <c:pt idx="399">
                  <c:v>137.53525000000002</c:v>
                </c:pt>
                <c:pt idx="400">
                  <c:v>137.48855000000003</c:v>
                </c:pt>
                <c:pt idx="401">
                  <c:v>137.42725000000002</c:v>
                </c:pt>
                <c:pt idx="402">
                  <c:v>137.38605000000004</c:v>
                </c:pt>
                <c:pt idx="403">
                  <c:v>137.37365000000003</c:v>
                </c:pt>
                <c:pt idx="404">
                  <c:v>137.39565000000005</c:v>
                </c:pt>
                <c:pt idx="405">
                  <c:v>137.42735000000005</c:v>
                </c:pt>
                <c:pt idx="406">
                  <c:v>137.46685000000002</c:v>
                </c:pt>
                <c:pt idx="407">
                  <c:v>137.50695000000002</c:v>
                </c:pt>
                <c:pt idx="408">
                  <c:v>137.54215000000005</c:v>
                </c:pt>
                <c:pt idx="409">
                  <c:v>137.55275</c:v>
                </c:pt>
                <c:pt idx="410">
                  <c:v>137.54985000000002</c:v>
                </c:pt>
                <c:pt idx="411">
                  <c:v>137.54685000000001</c:v>
                </c:pt>
                <c:pt idx="412">
                  <c:v>137.53215000000003</c:v>
                </c:pt>
                <c:pt idx="413">
                  <c:v>137.51095000000001</c:v>
                </c:pt>
                <c:pt idx="414">
                  <c:v>137.47364999999999</c:v>
                </c:pt>
                <c:pt idx="415">
                  <c:v>137.47735</c:v>
                </c:pt>
                <c:pt idx="416">
                  <c:v>137.53194999999999</c:v>
                </c:pt>
                <c:pt idx="417">
                  <c:v>137.63175000000001</c:v>
                </c:pt>
                <c:pt idx="418">
                  <c:v>137.66225</c:v>
                </c:pt>
                <c:pt idx="419">
                  <c:v>137.68974999999998</c:v>
                </c:pt>
                <c:pt idx="420">
                  <c:v>137.70935</c:v>
                </c:pt>
                <c:pt idx="421">
                  <c:v>137.65894999999998</c:v>
                </c:pt>
                <c:pt idx="422">
                  <c:v>137.66154999999998</c:v>
                </c:pt>
                <c:pt idx="423">
                  <c:v>137.68724999999998</c:v>
                </c:pt>
                <c:pt idx="424">
                  <c:v>137.70114999999998</c:v>
                </c:pt>
                <c:pt idx="425">
                  <c:v>137.71914999999998</c:v>
                </c:pt>
                <c:pt idx="426">
                  <c:v>137.69094999999996</c:v>
                </c:pt>
                <c:pt idx="427">
                  <c:v>137.66864999999999</c:v>
                </c:pt>
                <c:pt idx="428">
                  <c:v>137.72784999999996</c:v>
                </c:pt>
                <c:pt idx="429">
                  <c:v>137.80134999999996</c:v>
                </c:pt>
                <c:pt idx="430">
                  <c:v>137.88134999999997</c:v>
                </c:pt>
                <c:pt idx="431">
                  <c:v>137.94854999999995</c:v>
                </c:pt>
                <c:pt idx="432">
                  <c:v>138.01174999999998</c:v>
                </c:pt>
                <c:pt idx="433">
                  <c:v>138.09794999999997</c:v>
                </c:pt>
                <c:pt idx="434">
                  <c:v>138.15964999999997</c:v>
                </c:pt>
                <c:pt idx="435">
                  <c:v>138.24414999999996</c:v>
                </c:pt>
                <c:pt idx="436">
                  <c:v>138.33844999999997</c:v>
                </c:pt>
                <c:pt idx="437">
                  <c:v>138.42369999999997</c:v>
                </c:pt>
                <c:pt idx="438">
                  <c:v>138.54079999999999</c:v>
                </c:pt>
                <c:pt idx="439">
                  <c:v>138.65949999999998</c:v>
                </c:pt>
                <c:pt idx="440">
                  <c:v>138.76249999999996</c:v>
                </c:pt>
                <c:pt idx="441">
                  <c:v>138.85639999999998</c:v>
                </c:pt>
                <c:pt idx="442">
                  <c:v>138.97979999999998</c:v>
                </c:pt>
                <c:pt idx="443">
                  <c:v>139.05319999999995</c:v>
                </c:pt>
                <c:pt idx="444">
                  <c:v>139.18049999999997</c:v>
                </c:pt>
                <c:pt idx="445">
                  <c:v>139.36339999999996</c:v>
                </c:pt>
                <c:pt idx="446">
                  <c:v>139.53429999999994</c:v>
                </c:pt>
                <c:pt idx="447">
                  <c:v>139.74819999999997</c:v>
                </c:pt>
                <c:pt idx="448">
                  <c:v>139.95859999999996</c:v>
                </c:pt>
                <c:pt idx="449">
                  <c:v>140.19189999999998</c:v>
                </c:pt>
                <c:pt idx="450">
                  <c:v>140.41529999999995</c:v>
                </c:pt>
                <c:pt idx="451">
                  <c:v>140.64499999999995</c:v>
                </c:pt>
                <c:pt idx="452">
                  <c:v>140.85759999999993</c:v>
                </c:pt>
                <c:pt idx="453">
                  <c:v>141.07339999999994</c:v>
                </c:pt>
                <c:pt idx="454">
                  <c:v>141.27939999999995</c:v>
                </c:pt>
                <c:pt idx="455">
                  <c:v>141.47639999999996</c:v>
                </c:pt>
                <c:pt idx="456">
                  <c:v>141.68529999999996</c:v>
                </c:pt>
                <c:pt idx="457">
                  <c:v>141.87539999999996</c:v>
                </c:pt>
                <c:pt idx="458">
                  <c:v>142.03669999999994</c:v>
                </c:pt>
                <c:pt idx="459">
                  <c:v>142.21259999999995</c:v>
                </c:pt>
                <c:pt idx="460">
                  <c:v>142.35519999999994</c:v>
                </c:pt>
                <c:pt idx="461">
                  <c:v>142.49219999999997</c:v>
                </c:pt>
                <c:pt idx="462">
                  <c:v>142.59819999999999</c:v>
                </c:pt>
                <c:pt idx="463">
                  <c:v>142.71829999999997</c:v>
                </c:pt>
                <c:pt idx="464">
                  <c:v>142.82</c:v>
                </c:pt>
                <c:pt idx="465">
                  <c:v>142.95660000000001</c:v>
                </c:pt>
                <c:pt idx="466">
                  <c:v>143.09210000000002</c:v>
                </c:pt>
                <c:pt idx="467">
                  <c:v>143.25220000000002</c:v>
                </c:pt>
                <c:pt idx="468">
                  <c:v>143.40520000000001</c:v>
                </c:pt>
                <c:pt idx="469">
                  <c:v>143.54489999999998</c:v>
                </c:pt>
                <c:pt idx="470">
                  <c:v>143.72319999999999</c:v>
                </c:pt>
                <c:pt idx="471">
                  <c:v>143.91929999999999</c:v>
                </c:pt>
                <c:pt idx="472">
                  <c:v>144.0966</c:v>
                </c:pt>
                <c:pt idx="473">
                  <c:v>144.24730000000002</c:v>
                </c:pt>
                <c:pt idx="474">
                  <c:v>144.35569999999998</c:v>
                </c:pt>
                <c:pt idx="475">
                  <c:v>144.45420000000001</c:v>
                </c:pt>
                <c:pt idx="476">
                  <c:v>144.55539999999999</c:v>
                </c:pt>
                <c:pt idx="477">
                  <c:v>144.672</c:v>
                </c:pt>
                <c:pt idx="478">
                  <c:v>144.8014</c:v>
                </c:pt>
                <c:pt idx="479">
                  <c:v>144.94399999999999</c:v>
                </c:pt>
                <c:pt idx="480">
                  <c:v>145.07830000000001</c:v>
                </c:pt>
                <c:pt idx="481">
                  <c:v>145.21180000000001</c:v>
                </c:pt>
                <c:pt idx="482">
                  <c:v>145.33670000000001</c:v>
                </c:pt>
                <c:pt idx="483">
                  <c:v>145.46770000000004</c:v>
                </c:pt>
                <c:pt idx="484">
                  <c:v>145.56440000000001</c:v>
                </c:pt>
                <c:pt idx="485">
                  <c:v>145.56629999999998</c:v>
                </c:pt>
                <c:pt idx="486">
                  <c:v>145.58029999999997</c:v>
                </c:pt>
                <c:pt idx="487">
                  <c:v>145.66029999999998</c:v>
                </c:pt>
                <c:pt idx="488">
                  <c:v>145.69030000000001</c:v>
                </c:pt>
                <c:pt idx="489">
                  <c:v>145.74020000000002</c:v>
                </c:pt>
                <c:pt idx="490">
                  <c:v>145.8073</c:v>
                </c:pt>
                <c:pt idx="491">
                  <c:v>145.87649999999999</c:v>
                </c:pt>
                <c:pt idx="492">
                  <c:v>145.9616</c:v>
                </c:pt>
                <c:pt idx="493">
                  <c:v>146.0164</c:v>
                </c:pt>
                <c:pt idx="494">
                  <c:v>146.06940000000003</c:v>
                </c:pt>
                <c:pt idx="495">
                  <c:v>146.16070000000002</c:v>
                </c:pt>
                <c:pt idx="496">
                  <c:v>146.2047</c:v>
                </c:pt>
                <c:pt idx="497">
                  <c:v>146.24650000000003</c:v>
                </c:pt>
                <c:pt idx="498">
                  <c:v>146.28980000000004</c:v>
                </c:pt>
                <c:pt idx="499">
                  <c:v>146.32420000000005</c:v>
                </c:pt>
                <c:pt idx="500">
                  <c:v>146.32660000000004</c:v>
                </c:pt>
                <c:pt idx="501">
                  <c:v>146.30970000000005</c:v>
                </c:pt>
                <c:pt idx="502">
                  <c:v>146.28330000000003</c:v>
                </c:pt>
                <c:pt idx="503">
                  <c:v>146.21380000000005</c:v>
                </c:pt>
                <c:pt idx="504">
                  <c:v>146.10990000000004</c:v>
                </c:pt>
                <c:pt idx="505">
                  <c:v>145.99380000000005</c:v>
                </c:pt>
                <c:pt idx="506">
                  <c:v>145.88350000000005</c:v>
                </c:pt>
                <c:pt idx="507">
                  <c:v>145.78710000000004</c:v>
                </c:pt>
                <c:pt idx="508">
                  <c:v>145.67910000000006</c:v>
                </c:pt>
                <c:pt idx="509">
                  <c:v>145.60660000000004</c:v>
                </c:pt>
                <c:pt idx="510">
                  <c:v>145.57600000000005</c:v>
                </c:pt>
                <c:pt idx="511">
                  <c:v>145.54530000000003</c:v>
                </c:pt>
                <c:pt idx="512">
                  <c:v>145.52650000000003</c:v>
                </c:pt>
                <c:pt idx="513">
                  <c:v>145.53310000000002</c:v>
                </c:pt>
                <c:pt idx="514">
                  <c:v>145.52410000000003</c:v>
                </c:pt>
                <c:pt idx="515">
                  <c:v>145.49830000000003</c:v>
                </c:pt>
                <c:pt idx="516">
                  <c:v>145.45760000000001</c:v>
                </c:pt>
                <c:pt idx="517">
                  <c:v>145.41350000000003</c:v>
                </c:pt>
                <c:pt idx="518">
                  <c:v>145.41490000000005</c:v>
                </c:pt>
                <c:pt idx="519">
                  <c:v>145.43100000000004</c:v>
                </c:pt>
                <c:pt idx="520">
                  <c:v>145.45400000000001</c:v>
                </c:pt>
                <c:pt idx="521">
                  <c:v>145.57320000000001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B-4536-BB01-2BC035A9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82000"/>
        <c:axId val="152481520"/>
      </c:lineChart>
      <c:dateAx>
        <c:axId val="152482000"/>
        <c:scaling>
          <c:orientation val="minMax"/>
          <c:max val="46063"/>
          <c:min val="4571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1520"/>
        <c:crosses val="autoZero"/>
        <c:auto val="1"/>
        <c:lblOffset val="100"/>
        <c:baseTimeUnit val="days"/>
      </c:dateAx>
      <c:valAx>
        <c:axId val="152481520"/>
        <c:scaling>
          <c:orientation val="minMax"/>
          <c:max val="165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Dividends!$A$2:$A$1000</c:f>
              <c:numCache>
                <c:formatCode>yyyy\-mm\-dd;@</c:formatCode>
                <c:ptCount val="999"/>
                <c:pt idx="0">
                  <c:v>36593</c:v>
                </c:pt>
                <c:pt idx="1">
                  <c:v>36684</c:v>
                </c:pt>
                <c:pt idx="2">
                  <c:v>36775</c:v>
                </c:pt>
                <c:pt idx="3">
                  <c:v>36866</c:v>
                </c:pt>
                <c:pt idx="4">
                  <c:v>36957</c:v>
                </c:pt>
                <c:pt idx="5">
                  <c:v>37048</c:v>
                </c:pt>
                <c:pt idx="6">
                  <c:v>37139</c:v>
                </c:pt>
                <c:pt idx="7">
                  <c:v>37230</c:v>
                </c:pt>
                <c:pt idx="8">
                  <c:v>37321</c:v>
                </c:pt>
                <c:pt idx="9">
                  <c:v>37412</c:v>
                </c:pt>
                <c:pt idx="10">
                  <c:v>37503</c:v>
                </c:pt>
                <c:pt idx="11">
                  <c:v>37594</c:v>
                </c:pt>
                <c:pt idx="12">
                  <c:v>37692</c:v>
                </c:pt>
                <c:pt idx="13">
                  <c:v>37783</c:v>
                </c:pt>
                <c:pt idx="14">
                  <c:v>37874</c:v>
                </c:pt>
                <c:pt idx="15">
                  <c:v>37965</c:v>
                </c:pt>
                <c:pt idx="16">
                  <c:v>38056</c:v>
                </c:pt>
                <c:pt idx="17">
                  <c:v>38147</c:v>
                </c:pt>
                <c:pt idx="18">
                  <c:v>38238</c:v>
                </c:pt>
                <c:pt idx="19">
                  <c:v>38329</c:v>
                </c:pt>
                <c:pt idx="20">
                  <c:v>38420</c:v>
                </c:pt>
                <c:pt idx="21">
                  <c:v>38511</c:v>
                </c:pt>
                <c:pt idx="22">
                  <c:v>38602</c:v>
                </c:pt>
                <c:pt idx="23">
                  <c:v>38693</c:v>
                </c:pt>
                <c:pt idx="24">
                  <c:v>38784</c:v>
                </c:pt>
                <c:pt idx="25">
                  <c:v>38875</c:v>
                </c:pt>
                <c:pt idx="26">
                  <c:v>38966</c:v>
                </c:pt>
                <c:pt idx="27">
                  <c:v>39057</c:v>
                </c:pt>
                <c:pt idx="28">
                  <c:v>39148</c:v>
                </c:pt>
                <c:pt idx="29">
                  <c:v>39239</c:v>
                </c:pt>
                <c:pt idx="30">
                  <c:v>39330</c:v>
                </c:pt>
                <c:pt idx="31">
                  <c:v>39421</c:v>
                </c:pt>
                <c:pt idx="32">
                  <c:v>39512</c:v>
                </c:pt>
                <c:pt idx="33">
                  <c:v>39603</c:v>
                </c:pt>
                <c:pt idx="34">
                  <c:v>39694</c:v>
                </c:pt>
                <c:pt idx="35">
                  <c:v>39785</c:v>
                </c:pt>
                <c:pt idx="36">
                  <c:v>39876</c:v>
                </c:pt>
                <c:pt idx="37">
                  <c:v>39967</c:v>
                </c:pt>
                <c:pt idx="38">
                  <c:v>40058</c:v>
                </c:pt>
                <c:pt idx="39">
                  <c:v>40149</c:v>
                </c:pt>
                <c:pt idx="40">
                  <c:v>40240</c:v>
                </c:pt>
                <c:pt idx="41">
                  <c:v>40331</c:v>
                </c:pt>
                <c:pt idx="42">
                  <c:v>40422</c:v>
                </c:pt>
                <c:pt idx="43">
                  <c:v>40513</c:v>
                </c:pt>
                <c:pt idx="44">
                  <c:v>40604</c:v>
                </c:pt>
                <c:pt idx="45">
                  <c:v>40695</c:v>
                </c:pt>
                <c:pt idx="46">
                  <c:v>40786</c:v>
                </c:pt>
                <c:pt idx="47">
                  <c:v>40877</c:v>
                </c:pt>
                <c:pt idx="48">
                  <c:v>40968</c:v>
                </c:pt>
                <c:pt idx="49">
                  <c:v>41059</c:v>
                </c:pt>
                <c:pt idx="50">
                  <c:v>41157</c:v>
                </c:pt>
                <c:pt idx="51">
                  <c:v>41248</c:v>
                </c:pt>
                <c:pt idx="52">
                  <c:v>41332</c:v>
                </c:pt>
                <c:pt idx="53">
                  <c:v>41430</c:v>
                </c:pt>
                <c:pt idx="54">
                  <c:v>41521</c:v>
                </c:pt>
                <c:pt idx="55">
                  <c:v>41612</c:v>
                </c:pt>
                <c:pt idx="56">
                  <c:v>41703</c:v>
                </c:pt>
                <c:pt idx="57">
                  <c:v>41794</c:v>
                </c:pt>
                <c:pt idx="58">
                  <c:v>41885</c:v>
                </c:pt>
                <c:pt idx="59">
                  <c:v>41976</c:v>
                </c:pt>
                <c:pt idx="60">
                  <c:v>42067</c:v>
                </c:pt>
                <c:pt idx="61">
                  <c:v>42158</c:v>
                </c:pt>
                <c:pt idx="62">
                  <c:v>42249</c:v>
                </c:pt>
                <c:pt idx="63">
                  <c:v>42340</c:v>
                </c:pt>
                <c:pt idx="64">
                  <c:v>42431</c:v>
                </c:pt>
                <c:pt idx="65">
                  <c:v>42522</c:v>
                </c:pt>
                <c:pt idx="66">
                  <c:v>42613</c:v>
                </c:pt>
                <c:pt idx="67">
                  <c:v>42704</c:v>
                </c:pt>
                <c:pt idx="68">
                  <c:v>42795</c:v>
                </c:pt>
                <c:pt idx="69">
                  <c:v>42886</c:v>
                </c:pt>
                <c:pt idx="70">
                  <c:v>42977</c:v>
                </c:pt>
                <c:pt idx="71">
                  <c:v>43069</c:v>
                </c:pt>
                <c:pt idx="72">
                  <c:v>43160</c:v>
                </c:pt>
                <c:pt idx="73">
                  <c:v>43251</c:v>
                </c:pt>
                <c:pt idx="74">
                  <c:v>43349</c:v>
                </c:pt>
                <c:pt idx="75">
                  <c:v>43440</c:v>
                </c:pt>
                <c:pt idx="76">
                  <c:v>43524</c:v>
                </c:pt>
                <c:pt idx="77">
                  <c:v>43622</c:v>
                </c:pt>
                <c:pt idx="78">
                  <c:v>43713</c:v>
                </c:pt>
                <c:pt idx="79">
                  <c:v>43804</c:v>
                </c:pt>
                <c:pt idx="80">
                  <c:v>43895</c:v>
                </c:pt>
                <c:pt idx="81">
                  <c:v>43986</c:v>
                </c:pt>
                <c:pt idx="82">
                  <c:v>44077</c:v>
                </c:pt>
                <c:pt idx="83">
                  <c:v>44168</c:v>
                </c:pt>
                <c:pt idx="84">
                  <c:v>44259</c:v>
                </c:pt>
                <c:pt idx="85">
                  <c:v>44350</c:v>
                </c:pt>
                <c:pt idx="86">
                  <c:v>44441</c:v>
                </c:pt>
                <c:pt idx="87">
                  <c:v>44532</c:v>
                </c:pt>
                <c:pt idx="88">
                  <c:v>44623</c:v>
                </c:pt>
                <c:pt idx="89">
                  <c:v>44714</c:v>
                </c:pt>
                <c:pt idx="90">
                  <c:v>44805</c:v>
                </c:pt>
                <c:pt idx="91">
                  <c:v>44896</c:v>
                </c:pt>
                <c:pt idx="92">
                  <c:v>44987</c:v>
                </c:pt>
                <c:pt idx="93">
                  <c:v>45078</c:v>
                </c:pt>
                <c:pt idx="94">
                  <c:v>45169</c:v>
                </c:pt>
                <c:pt idx="95">
                  <c:v>45260</c:v>
                </c:pt>
                <c:pt idx="96">
                  <c:v>45351</c:v>
                </c:pt>
                <c:pt idx="97">
                  <c:v>45450</c:v>
                </c:pt>
                <c:pt idx="98">
                  <c:v>45541</c:v>
                </c:pt>
                <c:pt idx="99">
                  <c:v>45632</c:v>
                </c:pt>
                <c:pt idx="100">
                  <c:v>45723</c:v>
                </c:pt>
                <c:pt idx="101">
                  <c:v>45814</c:v>
                </c:pt>
                <c:pt idx="102">
                  <c:v>45905</c:v>
                </c:pt>
                <c:pt idx="103">
                  <c:v>45996</c:v>
                </c:pt>
              </c:numCache>
            </c:numRef>
          </c:cat>
          <c:val>
            <c:numRef>
              <c:f>Dividends!$B$2:$B$1000</c:f>
              <c:numCache>
                <c:formatCode>"$"#,##0.00_);[Red]\("$"#,##0.00\)</c:formatCode>
                <c:ptCount val="999"/>
                <c:pt idx="0">
                  <c:v>0.14000000000000001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0.23</c:v>
                </c:pt>
                <c:pt idx="21">
                  <c:v>0.26</c:v>
                </c:pt>
                <c:pt idx="22">
                  <c:v>0.26</c:v>
                </c:pt>
                <c:pt idx="23">
                  <c:v>0.26</c:v>
                </c:pt>
                <c:pt idx="24">
                  <c:v>0.26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0.43</c:v>
                </c:pt>
                <c:pt idx="34">
                  <c:v>0.43</c:v>
                </c:pt>
                <c:pt idx="35">
                  <c:v>0.43</c:v>
                </c:pt>
                <c:pt idx="36">
                  <c:v>0.43</c:v>
                </c:pt>
                <c:pt idx="37">
                  <c:v>0.45</c:v>
                </c:pt>
                <c:pt idx="38">
                  <c:v>0.45</c:v>
                </c:pt>
                <c:pt idx="39">
                  <c:v>0.45</c:v>
                </c:pt>
                <c:pt idx="40">
                  <c:v>0.45</c:v>
                </c:pt>
                <c:pt idx="41">
                  <c:v>0.48</c:v>
                </c:pt>
                <c:pt idx="42">
                  <c:v>0.48</c:v>
                </c:pt>
                <c:pt idx="43">
                  <c:v>0.48</c:v>
                </c:pt>
                <c:pt idx="44">
                  <c:v>0.48</c:v>
                </c:pt>
                <c:pt idx="45">
                  <c:v>0.52</c:v>
                </c:pt>
                <c:pt idx="46">
                  <c:v>0.52</c:v>
                </c:pt>
                <c:pt idx="47">
                  <c:v>0.52</c:v>
                </c:pt>
                <c:pt idx="48">
                  <c:v>0.52</c:v>
                </c:pt>
                <c:pt idx="49">
                  <c:v>0.54</c:v>
                </c:pt>
                <c:pt idx="50">
                  <c:v>0.54</c:v>
                </c:pt>
                <c:pt idx="51">
                  <c:v>0.54</c:v>
                </c:pt>
                <c:pt idx="52">
                  <c:v>0.54</c:v>
                </c:pt>
                <c:pt idx="53">
                  <c:v>0.56999999999999995</c:v>
                </c:pt>
                <c:pt idx="54">
                  <c:v>0.56999999999999995</c:v>
                </c:pt>
                <c:pt idx="55">
                  <c:v>0.56999999999999995</c:v>
                </c:pt>
                <c:pt idx="56">
                  <c:v>0.56999999999999995</c:v>
                </c:pt>
                <c:pt idx="57">
                  <c:v>0.66</c:v>
                </c:pt>
                <c:pt idx="58">
                  <c:v>0.66</c:v>
                </c:pt>
                <c:pt idx="59">
                  <c:v>0.66</c:v>
                </c:pt>
                <c:pt idx="60">
                  <c:v>0.66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0.93</c:v>
                </c:pt>
                <c:pt idx="74">
                  <c:v>0.93</c:v>
                </c:pt>
                <c:pt idx="75">
                  <c:v>0.93</c:v>
                </c:pt>
                <c:pt idx="76">
                  <c:v>0.93</c:v>
                </c:pt>
                <c:pt idx="77">
                  <c:v>0.96</c:v>
                </c:pt>
                <c:pt idx="78">
                  <c:v>0.96</c:v>
                </c:pt>
                <c:pt idx="79">
                  <c:v>0.96</c:v>
                </c:pt>
                <c:pt idx="80">
                  <c:v>0.96</c:v>
                </c:pt>
                <c:pt idx="81">
                  <c:v>1.02</c:v>
                </c:pt>
                <c:pt idx="82">
                  <c:v>1.02</c:v>
                </c:pt>
                <c:pt idx="83">
                  <c:v>1.02</c:v>
                </c:pt>
                <c:pt idx="84">
                  <c:v>1.02</c:v>
                </c:pt>
                <c:pt idx="85">
                  <c:v>1.08</c:v>
                </c:pt>
                <c:pt idx="86">
                  <c:v>1.08</c:v>
                </c:pt>
                <c:pt idx="87">
                  <c:v>1.08</c:v>
                </c:pt>
                <c:pt idx="88">
                  <c:v>1.08</c:v>
                </c:pt>
                <c:pt idx="89">
                  <c:v>1.1499999999999999</c:v>
                </c:pt>
                <c:pt idx="90">
                  <c:v>1.1499999999999999</c:v>
                </c:pt>
                <c:pt idx="91">
                  <c:v>1.1499999999999999</c:v>
                </c:pt>
                <c:pt idx="92">
                  <c:v>1.1499999999999999</c:v>
                </c:pt>
                <c:pt idx="93">
                  <c:v>1.27</c:v>
                </c:pt>
                <c:pt idx="94">
                  <c:v>1.27</c:v>
                </c:pt>
                <c:pt idx="95">
                  <c:v>1.27</c:v>
                </c:pt>
                <c:pt idx="96">
                  <c:v>1.27</c:v>
                </c:pt>
                <c:pt idx="97">
                  <c:v>1.36</c:v>
                </c:pt>
                <c:pt idx="98">
                  <c:v>1.36</c:v>
                </c:pt>
                <c:pt idx="99">
                  <c:v>1.36</c:v>
                </c:pt>
                <c:pt idx="100">
                  <c:v>1.36</c:v>
                </c:pt>
                <c:pt idx="101">
                  <c:v>1.42</c:v>
                </c:pt>
                <c:pt idx="102">
                  <c:v>1.42</c:v>
                </c:pt>
                <c:pt idx="103">
                  <c:v>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4-4F13-910E-C17BC0B3F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06640"/>
        <c:axId val="27507120"/>
      </c:barChart>
      <c:dateAx>
        <c:axId val="2750664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7120"/>
        <c:crosses val="autoZero"/>
        <c:auto val="1"/>
        <c:lblOffset val="100"/>
        <c:baseTimeUnit val="months"/>
      </c:dateAx>
      <c:valAx>
        <c:axId val="275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171.5675</c:v>
                </c:pt>
                <c:pt idx="1">
                  <c:v>167.32</c:v>
                </c:pt>
                <c:pt idx="2">
                  <c:v>166.39</c:v>
                </c:pt>
                <c:pt idx="3">
                  <c:v>166.554</c:v>
                </c:pt>
                <c:pt idx="4">
                  <c:v>169.79400000000001</c:v>
                </c:pt>
                <c:pt idx="5">
                  <c:v>171.066</c:v>
                </c:pt>
                <c:pt idx="6">
                  <c:v>168.238</c:v>
                </c:pt>
                <c:pt idx="7">
                  <c:v>168.83250000000001</c:v>
                </c:pt>
                <c:pt idx="8">
                  <c:v>166.67599999999999</c:v>
                </c:pt>
                <c:pt idx="9">
                  <c:v>163.31399999999999</c:v>
                </c:pt>
                <c:pt idx="10">
                  <c:v>164.80199999999999</c:v>
                </c:pt>
                <c:pt idx="11">
                  <c:v>171.87800000000001</c:v>
                </c:pt>
                <c:pt idx="12">
                  <c:v>173.47749999999999</c:v>
                </c:pt>
                <c:pt idx="13">
                  <c:v>170.578</c:v>
                </c:pt>
                <c:pt idx="14">
                  <c:v>169.12</c:v>
                </c:pt>
                <c:pt idx="15">
                  <c:v>170.066</c:v>
                </c:pt>
                <c:pt idx="16">
                  <c:v>175.47</c:v>
                </c:pt>
                <c:pt idx="17">
                  <c:v>175.76</c:v>
                </c:pt>
                <c:pt idx="18">
                  <c:v>177.82</c:v>
                </c:pt>
                <c:pt idx="19">
                  <c:v>181.10599999999999</c:v>
                </c:pt>
                <c:pt idx="20">
                  <c:v>180.148</c:v>
                </c:pt>
                <c:pt idx="21">
                  <c:v>171.97749999999999</c:v>
                </c:pt>
                <c:pt idx="22">
                  <c:v>172.57</c:v>
                </c:pt>
                <c:pt idx="23">
                  <c:v>164.38800000000001</c:v>
                </c:pt>
                <c:pt idx="24">
                  <c:v>166.64499999999998</c:v>
                </c:pt>
                <c:pt idx="25">
                  <c:v>166.672</c:v>
                </c:pt>
                <c:pt idx="26">
                  <c:v>163.36500000000001</c:v>
                </c:pt>
                <c:pt idx="27">
                  <c:v>163.58799999999999</c:v>
                </c:pt>
                <c:pt idx="28">
                  <c:v>167.648</c:v>
                </c:pt>
                <c:pt idx="29">
                  <c:v>169.17599999999999</c:v>
                </c:pt>
                <c:pt idx="30">
                  <c:v>174.41200000000001</c:v>
                </c:pt>
                <c:pt idx="31">
                  <c:v>172.61599999999999</c:v>
                </c:pt>
                <c:pt idx="32">
                  <c:v>172.52799999999999</c:v>
                </c:pt>
                <c:pt idx="33">
                  <c:v>175.298</c:v>
                </c:pt>
                <c:pt idx="34">
                  <c:v>174.03200000000001</c:v>
                </c:pt>
                <c:pt idx="35">
                  <c:v>178.17500000000001</c:v>
                </c:pt>
                <c:pt idx="36">
                  <c:v>177.27799999999999</c:v>
                </c:pt>
                <c:pt idx="37">
                  <c:v>175.02600000000001</c:v>
                </c:pt>
                <c:pt idx="38">
                  <c:v>170.22399999999999</c:v>
                </c:pt>
                <c:pt idx="39">
                  <c:v>169.49600000000001</c:v>
                </c:pt>
                <c:pt idx="40">
                  <c:v>171.59399999999999</c:v>
                </c:pt>
                <c:pt idx="41">
                  <c:v>175.24199999999999</c:v>
                </c:pt>
                <c:pt idx="42">
                  <c:v>173.256</c:v>
                </c:pt>
                <c:pt idx="43">
                  <c:v>167.04400000000001</c:v>
                </c:pt>
                <c:pt idx="44">
                  <c:v>165.602</c:v>
                </c:pt>
                <c:pt idx="45">
                  <c:v>163.422</c:v>
                </c:pt>
                <c:pt idx="46">
                  <c:v>159.226</c:v>
                </c:pt>
                <c:pt idx="47">
                  <c:v>162.845</c:v>
                </c:pt>
                <c:pt idx="48">
                  <c:v>160.642</c:v>
                </c:pt>
                <c:pt idx="49">
                  <c:v>158.59</c:v>
                </c:pt>
                <c:pt idx="50">
                  <c:v>154.16999999999999</c:v>
                </c:pt>
                <c:pt idx="51">
                  <c:v>152.35749999999999</c:v>
                </c:pt>
                <c:pt idx="52">
                  <c:v>150.91</c:v>
                </c:pt>
                <c:pt idx="53">
                  <c:v>145.21250000000001</c:v>
                </c:pt>
                <c:pt idx="54">
                  <c:v>145.804</c:v>
                </c:pt>
                <c:pt idx="55">
                  <c:v>148.595</c:v>
                </c:pt>
                <c:pt idx="56">
                  <c:v>151.56399999999999</c:v>
                </c:pt>
                <c:pt idx="57">
                  <c:v>145.87</c:v>
                </c:pt>
                <c:pt idx="58">
                  <c:v>144.38999999999999</c:v>
                </c:pt>
                <c:pt idx="59">
                  <c:v>148.1275</c:v>
                </c:pt>
                <c:pt idx="60">
                  <c:v>153.45400000000001</c:v>
                </c:pt>
                <c:pt idx="61">
                  <c:v>154.62200000000001</c:v>
                </c:pt>
                <c:pt idx="62">
                  <c:v>150.73599999999999</c:v>
                </c:pt>
                <c:pt idx="63">
                  <c:v>148.208</c:v>
                </c:pt>
                <c:pt idx="64">
                  <c:v>147.91399999999999</c:v>
                </c:pt>
                <c:pt idx="65">
                  <c:v>149.34200000000001</c:v>
                </c:pt>
                <c:pt idx="66">
                  <c:v>143.53</c:v>
                </c:pt>
                <c:pt idx="67">
                  <c:v>143.13</c:v>
                </c:pt>
                <c:pt idx="68">
                  <c:v>139.22800000000001</c:v>
                </c:pt>
                <c:pt idx="69">
                  <c:v>134.19</c:v>
                </c:pt>
                <c:pt idx="70">
                  <c:v>131.303</c:v>
                </c:pt>
                <c:pt idx="71">
                  <c:v>130.78399999999999</c:v>
                </c:pt>
                <c:pt idx="72">
                  <c:v>130.64000000000001</c:v>
                </c:pt>
                <c:pt idx="73">
                  <c:v>131.35249999999999</c:v>
                </c:pt>
                <c:pt idx="74">
                  <c:v>131.12800000000001</c:v>
                </c:pt>
                <c:pt idx="75">
                  <c:v>130.96800000000002</c:v>
                </c:pt>
                <c:pt idx="76">
                  <c:v>129.70999999999998</c:v>
                </c:pt>
                <c:pt idx="77">
                  <c:v>129.48400000000001</c:v>
                </c:pt>
                <c:pt idx="78">
                  <c:v>134.79</c:v>
                </c:pt>
                <c:pt idx="79">
                  <c:v>135.06199999999998</c:v>
                </c:pt>
                <c:pt idx="80">
                  <c:v>138.68199999999999</c:v>
                </c:pt>
                <c:pt idx="81">
                  <c:v>144.27199999999999</c:v>
                </c:pt>
                <c:pt idx="82">
                  <c:v>141.10399999999998</c:v>
                </c:pt>
                <c:pt idx="83">
                  <c:v>141.78800000000001</c:v>
                </c:pt>
                <c:pt idx="84">
                  <c:v>148.02199999999999</c:v>
                </c:pt>
                <c:pt idx="85">
                  <c:v>150.21199999999999</c:v>
                </c:pt>
                <c:pt idx="86">
                  <c:v>147.69399999999999</c:v>
                </c:pt>
                <c:pt idx="87">
                  <c:v>148.04999999999998</c:v>
                </c:pt>
                <c:pt idx="88">
                  <c:v>143.04599999999999</c:v>
                </c:pt>
                <c:pt idx="89">
                  <c:v>140.87799999999999</c:v>
                </c:pt>
                <c:pt idx="90">
                  <c:v>141.09199999999998</c:v>
                </c:pt>
                <c:pt idx="91">
                  <c:v>141.608</c:v>
                </c:pt>
                <c:pt idx="92">
                  <c:v>142.82400000000001</c:v>
                </c:pt>
                <c:pt idx="93">
                  <c:v>151.59399999999999</c:v>
                </c:pt>
                <c:pt idx="94">
                  <c:v>152.58199999999999</c:v>
                </c:pt>
                <c:pt idx="95">
                  <c:v>148.51</c:v>
                </c:pt>
                <c:pt idx="96">
                  <c:v>142.77799999999999</c:v>
                </c:pt>
                <c:pt idx="97">
                  <c:v>144.59200000000001</c:v>
                </c:pt>
                <c:pt idx="98">
                  <c:v>147.22800000000001</c:v>
                </c:pt>
                <c:pt idx="99">
                  <c:v>147.08250000000001</c:v>
                </c:pt>
                <c:pt idx="100">
                  <c:v>147.62200000000001</c:v>
                </c:pt>
                <c:pt idx="101">
                  <c:v>147.93199999999999</c:v>
                </c:pt>
                <c:pt idx="102">
                  <c:v>149.84</c:v>
                </c:pt>
                <c:pt idx="103">
                  <c:v>144.5625</c:v>
                </c:pt>
                <c:pt idx="104">
                  <c:v>143.53749999999999</c:v>
                </c:pt>
                <c:pt idx="105">
                  <c:v>139.03399999999999</c:v>
                </c:pt>
                <c:pt idx="106">
                  <c:v>144.72999999999999</c:v>
                </c:pt>
                <c:pt idx="107">
                  <c:v>145.845</c:v>
                </c:pt>
                <c:pt idx="108">
                  <c:v>149.09399999999999</c:v>
                </c:pt>
                <c:pt idx="109">
                  <c:v>159.02499999999998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4-469A-AF82-815EF9BF9985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10">
                  <c:v>157.6343210838036</c:v>
                </c:pt>
                <c:pt idx="111">
                  <c:v>157.31313256136309</c:v>
                </c:pt>
                <c:pt idx="112">
                  <c:v>156.98046242717231</c:v>
                </c:pt>
                <c:pt idx="113">
                  <c:v>156.63565403245147</c:v>
                </c:pt>
                <c:pt idx="114">
                  <c:v>156.26652919139008</c:v>
                </c:pt>
                <c:pt idx="115">
                  <c:v>156.80313686502174</c:v>
                </c:pt>
                <c:pt idx="116">
                  <c:v>156.41966982822996</c:v>
                </c:pt>
                <c:pt idx="117">
                  <c:v>156.02033058032771</c:v>
                </c:pt>
                <c:pt idx="118">
                  <c:v>155.6174566980113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4-469A-AF82-815EF9BF9985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10">
                  <c:v>157.15993225247399</c:v>
                </c:pt>
                <c:pt idx="111">
                  <c:v>159.63356590291701</c:v>
                </c:pt>
                <c:pt idx="112">
                  <c:v>161.75059862138301</c:v>
                </c:pt>
                <c:pt idx="113">
                  <c:v>159.86552575446601</c:v>
                </c:pt>
                <c:pt idx="114">
                  <c:v>159.45485095991</c:v>
                </c:pt>
                <c:pt idx="115">
                  <c:v>160.69388643786701</c:v>
                </c:pt>
                <c:pt idx="116">
                  <c:v>163.51449019651201</c:v>
                </c:pt>
                <c:pt idx="117">
                  <c:v>165.37904058865001</c:v>
                </c:pt>
                <c:pt idx="118">
                  <c:v>167.39518275666899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54-469A-AF82-815EF9BF9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766767"/>
        <c:axId val="1858767247"/>
      </c:lineChart>
      <c:dateAx>
        <c:axId val="1858766767"/>
        <c:scaling>
          <c:orientation val="minMax"/>
          <c:min val="45717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767247"/>
        <c:crosses val="autoZero"/>
        <c:auto val="1"/>
        <c:lblOffset val="100"/>
        <c:baseTimeUnit val="days"/>
      </c:dateAx>
      <c:valAx>
        <c:axId val="1858767247"/>
        <c:scaling>
          <c:orientation val="minMax"/>
          <c:max val="175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7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18</xdr:row>
      <xdr:rowOff>161925</xdr:rowOff>
    </xdr:from>
    <xdr:to>
      <xdr:col>7</xdr:col>
      <xdr:colOff>104775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33</xdr:row>
      <xdr:rowOff>0</xdr:rowOff>
    </xdr:from>
    <xdr:to>
      <xdr:col>7</xdr:col>
      <xdr:colOff>200025</xdr:colOff>
      <xdr:row>47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49</xdr:row>
      <xdr:rowOff>9524</xdr:rowOff>
    </xdr:from>
    <xdr:to>
      <xdr:col>7</xdr:col>
      <xdr:colOff>161925</xdr:colOff>
      <xdr:row>61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2</xdr:row>
      <xdr:rowOff>104776</xdr:rowOff>
    </xdr:from>
    <xdr:to>
      <xdr:col>7</xdr:col>
      <xdr:colOff>66675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AD0D2-B3AE-4D17-A5FF-3FF5910D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314325</xdr:colOff>
      <xdr:row>78</xdr:row>
      <xdr:rowOff>85725</xdr:rowOff>
    </xdr:from>
    <xdr:to>
      <xdr:col>7</xdr:col>
      <xdr:colOff>171450</xdr:colOff>
      <xdr:row>92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6E110-A830-489B-9791-E313D801B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304800</xdr:colOff>
      <xdr:row>62</xdr:row>
      <xdr:rowOff>180975</xdr:rowOff>
    </xdr:from>
    <xdr:to>
      <xdr:col>7</xdr:col>
      <xdr:colOff>142875</xdr:colOff>
      <xdr:row>77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B53CE-D0AA-4455-AB5D-6FFDF5BD3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FDADC3-598B-4269-B8EC-69A5C70B17F9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Week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4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</a>
  <a r="1" c="524">
    <v>172.91</v>
    <v>172.95</v>
    <v>171.47</v>
    <v>168.94</v>
    <v>169.11</v>
    <v>167.17</v>
    <v>166.92</v>
    <v>166.13</v>
    <v>167.27</v>
    <v>166.17</v>
    <v>166.44</v>
    <v>167.17</v>
    <v>165.78</v>
    <v>165.11</v>
    <v>167.64</v>
    <v>165.6</v>
    <v>166.56</v>
    <v>167.86</v>
    <v>168.15</v>
    <v>169.62</v>
    <v>168.53</v>
    <v>171.7</v>
    <v>170.97</v>
    <v>170.92</v>
    <v>171.42</v>
    <v>171.47</v>
    <v>173.85</v>
    <v>167.67</v>
    <v>170.61</v>
    <v>168.88</v>
    <v>167.52</v>
    <v>167.86</v>
    <v>166.32</v>
    <v>168.65</v>
    <v>168.83</v>
    <v>168.25</v>
    <v>169.6</v>
    <v>168.26</v>
    <v>168.16</v>
    <v>167.03</v>
    <v>165.34</v>
    <v>164.59</v>
    <v>165.37</v>
    <v>162.04</v>
    <v>163</v>
    <v>163.11000000000001</v>
    <v>163.05000000000001</v>
    <v>164.73</v>
    <v>164.54</v>
    <v>165.3</v>
    <v>164.78</v>
    <v>164.66</v>
    <v>171.26</v>
    <v>171.8</v>
    <v>171.86</v>
    <v>172.45</v>
    <v>172.02</v>
    <v>172.6</v>
    <v>172.73</v>
    <v>173.57</v>
    <v>175.01</v>
    <v>172.98</v>
    <v>171.44</v>
    <v>169.68</v>
    <v>169.65</v>
    <v>169.14</v>
    <v>169.58</v>
    <v>170.61</v>
    <v>168.95</v>
    <v>168.36</v>
    <v>168.1</v>
    <v>166.95</v>
    <v>167.5</v>
    <v>169.48</v>
    <v>172.27</v>
    <v>174.13</v>
    <v>176.46</v>
    <v>171.22</v>
    <v>177.41</v>
    <v>176.68</v>
    <v>175.58</v>
    <v>176.14</v>
    <v>175.91</v>
    <v>175.15</v>
    <v>175.45</v>
    <v>176.15</v>
    <v>175.82</v>
    <v>178.02</v>
    <v>177.41</v>
    <v>178.06</v>
    <v>179.79</v>
    <v>180.9</v>
    <v>179.87</v>
    <v>179.46</v>
    <v>183.11</v>
    <v>182.19</v>
    <v>180.31</v>
    <v>181.08</v>
    <v>182.09</v>
    <v>179.27</v>
    <v>177.99</v>
    <v>173.38</v>
    <v>171.15</v>
    <v>170.48</v>
    <v>172.9</v>
    <v>171.23</v>
    <v>173.89</v>
    <v>173.49</v>
    <v>173.2</v>
    <v>171.04</v>
    <v>165.9</v>
    <v>165.07</v>
    <v>163.83000000000001</v>
    <v>163.33000000000001</v>
    <v>163.81</v>
    <v>166.14</v>
    <v>166.48</v>
    <v>166.68</v>
    <v>167.28</v>
    <v>168.08</v>
    <v>167.35</v>
    <v>166.74</v>
    <v>166.26</v>
    <v>164.93</v>
    <v>162.88999999999999</v>
    <v>163.58000000000001</v>
    <v>162.6</v>
    <v>164.39</v>
    <v>162.12</v>
    <v>161.9</v>
    <v>163.59</v>
    <v>163.95</v>
    <v>166.38</v>
    <v>163.86</v>
    <v>164.76</v>
    <v>169.89</v>
    <v>170.37</v>
    <v>169.36</v>
    <v>167.66</v>
    <v>166.28</v>
    <v>168.17</v>
    <v>171.02</v>
    <v>172.75</v>
    <v>173.21</v>
    <v>173.18</v>
    <v>172.67</v>
    <v>174.96</v>
    <v>178.04</v>
    <v>174.04</v>
    <v>172.49</v>
    <v>171.79</v>
    <v>172.37</v>
    <v>172.39</v>
    <v>171.42</v>
    <v>172.37</v>
    <v>173.71</v>
    <v>172.52</v>
    <v>172.62</v>
    <v>173.82</v>
    <v>175.85</v>
    <v>175.21</v>
    <v>175.74</v>
    <v>175.87</v>
    <v>175.97</v>
    <v>175.3</v>
    <v>173.92</v>
    <v>172.09</v>
    <v>172.88</v>
    <v>177.54</v>
    <v>178.52</v>
    <v>179.3</v>
    <v>177.34</v>
    <v>178.19</v>
    <v>177.81</v>
    <v>175.78</v>
    <v>177.25</v>
    <v>177.36</v>
    <v>177.21</v>
    <v>176.87</v>
    <v>175.21</v>
    <v>174.66</v>
    <v>171.18</v>
    <v>172.11</v>
    <v>169.92</v>
    <v>169.4</v>
    <v>169.69</v>
    <v>170</v>
    <v>170.05</v>
    <v>171.38</v>
    <v>169.55</v>
    <v>168.53</v>
    <v>167.97</v>
    <v>167.21</v>
    <v>170.42</v>
    <v>172.54</v>
    <v>172.99</v>
    <v>174.81</v>
    <v>176.1</v>
    <v>175.9</v>
    <v>174.48</v>
    <v>174.67</v>
    <v>175.06</v>
    <v>175.01</v>
    <v>174.37</v>
    <v>172.95</v>
    <v>172.16</v>
    <v>171.79</v>
    <v>169.84</v>
    <v>167.5</v>
    <v>166.21</v>
    <v>166.08</v>
    <v>165.59</v>
    <v>166.34</v>
    <v>167.85</v>
    <v>164.71</v>
    <v>164</v>
    <v>165.11</v>
    <v>164.26</v>
    <v>164.34</v>
    <v>164.74</v>
    <v>165.15</v>
    <v>158.62</v>
    <v>158.33000000000001</v>
    <v>156.72</v>
    <v>158.74</v>
    <v>160.34</v>
    <v>162</v>
    <v>163.05000000000001</v>
    <v>162.16</v>
    <v>162.72</v>
    <v>163.44999999999999</v>
    <v>163.05000000000001</v>
    <v>161.69999999999999</v>
    <v>160.18</v>
    <v>160.49</v>
    <v>157.79</v>
    <v>159.47</v>
    <v>159.84</v>
    <v>156.77000000000001</v>
    <v>158.9</v>
    <v>157.97</v>
    <v>156.02000000000001</v>
    <v>156.13999999999999</v>
    <v>154.43</v>
    <v>151.47</v>
    <v>152.79</v>
    <v>151.29</v>
    <v>152.81</v>
    <v>152.44</v>
    <v>152.88999999999999</v>
    <v>151.72</v>
    <v>152.06</v>
    <v>150.21</v>
    <v>149.65</v>
    <v>146.27000000000001</v>
    <v>145.4</v>
    <v>146.54</v>
    <v>142.63999999999999</v>
    <v>144.5</v>
    <v>144.94999999999999</v>
    <v>144.78</v>
    <v>146.54</v>
    <v>148.25</v>
    <v>148.55000000000001</v>
    <v>148.09</v>
    <v>148.62</v>
    <v>149.12</v>
    <v>154.61000000000001</v>
    <v>150.25</v>
    <v>150.37</v>
    <v>151.9</v>
    <v>150.69</v>
    <v>150.27000000000001</v>
    <v>143.49</v>
    <v>145.66</v>
    <v>145.35</v>
    <v>144.58000000000001</v>
    <v>144.35</v>
    <v>145.63999999999999</v>
    <v>143.99</v>
    <v>144.58000000000001</v>
    <v>143.38999999999999</v>
    <v>144.1</v>
    <v>145.81</v>
    <v>149.1</v>
    <v>153.5</v>
    <v>153.85</v>
    <v>156.41999999999999</v>
    <v>151.51</v>
    <v>152.02000000000001</v>
    <v>153.47</v>
    <v>155.99</v>
    <v>154.19</v>
    <v>153.88</v>
    <v>154.61000000000001</v>
    <v>154.44</v>
    <v>156.25</v>
    <v>152.33000000000001</v>
    <v>148.16999999999999</v>
    <v>148.34</v>
    <v>148.59</v>
    <v>151.34</v>
    <v>148.99</v>
    <v>148.11000000000001</v>
    <v>147.15</v>
    <v>145.44999999999999</v>
    <v>146.44999999999999</v>
    <v>145.54</v>
    <v>148.63999999999999</v>
    <v>149.66999999999999</v>
    <v>149.27000000000001</v>
    <v>149.94</v>
    <v>149.66999999999999</v>
    <v>149.12</v>
    <v>151.37</v>
    <v>146.61000000000001</v>
    <v>143.19</v>
    <v>140.30000000000001</v>
    <v>145.59</v>
    <v>144.13999999999999</v>
    <v>144.43</v>
    <v>146.75</v>
    <v>142.84</v>
    <v>140.09</v>
    <v>142.84</v>
    <v>141.72999999999999</v>
    <v>143.46</v>
    <v>142.26</v>
    <v>135.31</v>
    <v>133.38</v>
    <v>133.76</v>
    <v>134.31</v>
    <v>135.58000000000001</v>
    <v>133.55000000000001</v>
    <v>133.75</v>
    <v>131.99</v>
    <v>130.74</v>
    <v>131.91499999999999</v>
    <v>131.43</v>
    <v>130.44</v>
    <v>131.68</v>
    <v>130.31</v>
    <v>128.44999999999999</v>
    <v>131.5</v>
    <v>131.97999999999999</v>
    <v>131.79</v>
    <v>131.80000000000001</v>
    <v>130.15</v>
    <v>130.12</v>
    <v>129.34</v>
    <v>131.37</v>
    <v>130.66999999999999</v>
    <v>131.91999999999999</v>
    <v>131.44999999999999</v>
    <v>130.91</v>
    <v>131.85</v>
    <v>131.74</v>
    <v>131.11000000000001</v>
    <v>130.03</v>
    <v>129.96</v>
    <v>131.83000000000001</v>
    <v>129.9</v>
    <v>132.30000000000001</v>
    <v>130.85</v>
    <v>131.41</v>
    <v>129.29</v>
    <v>129.07</v>
    <v>129.07</v>
    <v>129.09</v>
    <v>131.05000000000001</v>
    <v>128.02000000000001</v>
    <v>128.22</v>
    <v>131.04</v>
    <v>132.04</v>
    <v>135.26</v>
    <v>136.47999999999999</v>
    <v>135.38</v>
    <v>134.44999999999999</v>
    <v>135.04</v>
    <v>134.47999999999999</v>
    <v>136.08000000000001</v>
    <v>135.26</v>
    <v>135.57</v>
    <v>133.81</v>
    <v>135.35</v>
    <v>145.44</v>
    <v>143.24</v>
    <v>141.69999999999999</v>
    <v>146.04</v>
    <v>145.66</v>
    <v>144.51</v>
    <v>143.44999999999999</v>
    <v>141.57</v>
    <v>143.88999999999999</v>
    <v>142.86000000000001</v>
    <v>137.91999999999999</v>
    <v>139.28</v>
    <v>139.56</v>
    <v>139.44999999999999</v>
    <v>140.80000000000001</v>
    <v>143.91999999999999</v>
    <v>145.21</v>
    <v>144.87</v>
    <v>146.87</v>
    <v>149.35</v>
    <v>148.62</v>
    <v>150.4</v>
    <v>149.55000000000001</v>
    <v>152.16</v>
    <v>150.72999999999999</v>
    <v>148.97999999999999</v>
    <v>149.63999999999999</v>
    <v>148.19999999999999</v>
    <v>147</v>
    <v>147.63999999999999</v>
    <v>146.97999999999999</v>
    <v>148.65</v>
    <v>150.28</v>
    <v>148.63999999999999</v>
    <v>146.88999999999999</v>
    <v>146.38999999999999</v>
    <v>141.71</v>
    <v>143.1</v>
    <v>142.66</v>
    <v>144.22999999999999</v>
    <v>143.53</v>
    <v>140.63999999999999</v>
    <v>140.03</v>
    <v>141.22999999999999</v>
    <v>140.72999999999999</v>
    <v>141.76</v>
    <v>141.03</v>
    <v>141.9</v>
    <v>142.16999999999999</v>
    <v>139.91999999999999</v>
    <v>140.44</v>
    <v>140.16999999999999</v>
    <v>140.44</v>
    <v>143.13999999999999</v>
    <v>142.31</v>
    <v>141.97999999999999</v>
    <v>139.69999999999999</v>
    <v>140.79</v>
    <v>138.84</v>
    <v>144.71</v>
    <v>150.08000000000001</v>
    <v>148.88999999999999</v>
    <v>151.54</v>
    <v>151.16</v>
    <v>152.66999999999999</v>
    <v>153.71</v>
    <v>153.63999999999999</v>
    <v>153.18</v>
    <v>153.03</v>
    <v>151.51</v>
    <v>151.55000000000001</v>
    <v>152.63</v>
    <v>150.12</v>
    <v>146.16</v>
    <v>147.55000000000001</v>
    <v>146.09</v>
    <v>143.6</v>
    <v>142.9</v>
    <v>142.86000000000001</v>
    <v>141.58000000000001</v>
    <v>142.94999999999999</v>
    <v>142.62</v>
    <v>145.08000000000001</v>
    <v>144.38999999999999</v>
    <v>145.02000000000001</v>
    <v>145.85</v>
    <v>147.83000000000001</v>
    <v>148.77000000000001</v>
    <v>147.11000000000001</v>
    <v>146.1</v>
    <v>146.33000000000001</v>
    <v>145.5</v>
    <v>146.11000000000001</v>
    <v>147.97999999999999</v>
    <v>148.74</v>
    <v>149.51</v>
    <v>148.61000000000001</v>
    <v>148.06</v>
    <v>146.91</v>
    <v>145.02000000000001</v>
    <v>145.63</v>
    <v>144.63999999999999</v>
    <v>149.69999999999999</v>
    <v>149.04</v>
    <v>150.65</v>
    <v>151.22</v>
    <v>150.37</v>
    <v>150.08000000000001</v>
    <v>149.37</v>
    <v>148.16</v>
    <v>147.05000000000001</v>
    <v>143.68</v>
    <v>143.74</v>
    <v>143.78</v>
    <v>144.24</v>
    <v>144.16</v>
    <v>143.52000000000001</v>
    <v>142.22999999999999</v>
    <v>139.91999999999999</v>
    <v>138.96</v>
    <v>137.01</v>
    <v>139.37</v>
    <v>139.91</v>
    <v>141.36000000000001</v>
    <v>143.47999999999999</v>
    <v>145.91999999999999</v>
    <v>146.57</v>
    <v>146.32</v>
    <v>147.66</v>
    <v>146.74</v>
    <v>144.4</v>
    <v>144.58000000000001</v>
    <v>145.87</v>
    <v>148.78</v>
    <v>148.5</v>
    <v>148.69</v>
    <v>153.63</v>
    <v>155.19999999999999</v>
    <v>162.85</v>
  </a>
  <a r="1" c="524">
    <v>5743112</v>
    <v>5588224</v>
    <v>6283225</v>
    <v>5252478</v>
    <v>5735563</v>
    <v>6268763</v>
    <v>4394876</v>
    <v>4800727</v>
    <v>3546260</v>
    <v>4576842</v>
    <v>4392400</v>
    <v>4709362</v>
    <v>6528578</v>
    <v>5697428</v>
    <v>4932727</v>
    <v>4984700</v>
    <v>5373787</v>
    <v>4848987</v>
    <v>5713559</v>
    <v>4804243</v>
    <v>5769214</v>
    <v>4920789</v>
    <v>5307883</v>
    <v>5142706</v>
    <v>5182879</v>
    <v>5769679</v>
    <v>9269699</v>
    <v>12731739</v>
    <v>7867544</v>
    <v>7302014</v>
    <v>5731904</v>
    <v>4451374</v>
    <v>5245994</v>
    <v>6117866</v>
    <v>4195366</v>
    <v>7539232</v>
    <v>6409765</v>
    <v>3836980</v>
    <v>3567644</v>
    <v>5275282</v>
    <v>8489449</v>
    <v>6109856</v>
    <v>4303882</v>
    <v>6631346</v>
    <v>5302463</v>
    <v>5801610</v>
    <v>6065294</v>
    <v>5404790</v>
    <v>6158507</v>
    <v>4585789</v>
    <v>5155326</v>
    <v>21887267</v>
    <v>10478533</v>
    <v>7653926</v>
    <v>5046920</v>
    <v>4343007</v>
    <v>4106531</v>
    <v>3941985</v>
    <v>4593166</v>
    <v>4911274</v>
    <v>5710539</v>
    <v>4815366</v>
    <v>5158492</v>
    <v>5828024</v>
    <v>5422567</v>
    <v>4412390</v>
    <v>3755725</v>
    <v>3774304</v>
    <v>4581676</v>
    <v>4241563</v>
    <v>5453736</v>
    <v>5133181</v>
    <v>4569689</v>
    <v>4069200</v>
    <v>5574662</v>
    <v>6636697</v>
    <v>7288701</v>
    <v>9145041</v>
    <v>10016685</v>
    <v>7441497</v>
    <v>4472102</v>
    <v>3224473</v>
    <v>4465331</v>
    <v>4340495</v>
    <v>3964773</v>
    <v>3492120</v>
    <v>3576284</v>
    <v>3707968</v>
    <v>3400880</v>
    <v>2421414</v>
    <v>4201814</v>
    <v>4408084</v>
    <v>3508716</v>
    <v>4785118</v>
    <v>5984739</v>
    <v>4449107</v>
    <v>3221153</v>
    <v>3288063</v>
    <v>4046993</v>
    <v>4009026</v>
    <v>3447399</v>
    <v>6178117</v>
    <v>5352113</v>
    <v>3903880</v>
    <v>8155606</v>
    <v>5032377</v>
    <v>4619065</v>
    <v>5370688</v>
    <v>5536694</v>
    <v>3521165</v>
    <v>9432639</v>
    <v>8284512</v>
    <v>6281102</v>
    <v>5432649</v>
    <v>3603340</v>
    <v>5412239</v>
    <v>3519509</v>
    <v>4942417</v>
    <v>10899240</v>
    <v>4476929</v>
    <v>4220902</v>
    <v>4778280</v>
    <v>4326460</v>
    <v>8756033</v>
    <v>4508019</v>
    <v>4650803</v>
    <v>2879575</v>
    <v>4208217</v>
    <v>5268800</v>
    <v>5801833</v>
    <v>7372266</v>
    <v>10259333</v>
    <v>6677035</v>
    <v>4551803</v>
    <v>4461676</v>
    <v>7670981</v>
    <v>6228568</v>
    <v>5332848</v>
    <v>5308367</v>
    <v>3344293</v>
    <v>5867046</v>
    <v>6270889</v>
    <v>5746255</v>
    <v>4152662</v>
    <v>4994644</v>
    <v>6245571</v>
    <v>5994458</v>
    <v>6856083</v>
    <v>7502535</v>
    <v>7287051</v>
    <v>5429077</v>
    <v>5112483</v>
    <v>3223163</v>
    <v>3802411</v>
    <v>3894698</v>
    <v>3555959</v>
    <v>4472137</v>
    <v>4614804</v>
    <v>3521653</v>
    <v>5330053</v>
    <v>4020749</v>
    <v>5265989</v>
    <v>5283617</v>
    <v>4146861</v>
    <v>3520562</v>
    <v>3915499</v>
    <v>4654540</v>
    <v>8677312</v>
    <v>7032051</v>
    <v>6188454</v>
    <v>5743141</v>
    <v>6395276</v>
    <v>4666169</v>
    <v>4315764</v>
    <v>4035975</v>
    <v>4224894</v>
    <v>3290404</v>
    <v>4940100</v>
    <v>6305100</v>
    <v>5307852</v>
    <v>5504038</v>
    <v>12198430</v>
    <v>5350483</v>
    <v>7837853</v>
    <v>4505130</v>
    <v>5673635</v>
    <v>7545935</v>
    <v>5054615</v>
    <v>7095860</v>
    <v>5785972</v>
    <v>5090330</v>
    <v>4391321</v>
    <v>5459506</v>
    <v>8297792</v>
    <v>7177529</v>
    <v>5292404</v>
    <v>4720299</v>
    <v>4536048</v>
    <v>5802290</v>
    <v>4400852</v>
    <v>4125910</v>
    <v>5097170</v>
    <v>6436516</v>
    <v>3790452</v>
    <v>3800654</v>
    <v>4244903</v>
    <v>4442863</v>
    <v>5186635</v>
    <v>5127890</v>
    <v>4801541</v>
    <v>5582423</v>
    <v>6339121</v>
    <v>4885472</v>
    <v>3678708</v>
    <v>7849309</v>
    <v>5333532</v>
    <v>4618265</v>
    <v>3761969</v>
    <v>5386925</v>
    <v>4145443</v>
    <v>5422685</v>
    <v>9108948</v>
    <v>6992040</v>
    <v>8248864</v>
    <v>5067255</v>
    <v>5976987</v>
    <v>5846256</v>
    <v>8580393</v>
    <v>4653842</v>
    <v>3622893</v>
    <v>2799312</v>
    <v>4967612</v>
    <v>4277392</v>
    <v>6964605</v>
    <v>5229646</v>
    <v>8359166</v>
    <v>8380406</v>
    <v>5329401</v>
    <v>7925928</v>
    <v>6849507</v>
    <v>4353854</v>
    <v>6696490</v>
    <v>6572560</v>
    <v>7620865</v>
    <v>9829489</v>
    <v>19205164</v>
    <v>6822232</v>
    <v>3399800</v>
    <v>5529590</v>
    <v>4287007</v>
    <v>5397016</v>
    <v>4274960</v>
    <v>4970233</v>
    <v>5221639</v>
    <v>9470626</v>
    <v>7473300</v>
    <v>6791848</v>
    <v>9632651</v>
    <v>8101358</v>
    <v>6996448</v>
    <v>7141555</v>
    <v>5068040</v>
    <v>7338870</v>
    <v>7456182</v>
    <v>5905060</v>
    <v>4759125</v>
    <v>4509550</v>
    <v>9820585</v>
    <v>6349670</v>
    <v>4874072</v>
    <v>4671278</v>
    <v>4906744</v>
    <v>7196227</v>
    <v>12804949</v>
    <v>9249234</v>
    <v>5604877</v>
    <v>5872343</v>
    <v>8715391</v>
    <v>6353965</v>
    <v>6658177</v>
    <v>7175276</v>
    <v>5001806</v>
    <v>8738725</v>
    <v>5777273</v>
    <v>6789805</v>
    <v>10604404</v>
    <v>7187038</v>
    <v>9474619</v>
    <v>9076519</v>
    <v>6730985</v>
    <v>8314044</v>
    <v>8321674</v>
    <v>10274235</v>
    <v>5578701</v>
    <v>8421031</v>
    <v>8997748</v>
    <v>11156892</v>
    <v>7981566</v>
    <v>8330241</v>
    <v>5351093</v>
    <v>5277544</v>
    <v>5449712</v>
    <v>8158556</v>
    <v>6080054</v>
    <v>4536367</v>
    <v>11574777</v>
    <v>5968852</v>
    <v>4763277</v>
    <v>5885290</v>
    <v>5397532</v>
    <v>8550883</v>
    <v>9985702</v>
    <v>6072838</v>
    <v>5866172</v>
    <v>8216247</v>
    <v>12911386</v>
    <v>14423214</v>
    <v>9488865</v>
    <v>14067005</v>
    <v>10980259</v>
    <v>8563304</v>
    <v>5393999</v>
    <v>5459551</v>
    <v>7878593</v>
    <v>6131364</v>
    <v>7412800</v>
    <v>7144709</v>
    <v>7760035</v>
    <v>15577256</v>
    <v>11544686</v>
    <v>8498608</v>
    <v>7010733</v>
    <v>7923472</v>
    <v>6807019</v>
    <v>7169731</v>
    <v>8972159</v>
    <v>6889893</v>
    <v>6313815</v>
    <v>6392355</v>
    <v>4770504</v>
    <v>8392720</v>
    <v>8650220</v>
    <v>10463015</v>
    <v>9165089</v>
    <v>8896370</v>
    <v>9406194</v>
    <v>7624244</v>
    <v>9243724</v>
    <v>7140231</v>
    <v>8122494</v>
    <v>13974764</v>
    <v>9431450</v>
    <v>6659069</v>
    <v>12992075</v>
    <v>6723720</v>
    <v>7339524</v>
    <v>6519728</v>
    <v>9566619</v>
    <v>7628224</v>
    <v>8453146</v>
    <v>11852874</v>
    <v>9168356</v>
    <v>11444911</v>
    <v>9581034</v>
    <v>11183692</v>
    <v>10235225</v>
    <v>8785766</v>
    <v>23000967</v>
    <v>12840356</v>
    <v>9226773</v>
    <v>10922565</v>
    <v>11538069</v>
    <v>26536478</v>
    <v>11402443</v>
    <v>12846685</v>
    <v>9388667</v>
    <v>4941378</v>
    <v>7773744</v>
    <v>7718265</v>
    <v>7762618</v>
    <v>8870905</v>
    <v>7963646</v>
    <v>8480302</v>
    <v>8933520</v>
    <v>10941629</v>
    <v>26161000</v>
    <v>13752825</v>
    <v>9025630</v>
    <v>8281528</v>
    <v>6165951</v>
    <v>9749426</v>
    <v>7021594</v>
    <v>10639129</v>
    <v>6282944</v>
    <v>9738383</v>
    <v>11689674</v>
    <v>7630810</v>
    <v>8384672</v>
    <v>5535084</v>
    <v>6747448</v>
    <v>7674642</v>
    <v>5315087</v>
    <v>5773384</v>
    <v>7670149</v>
    <v>6147005</v>
    <v>6892466</v>
    <v>9162178</v>
    <v>9900999</v>
    <v>8596943</v>
    <v>10023466</v>
    <v>8153618</v>
    <v>5218019</v>
    <v>6624298</v>
    <v>11208146</v>
    <v>8092909</v>
    <v>9265077</v>
    <v>7760710</v>
    <v>17348611</v>
    <v>11259203</v>
    <v>6342232</v>
    <v>7186260</v>
    <v>11127619</v>
    <v>5866442</v>
    <v>6015122</v>
    <v>6144363</v>
    <v>5714114</v>
    <v>7279639</v>
    <v>9283480</v>
    <v>6092884</v>
    <v>6106557</v>
    <v>12365531</v>
    <v>5797558</v>
    <v>6356489</v>
    <v>5949145</v>
    <v>7101666</v>
    <v>6224693</v>
    <v>11930247</v>
    <v>7583411</v>
    <v>5880796</v>
    <v>4497315</v>
    <v>5425725</v>
    <v>6750712</v>
    <v>6110309</v>
    <v>8256741</v>
    <v>13706629</v>
    <v>17545164</v>
    <v>7271983</v>
    <v>8371136</v>
    <v>6101096</v>
    <v>8532889</v>
    <v>6710141</v>
    <v>4810592</v>
    <v>5614266</v>
    <v>6485959</v>
    <v>6091762</v>
    <v>3580182</v>
    <v>4744578</v>
    <v>5626528</v>
    <v>7767556</v>
    <v>5752708</v>
    <v>6313592</v>
    <v>8331545</v>
    <v>8302941</v>
    <v>7136424</v>
    <v>6449386</v>
    <v>7592652</v>
    <v>6617494</v>
    <v>7683573</v>
    <v>5790488</v>
    <v>6663264</v>
    <v>5770478</v>
    <v>7320150</v>
    <v>10821528</v>
    <v>8123236</v>
    <v>6878914</v>
    <v>7911761</v>
    <v>9391443</v>
    <v>8953952</v>
    <v>5180946</v>
    <v>2969300</v>
    <v>7623275</v>
    <v>6830290</v>
    <v>5109218</v>
    <v>6802969</v>
    <v>5971510</v>
    <v>6327412</v>
    <v>10035178</v>
    <v>18526426</v>
    <v>7854008</v>
    <v>8143100</v>
    <v>8409625</v>
    <v>7520334</v>
    <v>8067133</v>
    <v>6643173</v>
    <v>17543516</v>
    <v>8818726</v>
    <v>7254772</v>
    <v>2618700</v>
    <v>4975533</v>
    <v>7201890</v>
    <v>4713783</v>
    <v>4380343</v>
    <v>7182054</v>
    <v>9031377</v>
    <v>9576481</v>
    <v>8539847</v>
    <v>8762824</v>
    <v>6767560</v>
    <v>12223436</v>
    <v>9030241</v>
    <v>8329463</v>
    <v>5797798</v>
    <v>10313487</v>
    <v>9982823</v>
    <v>7679571</v>
    <v>8167356</v>
    <v>5870098</v>
    <v>6589570</v>
    <v>7114901</v>
    <v>5954075</v>
    <v>9062259</v>
    <v>12641264</v>
    <v>14660510</v>
    <v>19096432</v>
  </a>
</arrayData>
</file>

<file path=xl/richData/rdrichvalue.xml><?xml version="1.0" encoding="utf-8"?>
<rvData xmlns="http://schemas.microsoft.com/office/spreadsheetml/2017/richdata" count="1538">
  <rv s="0">
    <fb>45293</fb>
    <v>0</v>
  </rv>
  <rv s="0">
    <fb>172.91</fb>
    <v>1</v>
  </rv>
  <rv s="0">
    <fb>5743112</fb>
    <v>2</v>
  </rv>
  <rv s="0">
    <fb>45294</fb>
    <v>0</v>
  </rv>
  <rv s="0">
    <fb>172.95</fb>
    <v>1</v>
  </rv>
  <rv s="0">
    <fb>5588224</fb>
    <v>2</v>
  </rv>
  <rv s="0">
    <fb>45295</fb>
    <v>0</v>
  </rv>
  <rv s="0">
    <fb>171.47</fb>
    <v>1</v>
  </rv>
  <rv s="0">
    <fb>6283225</fb>
    <v>2</v>
  </rv>
  <rv s="0">
    <fb>45296</fb>
    <v>0</v>
  </rv>
  <rv s="0">
    <fb>168.94</fb>
    <v>1</v>
  </rv>
  <rv s="0">
    <fb>5252478</fb>
    <v>2</v>
  </rv>
  <rv s="0">
    <fb>45299</fb>
    <v>0</v>
  </rv>
  <rv s="0">
    <fb>169.11</fb>
    <v>1</v>
  </rv>
  <rv s="0">
    <fb>5735563</fb>
    <v>2</v>
  </rv>
  <rv s="0">
    <fb>45300</fb>
    <v>0</v>
  </rv>
  <rv s="0">
    <fb>167.17</fb>
    <v>1</v>
  </rv>
  <rv s="0">
    <fb>6268763</fb>
    <v>2</v>
  </rv>
  <rv s="0">
    <fb>45301</fb>
    <v>0</v>
  </rv>
  <rv s="0">
    <fb>166.92</fb>
    <v>1</v>
  </rv>
  <rv s="0">
    <fb>4394876</fb>
    <v>2</v>
  </rv>
  <rv s="0">
    <fb>45302</fb>
    <v>0</v>
  </rv>
  <rv s="0">
    <fb>166.13</fb>
    <v>1</v>
  </rv>
  <rv s="0">
    <fb>4800727</fb>
    <v>2</v>
  </rv>
  <rv s="0">
    <fb>45303</fb>
    <v>0</v>
  </rv>
  <rv s="0">
    <fb>167.27</fb>
    <v>1</v>
  </rv>
  <rv s="0">
    <fb>3546260</fb>
    <v>2</v>
  </rv>
  <rv s="0">
    <fb>45307</fb>
    <v>0</v>
  </rv>
  <rv s="0">
    <fb>166.17</fb>
    <v>1</v>
  </rv>
  <rv s="0">
    <fb>4576842</fb>
    <v>2</v>
  </rv>
  <rv s="0">
    <fb>45308</fb>
    <v>0</v>
  </rv>
  <rv s="0">
    <fb>166.44</fb>
    <v>1</v>
  </rv>
  <rv s="0">
    <fb>4392400</fb>
    <v>2</v>
  </rv>
  <rv s="0">
    <fb>45309</fb>
    <v>0</v>
  </rv>
  <rv s="0">
    <fb>4709362</fb>
    <v>2</v>
  </rv>
  <rv s="0">
    <fb>45310</fb>
    <v>0</v>
  </rv>
  <rv s="0">
    <fb>165.78</fb>
    <v>1</v>
  </rv>
  <rv s="0">
    <fb>6528578</fb>
    <v>2</v>
  </rv>
  <rv s="0">
    <fb>45313</fb>
    <v>0</v>
  </rv>
  <rv s="0">
    <fb>165.11</fb>
    <v>1</v>
  </rv>
  <rv s="0">
    <fb>5697428</fb>
    <v>2</v>
  </rv>
  <rv s="0">
    <fb>45314</fb>
    <v>0</v>
  </rv>
  <rv s="0">
    <fb>167.64</fb>
    <v>1</v>
  </rv>
  <rv s="0">
    <fb>4932727</fb>
    <v>2</v>
  </rv>
  <rv s="0">
    <fb>45315</fb>
    <v>0</v>
  </rv>
  <rv s="0">
    <fb>165.6</fb>
    <v>1</v>
  </rv>
  <rv s="0">
    <fb>4984700</fb>
    <v>2</v>
  </rv>
  <rv s="0">
    <fb>45316</fb>
    <v>0</v>
  </rv>
  <rv s="0">
    <fb>166.56</fb>
    <v>1</v>
  </rv>
  <rv s="0">
    <fb>5373787</fb>
    <v>2</v>
  </rv>
  <rv s="0">
    <fb>45317</fb>
    <v>0</v>
  </rv>
  <rv s="0">
    <fb>167.86</fb>
    <v>1</v>
  </rv>
  <rv s="0">
    <fb>4848987</fb>
    <v>2</v>
  </rv>
  <rv s="0">
    <fb>45320</fb>
    <v>0</v>
  </rv>
  <rv s="0">
    <fb>168.15</fb>
    <v>1</v>
  </rv>
  <rv s="0">
    <fb>5713559</fb>
    <v>2</v>
  </rv>
  <rv s="0">
    <fb>45321</fb>
    <v>0</v>
  </rv>
  <rv s="0">
    <fb>169.62</fb>
    <v>1</v>
  </rv>
  <rv s="0">
    <fb>4804243</fb>
    <v>2</v>
  </rv>
  <rv s="0">
    <fb>45322</fb>
    <v>0</v>
  </rv>
  <rv s="0">
    <fb>168.53</fb>
    <v>1</v>
  </rv>
  <rv s="0">
    <fb>5769214</fb>
    <v>2</v>
  </rv>
  <rv s="0">
    <fb>45323</fb>
    <v>0</v>
  </rv>
  <rv s="0">
    <fb>171.7</fb>
    <v>1</v>
  </rv>
  <rv s="0">
    <fb>4920789</fb>
    <v>2</v>
  </rv>
  <rv s="0">
    <fb>45324</fb>
    <v>0</v>
  </rv>
  <rv s="0">
    <fb>170.97</fb>
    <v>1</v>
  </rv>
  <rv s="0">
    <fb>5307883</fb>
    <v>2</v>
  </rv>
  <rv s="0">
    <fb>45327</fb>
    <v>0</v>
  </rv>
  <rv s="0">
    <fb>170.92</fb>
    <v>1</v>
  </rv>
  <rv s="0">
    <fb>5142706</fb>
    <v>2</v>
  </rv>
  <rv s="0">
    <fb>45328</fb>
    <v>0</v>
  </rv>
  <rv s="0">
    <fb>171.42</fb>
    <v>1</v>
  </rv>
  <rv s="0">
    <fb>5182879</fb>
    <v>2</v>
  </rv>
  <rv s="0">
    <fb>45329</fb>
    <v>0</v>
  </rv>
  <rv s="0">
    <fb>5769679</fb>
    <v>2</v>
  </rv>
  <rv s="0">
    <fb>45330</fb>
    <v>0</v>
  </rv>
  <rv s="0">
    <fb>173.85</fb>
    <v>1</v>
  </rv>
  <rv s="0">
    <fb>9269699</fb>
    <v>2</v>
  </rv>
  <rv s="0">
    <fb>45331</fb>
    <v>0</v>
  </rv>
  <rv s="0">
    <fb>167.67</fb>
    <v>1</v>
  </rv>
  <rv s="0">
    <fb>12731739</fb>
    <v>2</v>
  </rv>
  <rv s="0">
    <fb>45334</fb>
    <v>0</v>
  </rv>
  <rv s="0">
    <fb>170.61</fb>
    <v>1</v>
  </rv>
  <rv s="0">
    <fb>7867544</fb>
    <v>2</v>
  </rv>
  <rv s="0">
    <fb>45335</fb>
    <v>0</v>
  </rv>
  <rv s="0">
    <fb>168.88</fb>
    <v>1</v>
  </rv>
  <rv s="0">
    <fb>7302014</fb>
    <v>2</v>
  </rv>
  <rv s="0">
    <fb>45336</fb>
    <v>0</v>
  </rv>
  <rv s="0">
    <fb>167.52</fb>
    <v>1</v>
  </rv>
  <rv s="0">
    <fb>5731904</fb>
    <v>2</v>
  </rv>
  <rv s="0">
    <fb>45337</fb>
    <v>0</v>
  </rv>
  <rv s="0">
    <fb>4451374</fb>
    <v>2</v>
  </rv>
  <rv s="0">
    <fb>45338</fb>
    <v>0</v>
  </rv>
  <rv s="0">
    <fb>166.32</fb>
    <v>1</v>
  </rv>
  <rv s="0">
    <fb>5245994</fb>
    <v>2</v>
  </rv>
  <rv s="0">
    <fb>45342</fb>
    <v>0</v>
  </rv>
  <rv s="0">
    <fb>168.65</fb>
    <v>1</v>
  </rv>
  <rv s="0">
    <fb>6117866</fb>
    <v>2</v>
  </rv>
  <rv s="0">
    <fb>45343</fb>
    <v>0</v>
  </rv>
  <rv s="0">
    <fb>168.83</fb>
    <v>1</v>
  </rv>
  <rv s="0">
    <fb>4195366</fb>
    <v>2</v>
  </rv>
  <rv s="0">
    <fb>45344</fb>
    <v>0</v>
  </rv>
  <rv s="0">
    <fb>168.25</fb>
    <v>1</v>
  </rv>
  <rv s="0">
    <fb>7539232</fb>
    <v>2</v>
  </rv>
  <rv s="0">
    <fb>45345</fb>
    <v>0</v>
  </rv>
  <rv s="0">
    <fb>169.6</fb>
    <v>1</v>
  </rv>
  <rv s="0">
    <fb>6409765</fb>
    <v>2</v>
  </rv>
  <rv s="0">
    <fb>45348</fb>
    <v>0</v>
  </rv>
  <rv s="0">
    <fb>168.26</fb>
    <v>1</v>
  </rv>
  <rv s="0">
    <fb>3836980</fb>
    <v>2</v>
  </rv>
  <rv s="0">
    <fb>45349</fb>
    <v>0</v>
  </rv>
  <rv s="0">
    <fb>168.16</fb>
    <v>1</v>
  </rv>
  <rv s="0">
    <fb>3567644</fb>
    <v>2</v>
  </rv>
  <rv s="0">
    <fb>45350</fb>
    <v>0</v>
  </rv>
  <rv s="0">
    <fb>167.03</fb>
    <v>1</v>
  </rv>
  <rv s="0">
    <fb>5275282</fb>
    <v>2</v>
  </rv>
  <rv s="0">
    <fb>45351</fb>
    <v>0</v>
  </rv>
  <rv s="0">
    <fb>165.34</fb>
    <v>1</v>
  </rv>
  <rv s="0">
    <fb>8489449</fb>
    <v>2</v>
  </rv>
  <rv s="0">
    <fb>45352</fb>
    <v>0</v>
  </rv>
  <rv s="0">
    <fb>164.59</fb>
    <v>1</v>
  </rv>
  <rv s="0">
    <fb>6109856</fb>
    <v>2</v>
  </rv>
  <rv s="0">
    <fb>45355</fb>
    <v>0</v>
  </rv>
  <rv s="0">
    <fb>165.37</fb>
    <v>1</v>
  </rv>
  <rv s="0">
    <fb>4303882</fb>
    <v>2</v>
  </rv>
  <rv s="0">
    <fb>45356</fb>
    <v>0</v>
  </rv>
  <rv s="0">
    <fb>162.04</fb>
    <v>1</v>
  </rv>
  <rv s="0">
    <fb>6631346</fb>
    <v>2</v>
  </rv>
  <rv s="0">
    <fb>45357</fb>
    <v>0</v>
  </rv>
  <rv s="0">
    <fb>163</fb>
    <v>1</v>
  </rv>
  <rv s="0">
    <fb>5302463</fb>
    <v>2</v>
  </rv>
  <rv s="0">
    <fb>45358</fb>
    <v>0</v>
  </rv>
  <rv s="0">
    <fb>163.11000000000001</fb>
    <v>1</v>
  </rv>
  <rv s="0">
    <fb>5801610</fb>
    <v>2</v>
  </rv>
  <rv s="0">
    <fb>45359</fb>
    <v>0</v>
  </rv>
  <rv s="0">
    <fb>163.05000000000001</fb>
    <v>1</v>
  </rv>
  <rv s="0">
    <fb>6065294</fb>
    <v>2</v>
  </rv>
  <rv s="0">
    <fb>45362</fb>
    <v>0</v>
  </rv>
  <rv s="0">
    <fb>164.73</fb>
    <v>1</v>
  </rv>
  <rv s="0">
    <fb>5404790</fb>
    <v>2</v>
  </rv>
  <rv s="0">
    <fb>45363</fb>
    <v>0</v>
  </rv>
  <rv s="0">
    <fb>164.54</fb>
    <v>1</v>
  </rv>
  <rv s="0">
    <fb>6158507</fb>
    <v>2</v>
  </rv>
  <rv s="0">
    <fb>45364</fb>
    <v>0</v>
  </rv>
  <rv s="0">
    <fb>165.3</fb>
    <v>1</v>
  </rv>
  <rv s="0">
    <fb>4585789</fb>
    <v>2</v>
  </rv>
  <rv s="0">
    <fb>45365</fb>
    <v>0</v>
  </rv>
  <rv s="0">
    <fb>164.78</fb>
    <v>1</v>
  </rv>
  <rv s="0">
    <fb>5155326</fb>
    <v>2</v>
  </rv>
  <rv s="0">
    <fb>45366</fb>
    <v>0</v>
  </rv>
  <rv s="0">
    <fb>164.66</fb>
    <v>1</v>
  </rv>
  <rv s="0">
    <fb>21887267</fb>
    <v>2</v>
  </rv>
  <rv s="0">
    <fb>45369</fb>
    <v>0</v>
  </rv>
  <rv s="0">
    <fb>171.26</fb>
    <v>1</v>
  </rv>
  <rv s="0">
    <fb>10478533</fb>
    <v>2</v>
  </rv>
  <rv s="0">
    <fb>45370</fb>
    <v>0</v>
  </rv>
  <rv s="0">
    <fb>171.8</fb>
    <v>1</v>
  </rv>
  <rv s="0">
    <fb>7653926</fb>
    <v>2</v>
  </rv>
  <rv s="0">
    <fb>45371</fb>
    <v>0</v>
  </rv>
  <rv s="0">
    <fb>171.86</fb>
    <v>1</v>
  </rv>
  <rv s="0">
    <fb>5046920</fb>
    <v>2</v>
  </rv>
  <rv s="0">
    <fb>45372</fb>
    <v>0</v>
  </rv>
  <rv s="0">
    <fb>172.45</fb>
    <v>1</v>
  </rv>
  <rv s="0">
    <fb>4343007</fb>
    <v>2</v>
  </rv>
  <rv s="0">
    <fb>45373</fb>
    <v>0</v>
  </rv>
  <rv s="0">
    <fb>172.02</fb>
    <v>1</v>
  </rv>
  <rv s="0">
    <fb>4106531</fb>
    <v>2</v>
  </rv>
  <rv s="0">
    <fb>45376</fb>
    <v>0</v>
  </rv>
  <rv s="0">
    <fb>172.6</fb>
    <v>1</v>
  </rv>
  <rv s="0">
    <fb>3941985</fb>
    <v>2</v>
  </rv>
  <rv s="0">
    <fb>45377</fb>
    <v>0</v>
  </rv>
  <rv s="0">
    <fb>172.73</fb>
    <v>1</v>
  </rv>
  <rv s="0">
    <fb>4593166</fb>
    <v>2</v>
  </rv>
  <rv s="0">
    <fb>45378</fb>
    <v>0</v>
  </rv>
  <rv s="0">
    <fb>173.57</fb>
    <v>1</v>
  </rv>
  <rv s="0">
    <fb>4911274</fb>
    <v>2</v>
  </rv>
  <rv s="0">
    <fb>45379</fb>
    <v>0</v>
  </rv>
  <rv s="0">
    <fb>175.01</fb>
    <v>1</v>
  </rv>
  <rv s="0">
    <fb>5710539</fb>
    <v>2</v>
  </rv>
  <rv s="0">
    <fb>45383</fb>
    <v>0</v>
  </rv>
  <rv s="0">
    <fb>172.98</fb>
    <v>1</v>
  </rv>
  <rv s="0">
    <fb>4815366</fb>
    <v>2</v>
  </rv>
  <rv s="0">
    <fb>45384</fb>
    <v>0</v>
  </rv>
  <rv s="0">
    <fb>171.44</fb>
    <v>1</v>
  </rv>
  <rv s="0">
    <fb>5158492</fb>
    <v>2</v>
  </rv>
  <rv s="0">
    <fb>45385</fb>
    <v>0</v>
  </rv>
  <rv s="0">
    <fb>169.68</fb>
    <v>1</v>
  </rv>
  <rv s="0">
    <fb>5828024</fb>
    <v>2</v>
  </rv>
  <rv s="0">
    <fb>45386</fb>
    <v>0</v>
  </rv>
  <rv s="0">
    <fb>169.65</fb>
    <v>1</v>
  </rv>
  <rv s="0">
    <fb>5422567</fb>
    <v>2</v>
  </rv>
  <rv s="0">
    <fb>45387</fb>
    <v>0</v>
  </rv>
  <rv s="0">
    <fb>169.14</fb>
    <v>1</v>
  </rv>
  <rv s="0">
    <fb>4412390</fb>
    <v>2</v>
  </rv>
  <rv s="0">
    <fb>45390</fb>
    <v>0</v>
  </rv>
  <rv s="0">
    <fb>169.58</fb>
    <v>1</v>
  </rv>
  <rv s="0">
    <fb>3755725</fb>
    <v>2</v>
  </rv>
  <rv s="0">
    <fb>45391</fb>
    <v>0</v>
  </rv>
  <rv s="0">
    <fb>3774304</fb>
    <v>2</v>
  </rv>
  <rv s="0">
    <fb>45392</fb>
    <v>0</v>
  </rv>
  <rv s="0">
    <fb>168.95</fb>
    <v>1</v>
  </rv>
  <rv s="0">
    <fb>4581676</fb>
    <v>2</v>
  </rv>
  <rv s="0">
    <fb>45393</fb>
    <v>0</v>
  </rv>
  <rv s="0">
    <fb>168.36</fb>
    <v>1</v>
  </rv>
  <rv s="0">
    <fb>4241563</fb>
    <v>2</v>
  </rv>
  <rv s="0">
    <fb>45394</fb>
    <v>0</v>
  </rv>
  <rv s="0">
    <fb>168.1</fb>
    <v>1</v>
  </rv>
  <rv s="0">
    <fb>5453736</fb>
    <v>2</v>
  </rv>
  <rv s="0">
    <fb>45397</fb>
    <v>0</v>
  </rv>
  <rv s="0">
    <fb>166.95</fb>
    <v>1</v>
  </rv>
  <rv s="0">
    <fb>5133181</fb>
    <v>2</v>
  </rv>
  <rv s="0">
    <fb>45398</fb>
    <v>0</v>
  </rv>
  <rv s="0">
    <fb>167.5</fb>
    <v>1</v>
  </rv>
  <rv s="0">
    <fb>4569689</fb>
    <v>2</v>
  </rv>
  <rv s="0">
    <fb>45399</fb>
    <v>0</v>
  </rv>
  <rv s="0">
    <fb>169.48</fb>
    <v>1</v>
  </rv>
  <rv s="0">
    <fb>4069200</fb>
    <v>2</v>
  </rv>
  <rv s="0">
    <fb>45400</fb>
    <v>0</v>
  </rv>
  <rv s="0">
    <fb>172.27</fb>
    <v>1</v>
  </rv>
  <rv s="0">
    <fb>5574662</fb>
    <v>2</v>
  </rv>
  <rv s="0">
    <fb>45401</fb>
    <v>0</v>
  </rv>
  <rv s="0">
    <fb>174.13</fb>
    <v>1</v>
  </rv>
  <rv s="0">
    <fb>6636697</fb>
    <v>2</v>
  </rv>
  <rv s="0">
    <fb>45404</fb>
    <v>0</v>
  </rv>
  <rv s="0">
    <fb>176.46</fb>
    <v>1</v>
  </rv>
  <rv s="0">
    <fb>7288701</fb>
    <v>2</v>
  </rv>
  <rv s="0">
    <fb>45405</fb>
    <v>0</v>
  </rv>
  <rv s="0">
    <fb>171.22</fb>
    <v>1</v>
  </rv>
  <rv s="0">
    <fb>9145041</fb>
    <v>2</v>
  </rv>
  <rv s="0">
    <fb>45406</fb>
    <v>0</v>
  </rv>
  <rv s="0">
    <fb>177.41</fb>
    <v>1</v>
  </rv>
  <rv s="0">
    <fb>10016685</fb>
    <v>2</v>
  </rv>
  <rv s="0">
    <fb>45407</fb>
    <v>0</v>
  </rv>
  <rv s="0">
    <fb>176.68</fb>
    <v>1</v>
  </rv>
  <rv s="0">
    <fb>7441497</fb>
    <v>2</v>
  </rv>
  <rv s="0">
    <fb>45408</fb>
    <v>0</v>
  </rv>
  <rv s="0">
    <fb>175.58</fb>
    <v>1</v>
  </rv>
  <rv s="0">
    <fb>4472102</fb>
    <v>2</v>
  </rv>
  <rv s="0">
    <fb>45411</fb>
    <v>0</v>
  </rv>
  <rv s="0">
    <fb>176.14</fb>
    <v>1</v>
  </rv>
  <rv s="0">
    <fb>3224473</fb>
    <v>2</v>
  </rv>
  <rv s="0">
    <fb>45412</fb>
    <v>0</v>
  </rv>
  <rv s="0">
    <fb>175.91</fb>
    <v>1</v>
  </rv>
  <rv s="0">
    <fb>4465331</fb>
    <v>2</v>
  </rv>
  <rv s="0">
    <fb>45413</fb>
    <v>0</v>
  </rv>
  <rv s="0">
    <fb>175.15</fb>
    <v>1</v>
  </rv>
  <rv s="0">
    <fb>4340495</fb>
    <v>2</v>
  </rv>
  <rv s="0">
    <fb>45414</fb>
    <v>0</v>
  </rv>
  <rv s="0">
    <fb>175.45</fb>
    <v>1</v>
  </rv>
  <rv s="0">
    <fb>3964773</fb>
    <v>2</v>
  </rv>
  <rv s="0">
    <fb>45415</fb>
    <v>0</v>
  </rv>
  <rv s="0">
    <fb>176.15</fb>
    <v>1</v>
  </rv>
  <rv s="0">
    <fb>3492120</fb>
    <v>2</v>
  </rv>
  <rv s="0">
    <fb>45418</fb>
    <v>0</v>
  </rv>
  <rv s="0">
    <fb>175.82</fb>
    <v>1</v>
  </rv>
  <rv s="0">
    <fb>3576284</fb>
    <v>2</v>
  </rv>
  <rv s="0">
    <fb>45419</fb>
    <v>0</v>
  </rv>
  <rv s="0">
    <fb>178.02</fb>
    <v>1</v>
  </rv>
  <rv s="0">
    <fb>3707968</fb>
    <v>2</v>
  </rv>
  <rv s="0">
    <fb>45420</fb>
    <v>0</v>
  </rv>
  <rv s="0">
    <fb>3400880</fb>
    <v>2</v>
  </rv>
  <rv s="0">
    <fb>45421</fb>
    <v>0</v>
  </rv>
  <rv s="0">
    <fb>178.06</fb>
    <v>1</v>
  </rv>
  <rv s="0">
    <fb>2421414</fb>
    <v>2</v>
  </rv>
  <rv s="0">
    <fb>45422</fb>
    <v>0</v>
  </rv>
  <rv s="0">
    <fb>179.79</fb>
    <v>1</v>
  </rv>
  <rv s="0">
    <fb>4201814</fb>
    <v>2</v>
  </rv>
  <rv s="0">
    <fb>45425</fb>
    <v>0</v>
  </rv>
  <rv s="0">
    <fb>180.9</fb>
    <v>1</v>
  </rv>
  <rv s="0">
    <fb>4408084</fb>
    <v>2</v>
  </rv>
  <rv s="0">
    <fb>45426</fb>
    <v>0</v>
  </rv>
  <rv s="0">
    <fb>179.87</fb>
    <v>1</v>
  </rv>
  <rv s="0">
    <fb>3508716</fb>
    <v>2</v>
  </rv>
  <rv s="0">
    <fb>45427</fb>
    <v>0</v>
  </rv>
  <rv s="0">
    <fb>179.46</fb>
    <v>1</v>
  </rv>
  <rv s="0">
    <fb>4785118</fb>
    <v>2</v>
  </rv>
  <rv s="0">
    <fb>45428</fb>
    <v>0</v>
  </rv>
  <rv s="0">
    <fb>183.11</fb>
    <v>1</v>
  </rv>
  <rv s="0">
    <fb>5984739</fb>
    <v>2</v>
  </rv>
  <rv s="0">
    <fb>45429</fb>
    <v>0</v>
  </rv>
  <rv s="0">
    <fb>182.19</fb>
    <v>1</v>
  </rv>
  <rv s="0">
    <fb>4449107</fb>
    <v>2</v>
  </rv>
  <rv s="0">
    <fb>45432</fb>
    <v>0</v>
  </rv>
  <rv s="0">
    <fb>180.31</fb>
    <v>1</v>
  </rv>
  <rv s="0">
    <fb>3221153</fb>
    <v>2</v>
  </rv>
  <rv s="0">
    <fb>45433</fb>
    <v>0</v>
  </rv>
  <rv s="0">
    <fb>181.08</fb>
    <v>1</v>
  </rv>
  <rv s="0">
    <fb>3288063</fb>
    <v>2</v>
  </rv>
  <rv s="0">
    <fb>45434</fb>
    <v>0</v>
  </rv>
  <rv s="0">
    <fb>182.09</fb>
    <v>1</v>
  </rv>
  <rv s="0">
    <fb>4046993</fb>
    <v>2</v>
  </rv>
  <rv s="0">
    <fb>45435</fb>
    <v>0</v>
  </rv>
  <rv s="0">
    <fb>179.27</fb>
    <v>1</v>
  </rv>
  <rv s="0">
    <fb>4009026</fb>
    <v>2</v>
  </rv>
  <rv s="0">
    <fb>45436</fb>
    <v>0</v>
  </rv>
  <rv s="0">
    <fb>177.99</fb>
    <v>1</v>
  </rv>
  <rv s="0">
    <fb>3447399</fb>
    <v>2</v>
  </rv>
  <rv s="0">
    <fb>45440</fb>
    <v>0</v>
  </rv>
  <rv s="0">
    <fb>173.38</fb>
    <v>1</v>
  </rv>
  <rv s="0">
    <fb>6178117</fb>
    <v>2</v>
  </rv>
  <rv s="0">
    <fb>45441</fb>
    <v>0</v>
  </rv>
  <rv s="0">
    <fb>171.15</fb>
    <v>1</v>
  </rv>
  <rv s="0">
    <fb>5352113</fb>
    <v>2</v>
  </rv>
  <rv s="0">
    <fb>45442</fb>
    <v>0</v>
  </rv>
  <rv s="0">
    <fb>170.48</fb>
    <v>1</v>
  </rv>
  <rv s="0">
    <fb>3903880</fb>
    <v>2</v>
  </rv>
  <rv s="0">
    <fb>45443</fb>
    <v>0</v>
  </rv>
  <rv s="0">
    <fb>172.9</fb>
    <v>1</v>
  </rv>
  <rv s="0">
    <fb>8155606</fb>
    <v>2</v>
  </rv>
  <rv s="0">
    <fb>45446</fb>
    <v>0</v>
  </rv>
  <rv s="0">
    <fb>171.23</fb>
    <v>1</v>
  </rv>
  <rv s="0">
    <fb>5032377</fb>
    <v>2</v>
  </rv>
  <rv s="0">
    <fb>45447</fb>
    <v>0</v>
  </rv>
  <rv s="0">
    <fb>173.89</fb>
    <v>1</v>
  </rv>
  <rv s="0">
    <fb>4619065</fb>
    <v>2</v>
  </rv>
  <rv s="0">
    <fb>45448</fb>
    <v>0</v>
  </rv>
  <rv s="0">
    <fb>173.49</fb>
    <v>1</v>
  </rv>
  <rv s="0">
    <fb>5370688</fb>
    <v>2</v>
  </rv>
  <rv s="0">
    <fb>45449</fb>
    <v>0</v>
  </rv>
  <rv s="0">
    <fb>173.2</fb>
    <v>1</v>
  </rv>
  <rv s="0">
    <fb>5536694</fb>
    <v>2</v>
  </rv>
  <rv s="0">
    <fb>45450</fb>
    <v>0</v>
  </rv>
  <rv s="0">
    <fb>171.04</fb>
    <v>1</v>
  </rv>
  <rv s="0">
    <fb>3521165</fb>
    <v>2</v>
  </rv>
  <rv s="0">
    <fb>45453</fb>
    <v>0</v>
  </rv>
  <rv s="0">
    <fb>165.9</fb>
    <v>1</v>
  </rv>
  <rv s="0">
    <fb>9432639</fb>
    <v>2</v>
  </rv>
  <rv s="0">
    <fb>45454</fb>
    <v>0</v>
  </rv>
  <rv s="0">
    <fb>165.07</fb>
    <v>1</v>
  </rv>
  <rv s="0">
    <fb>8284512</fb>
    <v>2</v>
  </rv>
  <rv s="0">
    <fb>45455</fb>
    <v>0</v>
  </rv>
  <rv s="0">
    <fb>163.83000000000001</fb>
    <v>1</v>
  </rv>
  <rv s="0">
    <fb>6281102</fb>
    <v>2</v>
  </rv>
  <rv s="0">
    <fb>45456</fb>
    <v>0</v>
  </rv>
  <rv s="0">
    <fb>163.33000000000001</fb>
    <v>1</v>
  </rv>
  <rv s="0">
    <fb>5432649</fb>
    <v>2</v>
  </rv>
  <rv s="0">
    <fb>45457</fb>
    <v>0</v>
  </rv>
  <rv s="0">
    <fb>163.81</fb>
    <v>1</v>
  </rv>
  <rv s="0">
    <fb>3603340</fb>
    <v>2</v>
  </rv>
  <rv s="0">
    <fb>45460</fb>
    <v>0</v>
  </rv>
  <rv s="0">
    <fb>166.14</fb>
    <v>1</v>
  </rv>
  <rv s="0">
    <fb>5412239</fb>
    <v>2</v>
  </rv>
  <rv s="0">
    <fb>45461</fb>
    <v>0</v>
  </rv>
  <rv s="0">
    <fb>166.48</fb>
    <v>1</v>
  </rv>
  <rv s="0">
    <fb>3519509</fb>
    <v>2</v>
  </rv>
  <rv s="0">
    <fb>45463</fb>
    <v>0</v>
  </rv>
  <rv s="0">
    <fb>166.68</fb>
    <v>1</v>
  </rv>
  <rv s="0">
    <fb>4942417</fb>
    <v>2</v>
  </rv>
  <rv s="0">
    <fb>45464</fb>
    <v>0</v>
  </rv>
  <rv s="0">
    <fb>167.28</fb>
    <v>1</v>
  </rv>
  <rv s="0">
    <fb>10899240</fb>
    <v>2</v>
  </rv>
  <rv s="0">
    <fb>45467</fb>
    <v>0</v>
  </rv>
  <rv s="0">
    <fb>168.08</fb>
    <v>1</v>
  </rv>
  <rv s="0">
    <fb>4476929</fb>
    <v>2</v>
  </rv>
  <rv s="0">
    <fb>45468</fb>
    <v>0</v>
  </rv>
  <rv s="0">
    <fb>167.35</fb>
    <v>1</v>
  </rv>
  <rv s="0">
    <fb>4220902</fb>
    <v>2</v>
  </rv>
  <rv s="0">
    <fb>45469</fb>
    <v>0</v>
  </rv>
  <rv s="0">
    <fb>166.74</fb>
    <v>1</v>
  </rv>
  <rv s="0">
    <fb>4778280</fb>
    <v>2</v>
  </rv>
  <rv s="0">
    <fb>45470</fb>
    <v>0</v>
  </rv>
  <rv s="0">
    <fb>166.26</fb>
    <v>1</v>
  </rv>
  <rv s="0">
    <fb>4326460</fb>
    <v>2</v>
  </rv>
  <rv s="0">
    <fb>45471</fb>
    <v>0</v>
  </rv>
  <rv s="0">
    <fb>164.93</fb>
    <v>1</v>
  </rv>
  <rv s="0">
    <fb>8756033</fb>
    <v>2</v>
  </rv>
  <rv s="0">
    <fb>45474</fb>
    <v>0</v>
  </rv>
  <rv s="0">
    <fb>162.88999999999999</fb>
    <v>1</v>
  </rv>
  <rv s="0">
    <fb>4508019</fb>
    <v>2</v>
  </rv>
  <rv s="0">
    <fb>45475</fb>
    <v>0</v>
  </rv>
  <rv s="0">
    <fb>163.58000000000001</fb>
    <v>1</v>
  </rv>
  <rv s="0">
    <fb>4650803</fb>
    <v>2</v>
  </rv>
  <rv s="0">
    <fb>45476</fb>
    <v>0</v>
  </rv>
  <rv s="0">
    <fb>162.6</fb>
    <v>1</v>
  </rv>
  <rv s="0">
    <fb>2879575</fb>
    <v>2</v>
  </rv>
  <rv s="0">
    <fb>45478</fb>
    <v>0</v>
  </rv>
  <rv s="0">
    <fb>164.39</fb>
    <v>1</v>
  </rv>
  <rv s="0">
    <fb>4208217</fb>
    <v>2</v>
  </rv>
  <rv s="0">
    <fb>45481</fb>
    <v>0</v>
  </rv>
  <rv s="0">
    <fb>162.12</fb>
    <v>1</v>
  </rv>
  <rv s="0">
    <fb>5268800</fb>
    <v>2</v>
  </rv>
  <rv s="0">
    <fb>45482</fb>
    <v>0</v>
  </rv>
  <rv s="0">
    <fb>161.9</fb>
    <v>1</v>
  </rv>
  <rv s="0">
    <fb>5801833</fb>
    <v>2</v>
  </rv>
  <rv s="0">
    <fb>45483</fb>
    <v>0</v>
  </rv>
  <rv s="0">
    <fb>163.59</fb>
    <v>1</v>
  </rv>
  <rv s="0">
    <fb>7372266</fb>
    <v>2</v>
  </rv>
  <rv s="0">
    <fb>45484</fb>
    <v>0</v>
  </rv>
  <rv s="0">
    <fb>163.95</fb>
    <v>1</v>
  </rv>
  <rv s="0">
    <fb>10259333</fb>
    <v>2</v>
  </rv>
  <rv s="0">
    <fb>45485</fb>
    <v>0</v>
  </rv>
  <rv s="0">
    <fb>166.38</fb>
    <v>1</v>
  </rv>
  <rv s="0">
    <fb>6677035</fb>
    <v>2</v>
  </rv>
  <rv s="0">
    <fb>45488</fb>
    <v>0</v>
  </rv>
  <rv s="0">
    <fb>163.86</fb>
    <v>1</v>
  </rv>
  <rv s="0">
    <fb>4551803</fb>
    <v>2</v>
  </rv>
  <rv s="0">
    <fb>45489</fb>
    <v>0</v>
  </rv>
  <rv s="0">
    <fb>164.76</fb>
    <v>1</v>
  </rv>
  <rv s="0">
    <fb>4461676</fb>
    <v>2</v>
  </rv>
  <rv s="0">
    <fb>45490</fb>
    <v>0</v>
  </rv>
  <rv s="0">
    <fb>169.89</fb>
    <v>1</v>
  </rv>
  <rv s="0">
    <fb>7670981</fb>
    <v>2</v>
  </rv>
  <rv s="0">
    <fb>45491</fb>
    <v>0</v>
  </rv>
  <rv s="0">
    <fb>170.37</fb>
    <v>1</v>
  </rv>
  <rv s="0">
    <fb>6228568</fb>
    <v>2</v>
  </rv>
  <rv s="0">
    <fb>45492</fb>
    <v>0</v>
  </rv>
  <rv s="0">
    <fb>169.36</fb>
    <v>1</v>
  </rv>
  <rv s="0">
    <fb>5332848</fb>
    <v>2</v>
  </rv>
  <rv s="0">
    <fb>45495</fb>
    <v>0</v>
  </rv>
  <rv s="0">
    <fb>167.66</fb>
    <v>1</v>
  </rv>
  <rv s="0">
    <fb>5308367</fb>
    <v>2</v>
  </rv>
  <rv s="0">
    <fb>45496</fb>
    <v>0</v>
  </rv>
  <rv s="0">
    <fb>166.28</fb>
    <v>1</v>
  </rv>
  <rv s="0">
    <fb>3344293</fb>
    <v>2</v>
  </rv>
  <rv s="0">
    <fb>45497</fb>
    <v>0</v>
  </rv>
  <rv s="0">
    <fb>168.17</fb>
    <v>1</v>
  </rv>
  <rv s="0">
    <fb>5867046</fb>
    <v>2</v>
  </rv>
  <rv s="0">
    <fb>45498</fb>
    <v>0</v>
  </rv>
  <rv s="0">
    <fb>171.02</fb>
    <v>1</v>
  </rv>
  <rv s="0">
    <fb>6270889</fb>
    <v>2</v>
  </rv>
  <rv s="0">
    <fb>45499</fb>
    <v>0</v>
  </rv>
  <rv s="0">
    <fb>172.75</fb>
    <v>1</v>
  </rv>
  <rv s="0">
    <fb>5746255</fb>
    <v>2</v>
  </rv>
  <rv s="0">
    <fb>45502</fb>
    <v>0</v>
  </rv>
  <rv s="0">
    <fb>173.21</fb>
    <v>1</v>
  </rv>
  <rv s="0">
    <fb>4152662</fb>
    <v>2</v>
  </rv>
  <rv s="0">
    <fb>45503</fb>
    <v>0</v>
  </rv>
  <rv s="0">
    <fb>173.18</fb>
    <v>1</v>
  </rv>
  <rv s="0">
    <fb>4994644</fb>
    <v>2</v>
  </rv>
  <rv s="0">
    <fb>45504</fb>
    <v>0</v>
  </rv>
  <rv s="0">
    <fb>172.67</fb>
    <v>1</v>
  </rv>
  <rv s="0">
    <fb>6245571</fb>
    <v>2</v>
  </rv>
  <rv s="0">
    <fb>45505</fb>
    <v>0</v>
  </rv>
  <rv s="0">
    <fb>174.96</fb>
    <v>1</v>
  </rv>
  <rv s="0">
    <fb>5994458</fb>
    <v>2</v>
  </rv>
  <rv s="0">
    <fb>45506</fb>
    <v>0</v>
  </rv>
  <rv s="0">
    <fb>178.04</fb>
    <v>1</v>
  </rv>
  <rv s="0">
    <fb>6856083</fb>
    <v>2</v>
  </rv>
  <rv s="0">
    <fb>45509</fb>
    <v>0</v>
  </rv>
  <rv s="0">
    <fb>174.04</fb>
    <v>1</v>
  </rv>
  <rv s="0">
    <fb>7502535</fb>
    <v>2</v>
  </rv>
  <rv s="0">
    <fb>45510</fb>
    <v>0</v>
  </rv>
  <rv s="0">
    <fb>172.49</fb>
    <v>1</v>
  </rv>
  <rv s="0">
    <fb>7287051</fb>
    <v>2</v>
  </rv>
  <rv s="0">
    <fb>45511</fb>
    <v>0</v>
  </rv>
  <rv s="0">
    <fb>171.79</fb>
    <v>1</v>
  </rv>
  <rv s="0">
    <fb>5429077</fb>
    <v>2</v>
  </rv>
  <rv s="0">
    <fb>45512</fb>
    <v>0</v>
  </rv>
  <rv s="0">
    <fb>172.37</fb>
    <v>1</v>
  </rv>
  <rv s="0">
    <fb>5112483</fb>
    <v>2</v>
  </rv>
  <rv s="0">
    <fb>45513</fb>
    <v>0</v>
  </rv>
  <rv s="0">
    <fb>172.39</fb>
    <v>1</v>
  </rv>
  <rv s="0">
    <fb>3223163</fb>
    <v>2</v>
  </rv>
  <rv s="0">
    <fb>45516</fb>
    <v>0</v>
  </rv>
  <rv s="0">
    <fb>3802411</fb>
    <v>2</v>
  </rv>
  <rv s="0">
    <fb>45517</fb>
    <v>0</v>
  </rv>
  <rv s="0">
    <fb>3894698</fb>
    <v>2</v>
  </rv>
  <rv s="0">
    <fb>45518</fb>
    <v>0</v>
  </rv>
  <rv s="0">
    <fb>173.71</fb>
    <v>1</v>
  </rv>
  <rv s="0">
    <fb>3555959</fb>
    <v>2</v>
  </rv>
  <rv s="0">
    <fb>45519</fb>
    <v>0</v>
  </rv>
  <rv s="0">
    <fb>172.52</fb>
    <v>1</v>
  </rv>
  <rv s="0">
    <fb>4472137</fb>
    <v>2</v>
  </rv>
  <rv s="0">
    <fb>45520</fb>
    <v>0</v>
  </rv>
  <rv s="0">
    <fb>172.62</fb>
    <v>1</v>
  </rv>
  <rv s="0">
    <fb>4614804</fb>
    <v>2</v>
  </rv>
  <rv s="0">
    <fb>45523</fb>
    <v>0</v>
  </rv>
  <rv s="0">
    <fb>173.82</fb>
    <v>1</v>
  </rv>
  <rv s="0">
    <fb>3521653</fb>
    <v>2</v>
  </rv>
  <rv s="0">
    <fb>45524</fb>
    <v>0</v>
  </rv>
  <rv s="0">
    <fb>175.85</fb>
    <v>1</v>
  </rv>
  <rv s="0">
    <fb>5330053</fb>
    <v>2</v>
  </rv>
  <rv s="0">
    <fb>45525</fb>
    <v>0</v>
  </rv>
  <rv s="0">
    <fb>175.21</fb>
    <v>1</v>
  </rv>
  <rv s="0">
    <fb>4020749</fb>
    <v>2</v>
  </rv>
  <rv s="0">
    <fb>45526</fb>
    <v>0</v>
  </rv>
  <rv s="0">
    <fb>175.74</fb>
    <v>1</v>
  </rv>
  <rv s="0">
    <fb>5265989</fb>
    <v>2</v>
  </rv>
  <rv s="0">
    <fb>45527</fb>
    <v>0</v>
  </rv>
  <rv s="0">
    <fb>175.87</fb>
    <v>1</v>
  </rv>
  <rv s="0">
    <fb>5283617</fb>
    <v>2</v>
  </rv>
  <rv s="0">
    <fb>45530</fb>
    <v>0</v>
  </rv>
  <rv s="0">
    <fb>175.97</fb>
    <v>1</v>
  </rv>
  <rv s="0">
    <fb>4146861</fb>
    <v>2</v>
  </rv>
  <rv s="0">
    <fb>45531</fb>
    <v>0</v>
  </rv>
  <rv s="0">
    <fb>175.3</fb>
    <v>1</v>
  </rv>
  <rv s="0">
    <fb>3520562</fb>
    <v>2</v>
  </rv>
  <rv s="0">
    <fb>45532</fb>
    <v>0</v>
  </rv>
  <rv s="0">
    <fb>173.92</fb>
    <v>1</v>
  </rv>
  <rv s="0">
    <fb>3915499</fb>
    <v>2</v>
  </rv>
  <rv s="0">
    <fb>45533</fb>
    <v>0</v>
  </rv>
  <rv s="0">
    <fb>172.09</fb>
    <v>1</v>
  </rv>
  <rv s="0">
    <fb>4654540</fb>
    <v>2</v>
  </rv>
  <rv s="0">
    <fb>45534</fb>
    <v>0</v>
  </rv>
  <rv s="0">
    <fb>172.88</fb>
    <v>1</v>
  </rv>
  <rv s="0">
    <fb>8677312</fb>
    <v>2</v>
  </rv>
  <rv s="0">
    <fb>45538</fb>
    <v>0</v>
  </rv>
  <rv s="0">
    <fb>177.54</fb>
    <v>1</v>
  </rv>
  <rv s="0">
    <fb>7032051</fb>
    <v>2</v>
  </rv>
  <rv s="0">
    <fb>45539</fb>
    <v>0</v>
  </rv>
  <rv s="0">
    <fb>178.52</fb>
    <v>1</v>
  </rv>
  <rv s="0">
    <fb>6188454</fb>
    <v>2</v>
  </rv>
  <rv s="0">
    <fb>45540</fb>
    <v>0</v>
  </rv>
  <rv s="0">
    <fb>179.3</fb>
    <v>1</v>
  </rv>
  <rv s="0">
    <fb>5743141</fb>
    <v>2</v>
  </rv>
  <rv s="0">
    <fb>45541</fb>
    <v>0</v>
  </rv>
  <rv s="0">
    <fb>177.34</fb>
    <v>1</v>
  </rv>
  <rv s="0">
    <fb>6395276</fb>
    <v>2</v>
  </rv>
  <rv s="0">
    <fb>45544</fb>
    <v>0</v>
  </rv>
  <rv s="0">
    <fb>178.19</fb>
    <v>1</v>
  </rv>
  <rv s="0">
    <fb>4666169</fb>
    <v>2</v>
  </rv>
  <rv s="0">
    <fb>45545</fb>
    <v>0</v>
  </rv>
  <rv s="0">
    <fb>177.81</fb>
    <v>1</v>
  </rv>
  <rv s="0">
    <fb>4315764</fb>
    <v>2</v>
  </rv>
  <rv s="0">
    <fb>45546</fb>
    <v>0</v>
  </rv>
  <rv s="0">
    <fb>175.78</fb>
    <v>1</v>
  </rv>
  <rv s="0">
    <fb>4035975</fb>
    <v>2</v>
  </rv>
  <rv s="0">
    <fb>45547</fb>
    <v>0</v>
  </rv>
  <rv s="0">
    <fb>177.25</fb>
    <v>1</v>
  </rv>
  <rv s="0">
    <fb>4224894</fb>
    <v>2</v>
  </rv>
  <rv s="0">
    <fb>45548</fb>
    <v>0</v>
  </rv>
  <rv s="0">
    <fb>177.36</fb>
    <v>1</v>
  </rv>
  <rv s="0">
    <fb>3290404</fb>
    <v>2</v>
  </rv>
  <rv s="0">
    <fb>45551</fb>
    <v>0</v>
  </rv>
  <rv s="0">
    <fb>177.21</fb>
    <v>1</v>
  </rv>
  <rv s="0">
    <fb>4940100</fb>
    <v>2</v>
  </rv>
  <rv s="0">
    <fb>45552</fb>
    <v>0</v>
  </rv>
  <rv s="0">
    <fb>176.87</fb>
    <v>1</v>
  </rv>
  <rv s="0">
    <fb>6305100</fb>
    <v>2</v>
  </rv>
  <rv s="0">
    <fb>45553</fb>
    <v>0</v>
  </rv>
  <rv s="0">
    <fb>5307852</fb>
    <v>2</v>
  </rv>
  <rv s="0">
    <fb>45554</fb>
    <v>0</v>
  </rv>
  <rv s="0">
    <fb>174.66</fb>
    <v>1</v>
  </rv>
  <rv s="0">
    <fb>5504038</fb>
    <v>2</v>
  </rv>
  <rv s="0">
    <fb>45555</fb>
    <v>0</v>
  </rv>
  <rv s="0">
    <fb>171.18</fb>
    <v>1</v>
  </rv>
  <rv s="0">
    <fb>12198430</fb>
    <v>2</v>
  </rv>
  <rv s="0">
    <fb>45558</fb>
    <v>0</v>
  </rv>
  <rv s="0">
    <fb>172.11</fb>
    <v>1</v>
  </rv>
  <rv s="0">
    <fb>5350483</fb>
    <v>2</v>
  </rv>
  <rv s="0">
    <fb>45559</fb>
    <v>0</v>
  </rv>
  <rv s="0">
    <fb>169.92</fb>
    <v>1</v>
  </rv>
  <rv s="0">
    <fb>7837853</fb>
    <v>2</v>
  </rv>
  <rv s="0">
    <fb>45560</fb>
    <v>0</v>
  </rv>
  <rv s="0">
    <fb>169.4</fb>
    <v>1</v>
  </rv>
  <rv s="0">
    <fb>4505130</fb>
    <v>2</v>
  </rv>
  <rv s="0">
    <fb>45561</fb>
    <v>0</v>
  </rv>
  <rv s="0">
    <fb>169.69</fb>
    <v>1</v>
  </rv>
  <rv s="0">
    <fb>5673635</fb>
    <v>2</v>
  </rv>
  <rv s="0">
    <fb>45562</fb>
    <v>0</v>
  </rv>
  <rv s="0">
    <fb>170</fb>
    <v>1</v>
  </rv>
  <rv s="0">
    <fb>7545935</fb>
    <v>2</v>
  </rv>
  <rv s="0">
    <fb>45565</fb>
    <v>0</v>
  </rv>
  <rv s="0">
    <fb>170.05</fb>
    <v>1</v>
  </rv>
  <rv s="0">
    <fb>5054615</fb>
    <v>2</v>
  </rv>
  <rv s="0">
    <fb>45566</fb>
    <v>0</v>
  </rv>
  <rv s="0">
    <fb>171.38</fb>
    <v>1</v>
  </rv>
  <rv s="0">
    <fb>7095860</fb>
    <v>2</v>
  </rv>
  <rv s="0">
    <fb>45567</fb>
    <v>0</v>
  </rv>
  <rv s="0">
    <fb>169.55</fb>
    <v>1</v>
  </rv>
  <rv s="0">
    <fb>5785972</fb>
    <v>2</v>
  </rv>
  <rv s="0">
    <fb>45568</fb>
    <v>0</v>
  </rv>
  <rv s="0">
    <fb>5090330</fb>
    <v>2</v>
  </rv>
  <rv s="0">
    <fb>45569</fb>
    <v>0</v>
  </rv>
  <rv s="0">
    <fb>167.97</fb>
    <v>1</v>
  </rv>
  <rv s="0">
    <fb>4391321</fb>
    <v>2</v>
  </rv>
  <rv s="0">
    <fb>45572</fb>
    <v>0</v>
  </rv>
  <rv s="0">
    <fb>167.21</fb>
    <v>1</v>
  </rv>
  <rv s="0">
    <fb>5459506</fb>
    <v>2</v>
  </rv>
  <rv s="0">
    <fb>45573</fb>
    <v>0</v>
  </rv>
  <rv s="0">
    <fb>170.42</fb>
    <v>1</v>
  </rv>
  <rv s="0">
    <fb>8297792</fb>
    <v>2</v>
  </rv>
  <rv s="0">
    <fb>45574</fb>
    <v>0</v>
  </rv>
  <rv s="0">
    <fb>172.54</fb>
    <v>1</v>
  </rv>
  <rv s="0">
    <fb>7177529</fb>
    <v>2</v>
  </rv>
  <rv s="0">
    <fb>45575</fb>
    <v>0</v>
  </rv>
  <rv s="0">
    <fb>172.99</fb>
    <v>1</v>
  </rv>
  <rv s="0">
    <fb>5292404</fb>
    <v>2</v>
  </rv>
  <rv s="0">
    <fb>45576</fb>
    <v>0</v>
  </rv>
  <rv s="0">
    <fb>174.81</fb>
    <v>1</v>
  </rv>
  <rv s="0">
    <fb>4720299</fb>
    <v>2</v>
  </rv>
  <rv s="0">
    <fb>45579</fb>
    <v>0</v>
  </rv>
  <rv s="0">
    <fb>176.1</fb>
    <v>1</v>
  </rv>
  <rv s="0">
    <fb>4536048</fb>
    <v>2</v>
  </rv>
  <rv s="0">
    <fb>45580</fb>
    <v>0</v>
  </rv>
  <rv s="0">
    <fb>175.9</fb>
    <v>1</v>
  </rv>
  <rv s="0">
    <fb>5802290</fb>
    <v>2</v>
  </rv>
  <rv s="0">
    <fb>45581</fb>
    <v>0</v>
  </rv>
  <rv s="0">
    <fb>174.48</fb>
    <v>1</v>
  </rv>
  <rv s="0">
    <fb>4400852</fb>
    <v>2</v>
  </rv>
  <rv s="0">
    <fb>45582</fb>
    <v>0</v>
  </rv>
  <rv s="0">
    <fb>174.67</fb>
    <v>1</v>
  </rv>
  <rv s="0">
    <fb>4125910</fb>
    <v>2</v>
  </rv>
  <rv s="0">
    <fb>45583</fb>
    <v>0</v>
  </rv>
  <rv s="0">
    <fb>175.06</fb>
    <v>1</v>
  </rv>
  <rv s="0">
    <fb>5097170</fb>
    <v>2</v>
  </rv>
  <rv s="0">
    <fb>45586</fb>
    <v>0</v>
  </rv>
  <rv s="0">
    <fb>6436516</fb>
    <v>2</v>
  </rv>
  <rv s="0">
    <fb>45587</fb>
    <v>0</v>
  </rv>
  <rv s="0">
    <fb>174.37</fb>
    <v>1</v>
  </rv>
  <rv s="0">
    <fb>3790452</fb>
    <v>2</v>
  </rv>
  <rv s="0">
    <fb>45588</fb>
    <v>0</v>
  </rv>
  <rv s="0">
    <fb>3800654</fb>
    <v>2</v>
  </rv>
  <rv s="0">
    <fb>45589</fb>
    <v>0</v>
  </rv>
  <rv s="0">
    <fb>172.16</fb>
    <v>1</v>
  </rv>
  <rv s="0">
    <fb>4244903</fb>
    <v>2</v>
  </rv>
  <rv s="0">
    <fb>45590</fb>
    <v>0</v>
  </rv>
  <rv s="0">
    <fb>4442863</fb>
    <v>2</v>
  </rv>
  <rv s="0">
    <fb>45593</fb>
    <v>0</v>
  </rv>
  <rv s="0">
    <fb>169.84</fb>
    <v>1</v>
  </rv>
  <rv s="0">
    <fb>5186635</fb>
    <v>2</v>
  </rv>
  <rv s="0">
    <fb>45594</fb>
    <v>0</v>
  </rv>
  <rv s="0">
    <fb>5127890</fb>
    <v>2</v>
  </rv>
  <rv s="0">
    <fb>45595</fb>
    <v>0</v>
  </rv>
  <rv s="0">
    <fb>166.21</fb>
    <v>1</v>
  </rv>
  <rv s="0">
    <fb>4801541</fb>
    <v>2</v>
  </rv>
  <rv s="0">
    <fb>45596</fb>
    <v>0</v>
  </rv>
  <rv s="0">
    <fb>166.08</fb>
    <v>1</v>
  </rv>
  <rv s="0">
    <fb>5582423</fb>
    <v>2</v>
  </rv>
  <rv s="0">
    <fb>45597</fb>
    <v>0</v>
  </rv>
  <rv s="0">
    <fb>165.59</fb>
    <v>1</v>
  </rv>
  <rv s="0">
    <fb>6339121</fb>
    <v>2</v>
  </rv>
  <rv s="0">
    <fb>45600</fb>
    <v>0</v>
  </rv>
  <rv s="0">
    <fb>166.34</fb>
    <v>1</v>
  </rv>
  <rv s="0">
    <fb>4885472</fb>
    <v>2</v>
  </rv>
  <rv s="0">
    <fb>45601</fb>
    <v>0</v>
  </rv>
  <rv s="0">
    <fb>167.85</fb>
    <v>1</v>
  </rv>
  <rv s="0">
    <fb>3678708</fb>
    <v>2</v>
  </rv>
  <rv s="0">
    <fb>45602</fb>
    <v>0</v>
  </rv>
  <rv s="0">
    <fb>164.71</fb>
    <v>1</v>
  </rv>
  <rv s="0">
    <fb>7849309</fb>
    <v>2</v>
  </rv>
  <rv s="0">
    <fb>45603</fb>
    <v>0</v>
  </rv>
  <rv s="0">
    <fb>164</fb>
    <v>1</v>
  </rv>
  <rv s="0">
    <fb>5333532</fb>
    <v>2</v>
  </rv>
  <rv s="0">
    <fb>45604</fb>
    <v>0</v>
  </rv>
  <rv s="0">
    <fb>4618265</fb>
    <v>2</v>
  </rv>
  <rv s="0">
    <fb>45607</fb>
    <v>0</v>
  </rv>
  <rv s="0">
    <fb>164.26</fb>
    <v>1</v>
  </rv>
  <rv s="0">
    <fb>3761969</fb>
    <v>2</v>
  </rv>
  <rv s="0">
    <fb>45608</fb>
    <v>0</v>
  </rv>
  <rv s="0">
    <fb>164.34</fb>
    <v>1</v>
  </rv>
  <rv s="0">
    <fb>5386925</fb>
    <v>2</v>
  </rv>
  <rv s="0">
    <fb>45609</fb>
    <v>0</v>
  </rv>
  <rv s="0">
    <fb>164.74</fb>
    <v>1</v>
  </rv>
  <rv s="0">
    <fb>4145443</fb>
    <v>2</v>
  </rv>
  <rv s="0">
    <fb>45610</fb>
    <v>0</v>
  </rv>
  <rv s="0">
    <fb>165.15</fb>
    <v>1</v>
  </rv>
  <rv s="0">
    <fb>5422685</fb>
    <v>2</v>
  </rv>
  <rv s="0">
    <fb>45611</fb>
    <v>0</v>
  </rv>
  <rv s="0">
    <fb>158.62</fb>
    <v>1</v>
  </rv>
  <rv s="0">
    <fb>9108948</fb>
    <v>2</v>
  </rv>
  <rv s="0">
    <fb>45614</fb>
    <v>0</v>
  </rv>
  <rv s="0">
    <fb>158.33000000000001</fb>
    <v>1</v>
  </rv>
  <rv s="0">
    <fb>6992040</fb>
    <v>2</v>
  </rv>
  <rv s="0">
    <fb>45615</fb>
    <v>0</v>
  </rv>
  <rv s="0">
    <fb>156.72</fb>
    <v>1</v>
  </rv>
  <rv s="0">
    <fb>8248864</fb>
    <v>2</v>
  </rv>
  <rv s="0">
    <fb>45616</fb>
    <v>0</v>
  </rv>
  <rv s="0">
    <fb>158.74</fb>
    <v>1</v>
  </rv>
  <rv s="0">
    <fb>5067255</fb>
    <v>2</v>
  </rv>
  <rv s="0">
    <fb>45617</fb>
    <v>0</v>
  </rv>
  <rv s="0">
    <fb>160.34</fb>
    <v>1</v>
  </rv>
  <rv s="0">
    <fb>5976987</fb>
    <v>2</v>
  </rv>
  <rv s="0">
    <fb>45618</fb>
    <v>0</v>
  </rv>
  <rv s="0">
    <fb>162</fb>
    <v>1</v>
  </rv>
  <rv s="0">
    <fb>5846256</fb>
    <v>2</v>
  </rv>
  <rv s="0">
    <fb>45621</fb>
    <v>0</v>
  </rv>
  <rv s="0">
    <fb>8580393</fb>
    <v>2</v>
  </rv>
  <rv s="0">
    <fb>45622</fb>
    <v>0</v>
  </rv>
  <rv s="0">
    <fb>162.16</fb>
    <v>1</v>
  </rv>
  <rv s="0">
    <fb>4653842</fb>
    <v>2</v>
  </rv>
  <rv s="0">
    <fb>45623</fb>
    <v>0</v>
  </rv>
  <rv s="0">
    <fb>162.72</fb>
    <v>1</v>
  </rv>
  <rv s="0">
    <fb>3622893</fb>
    <v>2</v>
  </rv>
  <rv s="0">
    <fb>45625</fb>
    <v>0</v>
  </rv>
  <rv s="0">
    <fb>163.44999999999999</fb>
    <v>1</v>
  </rv>
  <rv s="0">
    <fb>2799312</fb>
    <v>2</v>
  </rv>
  <rv s="0">
    <fb>45628</fb>
    <v>0</v>
  </rv>
  <rv s="0">
    <fb>4967612</fb>
    <v>2</v>
  </rv>
  <rv s="0">
    <fb>45629</fb>
    <v>0</v>
  </rv>
  <rv s="0">
    <fb>161.69999999999999</fb>
    <v>1</v>
  </rv>
  <rv s="0">
    <fb>4277392</fb>
    <v>2</v>
  </rv>
  <rv s="0">
    <fb>45630</fb>
    <v>0</v>
  </rv>
  <rv s="0">
    <fb>160.18</fb>
    <v>1</v>
  </rv>
  <rv s="0">
    <fb>6964605</fb>
    <v>2</v>
  </rv>
  <rv s="0">
    <fb>45631</fb>
    <v>0</v>
  </rv>
  <rv s="0">
    <fb>160.49</fb>
    <v>1</v>
  </rv>
  <rv s="0">
    <fb>5229646</fb>
    <v>2</v>
  </rv>
  <rv s="0">
    <fb>45632</fb>
    <v>0</v>
  </rv>
  <rv s="0">
    <fb>157.79</fb>
    <v>1</v>
  </rv>
  <rv s="0">
    <fb>8359166</fb>
    <v>2</v>
  </rv>
  <rv s="0">
    <fb>45635</fb>
    <v>0</v>
  </rv>
  <rv s="0">
    <fb>159.47</fb>
    <v>1</v>
  </rv>
  <rv s="0">
    <fb>8380406</fb>
    <v>2</v>
  </rv>
  <rv s="0">
    <fb>45636</fb>
    <v>0</v>
  </rv>
  <rv s="0">
    <fb>159.84</fb>
    <v>1</v>
  </rv>
  <rv s="0">
    <fb>5329401</fb>
    <v>2</v>
  </rv>
  <rv s="0">
    <fb>45637</fb>
    <v>0</v>
  </rv>
  <rv s="0">
    <fb>156.77000000000001</fb>
    <v>1</v>
  </rv>
  <rv s="0">
    <fb>7925928</fb>
    <v>2</v>
  </rv>
  <rv s="0">
    <fb>45638</fb>
    <v>0</v>
  </rv>
  <rv s="0">
    <fb>158.9</fb>
    <v>1</v>
  </rv>
  <rv s="0">
    <fb>6849507</fb>
    <v>2</v>
  </rv>
  <rv s="0">
    <fb>45639</fb>
    <v>0</v>
  </rv>
  <rv s="0">
    <fb>157.97</fb>
    <v>1</v>
  </rv>
  <rv s="0">
    <fb>4353854</fb>
    <v>2</v>
  </rv>
  <rv s="0">
    <fb>45642</fb>
    <v>0</v>
  </rv>
  <rv s="0">
    <fb>156.02000000000001</fb>
    <v>1</v>
  </rv>
  <rv s="0">
    <fb>6696490</fb>
    <v>2</v>
  </rv>
  <rv s="0">
    <fb>45643</fb>
    <v>0</v>
  </rv>
  <rv s="0">
    <fb>156.13999999999999</fb>
    <v>1</v>
  </rv>
  <rv s="0">
    <fb>6572560</fb>
    <v>2</v>
  </rv>
  <rv s="0">
    <fb>45644</fb>
    <v>0</v>
  </rv>
  <rv s="0">
    <fb>154.43</fb>
    <v>1</v>
  </rv>
  <rv s="0">
    <fb>7620865</fb>
    <v>2</v>
  </rv>
  <rv s="0">
    <fb>45645</fb>
    <v>0</v>
  </rv>
  <rv s="0">
    <fb>151.47</fb>
    <v>1</v>
  </rv>
  <rv s="0">
    <fb>9829489</fb>
    <v>2</v>
  </rv>
  <rv s="0">
    <fb>45646</fb>
    <v>0</v>
  </rv>
  <rv s="0">
    <fb>152.79</fb>
    <v>1</v>
  </rv>
  <rv s="0">
    <fb>19205164</fb>
    <v>2</v>
  </rv>
  <rv s="0">
    <fb>45649</fb>
    <v>0</v>
  </rv>
  <rv s="0">
    <fb>151.29</fb>
    <v>1</v>
  </rv>
  <rv s="0">
    <fb>6822232</fb>
    <v>2</v>
  </rv>
  <rv s="0">
    <fb>45650</fb>
    <v>0</v>
  </rv>
  <rv s="0">
    <fb>152.81</fb>
    <v>1</v>
  </rv>
  <rv s="0">
    <fb>3399800</fb>
    <v>2</v>
  </rv>
  <rv s="0">
    <fb>45652</fb>
    <v>0</v>
  </rv>
  <rv s="0">
    <fb>152.44</fb>
    <v>1</v>
  </rv>
  <rv s="0">
    <fb>5529590</fb>
    <v>2</v>
  </rv>
  <rv s="0">
    <fb>45653</fb>
    <v>0</v>
  </rv>
  <rv s="0">
    <fb>152.88999999999999</fb>
    <v>1</v>
  </rv>
  <rv s="0">
    <fb>4287007</fb>
    <v>2</v>
  </rv>
  <rv s="0">
    <fb>45656</fb>
    <v>0</v>
  </rv>
  <rv s="0">
    <fb>151.72</fb>
    <v>1</v>
  </rv>
  <rv s="0">
    <fb>5397016</fb>
    <v>2</v>
  </rv>
  <rv s="0">
    <fb>45657</fb>
    <v>0</v>
  </rv>
  <rv s="0">
    <fb>152.06</fb>
    <v>1</v>
  </rv>
  <rv s="0">
    <fb>4274960</fb>
    <v>2</v>
  </rv>
  <rv s="0">
    <fb>45659</fb>
    <v>0</v>
  </rv>
  <rv s="0">
    <fb>150.21</fb>
    <v>1</v>
  </rv>
  <rv s="0">
    <fb>4970233</fb>
    <v>2</v>
  </rv>
  <rv s="0">
    <fb>45660</fb>
    <v>0</v>
  </rv>
  <rv s="0">
    <fb>149.65</fb>
    <v>1</v>
  </rv>
  <rv s="0">
    <fb>5221639</fb>
    <v>2</v>
  </rv>
  <rv s="0">
    <fb>45663</fb>
    <v>0</v>
  </rv>
  <rv s="0">
    <fb>146.27000000000001</fb>
    <v>1</v>
  </rv>
  <rv s="0">
    <fb>9470626</fb>
    <v>2</v>
  </rv>
  <rv s="0">
    <fb>45664</fb>
    <v>0</v>
  </rv>
  <rv s="0">
    <fb>145.4</fb>
    <v>1</v>
  </rv>
  <rv s="0">
    <fb>7473300</fb>
    <v>2</v>
  </rv>
  <rv s="0">
    <fb>45665</fb>
    <v>0</v>
  </rv>
  <rv s="0">
    <fb>146.54</fb>
    <v>1</v>
  </rv>
  <rv s="0">
    <fb>6791848</fb>
    <v>2</v>
  </rv>
  <rv s="0">
    <fb>45667</fb>
    <v>0</v>
  </rv>
  <rv s="0">
    <fb>142.63999999999999</fb>
    <v>1</v>
  </rv>
  <rv s="0">
    <fb>9632651</fb>
    <v>2</v>
  </rv>
  <rv s="0">
    <fb>45670</fb>
    <v>0</v>
  </rv>
  <rv s="0">
    <fb>144.5</fb>
    <v>1</v>
  </rv>
  <rv s="0">
    <fb>8101358</fb>
    <v>2</v>
  </rv>
  <rv s="0">
    <fb>45671</fb>
    <v>0</v>
  </rv>
  <rv s="0">
    <fb>144.94999999999999</fb>
    <v>1</v>
  </rv>
  <rv s="0">
    <fb>6996448</fb>
    <v>2</v>
  </rv>
  <rv s="0">
    <fb>45672</fb>
    <v>0</v>
  </rv>
  <rv s="0">
    <fb>144.78</fb>
    <v>1</v>
  </rv>
  <rv s="0">
    <fb>7141555</fb>
    <v>2</v>
  </rv>
  <rv s="0">
    <fb>45673</fb>
    <v>0</v>
  </rv>
  <rv s="0">
    <fb>5068040</fb>
    <v>2</v>
  </rv>
  <rv s="0">
    <fb>45674</fb>
    <v>0</v>
  </rv>
  <rv s="0">
    <fb>148.25</fb>
    <v>1</v>
  </rv>
  <rv s="0">
    <fb>7338870</fb>
    <v>2</v>
  </rv>
  <rv s="0">
    <fb>45678</fb>
    <v>0</v>
  </rv>
  <rv s="0">
    <fb>148.55000000000001</fb>
    <v>1</v>
  </rv>
  <rv s="0">
    <fb>7456182</fb>
    <v>2</v>
  </rv>
  <rv s="0">
    <fb>45679</fb>
    <v>0</v>
  </rv>
  <rv s="0">
    <fb>148.09</fb>
    <v>1</v>
  </rv>
  <rv s="0">
    <fb>5905060</fb>
    <v>2</v>
  </rv>
  <rv s="0">
    <fb>45680</fb>
    <v>0</v>
  </rv>
  <rv s="0">
    <fb>148.62</fb>
    <v>1</v>
  </rv>
  <rv s="0">
    <fb>4759125</fb>
    <v>2</v>
  </rv>
  <rv s="0">
    <fb>45681</fb>
    <v>0</v>
  </rv>
  <rv s="0">
    <fb>149.12</fb>
    <v>1</v>
  </rv>
  <rv s="0">
    <fb>4509550</fb>
    <v>2</v>
  </rv>
  <rv s="0">
    <fb>45684</fb>
    <v>0</v>
  </rv>
  <rv s="0">
    <fb>154.61000000000001</fb>
    <v>1</v>
  </rv>
  <rv s="0">
    <fb>9820585</fb>
    <v>2</v>
  </rv>
  <rv s="0">
    <fb>45685</fb>
    <v>0</v>
  </rv>
  <rv s="0">
    <fb>150.25</fb>
    <v>1</v>
  </rv>
  <rv s="0">
    <fb>6349670</fb>
    <v>2</v>
  </rv>
  <rv s="0">
    <fb>45686</fb>
    <v>0</v>
  </rv>
  <rv s="0">
    <fb>150.37</fb>
    <v>1</v>
  </rv>
  <rv s="0">
    <fb>4874072</fb>
    <v>2</v>
  </rv>
  <rv s="0">
    <fb>45687</fb>
    <v>0</v>
  </rv>
  <rv s="0">
    <fb>151.9</fb>
    <v>1</v>
  </rv>
  <rv s="0">
    <fb>4671278</fb>
    <v>2</v>
  </rv>
  <rv s="0">
    <fb>45688</fb>
    <v>0</v>
  </rv>
  <rv s="0">
    <fb>150.69</fb>
    <v>1</v>
  </rv>
  <rv s="0">
    <fb>4906744</fb>
    <v>2</v>
  </rv>
  <rv s="0">
    <fb>45691</fb>
    <v>0</v>
  </rv>
  <rv s="0">
    <fb>150.27000000000001</fb>
    <v>1</v>
  </rv>
  <rv s="0">
    <fb>7196227</fb>
    <v>2</v>
  </rv>
  <rv s="0">
    <fb>45692</fb>
    <v>0</v>
  </rv>
  <rv s="0">
    <fb>143.49</fb>
    <v>1</v>
  </rv>
  <rv s="0">
    <fb>12804949</fb>
    <v>2</v>
  </rv>
  <rv s="0">
    <fb>45693</fb>
    <v>0</v>
  </rv>
  <rv s="0">
    <fb>145.66</fb>
    <v>1</v>
  </rv>
  <rv s="0">
    <fb>9249234</fb>
    <v>2</v>
  </rv>
  <rv s="0">
    <fb>45694</fb>
    <v>0</v>
  </rv>
  <rv s="0">
    <fb>145.35</fb>
    <v>1</v>
  </rv>
  <rv s="0">
    <fb>5604877</fb>
    <v>2</v>
  </rv>
  <rv s="0">
    <fb>45695</fb>
    <v>0</v>
  </rv>
  <rv s="0">
    <fb>144.58000000000001</fb>
    <v>1</v>
  </rv>
  <rv s="0">
    <fb>5872343</fb>
    <v>2</v>
  </rv>
  <rv s="0">
    <fb>45698</fb>
    <v>0</v>
  </rv>
  <rv s="0">
    <fb>144.35</fb>
    <v>1</v>
  </rv>
  <rv s="0">
    <fb>8715391</fb>
    <v>2</v>
  </rv>
  <rv s="0">
    <fb>45699</fb>
    <v>0</v>
  </rv>
  <rv s="0">
    <fb>145.63999999999999</fb>
    <v>1</v>
  </rv>
  <rv s="0">
    <fb>6353965</fb>
    <v>2</v>
  </rv>
  <rv s="0">
    <fb>45700</fb>
    <v>0</v>
  </rv>
  <rv s="0">
    <fb>143.99</fb>
    <v>1</v>
  </rv>
  <rv s="0">
    <fb>6658177</fb>
    <v>2</v>
  </rv>
  <rv s="0">
    <fb>45701</fb>
    <v>0</v>
  </rv>
  <rv s="0">
    <fb>7175276</fb>
    <v>2</v>
  </rv>
  <rv s="0">
    <fb>45702</fb>
    <v>0</v>
  </rv>
  <rv s="0">
    <fb>143.38999999999999</fb>
    <v>1</v>
  </rv>
  <rv s="0">
    <fb>5001806</fb>
    <v>2</v>
  </rv>
  <rv s="0">
    <fb>45706</fb>
    <v>0</v>
  </rv>
  <rv s="0">
    <fb>144.1</fb>
    <v>1</v>
  </rv>
  <rv s="0">
    <fb>8738725</fb>
    <v>2</v>
  </rv>
  <rv s="0">
    <fb>45707</fb>
    <v>0</v>
  </rv>
  <rv s="0">
    <fb>145.81</fb>
    <v>1</v>
  </rv>
  <rv s="0">
    <fb>5777273</fb>
    <v>2</v>
  </rv>
  <rv s="0">
    <fb>45708</fb>
    <v>0</v>
  </rv>
  <rv s="0">
    <fb>149.1</fb>
    <v>1</v>
  </rv>
  <rv s="0">
    <fb>6789805</fb>
    <v>2</v>
  </rv>
  <rv s="0">
    <fb>45709</fb>
    <v>0</v>
  </rv>
  <rv s="0">
    <fb>153.5</fb>
    <v>1</v>
  </rv>
  <rv s="0">
    <fb>10604404</fb>
    <v>2</v>
  </rv>
  <rv s="0">
    <fb>45712</fb>
    <v>0</v>
  </rv>
  <rv s="0">
    <fb>153.85</fb>
    <v>1</v>
  </rv>
  <rv s="0">
    <fb>7187038</fb>
    <v>2</v>
  </rv>
  <rv s="0">
    <fb>45713</fb>
    <v>0</v>
  </rv>
  <rv s="0">
    <fb>156.41999999999999</fb>
    <v>1</v>
  </rv>
  <rv s="0">
    <fb>9474619</fb>
    <v>2</v>
  </rv>
  <rv s="0">
    <fb>45714</fb>
    <v>0</v>
  </rv>
  <rv s="0">
    <fb>151.51</fb>
    <v>1</v>
  </rv>
  <rv s="0">
    <fb>9076519</fb>
    <v>2</v>
  </rv>
  <rv s="0">
    <fb>45715</fb>
    <v>0</v>
  </rv>
  <rv s="0">
    <fb>152.02000000000001</fb>
    <v>1</v>
  </rv>
  <rv s="0">
    <fb>6730985</fb>
    <v>2</v>
  </rv>
  <rv s="0">
    <fb>45716</fb>
    <v>0</v>
  </rv>
  <rv s="0">
    <fb>153.47</fb>
    <v>1</v>
  </rv>
  <rv s="0">
    <fb>8314044</fb>
    <v>2</v>
  </rv>
  <rv s="0">
    <fb>45719</fb>
    <v>0</v>
  </rv>
  <rv s="0">
    <fb>155.99</fb>
    <v>1</v>
  </rv>
  <rv s="0">
    <fb>8321674</fb>
    <v>2</v>
  </rv>
  <rv s="0">
    <fb>45720</fb>
    <v>0</v>
  </rv>
  <rv s="0">
    <fb>154.19</fb>
    <v>1</v>
  </rv>
  <rv s="0">
    <fb>10274235</fb>
    <v>2</v>
  </rv>
  <rv s="0">
    <fb>45721</fb>
    <v>0</v>
  </rv>
  <rv s="0">
    <fb>153.88</fb>
    <v>1</v>
  </rv>
  <rv s="0">
    <fb>5578701</fb>
    <v>2</v>
  </rv>
  <rv s="0">
    <fb>45722</fb>
    <v>0</v>
  </rv>
  <rv s="0">
    <fb>8421031</fb>
    <v>2</v>
  </rv>
  <rv s="0">
    <fb>45723</fb>
    <v>0</v>
  </rv>
  <rv s="0">
    <fb>154.44</fb>
    <v>1</v>
  </rv>
  <rv s="0">
    <fb>8997748</fb>
    <v>2</v>
  </rv>
  <rv s="0">
    <fb>45726</fb>
    <v>0</v>
  </rv>
  <rv s="0">
    <fb>156.25</fb>
    <v>1</v>
  </rv>
  <rv s="0">
    <fb>11156892</fb>
    <v>2</v>
  </rv>
  <rv s="0">
    <fb>45727</fb>
    <v>0</v>
  </rv>
  <rv s="0">
    <fb>152.33000000000001</fb>
    <v>1</v>
  </rv>
  <rv s="0">
    <fb>7981566</fb>
    <v>2</v>
  </rv>
  <rv s="0">
    <fb>45728</fb>
    <v>0</v>
  </rv>
  <rv s="0">
    <fb>148.16999999999999</fb>
    <v>1</v>
  </rv>
  <rv s="0">
    <fb>8330241</fb>
    <v>2</v>
  </rv>
  <rv s="0">
    <fb>45729</fb>
    <v>0</v>
  </rv>
  <rv s="0">
    <fb>148.34</fb>
    <v>1</v>
  </rv>
  <rv s="0">
    <fb>5351093</fb>
    <v>2</v>
  </rv>
  <rv s="0">
    <fb>45730</fb>
    <v>0</v>
  </rv>
  <rv s="0">
    <fb>148.59</fb>
    <v>1</v>
  </rv>
  <rv s="0">
    <fb>5277544</fb>
    <v>2</v>
  </rv>
  <rv s="0">
    <fb>45733</fb>
    <v>0</v>
  </rv>
  <rv s="0">
    <fb>151.34</fb>
    <v>1</v>
  </rv>
  <rv s="0">
    <fb>5449712</fb>
    <v>2</v>
  </rv>
  <rv s="0">
    <fb>45734</fb>
    <v>0</v>
  </rv>
  <rv s="0">
    <fb>148.99</fb>
    <v>1</v>
  </rv>
  <rv s="0">
    <fb>8158556</fb>
    <v>2</v>
  </rv>
  <rv s="0">
    <fb>45735</fb>
    <v>0</v>
  </rv>
  <rv s="0">
    <fb>148.11000000000001</fb>
    <v>1</v>
  </rv>
  <rv s="0">
    <fb>6080054</fb>
    <v>2</v>
  </rv>
  <rv s="0">
    <fb>45736</fb>
    <v>0</v>
  </rv>
  <rv s="0">
    <fb>147.15</fb>
    <v>1</v>
  </rv>
  <rv s="0">
    <fb>4536367</fb>
    <v>2</v>
  </rv>
  <rv s="0">
    <fb>45737</fb>
    <v>0</v>
  </rv>
  <rv s="0">
    <fb>145.44999999999999</fb>
    <v>1</v>
  </rv>
  <rv s="0">
    <fb>11574777</fb>
    <v>2</v>
  </rv>
  <rv s="0">
    <fb>45740</fb>
    <v>0</v>
  </rv>
  <rv s="0">
    <fb>146.44999999999999</fb>
    <v>1</v>
  </rv>
  <rv s="0">
    <fb>5968852</fb>
    <v>2</v>
  </rv>
  <rv s="0">
    <fb>45741</fb>
    <v>0</v>
  </rv>
  <rv s="0">
    <fb>145.54</fb>
    <v>1</v>
  </rv>
  <rv s="0">
    <fb>4763277</fb>
    <v>2</v>
  </rv>
  <rv s="0">
    <fb>45742</fb>
    <v>0</v>
  </rv>
  <rv s="0">
    <fb>148.63999999999999</fb>
    <v>1</v>
  </rv>
  <rv s="0">
    <fb>5885290</fb>
    <v>2</v>
  </rv>
  <rv s="0">
    <fb>45743</fb>
    <v>0</v>
  </rv>
  <rv s="0">
    <fb>149.66999999999999</fb>
    <v>1</v>
  </rv>
  <rv s="0">
    <fb>5397532</fb>
    <v>2</v>
  </rv>
  <rv s="0">
    <fb>45744</fb>
    <v>0</v>
  </rv>
  <rv s="0">
    <fb>149.27000000000001</fb>
    <v>1</v>
  </rv>
  <rv s="0">
    <fb>8550883</fb>
    <v>2</v>
  </rv>
  <rv s="0">
    <fb>45747</fb>
    <v>0</v>
  </rv>
  <rv s="0">
    <fb>149.94</fb>
    <v>1</v>
  </rv>
  <rv s="0">
    <fb>9985702</fb>
    <v>2</v>
  </rv>
  <rv s="0">
    <fb>45748</fb>
    <v>0</v>
  </rv>
  <rv s="0">
    <fb>6072838</fb>
    <v>2</v>
  </rv>
  <rv s="0">
    <fb>45749</fb>
    <v>0</v>
  </rv>
  <rv s="0">
    <fb>5866172</fb>
    <v>2</v>
  </rv>
  <rv s="0">
    <fb>45750</fb>
    <v>0</v>
  </rv>
  <rv s="0">
    <fb>151.37</fb>
    <v>1</v>
  </rv>
  <rv s="0">
    <fb>8216247</fb>
    <v>2</v>
  </rv>
  <rv s="0">
    <fb>45751</fb>
    <v>0</v>
  </rv>
  <rv s="0">
    <fb>146.61000000000001</fb>
    <v>1</v>
  </rv>
  <rv s="0">
    <fb>12911386</fb>
    <v>2</v>
  </rv>
  <rv s="0">
    <fb>45754</fb>
    <v>0</v>
  </rv>
  <rv s="0">
    <fb>143.19</fb>
    <v>1</v>
  </rv>
  <rv s="0">
    <fb>14423214</fb>
    <v>2</v>
  </rv>
  <rv s="0">
    <fb>45755</fb>
    <v>0</v>
  </rv>
  <rv s="0">
    <fb>140.30000000000001</fb>
    <v>1</v>
  </rv>
  <rv s="0">
    <fb>9488865</fb>
    <v>2</v>
  </rv>
  <rv s="0">
    <fb>45756</fb>
    <v>0</v>
  </rv>
  <rv s="0">
    <fb>145.59</fb>
    <v>1</v>
  </rv>
  <rv s="0">
    <fb>14067005</fb>
    <v>2</v>
  </rv>
  <rv s="0">
    <fb>45757</fb>
    <v>0</v>
  </rv>
  <rv s="0">
    <fb>144.13999999999999</fb>
    <v>1</v>
  </rv>
  <rv s="0">
    <fb>10980259</fb>
    <v>2</v>
  </rv>
  <rv s="0">
    <fb>45758</fb>
    <v>0</v>
  </rv>
  <rv s="0">
    <fb>144.43</fb>
    <v>1</v>
  </rv>
  <rv s="0">
    <fb>8563304</fb>
    <v>2</v>
  </rv>
  <rv s="0">
    <fb>45761</fb>
    <v>0</v>
  </rv>
  <rv s="0">
    <fb>146.75</fb>
    <v>1</v>
  </rv>
  <rv s="0">
    <fb>5393999</fb>
    <v>2</v>
  </rv>
  <rv s="0">
    <fb>45762</fb>
    <v>0</v>
  </rv>
  <rv s="0">
    <fb>142.84</fb>
    <v>1</v>
  </rv>
  <rv s="0">
    <fb>5459551</fb>
    <v>2</v>
  </rv>
  <rv s="0">
    <fb>45763</fb>
    <v>0</v>
  </rv>
  <rv s="0">
    <fb>140.09</fb>
    <v>1</v>
  </rv>
  <rv s="0">
    <fb>7878593</fb>
    <v>2</v>
  </rv>
  <rv s="0">
    <fb>45764</fb>
    <v>0</v>
  </rv>
  <rv s="0">
    <fb>6131364</fb>
    <v>2</v>
  </rv>
  <rv s="0">
    <fb>45768</fb>
    <v>0</v>
  </rv>
  <rv s="0">
    <fb>141.72999999999999</fb>
    <v>1</v>
  </rv>
  <rv s="0">
    <fb>7412800</fb>
    <v>2</v>
  </rv>
  <rv s="0">
    <fb>45769</fb>
    <v>0</v>
  </rv>
  <rv s="0">
    <fb>143.46</fb>
    <v>1</v>
  </rv>
  <rv s="0">
    <fb>7144709</fb>
    <v>2</v>
  </rv>
  <rv s="0">
    <fb>45770</fb>
    <v>0</v>
  </rv>
  <rv s="0">
    <fb>142.26</fb>
    <v>1</v>
  </rv>
  <rv s="0">
    <fb>7760035</fb>
    <v>2</v>
  </rv>
  <rv s="0">
    <fb>45771</fb>
    <v>0</v>
  </rv>
  <rv s="0">
    <fb>135.31</fb>
    <v>1</v>
  </rv>
  <rv s="0">
    <fb>15577256</fb>
    <v>2</v>
  </rv>
  <rv s="0">
    <fb>45772</fb>
    <v>0</v>
  </rv>
  <rv s="0">
    <fb>133.38</fb>
    <v>1</v>
  </rv>
  <rv s="0">
    <fb>11544686</fb>
    <v>2</v>
  </rv>
  <rv s="0">
    <fb>45775</fb>
    <v>0</v>
  </rv>
  <rv s="0">
    <fb>133.76</fb>
    <v>1</v>
  </rv>
  <rv s="0">
    <fb>8498608</fb>
    <v>2</v>
  </rv>
  <rv s="0">
    <fb>45776</fb>
    <v>0</v>
  </rv>
  <rv s="0">
    <fb>134.31</fb>
    <v>1</v>
  </rv>
  <rv s="0">
    <fb>7010733</fb>
    <v>2</v>
  </rv>
  <rv s="0">
    <fb>45777</fb>
    <v>0</v>
  </rv>
  <rv s="0">
    <fb>135.58000000000001</fb>
    <v>1</v>
  </rv>
  <rv s="0">
    <fb>7923472</fb>
    <v>2</v>
  </rv>
  <rv s="0">
    <fb>45778</fb>
    <v>0</v>
  </rv>
  <rv s="0">
    <fb>133.55000000000001</fb>
    <v>1</v>
  </rv>
  <rv s="0">
    <fb>6807019</fb>
    <v>2</v>
  </rv>
  <rv s="0">
    <fb>45779</fb>
    <v>0</v>
  </rv>
  <rv s="0">
    <fb>133.75</fb>
    <v>1</v>
  </rv>
  <rv s="0">
    <fb>7169731</fb>
    <v>2</v>
  </rv>
  <rv s="0">
    <fb>45782</fb>
    <v>0</v>
  </rv>
  <rv s="0">
    <fb>131.99</fb>
    <v>1</v>
  </rv>
  <rv s="0">
    <fb>8972159</fb>
    <v>2</v>
  </rv>
  <rv s="0">
    <fb>45783</fb>
    <v>0</v>
  </rv>
  <rv s="0">
    <fb>130.74</fb>
    <v>1</v>
  </rv>
  <rv s="0">
    <fb>6889893</fb>
    <v>2</v>
  </rv>
  <rv s="0">
    <fb>45784</fb>
    <v>0</v>
  </rv>
  <rv s="0">
    <fb>131.91499999999999</fb>
    <v>1</v>
  </rv>
  <rv s="0">
    <fb>6313815</fb>
    <v>2</v>
  </rv>
  <rv s="0">
    <fb>45785</fb>
    <v>0</v>
  </rv>
  <rv s="0">
    <fb>131.43</fb>
    <v>1</v>
  </rv>
  <rv s="0">
    <fb>6392355</fb>
    <v>2</v>
  </rv>
  <rv s="0">
    <fb>45786</fb>
    <v>0</v>
  </rv>
  <rv s="0">
    <fb>130.44</fb>
    <v>1</v>
  </rv>
  <rv s="0">
    <fb>4770504</fb>
    <v>2</v>
  </rv>
  <rv s="0">
    <fb>45789</fb>
    <v>0</v>
  </rv>
  <rv s="0">
    <fb>131.68</fb>
    <v>1</v>
  </rv>
  <rv s="0">
    <fb>8392720</fb>
    <v>2</v>
  </rv>
  <rv s="0">
    <fb>45790</fb>
    <v>0</v>
  </rv>
  <rv s="0">
    <fb>130.31</fb>
    <v>1</v>
  </rv>
  <rv s="0">
    <fb>8650220</fb>
    <v>2</v>
  </rv>
  <rv s="0">
    <fb>45791</fb>
    <v>0</v>
  </rv>
  <rv s="0">
    <fb>128.44999999999999</fb>
    <v>1</v>
  </rv>
  <rv s="0">
    <fb>10463015</fb>
    <v>2</v>
  </rv>
  <rv s="0">
    <fb>45792</fb>
    <v>0</v>
  </rv>
  <rv s="0">
    <fb>131.5</fb>
    <v>1</v>
  </rv>
  <rv s="0">
    <fb>9165089</fb>
    <v>2</v>
  </rv>
  <rv s="0">
    <fb>45793</fb>
    <v>0</v>
  </rv>
  <rv s="0">
    <fb>131.97999999999999</fb>
    <v>1</v>
  </rv>
  <rv s="0">
    <fb>8896370</fb>
    <v>2</v>
  </rv>
  <rv s="0">
    <fb>45796</fb>
    <v>0</v>
  </rv>
  <rv s="0">
    <fb>131.79</fb>
    <v>1</v>
  </rv>
  <rv s="0">
    <fb>9406194</fb>
    <v>2</v>
  </rv>
  <rv s="0">
    <fb>45797</fb>
    <v>0</v>
  </rv>
  <rv s="0">
    <fb>131.80000000000001</fb>
    <v>1</v>
  </rv>
  <rv s="0">
    <fb>7624244</fb>
    <v>2</v>
  </rv>
  <rv s="0">
    <fb>45798</fb>
    <v>0</v>
  </rv>
  <rv s="0">
    <fb>130.15</fb>
    <v>1</v>
  </rv>
  <rv s="0">
    <fb>9243724</fb>
    <v>2</v>
  </rv>
  <rv s="0">
    <fb>45799</fb>
    <v>0</v>
  </rv>
  <rv s="0">
    <fb>130.12</fb>
    <v>1</v>
  </rv>
  <rv s="0">
    <fb>7140231</fb>
    <v>2</v>
  </rv>
  <rv s="0">
    <fb>45800</fb>
    <v>0</v>
  </rv>
  <rv s="0">
    <fb>129.34</fb>
    <v>1</v>
  </rv>
  <rv s="0">
    <fb>8122494</fb>
    <v>2</v>
  </rv>
  <rv s="0">
    <fb>45804</fb>
    <v>0</v>
  </rv>
  <rv s="0">
    <fb>131.37</fb>
    <v>1</v>
  </rv>
  <rv s="0">
    <fb>13974764</fb>
    <v>2</v>
  </rv>
  <rv s="0">
    <fb>45805</fb>
    <v>0</v>
  </rv>
  <rv s="0">
    <fb>130.66999999999999</fb>
    <v>1</v>
  </rv>
  <rv s="0">
    <fb>9431450</fb>
    <v>2</v>
  </rv>
  <rv s="0">
    <fb>45806</fb>
    <v>0</v>
  </rv>
  <rv s="0">
    <fb>131.91999999999999</fb>
    <v>1</v>
  </rv>
  <rv s="0">
    <fb>6659069</fb>
    <v>2</v>
  </rv>
  <rv s="0">
    <fb>45807</fb>
    <v>0</v>
  </rv>
  <rv s="0">
    <fb>131.44999999999999</fb>
    <v>1</v>
  </rv>
  <rv s="0">
    <fb>12992075</fb>
    <v>2</v>
  </rv>
  <rv s="0">
    <fb>45810</fb>
    <v>0</v>
  </rv>
  <rv s="0">
    <fb>130.91</fb>
    <v>1</v>
  </rv>
  <rv s="0">
    <fb>6723720</fb>
    <v>2</v>
  </rv>
  <rv s="0">
    <fb>45811</fb>
    <v>0</v>
  </rv>
  <rv s="0">
    <fb>131.85</fb>
    <v>1</v>
  </rv>
  <rv s="0">
    <fb>7339524</fb>
    <v>2</v>
  </rv>
  <rv s="0">
    <fb>45812</fb>
    <v>0</v>
  </rv>
  <rv s="0">
    <fb>131.74</fb>
    <v>1</v>
  </rv>
  <rv s="0">
    <fb>6519728</fb>
    <v>2</v>
  </rv>
  <rv s="0">
    <fb>45813</fb>
    <v>0</v>
  </rv>
  <rv s="0">
    <fb>131.11000000000001</fb>
    <v>1</v>
  </rv>
  <rv s="0">
    <fb>9566619</fb>
    <v>2</v>
  </rv>
  <rv s="0">
    <fb>45814</fb>
    <v>0</v>
  </rv>
  <rv s="0">
    <fb>130.03</fb>
    <v>1</v>
  </rv>
  <rv s="0">
    <fb>7628224</fb>
    <v>2</v>
  </rv>
  <rv s="0">
    <fb>45817</fb>
    <v>0</v>
  </rv>
  <rv s="0">
    <fb>129.96</fb>
    <v>1</v>
  </rv>
  <rv s="0">
    <fb>8453146</fb>
    <v>2</v>
  </rv>
  <rv s="0">
    <fb>45818</fb>
    <v>0</v>
  </rv>
  <rv s="0">
    <fb>131.83000000000001</fb>
    <v>1</v>
  </rv>
  <rv s="0">
    <fb>11852874</fb>
    <v>2</v>
  </rv>
  <rv s="0">
    <fb>45819</fb>
    <v>0</v>
  </rv>
  <rv s="0">
    <fb>129.9</fb>
    <v>1</v>
  </rv>
  <rv s="0">
    <fb>9168356</fb>
    <v>2</v>
  </rv>
  <rv s="0">
    <fb>45820</fb>
    <v>0</v>
  </rv>
  <rv s="0">
    <fb>132.30000000000001</fb>
    <v>1</v>
  </rv>
  <rv s="0">
    <fb>11444911</fb>
    <v>2</v>
  </rv>
  <rv s="0">
    <fb>45821</fb>
    <v>0</v>
  </rv>
  <rv s="0">
    <fb>130.85</fb>
    <v>1</v>
  </rv>
  <rv s="0">
    <fb>9581034</fb>
    <v>2</v>
  </rv>
  <rv s="0">
    <fb>45824</fb>
    <v>0</v>
  </rv>
  <rv s="0">
    <fb>131.41</fb>
    <v>1</v>
  </rv>
  <rv s="0">
    <fb>11183692</fb>
    <v>2</v>
  </rv>
  <rv s="0">
    <fb>45825</fb>
    <v>0</v>
  </rv>
  <rv s="0">
    <fb>129.29</fb>
    <v>1</v>
  </rv>
  <rv s="0">
    <fb>10235225</fb>
    <v>2</v>
  </rv>
  <rv s="0">
    <fb>45826</fb>
    <v>0</v>
  </rv>
  <rv s="0">
    <fb>129.07</fb>
    <v>1</v>
  </rv>
  <rv s="0">
    <fb>8785766</fb>
    <v>2</v>
  </rv>
  <rv s="0">
    <fb>45828</fb>
    <v>0</v>
  </rv>
  <rv s="0">
    <fb>23000967</fb>
    <v>2</v>
  </rv>
  <rv s="0">
    <fb>45831</fb>
    <v>0</v>
  </rv>
  <rv s="0">
    <fb>129.09</fb>
    <v>1</v>
  </rv>
  <rv s="0">
    <fb>12840356</fb>
    <v>2</v>
  </rv>
  <rv s="0">
    <fb>45832</fb>
    <v>0</v>
  </rv>
  <rv s="0">
    <fb>131.05000000000001</fb>
    <v>1</v>
  </rv>
  <rv s="0">
    <fb>9226773</fb>
    <v>2</v>
  </rv>
  <rv s="0">
    <fb>45833</fb>
    <v>0</v>
  </rv>
  <rv s="0">
    <fb>128.02000000000001</fb>
    <v>1</v>
  </rv>
  <rv s="0">
    <fb>10922565</fb>
    <v>2</v>
  </rv>
  <rv s="0">
    <fb>45834</fb>
    <v>0</v>
  </rv>
  <rv s="0">
    <fb>128.22</fb>
    <v>1</v>
  </rv>
  <rv s="0">
    <fb>11538069</fb>
    <v>2</v>
  </rv>
  <rv s="0">
    <fb>45835</fb>
    <v>0</v>
  </rv>
  <rv s="0">
    <fb>131.04</fb>
    <v>1</v>
  </rv>
  <rv s="0">
    <fb>26536478</fb>
    <v>2</v>
  </rv>
  <rv s="0">
    <fb>45838</fb>
    <v>0</v>
  </rv>
  <rv s="0">
    <fb>132.04</fb>
    <v>1</v>
  </rv>
  <rv s="0">
    <fb>11402443</fb>
    <v>2</v>
  </rv>
  <rv s="0">
    <fb>45839</fb>
    <v>0</v>
  </rv>
  <rv s="0">
    <fb>135.26</fb>
    <v>1</v>
  </rv>
  <rv s="0">
    <fb>12846685</fb>
    <v>2</v>
  </rv>
  <rv s="0">
    <fb>45840</fb>
    <v>0</v>
  </rv>
  <rv s="0">
    <fb>136.47999999999999</fb>
    <v>1</v>
  </rv>
  <rv s="0">
    <fb>9388667</fb>
    <v>2</v>
  </rv>
  <rv s="0">
    <fb>45841</fb>
    <v>0</v>
  </rv>
  <rv s="0">
    <fb>135.38</fb>
    <v>1</v>
  </rv>
  <rv s="0">
    <fb>4941378</fb>
    <v>2</v>
  </rv>
  <rv s="0">
    <fb>45845</fb>
    <v>0</v>
  </rv>
  <rv s="0">
    <fb>134.44999999999999</fb>
    <v>1</v>
  </rv>
  <rv s="0">
    <fb>7773744</fb>
    <v>2</v>
  </rv>
  <rv s="0">
    <fb>45846</fb>
    <v>0</v>
  </rv>
  <rv s="0">
    <fb>135.04</fb>
    <v>1</v>
  </rv>
  <rv s="0">
    <fb>7718265</fb>
    <v>2</v>
  </rv>
  <rv s="0">
    <fb>45847</fb>
    <v>0</v>
  </rv>
  <rv s="0">
    <fb>134.47999999999999</fb>
    <v>1</v>
  </rv>
  <rv s="0">
    <fb>7762618</fb>
    <v>2</v>
  </rv>
  <rv s="0">
    <fb>45848</fb>
    <v>0</v>
  </rv>
  <rv s="0">
    <fb>136.08000000000001</fb>
    <v>1</v>
  </rv>
  <rv s="0">
    <fb>8870905</fb>
    <v>2</v>
  </rv>
  <rv s="0">
    <fb>45849</fb>
    <v>0</v>
  </rv>
  <rv s="0">
    <fb>7963646</fb>
    <v>2</v>
  </rv>
  <rv s="0">
    <fb>45852</fb>
    <v>0</v>
  </rv>
  <rv s="0">
    <fb>135.57</fb>
    <v>1</v>
  </rv>
  <rv s="0">
    <fb>8480302</fb>
    <v>2</v>
  </rv>
  <rv s="0">
    <fb>45853</fb>
    <v>0</v>
  </rv>
  <rv s="0">
    <fb>133.81</fb>
    <v>1</v>
  </rv>
  <rv s="0">
    <fb>8933520</fb>
    <v>2</v>
  </rv>
  <rv s="0">
    <fb>45854</fb>
    <v>0</v>
  </rv>
  <rv s="0">
    <fb>135.35</fb>
    <v>1</v>
  </rv>
  <rv s="0">
    <fb>10941629</fb>
    <v>2</v>
  </rv>
  <rv s="0">
    <fb>45855</fb>
    <v>0</v>
  </rv>
  <rv s="0">
    <fb>145.44</fb>
    <v>1</v>
  </rv>
  <rv s="0">
    <fb>26161000</fb>
    <v>2</v>
  </rv>
  <rv s="0">
    <fb>45856</fb>
    <v>0</v>
  </rv>
  <rv s="0">
    <fb>143.24</fb>
    <v>1</v>
  </rv>
  <rv s="0">
    <fb>13752825</fb>
    <v>2</v>
  </rv>
  <rv s="0">
    <fb>45859</fb>
    <v>0</v>
  </rv>
  <rv s="0">
    <fb>141.69999999999999</fb>
    <v>1</v>
  </rv>
  <rv s="0">
    <fb>9025630</fb>
    <v>2</v>
  </rv>
  <rv s="0">
    <fb>45860</fb>
    <v>0</v>
  </rv>
  <rv s="0">
    <fb>146.04</fb>
    <v>1</v>
  </rv>
  <rv s="0">
    <fb>8281528</fb>
    <v>2</v>
  </rv>
  <rv s="0">
    <fb>45861</fb>
    <v>0</v>
  </rv>
  <rv s="0">
    <fb>6165951</fb>
    <v>2</v>
  </rv>
  <rv s="0">
    <fb>45862</fb>
    <v>0</v>
  </rv>
  <rv s="0">
    <fb>144.51</fb>
    <v>1</v>
  </rv>
  <rv s="0">
    <fb>9749426</fb>
    <v>2</v>
  </rv>
  <rv s="0">
    <fb>45863</fb>
    <v>0</v>
  </rv>
  <rv s="0">
    <fb>143.44999999999999</fb>
    <v>1</v>
  </rv>
  <rv s="0">
    <fb>7021594</fb>
    <v>2</v>
  </rv>
  <rv s="0">
    <fb>45866</fb>
    <v>0</v>
  </rv>
  <rv s="0">
    <fb>141.57</fb>
    <v>1</v>
  </rv>
  <rv s="0">
    <fb>10639129</fb>
    <v>2</v>
  </rv>
  <rv s="0">
    <fb>45867</fb>
    <v>0</v>
  </rv>
  <rv s="0">
    <fb>143.88999999999999</fb>
    <v>1</v>
  </rv>
  <rv s="0">
    <fb>6282944</fb>
    <v>2</v>
  </rv>
  <rv s="0">
    <fb>45868</fb>
    <v>0</v>
  </rv>
  <rv s="0">
    <fb>142.86000000000001</fb>
    <v>1</v>
  </rv>
  <rv s="0">
    <fb>9738383</fb>
    <v>2</v>
  </rv>
  <rv s="0">
    <fb>45869</fb>
    <v>0</v>
  </rv>
  <rv s="0">
    <fb>137.91999999999999</fb>
    <v>1</v>
  </rv>
  <rv s="0">
    <fb>11689674</fb>
    <v>2</v>
  </rv>
  <rv s="0">
    <fb>45870</fb>
    <v>0</v>
  </rv>
  <rv s="0">
    <fb>139.28</fb>
    <v>1</v>
  </rv>
  <rv s="0">
    <fb>7630810</fb>
    <v>2</v>
  </rv>
  <rv s="0">
    <fb>45873</fb>
    <v>0</v>
  </rv>
  <rv s="0">
    <fb>139.56</fb>
    <v>1</v>
  </rv>
  <rv s="0">
    <fb>8384672</fb>
    <v>2</v>
  </rv>
  <rv s="0">
    <fb>45874</fb>
    <v>0</v>
  </rv>
  <rv s="0">
    <fb>139.44999999999999</fb>
    <v>1</v>
  </rv>
  <rv s="0">
    <fb>5535084</fb>
    <v>2</v>
  </rv>
  <rv s="0">
    <fb>45875</fb>
    <v>0</v>
  </rv>
  <rv s="0">
    <fb>140.80000000000001</fb>
    <v>1</v>
  </rv>
  <rv s="0">
    <fb>6747448</fb>
    <v>2</v>
  </rv>
  <rv s="0">
    <fb>45876</fb>
    <v>0</v>
  </rv>
  <rv s="0">
    <fb>143.91999999999999</fb>
    <v>1</v>
  </rv>
  <rv s="0">
    <fb>7674642</fb>
    <v>2</v>
  </rv>
  <rv s="0">
    <fb>45877</fb>
    <v>0</v>
  </rv>
  <rv s="0">
    <fb>145.21</fb>
    <v>1</v>
  </rv>
  <rv s="0">
    <fb>5315087</fb>
    <v>2</v>
  </rv>
  <rv s="0">
    <fb>45880</fb>
    <v>0</v>
  </rv>
  <rv s="0">
    <fb>144.87</fb>
    <v>1</v>
  </rv>
  <rv s="0">
    <fb>5773384</fb>
    <v>2</v>
  </rv>
  <rv s="0">
    <fb>45881</fb>
    <v>0</v>
  </rv>
  <rv s="0">
    <fb>146.87</fb>
    <v>1</v>
  </rv>
  <rv s="0">
    <fb>7670149</fb>
    <v>2</v>
  </rv>
  <rv s="0">
    <fb>45882</fb>
    <v>0</v>
  </rv>
  <rv s="0">
    <fb>149.35</fb>
    <v>1</v>
  </rv>
  <rv s="0">
    <fb>6147005</fb>
    <v>2</v>
  </rv>
  <rv s="0">
    <fb>45883</fb>
    <v>0</v>
  </rv>
  <rv s="0">
    <fb>6892466</fb>
    <v>2</v>
  </rv>
  <rv s="0">
    <fb>45884</fb>
    <v>0</v>
  </rv>
  <rv s="0">
    <fb>150.4</fb>
    <v>1</v>
  </rv>
  <rv s="0">
    <fb>9162178</fb>
    <v>2</v>
  </rv>
  <rv s="0">
    <fb>45887</fb>
    <v>0</v>
  </rv>
  <rv s="0">
    <fb>149.55000000000001</fb>
    <v>1</v>
  </rv>
  <rv s="0">
    <fb>9900999</fb>
    <v>2</v>
  </rv>
  <rv s="0">
    <fb>45888</fb>
    <v>0</v>
  </rv>
  <rv s="0">
    <fb>152.16</fb>
    <v>1</v>
  </rv>
  <rv s="0">
    <fb>8596943</fb>
    <v>2</v>
  </rv>
  <rv s="0">
    <fb>45889</fb>
    <v>0</v>
  </rv>
  <rv s="0">
    <fb>150.72999999999999</fb>
    <v>1</v>
  </rv>
  <rv s="0">
    <fb>10023466</fb>
    <v>2</v>
  </rv>
  <rv s="0">
    <fb>45890</fb>
    <v>0</v>
  </rv>
  <rv s="0">
    <fb>148.97999999999999</fb>
    <v>1</v>
  </rv>
  <rv s="0">
    <fb>8153618</fb>
    <v>2</v>
  </rv>
  <rv s="0">
    <fb>45891</fb>
    <v>0</v>
  </rv>
  <rv s="0">
    <fb>149.63999999999999</fb>
    <v>1</v>
  </rv>
  <rv s="0">
    <fb>5218019</fb>
    <v>2</v>
  </rv>
  <rv s="0">
    <fb>45894</fb>
    <v>0</v>
  </rv>
  <rv s="0">
    <fb>148.19999999999999</fb>
    <v>1</v>
  </rv>
  <rv s="0">
    <fb>6624298</fb>
    <v>2</v>
  </rv>
  <rv s="0">
    <fb>45895</fb>
    <v>0</v>
  </rv>
  <rv s="0">
    <fb>147</fb>
    <v>1</v>
  </rv>
  <rv s="0">
    <fb>11208146</fb>
    <v>2</v>
  </rv>
  <rv s="0">
    <fb>45896</fb>
    <v>0</v>
  </rv>
  <rv s="0">
    <fb>147.63999999999999</fb>
    <v>1</v>
  </rv>
  <rv s="0">
    <fb>8092909</fb>
    <v>2</v>
  </rv>
  <rv s="0">
    <fb>45897</fb>
    <v>0</v>
  </rv>
  <rv s="0">
    <fb>146.97999999999999</fb>
    <v>1</v>
  </rv>
  <rv s="0">
    <fb>9265077</fb>
    <v>2</v>
  </rv>
  <rv s="0">
    <fb>45898</fb>
    <v>0</v>
  </rv>
  <rv s="0">
    <fb>148.65</fb>
    <v>1</v>
  </rv>
  <rv s="0">
    <fb>7760710</fb>
    <v>2</v>
  </rv>
  <rv s="0">
    <fb>45902</fb>
    <v>0</v>
  </rv>
  <rv s="0">
    <fb>150.28</fb>
    <v>1</v>
  </rv>
  <rv s="0">
    <fb>17348611</fb>
    <v>2</v>
  </rv>
  <rv s="0">
    <fb>45903</fb>
    <v>0</v>
  </rv>
  <rv s="0">
    <fb>11259203</fb>
    <v>2</v>
  </rv>
  <rv s="0">
    <fb>45904</fb>
    <v>0</v>
  </rv>
  <rv s="0">
    <fb>146.88999999999999</fb>
    <v>1</v>
  </rv>
  <rv s="0">
    <fb>6342232</fb>
    <v>2</v>
  </rv>
  <rv s="0">
    <fb>45905</fb>
    <v>0</v>
  </rv>
  <rv s="0">
    <fb>146.38999999999999</fb>
    <v>1</v>
  </rv>
  <rv s="0">
    <fb>7186260</fb>
    <v>2</v>
  </rv>
  <rv s="0">
    <fb>45908</fb>
    <v>0</v>
  </rv>
  <rv s="0">
    <fb>141.71</fb>
    <v>1</v>
  </rv>
  <rv s="0">
    <fb>11127619</fb>
    <v>2</v>
  </rv>
  <rv s="0">
    <fb>45909</fb>
    <v>0</v>
  </rv>
  <rv s="0">
    <fb>143.1</fb>
    <v>1</v>
  </rv>
  <rv s="0">
    <fb>5866442</fb>
    <v>2</v>
  </rv>
  <rv s="0">
    <fb>45910</fb>
    <v>0</v>
  </rv>
  <rv s="0">
    <fb>142.66</fb>
    <v>1</v>
  </rv>
  <rv s="0">
    <fb>6015122</fb>
    <v>2</v>
  </rv>
  <rv s="0">
    <fb>45911</fb>
    <v>0</v>
  </rv>
  <rv s="0">
    <fb>144.22999999999999</fb>
    <v>1</v>
  </rv>
  <rv s="0">
    <fb>6144363</fb>
    <v>2</v>
  </rv>
  <rv s="0">
    <fb>45912</fb>
    <v>0</v>
  </rv>
  <rv s="0">
    <fb>143.53</fb>
    <v>1</v>
  </rv>
  <rv s="0">
    <fb>5714114</fb>
    <v>2</v>
  </rv>
  <rv s="0">
    <fb>45915</fb>
    <v>0</v>
  </rv>
  <rv s="0">
    <fb>140.63999999999999</fb>
    <v>1</v>
  </rv>
  <rv s="0">
    <fb>7279639</fb>
    <v>2</v>
  </rv>
  <rv s="0">
    <fb>45916</fb>
    <v>0</v>
  </rv>
  <rv s="0">
    <fb>140.03</fb>
    <v>1</v>
  </rv>
  <rv s="0">
    <fb>9283480</fb>
    <v>2</v>
  </rv>
  <rv s="0">
    <fb>45917</fb>
    <v>0</v>
  </rv>
  <rv s="0">
    <fb>141.22999999999999</fb>
    <v>1</v>
  </rv>
  <rv s="0">
    <fb>6092884</fb>
    <v>2</v>
  </rv>
  <rv s="0">
    <fb>45918</fb>
    <v>0</v>
  </rv>
  <rv s="0">
    <fb>140.72999999999999</fb>
    <v>1</v>
  </rv>
  <rv s="0">
    <fb>6106557</fb>
    <v>2</v>
  </rv>
  <rv s="0">
    <fb>45919</fb>
    <v>0</v>
  </rv>
  <rv s="0">
    <fb>141.76</fb>
    <v>1</v>
  </rv>
  <rv s="0">
    <fb>12365531</fb>
    <v>2</v>
  </rv>
  <rv s="0">
    <fb>45922</fb>
    <v>0</v>
  </rv>
  <rv s="0">
    <fb>141.03</fb>
    <v>1</v>
  </rv>
  <rv s="0">
    <fb>5797558</fb>
    <v>2</v>
  </rv>
  <rv s="0">
    <fb>45923</fb>
    <v>0</v>
  </rv>
  <rv s="0">
    <fb>141.9</fb>
    <v>1</v>
  </rv>
  <rv s="0">
    <fb>6356489</fb>
    <v>2</v>
  </rv>
  <rv s="0">
    <fb>45924</fb>
    <v>0</v>
  </rv>
  <rv s="0">
    <fb>142.16999999999999</fb>
    <v>1</v>
  </rv>
  <rv s="0">
    <fb>5949145</fb>
    <v>2</v>
  </rv>
  <rv s="0">
    <fb>45925</fb>
    <v>0</v>
  </rv>
  <rv s="0">
    <fb>139.91999999999999</fb>
    <v>1</v>
  </rv>
  <rv s="0">
    <fb>7101666</fb>
    <v>2</v>
  </rv>
  <rv s="0">
    <fb>45926</fb>
    <v>0</v>
  </rv>
  <rv s="0">
    <fb>140.44</fb>
    <v>1</v>
  </rv>
  <rv s="0">
    <fb>6224693</fb>
    <v>2</v>
  </rv>
  <rv s="0">
    <fb>45929</fb>
    <v>0</v>
  </rv>
  <rv s="0">
    <fb>140.16999999999999</fb>
    <v>1</v>
  </rv>
  <rv s="0">
    <fb>11930247</fb>
    <v>2</v>
  </rv>
  <rv s="0">
    <fb>45930</fb>
    <v>0</v>
  </rv>
  <rv s="0">
    <fb>7583411</fb>
    <v>2</v>
  </rv>
  <rv s="0">
    <fb>45931</fb>
    <v>0</v>
  </rv>
  <rv s="0">
    <fb>143.13999999999999</fb>
    <v>1</v>
  </rv>
  <rv s="0">
    <fb>5880796</fb>
    <v>2</v>
  </rv>
  <rv s="0">
    <fb>45932</fb>
    <v>0</v>
  </rv>
  <rv s="0">
    <fb>142.31</fb>
    <v>1</v>
  </rv>
  <rv s="0">
    <fb>4497315</fb>
    <v>2</v>
  </rv>
  <rv s="0">
    <fb>45933</fb>
    <v>0</v>
  </rv>
  <rv s="0">
    <fb>141.97999999999999</fb>
    <v>1</v>
  </rv>
  <rv s="0">
    <fb>5425725</fb>
    <v>2</v>
  </rv>
  <rv s="0">
    <fb>45936</fb>
    <v>0</v>
  </rv>
  <rv s="0">
    <fb>139.69999999999999</fb>
    <v>1</v>
  </rv>
  <rv s="0">
    <fb>6750712</fb>
    <v>2</v>
  </rv>
  <rv s="0">
    <fb>45937</fb>
    <v>0</v>
  </rv>
  <rv s="0">
    <fb>140.79</fb>
    <v>1</v>
  </rv>
  <rv s="0">
    <fb>6110309</fb>
    <v>2</v>
  </rv>
  <rv s="0">
    <fb>45938</fb>
    <v>0</v>
  </rv>
  <rv s="0">
    <fb>138.84</fb>
    <v>1</v>
  </rv>
  <rv s="0">
    <fb>8256741</fb>
    <v>2</v>
  </rv>
  <rv s="0">
    <fb>45939</fb>
    <v>0</v>
  </rv>
  <rv s="0">
    <fb>144.71</fb>
    <v>1</v>
  </rv>
  <rv s="0">
    <fb>13706629</fb>
    <v>2</v>
  </rv>
  <rv s="0">
    <fb>45940</fb>
    <v>0</v>
  </rv>
  <rv s="0">
    <fb>150.08000000000001</fb>
    <v>1</v>
  </rv>
  <rv s="0">
    <fb>17545164</fb>
    <v>2</v>
  </rv>
  <rv s="0">
    <fb>45943</fb>
    <v>0</v>
  </rv>
  <rv s="0">
    <fb>148.88999999999999</fb>
    <v>1</v>
  </rv>
  <rv s="0">
    <fb>7271983</fb>
    <v>2</v>
  </rv>
  <rv s="0">
    <fb>45944</fb>
    <v>0</v>
  </rv>
  <rv s="0">
    <fb>151.54</fb>
    <v>1</v>
  </rv>
  <rv s="0">
    <fb>8371136</fb>
    <v>2</v>
  </rv>
  <rv s="0">
    <fb>45945</fb>
    <v>0</v>
  </rv>
  <rv s="0">
    <fb>151.16</fb>
    <v>1</v>
  </rv>
  <rv s="0">
    <fb>6101096</fb>
    <v>2</v>
  </rv>
  <rv s="0">
    <fb>45946</fb>
    <v>0</v>
  </rv>
  <rv s="0">
    <fb>152.66999999999999</fb>
    <v>1</v>
  </rv>
  <rv s="0">
    <fb>8532889</fb>
    <v>2</v>
  </rv>
  <rv s="0">
    <fb>45947</fb>
    <v>0</v>
  </rv>
  <rv s="0">
    <fb>153.71</fb>
    <v>1</v>
  </rv>
  <rv s="0">
    <fb>6710141</fb>
    <v>2</v>
  </rv>
  <rv s="0">
    <fb>45950</fb>
    <v>0</v>
  </rv>
  <rv s="0">
    <fb>153.63999999999999</fb>
    <v>1</v>
  </rv>
  <rv s="0">
    <fb>4810592</fb>
    <v>2</v>
  </rv>
  <rv s="0">
    <fb>45951</fb>
    <v>0</v>
  </rv>
  <rv s="0">
    <fb>153.18</fb>
    <v>1</v>
  </rv>
  <rv s="0">
    <fb>5614266</fb>
    <v>2</v>
  </rv>
  <rv s="0">
    <fb>45952</fb>
    <v>0</v>
  </rv>
  <rv s="0">
    <fb>153.03</fb>
    <v>1</v>
  </rv>
  <rv s="0">
    <fb>6485959</fb>
    <v>2</v>
  </rv>
  <rv s="0">
    <fb>45953</fb>
    <v>0</v>
  </rv>
  <rv s="0">
    <fb>6091762</fb>
    <v>2</v>
  </rv>
  <rv s="0">
    <fb>45954</fb>
    <v>0</v>
  </rv>
  <rv s="0">
    <fb>151.55000000000001</fb>
    <v>1</v>
  </rv>
  <rv s="0">
    <fb>3580182</fb>
    <v>2</v>
  </rv>
  <rv s="0">
    <fb>45957</fb>
    <v>0</v>
  </rv>
  <rv s="0">
    <fb>152.63</fb>
    <v>1</v>
  </rv>
  <rv s="0">
    <fb>4744578</fb>
    <v>2</v>
  </rv>
  <rv s="0">
    <fb>45958</fb>
    <v>0</v>
  </rv>
  <rv s="0">
    <fb>150.12</fb>
    <v>1</v>
  </rv>
  <rv s="0">
    <fb>5626528</fb>
    <v>2</v>
  </rv>
  <rv s="0">
    <fb>45959</fb>
    <v>0</v>
  </rv>
  <rv s="0">
    <fb>146.16</fb>
    <v>1</v>
  </rv>
  <rv s="0">
    <fb>7767556</fb>
    <v>2</v>
  </rv>
  <rv s="0">
    <fb>45960</fb>
    <v>0</v>
  </rv>
  <rv s="0">
    <fb>147.55000000000001</fb>
    <v>1</v>
  </rv>
  <rv s="0">
    <fb>5752708</fb>
    <v>2</v>
  </rv>
  <rv s="0">
    <fb>45961</fb>
    <v>0</v>
  </rv>
  <rv s="0">
    <fb>146.09</fb>
    <v>1</v>
  </rv>
  <rv s="0">
    <fb>6313592</fb>
    <v>2</v>
  </rv>
  <rv s="0">
    <fb>45964</fb>
    <v>0</v>
  </rv>
  <rv s="0">
    <fb>143.6</fb>
    <v>1</v>
  </rv>
  <rv s="0">
    <fb>8331545</fb>
    <v>2</v>
  </rv>
  <rv s="0">
    <fb>45965</fb>
    <v>0</v>
  </rv>
  <rv s="0">
    <fb>142.9</fb>
    <v>1</v>
  </rv>
  <rv s="0">
    <fb>8302941</fb>
    <v>2</v>
  </rv>
  <rv s="0">
    <fb>45966</fb>
    <v>0</v>
  </rv>
  <rv s="0">
    <fb>7136424</fb>
    <v>2</v>
  </rv>
  <rv s="0">
    <fb>45967</fb>
    <v>0</v>
  </rv>
  <rv s="0">
    <fb>141.58000000000001</fb>
    <v>1</v>
  </rv>
  <rv s="0">
    <fb>6449386</fb>
    <v>2</v>
  </rv>
  <rv s="0">
    <fb>45968</fb>
    <v>0</v>
  </rv>
  <rv s="0">
    <fb>142.94999999999999</fb>
    <v>1</v>
  </rv>
  <rv s="0">
    <fb>7592652</fb>
    <v>2</v>
  </rv>
  <rv s="0">
    <fb>45971</fb>
    <v>0</v>
  </rv>
  <rv s="0">
    <fb>142.62</fb>
    <v>1</v>
  </rv>
  <rv s="0">
    <fb>6617494</fb>
    <v>2</v>
  </rv>
  <rv s="0">
    <fb>45972</fb>
    <v>0</v>
  </rv>
  <rv s="0">
    <fb>145.08000000000001</fb>
    <v>1</v>
  </rv>
  <rv s="0">
    <fb>7683573</fb>
    <v>2</v>
  </rv>
  <rv s="0">
    <fb>45973</fb>
    <v>0</v>
  </rv>
  <rv s="0">
    <fb>144.38999999999999</fb>
    <v>1</v>
  </rv>
  <rv s="0">
    <fb>5790488</fb>
    <v>2</v>
  </rv>
  <rv s="0">
    <fb>45974</fb>
    <v>0</v>
  </rv>
  <rv s="0">
    <fb>145.02000000000001</fb>
    <v>1</v>
  </rv>
  <rv s="0">
    <fb>6663264</fb>
    <v>2</v>
  </rv>
  <rv s="0">
    <fb>45975</fb>
    <v>0</v>
  </rv>
  <rv s="0">
    <fb>145.85</fb>
    <v>1</v>
  </rv>
  <rv s="0">
    <fb>5770478</fb>
    <v>2</v>
  </rv>
  <rv s="0">
    <fb>45978</fb>
    <v>0</v>
  </rv>
  <rv s="0">
    <fb>147.83000000000001</fb>
    <v>1</v>
  </rv>
  <rv s="0">
    <fb>7320150</fb>
    <v>2</v>
  </rv>
  <rv s="0">
    <fb>45979</fb>
    <v>0</v>
  </rv>
  <rv s="0">
    <fb>148.77000000000001</fb>
    <v>1</v>
  </rv>
  <rv s="0">
    <fb>10821528</fb>
    <v>2</v>
  </rv>
  <rv s="0">
    <fb>45980</fb>
    <v>0</v>
  </rv>
  <rv s="0">
    <fb>147.11000000000001</fb>
    <v>1</v>
  </rv>
  <rv s="0">
    <fb>8123236</fb>
    <v>2</v>
  </rv>
  <rv s="0">
    <fb>45981</fb>
    <v>0</v>
  </rv>
  <rv s="0">
    <fb>146.1</fb>
    <v>1</v>
  </rv>
  <rv s="0">
    <fb>6878914</fb>
    <v>2</v>
  </rv>
  <rv s="0">
    <fb>45982</fb>
    <v>0</v>
  </rv>
  <rv s="0">
    <fb>146.33000000000001</fb>
    <v>1</v>
  </rv>
  <rv s="0">
    <fb>7911761</fb>
    <v>2</v>
  </rv>
  <rv s="0">
    <fb>45985</fb>
    <v>0</v>
  </rv>
  <rv s="0">
    <fb>145.5</fb>
    <v>1</v>
  </rv>
  <rv s="0">
    <fb>9391443</fb>
    <v>2</v>
  </rv>
  <rv s="0">
    <fb>45986</fb>
    <v>0</v>
  </rv>
  <rv s="0">
    <fb>146.11000000000001</fb>
    <v>1</v>
  </rv>
  <rv s="0">
    <fb>8953952</fb>
    <v>2</v>
  </rv>
  <rv s="0">
    <fb>45987</fb>
    <v>0</v>
  </rv>
  <rv s="0">
    <fb>147.97999999999999</fb>
    <v>1</v>
  </rv>
  <rv s="0">
    <fb>5180946</fb>
    <v>2</v>
  </rv>
  <rv s="0">
    <fb>45989</fb>
    <v>0</v>
  </rv>
  <rv s="0">
    <fb>148.74</fb>
    <v>1</v>
  </rv>
  <rv s="0">
    <fb>2969300</fb>
    <v>2</v>
  </rv>
  <rv s="0">
    <fb>45992</fb>
    <v>0</v>
  </rv>
  <rv s="0">
    <fb>149.51</fb>
    <v>1</v>
  </rv>
  <rv s="0">
    <fb>7623275</fb>
    <v>2</v>
  </rv>
  <rv s="0">
    <fb>45993</fb>
    <v>0</v>
  </rv>
  <rv s="0">
    <fb>148.61000000000001</fb>
    <v>1</v>
  </rv>
  <rv s="0">
    <fb>6830290</fb>
    <v>2</v>
  </rv>
  <rv s="0">
    <fb>45994</fb>
    <v>0</v>
  </rv>
  <rv s="0">
    <fb>148.06</fb>
    <v>1</v>
  </rv>
  <rv s="0">
    <fb>5109218</fb>
    <v>2</v>
  </rv>
  <rv s="0">
    <fb>45995</fb>
    <v>0</v>
  </rv>
  <rv s="0">
    <fb>146.91</fb>
    <v>1</v>
  </rv>
  <rv s="0">
    <fb>6802969</fb>
    <v>2</v>
  </rv>
  <rv s="0">
    <fb>45996</fb>
    <v>0</v>
  </rv>
  <rv s="0">
    <fb>5971510</fb>
    <v>2</v>
  </rv>
  <rv s="0">
    <fb>45999</fb>
    <v>0</v>
  </rv>
  <rv s="0">
    <fb>145.63</fb>
    <v>1</v>
  </rv>
  <rv s="0">
    <fb>6327412</fb>
    <v>2</v>
  </rv>
  <rv s="0">
    <fb>46000</fb>
    <v>0</v>
  </rv>
  <rv s="0">
    <fb>144.63999999999999</fb>
    <v>1</v>
  </rv>
  <rv s="0">
    <fb>10035178</fb>
    <v>2</v>
  </rv>
  <rv s="0">
    <fb>46001</fb>
    <v>0</v>
  </rv>
  <rv s="0">
    <fb>149.69999999999999</fb>
    <v>1</v>
  </rv>
  <rv s="0">
    <fb>18526426</fb>
    <v>2</v>
  </rv>
  <rv s="0">
    <fb>46002</fb>
    <v>0</v>
  </rv>
  <rv s="0">
    <fb>149.04</fb>
    <v>1</v>
  </rv>
  <rv s="0">
    <fb>7854008</fb>
    <v>2</v>
  </rv>
  <rv s="0">
    <fb>46003</fb>
    <v>0</v>
  </rv>
  <rv s="0">
    <fb>150.65</fb>
    <v>1</v>
  </rv>
  <rv s="0">
    <fb>8143100</fb>
    <v>2</v>
  </rv>
  <rv s="0">
    <fb>46006</fb>
    <v>0</v>
  </rv>
  <rv s="0">
    <fb>151.22</fb>
    <v>1</v>
  </rv>
  <rv s="0">
    <fb>8409625</fb>
    <v>2</v>
  </rv>
  <rv s="0">
    <fb>46007</fb>
    <v>0</v>
  </rv>
  <rv s="0">
    <fb>7520334</fb>
    <v>2</v>
  </rv>
  <rv s="0">
    <fb>46008</fb>
    <v>0</v>
  </rv>
  <rv s="0">
    <fb>8067133</fb>
    <v>2</v>
  </rv>
  <rv s="0">
    <fb>46009</fb>
    <v>0</v>
  </rv>
  <rv s="0">
    <fb>149.37</fb>
    <v>1</v>
  </rv>
  <rv s="0">
    <fb>6643173</fb>
    <v>2</v>
  </rv>
  <rv s="0">
    <fb>46010</fb>
    <v>0</v>
  </rv>
  <rv s="0">
    <fb>148.16</fb>
    <v>1</v>
  </rv>
  <rv s="0">
    <fb>17543516</fb>
    <v>2</v>
  </rv>
  <rv s="0">
    <fb>46013</fb>
    <v>0</v>
  </rv>
  <rv s="0">
    <fb>147.05000000000001</fb>
    <v>1</v>
  </rv>
  <rv s="0">
    <fb>8818726</fb>
    <v>2</v>
  </rv>
  <rv s="0">
    <fb>46014</fb>
    <v>0</v>
  </rv>
  <rv s="0">
    <fb>143.68</fb>
    <v>1</v>
  </rv>
  <rv s="0">
    <fb>7254772</fb>
    <v>2</v>
  </rv>
  <rv s="0">
    <fb>46015</fb>
    <v>0</v>
  </rv>
  <rv s="0">
    <fb>143.74</fb>
    <v>1</v>
  </rv>
  <rv s="0">
    <fb>2618700</fb>
    <v>2</v>
  </rv>
  <rv s="0">
    <fb>46017</fb>
    <v>0</v>
  </rv>
  <rv s="0">
    <fb>143.78</fb>
    <v>1</v>
  </rv>
  <rv s="0">
    <fb>4975533</fb>
    <v>2</v>
  </rv>
  <rv s="0">
    <fb>46020</fb>
    <v>0</v>
  </rv>
  <rv s="0">
    <fb>144.24</fb>
    <v>1</v>
  </rv>
  <rv s="0">
    <fb>7201890</fb>
    <v>2</v>
  </rv>
  <rv s="0">
    <fb>46021</fb>
    <v>0</v>
  </rv>
  <rv s="0">
    <fb>144.16</fb>
    <v>1</v>
  </rv>
  <rv s="0">
    <fb>4713783</fb>
    <v>2</v>
  </rv>
  <rv s="0">
    <fb>46022</fb>
    <v>0</v>
  </rv>
  <rv s="0">
    <fb>143.52000000000001</fb>
    <v>1</v>
  </rv>
  <rv s="0">
    <fb>4380343</fb>
    <v>2</v>
  </rv>
  <rv s="0">
    <fb>46024</fb>
    <v>0</v>
  </rv>
  <rv s="0">
    <fb>142.22999999999999</fb>
    <v>1</v>
  </rv>
  <rv s="0">
    <fb>7182054</fb>
    <v>2</v>
  </rv>
  <rv s="0">
    <fb>46027</fb>
    <v>0</v>
  </rv>
  <rv s="0">
    <fb>9031377</fb>
    <v>2</v>
  </rv>
  <rv s="0">
    <fb>46028</fb>
    <v>0</v>
  </rv>
  <rv s="0">
    <fb>138.96</fb>
    <v>1</v>
  </rv>
  <rv s="0">
    <fb>9576481</fb>
    <v>2</v>
  </rv>
  <rv s="0">
    <fb>46029</fb>
    <v>0</v>
  </rv>
  <rv s="0">
    <fb>137.01</fb>
    <v>1</v>
  </rv>
  <rv s="0">
    <fb>8539847</fb>
    <v>2</v>
  </rv>
  <rv s="0">
    <fb>46030</fb>
    <v>0</v>
  </rv>
  <rv s="0">
    <fb>139.37</fb>
    <v>1</v>
  </rv>
  <rv s="0">
    <fb>8762824</fb>
    <v>2</v>
  </rv>
  <rv s="0">
    <fb>46031</fb>
    <v>0</v>
  </rv>
  <rv s="0">
    <fb>139.91</fb>
    <v>1</v>
  </rv>
  <rv s="0">
    <fb>6767560</fb>
    <v>2</v>
  </rv>
  <rv s="0">
    <fb>46034</fb>
    <v>0</v>
  </rv>
  <rv s="0">
    <fb>141.36000000000001</fb>
    <v>1</v>
  </rv>
  <rv s="0">
    <fb>12223436</fb>
    <v>2</v>
  </rv>
  <rv s="0">
    <fb>46035</fb>
    <v>0</v>
  </rv>
  <rv s="0">
    <fb>143.47999999999999</fb>
    <v>1</v>
  </rv>
  <rv s="0">
    <fb>9030241</fb>
    <v>2</v>
  </rv>
  <rv s="0">
    <fb>46036</fb>
    <v>0</v>
  </rv>
  <rv s="0">
    <fb>145.91999999999999</fb>
    <v>1</v>
  </rv>
  <rv s="0">
    <fb>8329463</fb>
    <v>2</v>
  </rv>
  <rv s="0">
    <fb>46037</fb>
    <v>0</v>
  </rv>
  <rv s="0">
    <fb>146.57</fb>
    <v>1</v>
  </rv>
  <rv s="0">
    <fb>5797798</fb>
    <v>2</v>
  </rv>
  <rv s="0">
    <fb>46038</fb>
    <v>0</v>
  </rv>
  <rv s="0">
    <fb>146.32</fb>
    <v>1</v>
  </rv>
  <rv s="0">
    <fb>10313487</fb>
    <v>2</v>
  </rv>
  <rv s="0">
    <fb>46042</fb>
    <v>0</v>
  </rv>
  <rv s="0">
    <fb>147.66</fb>
    <v>1</v>
  </rv>
  <rv s="0">
    <fb>9982823</fb>
    <v>2</v>
  </rv>
  <rv s="0">
    <fb>46043</fb>
    <v>0</v>
  </rv>
  <rv s="0">
    <fb>146.74</fb>
    <v>1</v>
  </rv>
  <rv s="0">
    <fb>7679571</fb>
    <v>2</v>
  </rv>
  <rv s="0">
    <fb>46044</fb>
    <v>0</v>
  </rv>
  <rv s="0">
    <fb>144.4</fb>
    <v>1</v>
  </rv>
  <rv s="0">
    <fb>8167356</fb>
    <v>2</v>
  </rv>
  <rv s="0">
    <fb>46045</fb>
    <v>0</v>
  </rv>
  <rv s="0">
    <fb>5870098</fb>
    <v>2</v>
  </rv>
  <rv s="0">
    <fb>46048</fb>
    <v>0</v>
  </rv>
  <rv s="0">
    <fb>145.87</fb>
    <v>1</v>
  </rv>
  <rv s="0">
    <fb>6589570</fb>
    <v>2</v>
  </rv>
  <rv s="0">
    <fb>46049</fb>
    <v>0</v>
  </rv>
  <rv s="0">
    <fb>148.78</fb>
    <v>1</v>
  </rv>
  <rv s="0">
    <fb>7114901</fb>
    <v>2</v>
  </rv>
  <rv s="0">
    <fb>46050</fb>
    <v>0</v>
  </rv>
  <rv s="0">
    <fb>148.5</fb>
    <v>1</v>
  </rv>
  <rv s="0">
    <fb>5954075</fb>
    <v>2</v>
  </rv>
  <rv s="0">
    <fb>46051</fb>
    <v>0</v>
  </rv>
  <rv s="0">
    <fb>148.69</fb>
    <v>1</v>
  </rv>
  <rv s="0">
    <fb>9062259</fb>
    <v>2</v>
  </rv>
  <rv s="0">
    <fb>46052</fb>
    <v>0</v>
  </rv>
  <rv s="0">
    <fb>153.63</fb>
    <v>1</v>
  </rv>
  <rv s="0">
    <fb>12641264</fb>
    <v>2</v>
  </rv>
  <rv s="0">
    <fb>46055</fb>
    <v>0</v>
  </rv>
  <rv s="0">
    <fb>155.19999999999999</fb>
    <v>1</v>
  </rv>
  <rv s="0">
    <fb>14660510</fb>
    <v>2</v>
  </rv>
  <rv s="0">
    <fb>46056</fb>
    <v>0</v>
  </rv>
  <rv s="0">
    <fb>162.85</fb>
    <v>1</v>
  </rv>
  <rv s="0">
    <fb>19096432</fb>
    <v>2</v>
  </rv>
  <rv s="1">
    <v>3</v>
    <v>pep</v>
    <v>Daily</v>
    <v>45292</v>
    <v>46057</v>
    <v>0</v>
    <v>1</v>
    <v>639056736000000000,639058385037358005,0</v>
    <v>0</v>
    <v>axyhnm</v>
    <v>XNAS:PEP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4E4C26-57AD-4FC8-BD0E-13F5A44F3C31}" name="Weekly" displayName="Weekly" ref="A1:D120" tableType="queryTable" totalsRowShown="0">
  <autoFilter ref="A1:D120" xr:uid="{C94E4C26-57AD-4FC8-BD0E-13F5A44F3C31}"/>
  <tableColumns count="4">
    <tableColumn id="1" xr3:uid="{E4F22E51-D71B-45E6-97C0-7D2279D36F25}" uniqueName="1" name="Week" queryTableFieldId="1" dataDxfId="1"/>
    <tableColumn id="2" xr3:uid="{CCF6C5B2-C3C7-46C5-A8A2-BF7DF567C93C}" uniqueName="2" name="Average" queryTableFieldId="2"/>
    <tableColumn id="3" xr3:uid="{1FBEA537-32EE-4574-AF0C-390704F77253}" uniqueName="3" name="XL Forecast" queryTableFieldId="3"/>
    <tableColumn id="4" xr3:uid="{91891F6E-26AE-4568-A953-5C983B1686E3}" uniqueName="4" name="Calc Foreca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3619ED-86EC-460A-92EF-FF6FC64EC018}" name="Table3" displayName="Table3" ref="A1:B525" totalsRowShown="0">
  <autoFilter ref="A1:B525" xr:uid="{BC3619ED-86EC-460A-92EF-FF6FC64EC018}"/>
  <tableColumns count="2">
    <tableColumn id="1" xr3:uid="{DECFF3BE-1A1E-4183-880D-7A0DF6FC2E1B}" name="Week" dataDxfId="0"/>
    <tableColumn id="2" xr3:uid="{48BECA4D-A2FF-4954-A8F9-1EF70AAD2447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5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5" ca="1">_xlfn.STOCKHISTORY("pep","2024-01-01",TODAY(),0,1,0,1,5)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172.91</v>
      </c>
      <c r="D2" vm="3">
        <f ca="1"/>
        <v>5743112</v>
      </c>
      <c r="E2">
        <f ca="1">C2*D2</f>
        <v>993041495.91999996</v>
      </c>
      <c r="F2">
        <f ca="1">SUM($E$2:E2)/SUM($D$2:D2)</f>
        <v>172.91</v>
      </c>
      <c r="G2">
        <f ca="1">_xlfn.STDEV.P($C$2:C2)</f>
        <v>0</v>
      </c>
      <c r="H2">
        <f ca="1">F2 + G2</f>
        <v>172.91</v>
      </c>
      <c r="I2">
        <f ca="1">F2 - G2</f>
        <v>172.91</v>
      </c>
      <c r="AC2" t="s">
        <v>39</v>
      </c>
      <c r="AD2">
        <f ca="1">MIN(C:C)</f>
        <v>128.02000000000001</v>
      </c>
      <c r="AE2" s="18">
        <f ca="1">MIN(D:D)</f>
        <v>2421414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172.95</v>
      </c>
      <c r="D3" vm="6">
        <f ca="1"/>
        <v>5588224</v>
      </c>
      <c r="E3">
        <f t="shared" ref="E3:E66" ca="1" si="1">C3*D3</f>
        <v>966483340.79999995</v>
      </c>
      <c r="F3">
        <f ca="1">SUM($E$2:E3)/SUM($D$2:D3)</f>
        <v>172.92972662005607</v>
      </c>
      <c r="G3">
        <f ca="1">_xlfn.STDEV.P($C$2:C3)</f>
        <v>1.9999999999996021E-2</v>
      </c>
      <c r="H3">
        <f t="shared" ref="H3:H66" ca="1" si="2">F3 + G3</f>
        <v>172.94972662005608</v>
      </c>
      <c r="I3">
        <f t="shared" ref="I3:I66" ca="1" si="3">F3 - G3</f>
        <v>172.90972662005606</v>
      </c>
      <c r="N3">
        <f ca="1">C3-C2</f>
        <v>3.9999999999992042E-2</v>
      </c>
      <c r="O3">
        <f ca="1">MAX(N3,0)</f>
        <v>3.9999999999992042E-2</v>
      </c>
      <c r="P3">
        <f ca="1">MAX(-N3,0)</f>
        <v>0</v>
      </c>
      <c r="AC3" t="s">
        <v>40</v>
      </c>
      <c r="AD3">
        <f ca="1">MAX(C:C)</f>
        <v>183.11</v>
      </c>
      <c r="AE3" s="18">
        <f ca="1">MAX(D:D)</f>
        <v>26536478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171.47</v>
      </c>
      <c r="D4" vm="9">
        <f ca="1"/>
        <v>6283225</v>
      </c>
      <c r="E4">
        <f t="shared" ca="1" si="1"/>
        <v>1077384590.75</v>
      </c>
      <c r="F4">
        <f ca="1">SUM($E$2:E4)/SUM($D$2:D4)</f>
        <v>172.40903292849592</v>
      </c>
      <c r="G4">
        <f ca="1">_xlfn.STDEV.P($C$2:C4)</f>
        <v>0.68844430098269482</v>
      </c>
      <c r="H4">
        <f t="shared" ca="1" si="2"/>
        <v>173.09747722947861</v>
      </c>
      <c r="I4">
        <f t="shared" ca="1" si="3"/>
        <v>171.72058862751322</v>
      </c>
      <c r="N4">
        <f t="shared" ref="N4:N67" ca="1" si="4">C4-C3</f>
        <v>-1.4799999999999898</v>
      </c>
      <c r="O4">
        <f t="shared" ref="O4:O67" ca="1" si="5">MAX(N4,0)</f>
        <v>0</v>
      </c>
      <c r="P4">
        <f t="shared" ref="P4:P67" ca="1" si="6">MAX(-N4,0)</f>
        <v>1.4799999999999898</v>
      </c>
      <c r="AC4" t="s">
        <v>41</v>
      </c>
      <c r="AD4">
        <f ca="1">MEDIAN(C:C)</f>
        <v>152.95999999999998</v>
      </c>
      <c r="AE4" s="18">
        <f ca="1">MEDIAN(D:D)</f>
        <v>6269826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168.94</v>
      </c>
      <c r="D5" vm="12">
        <f ca="1"/>
        <v>5252478</v>
      </c>
      <c r="E5">
        <f t="shared" ca="1" si="1"/>
        <v>887353633.31999993</v>
      </c>
      <c r="F5">
        <f ca="1">SUM($E$2:E5)/SUM($D$2:D5)</f>
        <v>171.61220833138913</v>
      </c>
      <c r="G5">
        <f ca="1">_xlfn.STDEV.P($C$2:C5)</f>
        <v>1.629944400892249</v>
      </c>
      <c r="H5">
        <f t="shared" ca="1" si="2"/>
        <v>173.24215273228137</v>
      </c>
      <c r="I5">
        <f t="shared" ca="1" si="3"/>
        <v>169.98226393049688</v>
      </c>
      <c r="N5">
        <f t="shared" ca="1" si="4"/>
        <v>-2.5300000000000011</v>
      </c>
      <c r="O5">
        <f t="shared" ca="1" si="5"/>
        <v>0</v>
      </c>
      <c r="P5">
        <f t="shared" ca="1" si="6"/>
        <v>2.5300000000000011</v>
      </c>
      <c r="AC5" t="s">
        <v>42</v>
      </c>
      <c r="AD5">
        <f ca="1">AVERAGE(C:C)</f>
        <v>155.83271946564881</v>
      </c>
      <c r="AE5" s="18">
        <f ca="1">AVERAGE(D:D)</f>
        <v>6966953.2767175576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169.11</v>
      </c>
      <c r="D6" vm="15">
        <f ca="1"/>
        <v>5735563</v>
      </c>
      <c r="E6">
        <f t="shared" ca="1" si="1"/>
        <v>969941058.93000007</v>
      </c>
      <c r="F6">
        <f ca="1">SUM($E$2:E6)/SUM($D$2:D6)</f>
        <v>171.11045071074304</v>
      </c>
      <c r="G6">
        <f ca="1">_xlfn.STDEV.P($C$2:C6)</f>
        <v>1.7583128276845335</v>
      </c>
      <c r="H6">
        <f t="shared" ca="1" si="2"/>
        <v>172.86876353842757</v>
      </c>
      <c r="I6">
        <f t="shared" ca="1" si="3"/>
        <v>169.3521378830585</v>
      </c>
      <c r="N6">
        <f t="shared" ca="1" si="4"/>
        <v>0.17000000000001592</v>
      </c>
      <c r="O6">
        <f t="shared" ca="1" si="5"/>
        <v>0.17000000000001592</v>
      </c>
      <c r="P6">
        <f t="shared" ca="1" si="6"/>
        <v>0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167.17</v>
      </c>
      <c r="D7" vm="18">
        <f ca="1"/>
        <v>6268763</v>
      </c>
      <c r="E7">
        <f t="shared" ca="1" si="1"/>
        <v>1047949110.7099999</v>
      </c>
      <c r="F7">
        <f ca="1">SUM($E$2:E7)/SUM($D$2:D7)</f>
        <v>170.40208292477223</v>
      </c>
      <c r="G7">
        <f ca="1">_xlfn.STDEV.P($C$2:C7)</f>
        <v>2.1668852453848735</v>
      </c>
      <c r="H7">
        <f t="shared" ca="1" si="2"/>
        <v>172.56896817015709</v>
      </c>
      <c r="I7">
        <f t="shared" ca="1" si="3"/>
        <v>168.23519767938737</v>
      </c>
      <c r="N7">
        <f t="shared" ca="1" si="4"/>
        <v>-1.9400000000000261</v>
      </c>
      <c r="O7">
        <f t="shared" ca="1" si="5"/>
        <v>0</v>
      </c>
      <c r="P7">
        <f t="shared" ca="1" si="6"/>
        <v>1.9400000000000261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166.92</v>
      </c>
      <c r="D8" vm="21">
        <f ca="1"/>
        <v>4394876</v>
      </c>
      <c r="E8">
        <f t="shared" ca="1" si="1"/>
        <v>733592701.91999996</v>
      </c>
      <c r="F8">
        <f ca="1">SUM($E$2:E8)/SUM($D$2:D8)</f>
        <v>170.01235061818116</v>
      </c>
      <c r="G8">
        <f ca="1">_xlfn.STDEV.P($C$2:C8)</f>
        <v>2.3513634776617667</v>
      </c>
      <c r="H8">
        <f t="shared" ca="1" si="2"/>
        <v>172.36371409584294</v>
      </c>
      <c r="I8">
        <f t="shared" ca="1" si="3"/>
        <v>167.66098714051938</v>
      </c>
      <c r="N8">
        <f t="shared" ca="1" si="4"/>
        <v>-0.25</v>
      </c>
      <c r="O8">
        <f t="shared" ca="1" si="5"/>
        <v>0</v>
      </c>
      <c r="P8">
        <f t="shared" ca="1" si="6"/>
        <v>0.25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166.13</v>
      </c>
      <c r="D9" vm="24">
        <f ca="1"/>
        <v>4800727</v>
      </c>
      <c r="E9">
        <f t="shared" ca="1" si="1"/>
        <v>797544776.50999999</v>
      </c>
      <c r="F9">
        <f ca="1">SUM($E$2:E9)/SUM($D$2:D9)</f>
        <v>169.58940104206854</v>
      </c>
      <c r="G9">
        <f ca="1">_xlfn.STDEV.P($C$2:C9)</f>
        <v>2.532276643654876</v>
      </c>
      <c r="H9">
        <f t="shared" ca="1" si="2"/>
        <v>172.12167768572343</v>
      </c>
      <c r="I9">
        <f t="shared" ca="1" si="3"/>
        <v>167.05712439841366</v>
      </c>
      <c r="N9">
        <f t="shared" ca="1" si="4"/>
        <v>-0.78999999999999204</v>
      </c>
      <c r="O9">
        <f t="shared" ca="1" si="5"/>
        <v>0</v>
      </c>
      <c r="P9">
        <f t="shared" ca="1" si="6"/>
        <v>0.78999999999999204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167.27</v>
      </c>
      <c r="D10" vm="27">
        <f ca="1"/>
        <v>3546260</v>
      </c>
      <c r="E10">
        <f t="shared" ca="1" si="1"/>
        <v>593182910.20000005</v>
      </c>
      <c r="F10">
        <f ca="1">SUM($E$2:E10)/SUM($D$2:D10)</f>
        <v>169.41665074798121</v>
      </c>
      <c r="G10">
        <f ca="1">_xlfn.STDEV.P($C$2:C10)</f>
        <v>2.4838088035997261</v>
      </c>
      <c r="H10">
        <f t="shared" ca="1" si="2"/>
        <v>171.90045955158092</v>
      </c>
      <c r="I10">
        <f t="shared" ca="1" si="3"/>
        <v>166.93284194438149</v>
      </c>
      <c r="N10">
        <f t="shared" ca="1" si="4"/>
        <v>1.1400000000000148</v>
      </c>
      <c r="O10">
        <f t="shared" ca="1" si="5"/>
        <v>1.1400000000000148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166.17</v>
      </c>
      <c r="D11" vm="30">
        <f ca="1"/>
        <v>4576842</v>
      </c>
      <c r="E11">
        <f t="shared" ca="1" si="1"/>
        <v>760533835.13999999</v>
      </c>
      <c r="F11">
        <f ca="1">SUM($E$2:E11)/SUM($D$2:D11)</f>
        <v>169.13193360729352</v>
      </c>
      <c r="G11">
        <f ca="1">_xlfn.STDEV.P($C$2:C11)</f>
        <v>2.5264409749685437</v>
      </c>
      <c r="H11">
        <f t="shared" ca="1" si="2"/>
        <v>171.65837458226207</v>
      </c>
      <c r="I11">
        <f t="shared" ca="1" si="3"/>
        <v>166.60549263232497</v>
      </c>
      <c r="N11">
        <f t="shared" ca="1" si="4"/>
        <v>-1.1000000000000227</v>
      </c>
      <c r="O11">
        <f t="shared" ca="1" si="5"/>
        <v>0</v>
      </c>
      <c r="P11">
        <f t="shared" ca="1" si="6"/>
        <v>1.1000000000000227</v>
      </c>
    </row>
    <row r="12" spans="1:31" x14ac:dyDescent="0.25">
      <c r="A12" s="20">
        <f t="shared" ca="1" si="0"/>
        <v>45306</v>
      </c>
      <c r="B12" vm="31">
        <f ca="1"/>
        <v>45308</v>
      </c>
      <c r="C12" vm="32">
        <f ca="1"/>
        <v>166.44</v>
      </c>
      <c r="D12" vm="33">
        <f ca="1"/>
        <v>4392400</v>
      </c>
      <c r="E12">
        <f t="shared" ca="1" si="1"/>
        <v>731071056</v>
      </c>
      <c r="F12">
        <f ca="1">SUM($E$2:E12)/SUM($D$2:D12)</f>
        <v>168.92296342312383</v>
      </c>
      <c r="G12">
        <f ca="1">_xlfn.STDEV.P($C$2:C12)</f>
        <v>2.5108564275959715</v>
      </c>
      <c r="H12">
        <f t="shared" ca="1" si="2"/>
        <v>171.4338198507198</v>
      </c>
      <c r="I12">
        <f t="shared" ca="1" si="3"/>
        <v>166.41210699552786</v>
      </c>
      <c r="N12">
        <f t="shared" ca="1" si="4"/>
        <v>0.27000000000001023</v>
      </c>
      <c r="O12">
        <f t="shared" ca="1" si="5"/>
        <v>0.27000000000001023</v>
      </c>
      <c r="P12">
        <f t="shared" ca="1" si="6"/>
        <v>0</v>
      </c>
    </row>
    <row r="13" spans="1:31" x14ac:dyDescent="0.25">
      <c r="A13" s="20">
        <f t="shared" ca="1" si="0"/>
        <v>45306</v>
      </c>
      <c r="B13" vm="34">
        <f ca="1"/>
        <v>45309</v>
      </c>
      <c r="C13" vm="17">
        <f ca="1"/>
        <v>167.17</v>
      </c>
      <c r="D13" vm="35">
        <f ca="1"/>
        <v>4709362</v>
      </c>
      <c r="E13">
        <f t="shared" ca="1" si="1"/>
        <v>787264045.53999996</v>
      </c>
      <c r="F13">
        <f ca="1">SUM($E$2:E13)/SUM($D$2:D13)</f>
        <v>168.78827436158218</v>
      </c>
      <c r="G13">
        <f ca="1">_xlfn.STDEV.P($C$2:C13)</f>
        <v>2.4399195968082421</v>
      </c>
      <c r="H13">
        <f t="shared" ca="1" si="2"/>
        <v>171.22819395839042</v>
      </c>
      <c r="I13">
        <f t="shared" ca="1" si="3"/>
        <v>166.34835476477394</v>
      </c>
      <c r="N13">
        <f t="shared" ca="1" si="4"/>
        <v>0.72999999999998977</v>
      </c>
      <c r="O13">
        <f t="shared" ca="1" si="5"/>
        <v>0.72999999999998977</v>
      </c>
      <c r="P13">
        <f t="shared" ca="1" si="6"/>
        <v>0</v>
      </c>
      <c r="W13" s="9">
        <f ca="1">AVERAGE(C2:C13)</f>
        <v>168.55416666666667</v>
      </c>
    </row>
    <row r="14" spans="1:31" x14ac:dyDescent="0.25">
      <c r="A14" s="20">
        <f t="shared" ca="1" si="0"/>
        <v>45306</v>
      </c>
      <c r="B14" vm="36">
        <f ca="1"/>
        <v>45310</v>
      </c>
      <c r="C14" vm="37">
        <f ca="1"/>
        <v>165.78</v>
      </c>
      <c r="D14" vm="38">
        <f ca="1"/>
        <v>6528578</v>
      </c>
      <c r="E14">
        <f t="shared" ca="1" si="1"/>
        <v>1082307660.8399999</v>
      </c>
      <c r="F14">
        <f ca="1">SUM($E$2:E14)/SUM($D$2:D14)</f>
        <v>168.49868965079983</v>
      </c>
      <c r="G14">
        <f ca="1">_xlfn.STDEV.P($C$2:C14)</f>
        <v>2.457993119907945</v>
      </c>
      <c r="H14">
        <f t="shared" ca="1" si="2"/>
        <v>170.95668277070777</v>
      </c>
      <c r="I14">
        <f t="shared" ca="1" si="3"/>
        <v>166.04069653089189</v>
      </c>
      <c r="N14">
        <f t="shared" ca="1" si="4"/>
        <v>-1.3899999999999864</v>
      </c>
      <c r="O14">
        <f t="shared" ca="1" si="5"/>
        <v>0</v>
      </c>
      <c r="P14">
        <f t="shared" ca="1" si="6"/>
        <v>1.3899999999999864</v>
      </c>
      <c r="W14">
        <f ca="1">C14*(2/(12+1)) + W13*(1-(2/(12+1)))</f>
        <v>168.12737179487181</v>
      </c>
    </row>
    <row r="15" spans="1:31" x14ac:dyDescent="0.25">
      <c r="A15" s="20">
        <f t="shared" ca="1" si="0"/>
        <v>45313</v>
      </c>
      <c r="B15" vm="39">
        <f ca="1"/>
        <v>45313</v>
      </c>
      <c r="C15" vm="40">
        <f ca="1"/>
        <v>165.11</v>
      </c>
      <c r="D15" vm="41">
        <f ca="1"/>
        <v>5697428</v>
      </c>
      <c r="E15">
        <f t="shared" ca="1" si="1"/>
        <v>940702337.08000004</v>
      </c>
      <c r="F15">
        <f ca="1">SUM($E$2:E15)/SUM($D$2:D15)</f>
        <v>168.23607562643505</v>
      </c>
      <c r="G15">
        <f ca="1">_xlfn.STDEV.P($C$2:C15)</f>
        <v>2.5104751969070929</v>
      </c>
      <c r="H15">
        <f t="shared" ca="1" si="2"/>
        <v>170.74655082334215</v>
      </c>
      <c r="I15">
        <f t="shared" ca="1" si="3"/>
        <v>165.72560042952796</v>
      </c>
      <c r="N15">
        <f t="shared" ca="1" si="4"/>
        <v>-0.66999999999998749</v>
      </c>
      <c r="O15">
        <f t="shared" ca="1" si="5"/>
        <v>0</v>
      </c>
      <c r="P15">
        <f t="shared" ca="1" si="6"/>
        <v>0.66999999999998749</v>
      </c>
      <c r="Q15" s="2">
        <f ca="1">AVERAGE(O3:O16)</f>
        <v>0.34857142857142825</v>
      </c>
      <c r="R15" s="2">
        <f ca="1">AVERAGE(P3:P16)</f>
        <v>0.72500000000000042</v>
      </c>
      <c r="S15">
        <f ca="1">IF(R15=0,NA(),Q15/R15)</f>
        <v>0.48078817733990076</v>
      </c>
      <c r="T15">
        <f ca="1">100-(100/(1+S15))</f>
        <v>32.468396540252797</v>
      </c>
      <c r="U15">
        <f>70</f>
        <v>70</v>
      </c>
      <c r="V15">
        <f>30</f>
        <v>30</v>
      </c>
      <c r="W15">
        <f t="shared" ref="W15:W78" ca="1" si="7">C15*(2/(12+1)) + W14*(1-(2/(12+1)))</f>
        <v>167.66316074950691</v>
      </c>
    </row>
    <row r="16" spans="1:31" x14ac:dyDescent="0.25">
      <c r="A16" s="20">
        <f t="shared" ca="1" si="0"/>
        <v>45313</v>
      </c>
      <c r="B16" vm="42">
        <f ca="1"/>
        <v>45314</v>
      </c>
      <c r="C16" vm="43">
        <f ca="1"/>
        <v>167.64</v>
      </c>
      <c r="D16" vm="44">
        <f ca="1"/>
        <v>4932727</v>
      </c>
      <c r="E16">
        <f t="shared" ca="1" si="1"/>
        <v>826922354.27999997</v>
      </c>
      <c r="F16">
        <f ca="1">SUM($E$2:E16)/SUM($D$2:D16)</f>
        <v>168.19859624898817</v>
      </c>
      <c r="G16">
        <f ca="1">_xlfn.STDEV.P($C$2:C16)</f>
        <v>2.4281813953839784</v>
      </c>
      <c r="H16">
        <f t="shared" ca="1" si="2"/>
        <v>170.62677764437214</v>
      </c>
      <c r="I16">
        <f t="shared" ca="1" si="3"/>
        <v>165.77041485360419</v>
      </c>
      <c r="N16">
        <f t="shared" ca="1" si="4"/>
        <v>2.5299999999999727</v>
      </c>
      <c r="O16">
        <f t="shared" ca="1" si="5"/>
        <v>2.5299999999999727</v>
      </c>
      <c r="P16">
        <f t="shared" ca="1" si="6"/>
        <v>0</v>
      </c>
      <c r="Q16">
        <f ca="1">(Q15*13+O16)/14</f>
        <v>0.50438775510203859</v>
      </c>
      <c r="R16">
        <f ca="1">(R15*13+P16)/14</f>
        <v>0.6732142857142861</v>
      </c>
      <c r="S16">
        <f t="shared" ref="S16:S79" ca="1" si="8">IF(R16=0,NA(),Q16/R16)</f>
        <v>0.7492231906024972</v>
      </c>
      <c r="T16">
        <f t="shared" ref="T16:T79" ca="1" si="9">100-(100/(1+S16))</f>
        <v>42.831766387938004</v>
      </c>
      <c r="U16">
        <f>70</f>
        <v>70</v>
      </c>
      <c r="V16">
        <f>30</f>
        <v>30</v>
      </c>
      <c r="W16">
        <f t="shared" ca="1" si="7"/>
        <v>167.65959755727508</v>
      </c>
    </row>
    <row r="17" spans="1:25" x14ac:dyDescent="0.25">
      <c r="A17" s="20">
        <f t="shared" ca="1" si="0"/>
        <v>45313</v>
      </c>
      <c r="B17" vm="45">
        <f ca="1"/>
        <v>45315</v>
      </c>
      <c r="C17" vm="46">
        <f ca="1"/>
        <v>165.6</v>
      </c>
      <c r="D17" vm="47">
        <f ca="1"/>
        <v>4984700</v>
      </c>
      <c r="E17">
        <f t="shared" ca="1" si="1"/>
        <v>825466320</v>
      </c>
      <c r="F17">
        <f ca="1">SUM($E$2:E17)/SUM($D$2:D17)</f>
        <v>168.04334747351737</v>
      </c>
      <c r="G17">
        <f ca="1">_xlfn.STDEV.P($C$2:C17)</f>
        <v>2.4264270929702372</v>
      </c>
      <c r="H17">
        <f t="shared" ca="1" si="2"/>
        <v>170.46977456648762</v>
      </c>
      <c r="I17">
        <f t="shared" ca="1" si="3"/>
        <v>165.61692038054713</v>
      </c>
      <c r="N17">
        <f t="shared" ca="1" si="4"/>
        <v>-2.039999999999992</v>
      </c>
      <c r="O17">
        <f t="shared" ca="1" si="5"/>
        <v>0</v>
      </c>
      <c r="P17">
        <f t="shared" ca="1" si="6"/>
        <v>2.039999999999992</v>
      </c>
      <c r="Q17">
        <f t="shared" ref="Q17:Q80" ca="1" si="10">(Q16*13+O17)/14</f>
        <v>0.46836005830903588</v>
      </c>
      <c r="R17">
        <f t="shared" ref="R17:R80" ca="1" si="11">(R16*13+P17)/14</f>
        <v>0.77084183673469364</v>
      </c>
      <c r="S17">
        <f t="shared" ca="1" si="8"/>
        <v>0.60759553515286802</v>
      </c>
      <c r="T17">
        <f t="shared" ca="1" si="9"/>
        <v>37.795298746900983</v>
      </c>
      <c r="U17">
        <f>70</f>
        <v>70</v>
      </c>
      <c r="V17">
        <f>30</f>
        <v>30</v>
      </c>
      <c r="W17">
        <f t="shared" ca="1" si="7"/>
        <v>167.34273639461736</v>
      </c>
    </row>
    <row r="18" spans="1:25" x14ac:dyDescent="0.25">
      <c r="A18" s="20">
        <f t="shared" ca="1" si="0"/>
        <v>45313</v>
      </c>
      <c r="B18" vm="48">
        <f ca="1"/>
        <v>45316</v>
      </c>
      <c r="C18" vm="49">
        <f ca="1"/>
        <v>166.56</v>
      </c>
      <c r="D18" vm="50">
        <f ca="1"/>
        <v>5373787</v>
      </c>
      <c r="E18">
        <f t="shared" ca="1" si="1"/>
        <v>895057962.72000003</v>
      </c>
      <c r="F18">
        <f ca="1">SUM($E$2:E18)/SUM($D$2:D18)</f>
        <v>167.9535909319244</v>
      </c>
      <c r="G18">
        <f ca="1">_xlfn.STDEV.P($C$2:C18)</f>
        <v>2.3757498907192627</v>
      </c>
      <c r="H18">
        <f t="shared" ca="1" si="2"/>
        <v>170.32934082264364</v>
      </c>
      <c r="I18">
        <f t="shared" ca="1" si="3"/>
        <v>165.57784104120515</v>
      </c>
      <c r="N18">
        <f t="shared" ca="1" si="4"/>
        <v>0.96000000000000796</v>
      </c>
      <c r="O18">
        <f t="shared" ca="1" si="5"/>
        <v>0.96000000000000796</v>
      </c>
      <c r="P18">
        <f t="shared" ca="1" si="6"/>
        <v>0</v>
      </c>
      <c r="Q18">
        <f t="shared" ca="1" si="10"/>
        <v>0.50347719700124816</v>
      </c>
      <c r="R18">
        <f t="shared" ca="1" si="11"/>
        <v>0.71578170553935838</v>
      </c>
      <c r="S18">
        <f t="shared" ca="1" si="8"/>
        <v>0.70339489414844181</v>
      </c>
      <c r="T18">
        <f t="shared" ca="1" si="9"/>
        <v>41.293706853576175</v>
      </c>
      <c r="U18">
        <f>70</f>
        <v>70</v>
      </c>
      <c r="V18">
        <f>30</f>
        <v>30</v>
      </c>
      <c r="W18">
        <f t="shared" ca="1" si="7"/>
        <v>167.22231541083008</v>
      </c>
    </row>
    <row r="19" spans="1:25" x14ac:dyDescent="0.25">
      <c r="A19" s="20">
        <f t="shared" ca="1" si="0"/>
        <v>45313</v>
      </c>
      <c r="B19" vm="51">
        <f ca="1"/>
        <v>45317</v>
      </c>
      <c r="C19" vm="52">
        <f ca="1"/>
        <v>167.86</v>
      </c>
      <c r="D19" vm="53">
        <f ca="1"/>
        <v>4848987</v>
      </c>
      <c r="E19">
        <f t="shared" ca="1" si="1"/>
        <v>813950957.82000005</v>
      </c>
      <c r="F19">
        <f ca="1">SUM($E$2:E19)/SUM($D$2:D19)</f>
        <v>167.94874541928004</v>
      </c>
      <c r="G19">
        <f ca="1">_xlfn.STDEV.P($C$2:C19)</f>
        <v>2.3088169703268235</v>
      </c>
      <c r="H19">
        <f t="shared" ca="1" si="2"/>
        <v>170.25756238960687</v>
      </c>
      <c r="I19">
        <f t="shared" ca="1" si="3"/>
        <v>165.63992844895321</v>
      </c>
      <c r="N19">
        <f t="shared" ca="1" si="4"/>
        <v>1.3000000000000114</v>
      </c>
      <c r="O19">
        <f t="shared" ca="1" si="5"/>
        <v>1.3000000000000114</v>
      </c>
      <c r="P19">
        <f t="shared" ca="1" si="6"/>
        <v>0</v>
      </c>
      <c r="Q19">
        <f t="shared" ca="1" si="10"/>
        <v>0.56037168292973127</v>
      </c>
      <c r="R19">
        <f t="shared" ca="1" si="11"/>
        <v>0.66465444085797565</v>
      </c>
      <c r="S19">
        <f t="shared" ca="1" si="8"/>
        <v>0.84310229268365389</v>
      </c>
      <c r="T19">
        <f t="shared" ca="1" si="9"/>
        <v>45.743651669818746</v>
      </c>
      <c r="U19">
        <f>70</f>
        <v>70</v>
      </c>
      <c r="V19">
        <f>30</f>
        <v>30</v>
      </c>
      <c r="W19">
        <f t="shared" ca="1" si="7"/>
        <v>167.32042073224082</v>
      </c>
    </row>
    <row r="20" spans="1:25" x14ac:dyDescent="0.25">
      <c r="A20" s="20">
        <f t="shared" ca="1" si="0"/>
        <v>45320</v>
      </c>
      <c r="B20" vm="54">
        <f ca="1"/>
        <v>45320</v>
      </c>
      <c r="C20" vm="55">
        <f ca="1"/>
        <v>168.15</v>
      </c>
      <c r="D20" vm="56">
        <f ca="1"/>
        <v>5713559</v>
      </c>
      <c r="E20">
        <f t="shared" ca="1" si="1"/>
        <v>960734945.85000002</v>
      </c>
      <c r="F20">
        <f ca="1">SUM($E$2:E20)/SUM($D$2:D20)</f>
        <v>167.96031693412036</v>
      </c>
      <c r="G20">
        <f ca="1">_xlfn.STDEV.P($C$2:C20)</f>
        <v>2.248272959838074</v>
      </c>
      <c r="H20">
        <f t="shared" ca="1" si="2"/>
        <v>170.20858989395842</v>
      </c>
      <c r="I20">
        <f t="shared" ca="1" si="3"/>
        <v>165.7120439742823</v>
      </c>
      <c r="N20">
        <f t="shared" ca="1" si="4"/>
        <v>0.28999999999999204</v>
      </c>
      <c r="O20">
        <f t="shared" ca="1" si="5"/>
        <v>0.28999999999999204</v>
      </c>
      <c r="P20">
        <f t="shared" ca="1" si="6"/>
        <v>0</v>
      </c>
      <c r="Q20">
        <f t="shared" ca="1" si="10"/>
        <v>0.54105941986332129</v>
      </c>
      <c r="R20">
        <f t="shared" ca="1" si="11"/>
        <v>0.61717912365383454</v>
      </c>
      <c r="S20">
        <f t="shared" ca="1" si="8"/>
        <v>0.8766651351719934</v>
      </c>
      <c r="T20">
        <f t="shared" ca="1" si="9"/>
        <v>46.713988486371512</v>
      </c>
      <c r="U20">
        <f>70</f>
        <v>70</v>
      </c>
      <c r="V20">
        <f>30</f>
        <v>30</v>
      </c>
      <c r="W20">
        <f t="shared" ca="1" si="7"/>
        <v>167.44804831189609</v>
      </c>
    </row>
    <row r="21" spans="1:25" x14ac:dyDescent="0.25">
      <c r="A21" s="20">
        <f t="shared" ca="1" si="0"/>
        <v>45320</v>
      </c>
      <c r="B21" vm="57">
        <f ca="1"/>
        <v>45321</v>
      </c>
      <c r="C21" vm="58">
        <f ca="1"/>
        <v>169.62</v>
      </c>
      <c r="D21" vm="59">
        <f ca="1"/>
        <v>4804243</v>
      </c>
      <c r="E21">
        <f t="shared" ca="1" si="1"/>
        <v>814895697.65999997</v>
      </c>
      <c r="F21">
        <f ca="1">SUM($E$2:E21)/SUM($D$2:D21)</f>
        <v>168.03685599226409</v>
      </c>
      <c r="G21">
        <f ca="1">_xlfn.STDEV.P($C$2:C21)</f>
        <v>2.2246444097877749</v>
      </c>
      <c r="H21">
        <f t="shared" ca="1" si="2"/>
        <v>170.26150040205187</v>
      </c>
      <c r="I21">
        <f t="shared" ca="1" si="3"/>
        <v>165.81221158247632</v>
      </c>
      <c r="J21">
        <f ca="1">AVERAGE(C2:C21)</f>
        <v>167.94850000000002</v>
      </c>
      <c r="K21">
        <f ca="1">_xlfn.STDEV.S(C2:C21)</f>
        <v>2.2824370055295113</v>
      </c>
      <c r="L21">
        <f ca="1">J21 + 2*K21</f>
        <v>172.51337401105906</v>
      </c>
      <c r="M21">
        <f ca="1">J21-2*K21</f>
        <v>163.38362598894099</v>
      </c>
      <c r="N21">
        <f t="shared" ca="1" si="4"/>
        <v>1.4699999999999989</v>
      </c>
      <c r="O21">
        <f t="shared" ca="1" si="5"/>
        <v>1.4699999999999989</v>
      </c>
      <c r="P21">
        <f t="shared" ca="1" si="6"/>
        <v>0</v>
      </c>
      <c r="Q21">
        <f t="shared" ca="1" si="10"/>
        <v>0.60741231844451249</v>
      </c>
      <c r="R21">
        <f t="shared" ca="1" si="11"/>
        <v>0.57309490053570344</v>
      </c>
      <c r="S21">
        <f t="shared" ca="1" si="8"/>
        <v>1.0598808641932265</v>
      </c>
      <c r="T21">
        <f t="shared" ca="1" si="9"/>
        <v>51.453503094138391</v>
      </c>
      <c r="U21">
        <f>70</f>
        <v>70</v>
      </c>
      <c r="V21">
        <f>30</f>
        <v>30</v>
      </c>
      <c r="W21">
        <f t="shared" ca="1" si="7"/>
        <v>167.78219472545055</v>
      </c>
    </row>
    <row r="22" spans="1:25" x14ac:dyDescent="0.25">
      <c r="A22" s="20">
        <f t="shared" ca="1" si="0"/>
        <v>45320</v>
      </c>
      <c r="B22" vm="60">
        <f ca="1"/>
        <v>45322</v>
      </c>
      <c r="C22" vm="61">
        <f ca="1"/>
        <v>168.53</v>
      </c>
      <c r="D22" vm="62">
        <f ca="1"/>
        <v>5769214</v>
      </c>
      <c r="E22">
        <f t="shared" ca="1" si="1"/>
        <v>972285635.41999996</v>
      </c>
      <c r="F22">
        <f ca="1">SUM($E$2:E22)/SUM($D$2:D22)</f>
        <v>168.0627330388802</v>
      </c>
      <c r="G22">
        <f ca="1">_xlfn.STDEV.P($C$2:C22)</f>
        <v>2.1745595639237272</v>
      </c>
      <c r="H22">
        <f t="shared" ca="1" si="2"/>
        <v>170.23729260280393</v>
      </c>
      <c r="I22">
        <f t="shared" ca="1" si="3"/>
        <v>165.88817347495646</v>
      </c>
      <c r="J22">
        <f t="shared" ref="J22:J85" ca="1" si="12">AVERAGE(C3:C22)</f>
        <v>167.7295</v>
      </c>
      <c r="K22">
        <f t="shared" ref="K22:K85" ca="1" si="13">_xlfn.STDEV.S(C3:C22)</f>
        <v>1.9700827527369447</v>
      </c>
      <c r="L22">
        <f t="shared" ref="L22:L85" ca="1" si="14">J22 + 2*K22</f>
        <v>171.66966550547389</v>
      </c>
      <c r="M22">
        <f t="shared" ref="M22:M85" ca="1" si="15">J22-2*K22</f>
        <v>163.78933449452612</v>
      </c>
      <c r="N22">
        <f t="shared" ca="1" si="4"/>
        <v>-1.0900000000000034</v>
      </c>
      <c r="O22">
        <f t="shared" ca="1" si="5"/>
        <v>0</v>
      </c>
      <c r="P22">
        <f t="shared" ca="1" si="6"/>
        <v>1.0900000000000034</v>
      </c>
      <c r="Q22">
        <f t="shared" ca="1" si="10"/>
        <v>0.56402572426990438</v>
      </c>
      <c r="R22">
        <f t="shared" ca="1" si="11"/>
        <v>0.61001669335458197</v>
      </c>
      <c r="S22">
        <f t="shared" ca="1" si="8"/>
        <v>0.92460703192929738</v>
      </c>
      <c r="T22">
        <f t="shared" ca="1" si="9"/>
        <v>48.041341249929708</v>
      </c>
      <c r="U22">
        <f>70</f>
        <v>70</v>
      </c>
      <c r="V22">
        <f>30</f>
        <v>30</v>
      </c>
      <c r="W22">
        <f t="shared" ca="1" si="7"/>
        <v>167.89724169076584</v>
      </c>
    </row>
    <row r="23" spans="1:25" x14ac:dyDescent="0.25">
      <c r="A23" s="20">
        <f t="shared" ca="1" si="0"/>
        <v>45320</v>
      </c>
      <c r="B23" vm="63">
        <f ca="1"/>
        <v>45323</v>
      </c>
      <c r="C23" vm="64">
        <f ca="1"/>
        <v>171.7</v>
      </c>
      <c r="D23" vm="65">
        <f ca="1"/>
        <v>4920789</v>
      </c>
      <c r="E23">
        <f t="shared" ca="1" si="1"/>
        <v>844899471.29999995</v>
      </c>
      <c r="F23">
        <f ca="1">SUM($E$2:E23)/SUM($D$2:D23)</f>
        <v>168.2185515366082</v>
      </c>
      <c r="G23">
        <f ca="1">_xlfn.STDEV.P($C$2:C23)</f>
        <v>2.2617304864612899</v>
      </c>
      <c r="H23">
        <f t="shared" ca="1" si="2"/>
        <v>170.48028202306949</v>
      </c>
      <c r="I23">
        <f t="shared" ca="1" si="3"/>
        <v>165.95682105014691</v>
      </c>
      <c r="J23">
        <f t="shared" ca="1" si="12"/>
        <v>167.667</v>
      </c>
      <c r="K23">
        <f t="shared" ca="1" si="13"/>
        <v>1.8089895405708505</v>
      </c>
      <c r="L23">
        <f t="shared" ca="1" si="14"/>
        <v>171.2849790811417</v>
      </c>
      <c r="M23">
        <f t="shared" ca="1" si="15"/>
        <v>164.0490209188583</v>
      </c>
      <c r="N23">
        <f t="shared" ca="1" si="4"/>
        <v>3.1699999999999875</v>
      </c>
      <c r="O23">
        <f t="shared" ca="1" si="5"/>
        <v>3.1699999999999875</v>
      </c>
      <c r="P23">
        <f t="shared" ca="1" si="6"/>
        <v>0</v>
      </c>
      <c r="Q23">
        <f t="shared" ca="1" si="10"/>
        <v>0.75016674396491034</v>
      </c>
      <c r="R23">
        <f t="shared" ca="1" si="11"/>
        <v>0.56644407240068329</v>
      </c>
      <c r="S23">
        <f t="shared" ca="1" si="8"/>
        <v>1.3243438858589871</v>
      </c>
      <c r="T23">
        <f t="shared" ca="1" si="9"/>
        <v>56.97710626711163</v>
      </c>
      <c r="U23">
        <f>70</f>
        <v>70</v>
      </c>
      <c r="V23">
        <f>30</f>
        <v>30</v>
      </c>
      <c r="W23">
        <f t="shared" ca="1" si="7"/>
        <v>168.48228143064802</v>
      </c>
    </row>
    <row r="24" spans="1:25" x14ac:dyDescent="0.25">
      <c r="A24" s="20">
        <f t="shared" ca="1" si="0"/>
        <v>45320</v>
      </c>
      <c r="B24" vm="66">
        <f ca="1"/>
        <v>45324</v>
      </c>
      <c r="C24" vm="67">
        <f ca="1"/>
        <v>170.97</v>
      </c>
      <c r="D24" vm="68">
        <f ca="1"/>
        <v>5307883</v>
      </c>
      <c r="E24">
        <f t="shared" ca="1" si="1"/>
        <v>907488756.50999999</v>
      </c>
      <c r="F24">
        <f ca="1">SUM($E$2:E24)/SUM($D$2:D24)</f>
        <v>168.34007865313188</v>
      </c>
      <c r="G24">
        <f ca="1">_xlfn.STDEV.P($C$2:C24)</f>
        <v>2.2857833823609579</v>
      </c>
      <c r="H24">
        <f t="shared" ca="1" si="2"/>
        <v>170.62586203549284</v>
      </c>
      <c r="I24">
        <f t="shared" ca="1" si="3"/>
        <v>166.05429527077092</v>
      </c>
      <c r="J24">
        <f t="shared" ca="1" si="12"/>
        <v>167.642</v>
      </c>
      <c r="K24">
        <f t="shared" ca="1" si="13"/>
        <v>1.7563556767232242</v>
      </c>
      <c r="L24">
        <f t="shared" ca="1" si="14"/>
        <v>171.15471135344643</v>
      </c>
      <c r="M24">
        <f t="shared" ca="1" si="15"/>
        <v>164.12928864655356</v>
      </c>
      <c r="N24">
        <f t="shared" ca="1" si="4"/>
        <v>-0.72999999999998977</v>
      </c>
      <c r="O24">
        <f t="shared" ca="1" si="5"/>
        <v>0</v>
      </c>
      <c r="P24">
        <f t="shared" ca="1" si="6"/>
        <v>0.72999999999998977</v>
      </c>
      <c r="Q24">
        <f t="shared" ca="1" si="10"/>
        <v>0.69658340511027383</v>
      </c>
      <c r="R24">
        <f t="shared" ca="1" si="11"/>
        <v>0.57812663865777658</v>
      </c>
      <c r="S24">
        <f t="shared" ca="1" si="8"/>
        <v>1.204897609851564</v>
      </c>
      <c r="T24">
        <f t="shared" ca="1" si="9"/>
        <v>54.646420063591016</v>
      </c>
      <c r="U24">
        <f>70</f>
        <v>70</v>
      </c>
      <c r="V24">
        <f>30</f>
        <v>30</v>
      </c>
      <c r="W24">
        <f t="shared" ca="1" si="7"/>
        <v>168.86500736439447</v>
      </c>
    </row>
    <row r="25" spans="1:25" x14ac:dyDescent="0.25">
      <c r="A25" s="20">
        <f t="shared" ca="1" si="0"/>
        <v>45327</v>
      </c>
      <c r="B25" vm="69">
        <f ca="1"/>
        <v>45327</v>
      </c>
      <c r="C25" vm="70">
        <f ca="1"/>
        <v>170.92</v>
      </c>
      <c r="D25" vm="71">
        <f ca="1"/>
        <v>5142706</v>
      </c>
      <c r="E25">
        <f t="shared" ca="1" si="1"/>
        <v>878991309.51999998</v>
      </c>
      <c r="F25">
        <f ca="1">SUM($E$2:E25)/SUM($D$2:D25)</f>
        <v>168.44595285232862</v>
      </c>
      <c r="G25">
        <f ca="1">_xlfn.STDEV.P($C$2:C25)</f>
        <v>2.2995403752706745</v>
      </c>
      <c r="H25">
        <f t="shared" ca="1" si="2"/>
        <v>170.7454932275993</v>
      </c>
      <c r="I25">
        <f t="shared" ca="1" si="3"/>
        <v>166.14641247705794</v>
      </c>
      <c r="J25">
        <f t="shared" ca="1" si="12"/>
        <v>167.74099999999999</v>
      </c>
      <c r="K25">
        <f t="shared" ca="1" si="13"/>
        <v>1.8844988165222287</v>
      </c>
      <c r="L25">
        <f t="shared" ca="1" si="14"/>
        <v>171.50999763304443</v>
      </c>
      <c r="M25">
        <f t="shared" ca="1" si="15"/>
        <v>163.97200236695554</v>
      </c>
      <c r="N25">
        <f t="shared" ca="1" si="4"/>
        <v>-5.0000000000011369E-2</v>
      </c>
      <c r="O25">
        <f t="shared" ca="1" si="5"/>
        <v>0</v>
      </c>
      <c r="P25">
        <f t="shared" ca="1" si="6"/>
        <v>5.0000000000011369E-2</v>
      </c>
      <c r="Q25">
        <f t="shared" ca="1" si="10"/>
        <v>0.64682744760239708</v>
      </c>
      <c r="R25">
        <f t="shared" ca="1" si="11"/>
        <v>0.54040330732507902</v>
      </c>
      <c r="S25">
        <f t="shared" ca="1" si="8"/>
        <v>1.1969346575691824</v>
      </c>
      <c r="T25">
        <f t="shared" ca="1" si="9"/>
        <v>54.482032656061847</v>
      </c>
      <c r="U25">
        <f>70</f>
        <v>70</v>
      </c>
      <c r="V25">
        <f>30</f>
        <v>30</v>
      </c>
      <c r="W25">
        <f t="shared" ca="1" si="7"/>
        <v>169.18116007756456</v>
      </c>
    </row>
    <row r="26" spans="1:25" x14ac:dyDescent="0.25">
      <c r="A26" s="20">
        <f t="shared" ca="1" si="0"/>
        <v>45327</v>
      </c>
      <c r="B26" vm="72">
        <f ca="1"/>
        <v>45328</v>
      </c>
      <c r="C26" vm="73">
        <f ca="1"/>
        <v>171.42</v>
      </c>
      <c r="D26" vm="74">
        <f ca="1"/>
        <v>5182879</v>
      </c>
      <c r="E26">
        <f t="shared" ca="1" si="1"/>
        <v>888449118.17999995</v>
      </c>
      <c r="F26">
        <f ca="1">SUM($E$2:E26)/SUM($D$2:D26)</f>
        <v>168.56406938697117</v>
      </c>
      <c r="G26">
        <f ca="1">_xlfn.STDEV.P($C$2:C26)</f>
        <v>2.3305664204222953</v>
      </c>
      <c r="H26">
        <f t="shared" ca="1" si="2"/>
        <v>170.89463580739346</v>
      </c>
      <c r="I26">
        <f t="shared" ca="1" si="3"/>
        <v>166.23350296654888</v>
      </c>
      <c r="J26">
        <f t="shared" ca="1" si="12"/>
        <v>167.85649999999998</v>
      </c>
      <c r="K26">
        <f t="shared" ca="1" si="13"/>
        <v>2.0374061812433011</v>
      </c>
      <c r="L26">
        <f t="shared" ca="1" si="14"/>
        <v>171.93131236248658</v>
      </c>
      <c r="M26">
        <f t="shared" ca="1" si="15"/>
        <v>163.78168763751339</v>
      </c>
      <c r="N26">
        <f t="shared" ca="1" si="4"/>
        <v>0.5</v>
      </c>
      <c r="O26">
        <f t="shared" ca="1" si="5"/>
        <v>0.5</v>
      </c>
      <c r="P26">
        <f t="shared" ca="1" si="6"/>
        <v>0</v>
      </c>
      <c r="Q26">
        <f t="shared" ca="1" si="10"/>
        <v>0.63633977277365439</v>
      </c>
      <c r="R26">
        <f t="shared" ca="1" si="11"/>
        <v>0.50180307108757338</v>
      </c>
      <c r="S26">
        <f t="shared" ca="1" si="8"/>
        <v>1.2681065729520058</v>
      </c>
      <c r="T26">
        <f t="shared" ca="1" si="9"/>
        <v>55.910361006605115</v>
      </c>
      <c r="U26">
        <f>70</f>
        <v>70</v>
      </c>
      <c r="V26">
        <f>30</f>
        <v>30</v>
      </c>
      <c r="W26">
        <f t="shared" ca="1" si="7"/>
        <v>169.52559698870846</v>
      </c>
    </row>
    <row r="27" spans="1:25" x14ac:dyDescent="0.25">
      <c r="A27" s="20">
        <f t="shared" ca="1" si="0"/>
        <v>45327</v>
      </c>
      <c r="B27" vm="75">
        <f ca="1"/>
        <v>45329</v>
      </c>
      <c r="C27" vm="8">
        <f ca="1"/>
        <v>171.47</v>
      </c>
      <c r="D27" vm="76">
        <f ca="1"/>
        <v>5769679</v>
      </c>
      <c r="E27">
        <f t="shared" ca="1" si="1"/>
        <v>989326858.13</v>
      </c>
      <c r="F27">
        <f ca="1">SUM($E$2:E27)/SUM($D$2:D27)</f>
        <v>168.68710755369136</v>
      </c>
      <c r="G27">
        <f ca="1">_xlfn.STDEV.P($C$2:C27)</f>
        <v>2.3555813111861497</v>
      </c>
      <c r="H27">
        <f t="shared" ca="1" si="2"/>
        <v>171.0426888648775</v>
      </c>
      <c r="I27">
        <f t="shared" ca="1" si="3"/>
        <v>166.33152624250522</v>
      </c>
      <c r="J27">
        <f t="shared" ca="1" si="12"/>
        <v>168.07149999999996</v>
      </c>
      <c r="K27">
        <f t="shared" ca="1" si="13"/>
        <v>2.182840435858985</v>
      </c>
      <c r="L27">
        <f t="shared" ca="1" si="14"/>
        <v>172.43718087171794</v>
      </c>
      <c r="M27">
        <f t="shared" ca="1" si="15"/>
        <v>163.70581912828197</v>
      </c>
      <c r="N27">
        <f t="shared" ca="1" si="4"/>
        <v>5.0000000000011369E-2</v>
      </c>
      <c r="O27">
        <f t="shared" ca="1" si="5"/>
        <v>5.0000000000011369E-2</v>
      </c>
      <c r="P27">
        <f t="shared" ca="1" si="6"/>
        <v>0</v>
      </c>
      <c r="Q27">
        <f t="shared" ca="1" si="10"/>
        <v>0.59445836043267986</v>
      </c>
      <c r="R27">
        <f t="shared" ca="1" si="11"/>
        <v>0.46595999458131815</v>
      </c>
      <c r="S27">
        <f t="shared" ca="1" si="8"/>
        <v>1.2757712407624653</v>
      </c>
      <c r="T27">
        <f t="shared" ca="1" si="9"/>
        <v>56.058852397442017</v>
      </c>
      <c r="U27">
        <f>70</f>
        <v>70</v>
      </c>
      <c r="V27">
        <f>30</f>
        <v>30</v>
      </c>
      <c r="W27">
        <f t="shared" ca="1" si="7"/>
        <v>169.82473591352255</v>
      </c>
      <c r="X27" s="9">
        <f ca="1">AVERAGE(C2:C27)</f>
        <v>168.6146153846154</v>
      </c>
      <c r="Y27">
        <f ca="1">W28-X28</f>
        <v>1.4415856590204896</v>
      </c>
    </row>
    <row r="28" spans="1:25" x14ac:dyDescent="0.25">
      <c r="A28" s="20">
        <f t="shared" ca="1" si="0"/>
        <v>45327</v>
      </c>
      <c r="B28" vm="77">
        <f ca="1"/>
        <v>45330</v>
      </c>
      <c r="C28" vm="78">
        <f ca="1"/>
        <v>173.85</v>
      </c>
      <c r="D28" vm="79">
        <f ca="1"/>
        <v>9269699</v>
      </c>
      <c r="E28">
        <f t="shared" ca="1" si="1"/>
        <v>1611537171.1499999</v>
      </c>
      <c r="F28">
        <f ca="1">SUM($E$2:E28)/SUM($D$2:D28)</f>
        <v>169.01594422898819</v>
      </c>
      <c r="G28">
        <f ca="1">_xlfn.STDEV.P($C$2:C28)</f>
        <v>2.5141226342458767</v>
      </c>
      <c r="H28">
        <f t="shared" ca="1" si="2"/>
        <v>171.53006686323405</v>
      </c>
      <c r="I28">
        <f t="shared" ca="1" si="3"/>
        <v>166.50182159474232</v>
      </c>
      <c r="J28">
        <f t="shared" ca="1" si="12"/>
        <v>168.41799999999998</v>
      </c>
      <c r="K28">
        <f t="shared" ca="1" si="13"/>
        <v>2.5151636966711766</v>
      </c>
      <c r="L28">
        <f t="shared" ca="1" si="14"/>
        <v>173.44832739334234</v>
      </c>
      <c r="M28">
        <f t="shared" ca="1" si="15"/>
        <v>163.38767260665762</v>
      </c>
      <c r="N28">
        <f t="shared" ca="1" si="4"/>
        <v>2.3799999999999955</v>
      </c>
      <c r="O28">
        <f t="shared" ca="1" si="5"/>
        <v>2.3799999999999955</v>
      </c>
      <c r="P28">
        <f t="shared" ca="1" si="6"/>
        <v>0</v>
      </c>
      <c r="Q28">
        <f t="shared" ca="1" si="10"/>
        <v>0.72199704897320238</v>
      </c>
      <c r="R28">
        <f t="shared" ca="1" si="11"/>
        <v>0.43267713782550971</v>
      </c>
      <c r="S28">
        <f t="shared" ca="1" si="8"/>
        <v>1.6686739045231684</v>
      </c>
      <c r="T28">
        <f t="shared" ca="1" si="9"/>
        <v>62.528205551637924</v>
      </c>
      <c r="U28">
        <f>70</f>
        <v>70</v>
      </c>
      <c r="V28">
        <f>30</f>
        <v>30</v>
      </c>
      <c r="W28">
        <f t="shared" ca="1" si="7"/>
        <v>170.44400731144216</v>
      </c>
      <c r="X28">
        <f ca="1">C28*(2/(26+1)) + X27*(1-(2/(26+1)))</f>
        <v>169.00242165242167</v>
      </c>
      <c r="Y28">
        <f t="shared" ref="Y28:Y91" ca="1" si="16">W29-X29</f>
        <v>1.113513203593385</v>
      </c>
    </row>
    <row r="29" spans="1:25" x14ac:dyDescent="0.25">
      <c r="A29" s="20">
        <f t="shared" ca="1" si="0"/>
        <v>45327</v>
      </c>
      <c r="B29" vm="80">
        <f ca="1"/>
        <v>45331</v>
      </c>
      <c r="C29" vm="81">
        <f ca="1"/>
        <v>167.67</v>
      </c>
      <c r="D29" vm="82">
        <f ca="1"/>
        <v>12731739</v>
      </c>
      <c r="E29">
        <f t="shared" ca="1" si="1"/>
        <v>2134730678.1299999</v>
      </c>
      <c r="F29">
        <f ca="1">SUM($E$2:E29)/SUM($D$2:D29)</f>
        <v>168.9076725149333</v>
      </c>
      <c r="G29">
        <f ca="1">_xlfn.STDEV.P($C$2:C29)</f>
        <v>2.4778437589722122</v>
      </c>
      <c r="H29">
        <f t="shared" ca="1" si="2"/>
        <v>171.38551627390549</v>
      </c>
      <c r="I29">
        <f t="shared" ca="1" si="3"/>
        <v>166.4298287559611</v>
      </c>
      <c r="J29">
        <f t="shared" ca="1" si="12"/>
        <v>168.49499999999998</v>
      </c>
      <c r="K29">
        <f t="shared" ca="1" si="13"/>
        <v>2.4644941831839158</v>
      </c>
      <c r="L29">
        <f t="shared" ca="1" si="14"/>
        <v>173.42398836636781</v>
      </c>
      <c r="M29">
        <f t="shared" ca="1" si="15"/>
        <v>163.56601163363214</v>
      </c>
      <c r="N29">
        <f t="shared" ca="1" si="4"/>
        <v>-6.1800000000000068</v>
      </c>
      <c r="O29">
        <f t="shared" ca="1" si="5"/>
        <v>0</v>
      </c>
      <c r="P29">
        <f t="shared" ca="1" si="6"/>
        <v>6.1800000000000068</v>
      </c>
      <c r="Q29">
        <f t="shared" ca="1" si="10"/>
        <v>0.67042583118940224</v>
      </c>
      <c r="R29">
        <f t="shared" ca="1" si="11"/>
        <v>0.84320019940940227</v>
      </c>
      <c r="S29">
        <f t="shared" ca="1" si="8"/>
        <v>0.7950968603410965</v>
      </c>
      <c r="T29">
        <f t="shared" ca="1" si="9"/>
        <v>44.29269962569127</v>
      </c>
      <c r="U29">
        <f>70</f>
        <v>70</v>
      </c>
      <c r="V29">
        <f>30</f>
        <v>30</v>
      </c>
      <c r="W29">
        <f t="shared" ca="1" si="7"/>
        <v>170.01723695583567</v>
      </c>
      <c r="X29">
        <f t="shared" ref="X29:X92" ca="1" si="17">C29*(2/(26+1)) + X28*(1-(2/(26+1)))</f>
        <v>168.90372375224229</v>
      </c>
      <c r="Y29">
        <f t="shared" ca="1" si="16"/>
        <v>1.0783166849129771</v>
      </c>
    </row>
    <row r="30" spans="1:25" x14ac:dyDescent="0.25">
      <c r="A30" s="20">
        <f t="shared" ca="1" si="0"/>
        <v>45334</v>
      </c>
      <c r="B30" vm="83">
        <f ca="1"/>
        <v>45334</v>
      </c>
      <c r="C30" vm="84">
        <f ca="1"/>
        <v>170.61</v>
      </c>
      <c r="D30" vm="85">
        <f ca="1"/>
        <v>7867544</v>
      </c>
      <c r="E30">
        <f t="shared" ca="1" si="1"/>
        <v>1342281681.8400002</v>
      </c>
      <c r="F30">
        <f ca="1">SUM($E$2:E30)/SUM($D$2:D30)</f>
        <v>168.98828705566308</v>
      </c>
      <c r="G30">
        <f ca="1">_xlfn.STDEV.P($C$2:C30)</f>
        <v>2.4578399882514312</v>
      </c>
      <c r="H30">
        <f t="shared" ca="1" si="2"/>
        <v>171.44612704391452</v>
      </c>
      <c r="I30">
        <f t="shared" ca="1" si="3"/>
        <v>166.53044706741164</v>
      </c>
      <c r="J30">
        <f t="shared" ca="1" si="12"/>
        <v>168.66199999999998</v>
      </c>
      <c r="K30">
        <f t="shared" ca="1" si="13"/>
        <v>2.4901460536324054</v>
      </c>
      <c r="L30">
        <f t="shared" ca="1" si="14"/>
        <v>173.64229210726478</v>
      </c>
      <c r="M30">
        <f t="shared" ca="1" si="15"/>
        <v>163.68170789273518</v>
      </c>
      <c r="N30">
        <f t="shared" ca="1" si="4"/>
        <v>2.9400000000000261</v>
      </c>
      <c r="O30">
        <f t="shared" ca="1" si="5"/>
        <v>2.9400000000000261</v>
      </c>
      <c r="P30">
        <f t="shared" ca="1" si="6"/>
        <v>0</v>
      </c>
      <c r="Q30">
        <f t="shared" ca="1" si="10"/>
        <v>0.83253827181873252</v>
      </c>
      <c r="R30">
        <f t="shared" ca="1" si="11"/>
        <v>0.78297161373730206</v>
      </c>
      <c r="S30">
        <f t="shared" ca="1" si="8"/>
        <v>1.0633058174929708</v>
      </c>
      <c r="T30">
        <f t="shared" ca="1" si="9"/>
        <v>51.534087117776146</v>
      </c>
      <c r="U30">
        <f>70</f>
        <v>70</v>
      </c>
      <c r="V30">
        <f>30</f>
        <v>30</v>
      </c>
      <c r="W30">
        <f t="shared" ca="1" si="7"/>
        <v>170.10843127032251</v>
      </c>
      <c r="X30">
        <f t="shared" ca="1" si="17"/>
        <v>169.03011458540954</v>
      </c>
      <c r="Y30">
        <f t="shared" ca="1" si="16"/>
        <v>0.90044685762870813</v>
      </c>
    </row>
    <row r="31" spans="1:25" x14ac:dyDescent="0.25">
      <c r="A31" s="20">
        <f t="shared" ca="1" si="0"/>
        <v>45334</v>
      </c>
      <c r="B31" vm="86">
        <f ca="1"/>
        <v>45335</v>
      </c>
      <c r="C31" vm="87">
        <f ca="1"/>
        <v>168.88</v>
      </c>
      <c r="D31" vm="88">
        <f ca="1"/>
        <v>7302014</v>
      </c>
      <c r="E31">
        <f t="shared" ca="1" si="1"/>
        <v>1233164124.3199999</v>
      </c>
      <c r="F31">
        <f ca="1">SUM($E$2:E31)/SUM($D$2:D31)</f>
        <v>168.98372805165167</v>
      </c>
      <c r="G31">
        <f ca="1">_xlfn.STDEV.P($C$2:C31)</f>
        <v>2.4165445716283944</v>
      </c>
      <c r="H31">
        <f t="shared" ca="1" si="2"/>
        <v>171.40027262328007</v>
      </c>
      <c r="I31">
        <f t="shared" ca="1" si="3"/>
        <v>166.56718348002326</v>
      </c>
      <c r="J31">
        <f t="shared" ca="1" si="12"/>
        <v>168.79749999999999</v>
      </c>
      <c r="K31">
        <f t="shared" ca="1" si="13"/>
        <v>2.4201563129160393</v>
      </c>
      <c r="L31">
        <f t="shared" ca="1" si="14"/>
        <v>173.63781262583205</v>
      </c>
      <c r="M31">
        <f t="shared" ca="1" si="15"/>
        <v>163.95718737416792</v>
      </c>
      <c r="N31">
        <f t="shared" ca="1" si="4"/>
        <v>-1.7300000000000182</v>
      </c>
      <c r="O31">
        <f t="shared" ca="1" si="5"/>
        <v>0</v>
      </c>
      <c r="P31">
        <f t="shared" ca="1" si="6"/>
        <v>1.7300000000000182</v>
      </c>
      <c r="Q31">
        <f t="shared" ca="1" si="10"/>
        <v>0.77307125240310881</v>
      </c>
      <c r="R31">
        <f t="shared" ca="1" si="11"/>
        <v>0.85061649847035326</v>
      </c>
      <c r="S31">
        <f t="shared" ca="1" si="8"/>
        <v>0.90883641898941236</v>
      </c>
      <c r="T31">
        <f t="shared" ca="1" si="9"/>
        <v>47.61206407988454</v>
      </c>
      <c r="U31">
        <f>70</f>
        <v>70</v>
      </c>
      <c r="V31">
        <f>30</f>
        <v>30</v>
      </c>
      <c r="W31">
        <f t="shared" ca="1" si="7"/>
        <v>169.91944184411904</v>
      </c>
      <c r="X31">
        <f t="shared" ca="1" si="17"/>
        <v>169.01899498649033</v>
      </c>
      <c r="Y31">
        <f t="shared" ca="1" si="16"/>
        <v>0.64233862419942511</v>
      </c>
    </row>
    <row r="32" spans="1:25" x14ac:dyDescent="0.25">
      <c r="A32" s="20">
        <f t="shared" ca="1" si="0"/>
        <v>45334</v>
      </c>
      <c r="B32" vm="89">
        <f ca="1"/>
        <v>45336</v>
      </c>
      <c r="C32" vm="90">
        <f ca="1"/>
        <v>167.52</v>
      </c>
      <c r="D32" vm="91">
        <f ca="1"/>
        <v>5731904</v>
      </c>
      <c r="E32">
        <f t="shared" ca="1" si="1"/>
        <v>960208558.08000004</v>
      </c>
      <c r="F32">
        <f ca="1">SUM($E$2:E32)/SUM($D$2:D32)</f>
        <v>168.93690179655471</v>
      </c>
      <c r="G32">
        <f ca="1">_xlfn.STDEV.P($C$2:C32)</f>
        <v>2.3885411062037361</v>
      </c>
      <c r="H32">
        <f t="shared" ca="1" si="2"/>
        <v>171.32544290275845</v>
      </c>
      <c r="I32">
        <f t="shared" ca="1" si="3"/>
        <v>166.54836069035096</v>
      </c>
      <c r="J32">
        <f t="shared" ca="1" si="12"/>
        <v>168.85150000000002</v>
      </c>
      <c r="K32">
        <f t="shared" ca="1" si="13"/>
        <v>2.3764397851895103</v>
      </c>
      <c r="L32">
        <f t="shared" ca="1" si="14"/>
        <v>173.60437957037902</v>
      </c>
      <c r="M32">
        <f t="shared" ca="1" si="15"/>
        <v>164.09862042962101</v>
      </c>
      <c r="N32">
        <f t="shared" ca="1" si="4"/>
        <v>-1.3599999999999852</v>
      </c>
      <c r="O32">
        <f t="shared" ca="1" si="5"/>
        <v>0</v>
      </c>
      <c r="P32">
        <f t="shared" ca="1" si="6"/>
        <v>1.3599999999999852</v>
      </c>
      <c r="Q32">
        <f t="shared" ca="1" si="10"/>
        <v>0.71785187723145827</v>
      </c>
      <c r="R32">
        <f t="shared" ca="1" si="11"/>
        <v>0.88700103429389832</v>
      </c>
      <c r="S32">
        <f t="shared" ca="1" si="8"/>
        <v>0.80930218734514547</v>
      </c>
      <c r="T32">
        <f t="shared" ca="1" si="9"/>
        <v>44.730072898030585</v>
      </c>
      <c r="U32">
        <f>70</f>
        <v>70</v>
      </c>
      <c r="V32">
        <f>30</f>
        <v>30</v>
      </c>
      <c r="W32">
        <f t="shared" ca="1" si="7"/>
        <v>169.5502969450238</v>
      </c>
      <c r="X32">
        <f t="shared" ca="1" si="17"/>
        <v>168.90795832082438</v>
      </c>
      <c r="Y32">
        <f t="shared" ca="1" si="16"/>
        <v>0.45991948263289828</v>
      </c>
    </row>
    <row r="33" spans="1:27" x14ac:dyDescent="0.25">
      <c r="A33" s="20">
        <f t="shared" ca="1" si="0"/>
        <v>45334</v>
      </c>
      <c r="B33" vm="92">
        <f ca="1"/>
        <v>45337</v>
      </c>
      <c r="C33" vm="52">
        <f ca="1"/>
        <v>167.86</v>
      </c>
      <c r="D33" vm="93">
        <f ca="1"/>
        <v>4451374</v>
      </c>
      <c r="E33">
        <f t="shared" ca="1" si="1"/>
        <v>747207639.6400001</v>
      </c>
      <c r="F33">
        <f ca="1">SUM($E$2:E33)/SUM($D$2:D33)</f>
        <v>168.91079566747712</v>
      </c>
      <c r="G33">
        <f ca="1">_xlfn.STDEV.P($C$2:C33)</f>
        <v>2.3564938327086162</v>
      </c>
      <c r="H33">
        <f t="shared" ca="1" si="2"/>
        <v>171.26728950018574</v>
      </c>
      <c r="I33">
        <f t="shared" ca="1" si="3"/>
        <v>166.55430183476849</v>
      </c>
      <c r="J33">
        <f t="shared" ca="1" si="12"/>
        <v>168.88600000000002</v>
      </c>
      <c r="K33">
        <f t="shared" ca="1" si="13"/>
        <v>2.3556614893977366</v>
      </c>
      <c r="L33">
        <f t="shared" ca="1" si="14"/>
        <v>173.59732297879549</v>
      </c>
      <c r="M33">
        <f t="shared" ca="1" si="15"/>
        <v>164.17467702120456</v>
      </c>
      <c r="N33">
        <f t="shared" ca="1" si="4"/>
        <v>0.34000000000000341</v>
      </c>
      <c r="O33">
        <f t="shared" ca="1" si="5"/>
        <v>0.34000000000000341</v>
      </c>
      <c r="P33">
        <f t="shared" ca="1" si="6"/>
        <v>0</v>
      </c>
      <c r="Q33">
        <f t="shared" ca="1" si="10"/>
        <v>0.6908624574292116</v>
      </c>
      <c r="R33">
        <f t="shared" ca="1" si="11"/>
        <v>0.82364381755861982</v>
      </c>
      <c r="S33">
        <f t="shared" ca="1" si="8"/>
        <v>0.83878788707115137</v>
      </c>
      <c r="T33">
        <f t="shared" ca="1" si="9"/>
        <v>45.616348300356989</v>
      </c>
      <c r="U33">
        <f>70</f>
        <v>70</v>
      </c>
      <c r="V33">
        <f>30</f>
        <v>30</v>
      </c>
      <c r="W33">
        <f t="shared" ca="1" si="7"/>
        <v>169.29025126117398</v>
      </c>
      <c r="X33">
        <f t="shared" ca="1" si="17"/>
        <v>168.83033177854108</v>
      </c>
      <c r="Y33">
        <f t="shared" ca="1" si="16"/>
        <v>0.18890825225875574</v>
      </c>
    </row>
    <row r="34" spans="1:27" x14ac:dyDescent="0.25">
      <c r="A34" s="20">
        <f t="shared" ca="1" si="0"/>
        <v>45334</v>
      </c>
      <c r="B34" vm="94">
        <f ca="1"/>
        <v>45338</v>
      </c>
      <c r="C34" vm="95">
        <f ca="1"/>
        <v>166.32</v>
      </c>
      <c r="D34" vm="96">
        <f ca="1"/>
        <v>5245994</v>
      </c>
      <c r="E34">
        <f t="shared" ca="1" si="1"/>
        <v>872513722.07999992</v>
      </c>
      <c r="F34">
        <f ca="1">SUM($E$2:E34)/SUM($D$2:D34)</f>
        <v>168.8388342556583</v>
      </c>
      <c r="G34">
        <f ca="1">_xlfn.STDEV.P($C$2:C34)</f>
        <v>2.3579562674935888</v>
      </c>
      <c r="H34">
        <f t="shared" ca="1" si="2"/>
        <v>171.19679052315189</v>
      </c>
      <c r="I34">
        <f t="shared" ca="1" si="3"/>
        <v>166.48087798816471</v>
      </c>
      <c r="J34">
        <f t="shared" ca="1" si="12"/>
        <v>168.91300000000004</v>
      </c>
      <c r="K34">
        <f t="shared" ca="1" si="13"/>
        <v>2.3210276761995314</v>
      </c>
      <c r="L34">
        <f t="shared" ca="1" si="14"/>
        <v>173.55505535239911</v>
      </c>
      <c r="M34">
        <f t="shared" ca="1" si="15"/>
        <v>164.27094464760097</v>
      </c>
      <c r="N34">
        <f t="shared" ca="1" si="4"/>
        <v>-1.5400000000000205</v>
      </c>
      <c r="O34">
        <f t="shared" ca="1" si="5"/>
        <v>0</v>
      </c>
      <c r="P34">
        <f t="shared" ca="1" si="6"/>
        <v>1.5400000000000205</v>
      </c>
      <c r="Q34">
        <f t="shared" ca="1" si="10"/>
        <v>0.64151513904141078</v>
      </c>
      <c r="R34">
        <f t="shared" ca="1" si="11"/>
        <v>0.87481211630443412</v>
      </c>
      <c r="S34">
        <f t="shared" ca="1" si="8"/>
        <v>0.73331761996099731</v>
      </c>
      <c r="T34">
        <f t="shared" ca="1" si="9"/>
        <v>42.307169298694269</v>
      </c>
      <c r="U34">
        <f>70</f>
        <v>70</v>
      </c>
      <c r="V34">
        <f>30</f>
        <v>30</v>
      </c>
      <c r="W34">
        <f t="shared" ca="1" si="7"/>
        <v>168.83328952868567</v>
      </c>
      <c r="X34">
        <f t="shared" ca="1" si="17"/>
        <v>168.64438127642691</v>
      </c>
      <c r="Y34">
        <f t="shared" ca="1" si="16"/>
        <v>0.16029366148404733</v>
      </c>
    </row>
    <row r="35" spans="1:27" x14ac:dyDescent="0.25">
      <c r="A35" s="20">
        <f t="shared" ca="1" si="0"/>
        <v>45341</v>
      </c>
      <c r="B35" vm="97">
        <f ca="1"/>
        <v>45342</v>
      </c>
      <c r="C35" vm="98">
        <f ca="1"/>
        <v>168.65</v>
      </c>
      <c r="D35" vm="99">
        <f ca="1"/>
        <v>6117866</v>
      </c>
      <c r="E35">
        <f t="shared" ca="1" si="1"/>
        <v>1031778100.9</v>
      </c>
      <c r="F35">
        <f ca="1">SUM($E$2:E35)/SUM($D$2:D35)</f>
        <v>168.83290944050793</v>
      </c>
      <c r="G35">
        <f ca="1">_xlfn.STDEV.P($C$2:C35)</f>
        <v>2.3230303261459513</v>
      </c>
      <c r="H35">
        <f t="shared" ca="1" si="2"/>
        <v>171.15593976665389</v>
      </c>
      <c r="I35">
        <f t="shared" ca="1" si="3"/>
        <v>166.50987911436198</v>
      </c>
      <c r="J35">
        <f t="shared" ca="1" si="12"/>
        <v>169.09000000000006</v>
      </c>
      <c r="K35">
        <f t="shared" ca="1" si="13"/>
        <v>2.1439756479371122</v>
      </c>
      <c r="L35">
        <f t="shared" ca="1" si="14"/>
        <v>173.37795129587428</v>
      </c>
      <c r="M35">
        <f t="shared" ca="1" si="15"/>
        <v>164.80204870412584</v>
      </c>
      <c r="N35">
        <f t="shared" ca="1" si="4"/>
        <v>2.3300000000000125</v>
      </c>
      <c r="O35">
        <f t="shared" ca="1" si="5"/>
        <v>2.3300000000000125</v>
      </c>
      <c r="P35">
        <f t="shared" ca="1" si="6"/>
        <v>0</v>
      </c>
      <c r="Q35">
        <f t="shared" ca="1" si="10"/>
        <v>0.76212120053845378</v>
      </c>
      <c r="R35">
        <f t="shared" ca="1" si="11"/>
        <v>0.81232553656840312</v>
      </c>
      <c r="S35">
        <f t="shared" ca="1" si="8"/>
        <v>0.93819677731413798</v>
      </c>
      <c r="T35">
        <f t="shared" ca="1" si="9"/>
        <v>48.405651495006971</v>
      </c>
      <c r="U35">
        <f>70</f>
        <v>70</v>
      </c>
      <c r="V35">
        <f>30</f>
        <v>30</v>
      </c>
      <c r="W35">
        <f t="shared" ca="1" si="7"/>
        <v>168.80509113965712</v>
      </c>
      <c r="X35">
        <f t="shared" ca="1" si="17"/>
        <v>168.64479747817307</v>
      </c>
      <c r="Y35">
        <f t="shared" ca="1" si="16"/>
        <v>0.15040708852396278</v>
      </c>
    </row>
    <row r="36" spans="1:27" x14ac:dyDescent="0.25">
      <c r="A36" s="20">
        <f t="shared" ca="1" si="0"/>
        <v>45341</v>
      </c>
      <c r="B36" vm="100">
        <f ca="1"/>
        <v>45343</v>
      </c>
      <c r="C36" vm="101">
        <f ca="1"/>
        <v>168.83</v>
      </c>
      <c r="D36" vm="102">
        <f ca="1"/>
        <v>4195366</v>
      </c>
      <c r="E36">
        <f t="shared" ca="1" si="1"/>
        <v>708303641.78000009</v>
      </c>
      <c r="F36">
        <f ca="1">SUM($E$2:E36)/SUM($D$2:D36)</f>
        <v>168.83284815917881</v>
      </c>
      <c r="G36">
        <f ca="1">_xlfn.STDEV.P($C$2:C36)</f>
        <v>2.2897285464278347</v>
      </c>
      <c r="H36">
        <f t="shared" ca="1" si="2"/>
        <v>171.12257670560663</v>
      </c>
      <c r="I36">
        <f t="shared" ca="1" si="3"/>
        <v>166.54311961275098</v>
      </c>
      <c r="J36">
        <f t="shared" ca="1" si="12"/>
        <v>169.14950000000005</v>
      </c>
      <c r="K36">
        <f t="shared" ca="1" si="13"/>
        <v>2.117971907273557</v>
      </c>
      <c r="L36">
        <f t="shared" ca="1" si="14"/>
        <v>173.38544381454716</v>
      </c>
      <c r="M36">
        <f t="shared" ca="1" si="15"/>
        <v>164.91355618545293</v>
      </c>
      <c r="N36">
        <f t="shared" ca="1" si="4"/>
        <v>0.18000000000000682</v>
      </c>
      <c r="O36">
        <f t="shared" ca="1" si="5"/>
        <v>0.18000000000000682</v>
      </c>
      <c r="P36">
        <f t="shared" ca="1" si="6"/>
        <v>0</v>
      </c>
      <c r="Q36">
        <f t="shared" ca="1" si="10"/>
        <v>0.72054111478570759</v>
      </c>
      <c r="R36">
        <f t="shared" ca="1" si="11"/>
        <v>0.75430228395637433</v>
      </c>
      <c r="S36">
        <f t="shared" ca="1" si="8"/>
        <v>0.95524185742407308</v>
      </c>
      <c r="T36">
        <f t="shared" ca="1" si="9"/>
        <v>48.855432068263582</v>
      </c>
      <c r="U36">
        <f>70</f>
        <v>70</v>
      </c>
      <c r="V36">
        <f>30</f>
        <v>30</v>
      </c>
      <c r="W36">
        <f t="shared" ca="1" si="7"/>
        <v>168.80892327201755</v>
      </c>
      <c r="X36">
        <f t="shared" ca="1" si="17"/>
        <v>168.65851618349359</v>
      </c>
      <c r="Y36">
        <f t="shared" ca="1" si="16"/>
        <v>9.4679350865533252E-2</v>
      </c>
      <c r="Z36" s="9">
        <f ca="1">AVERAGE(Y28:Y36)</f>
        <v>0.53209146734441026</v>
      </c>
    </row>
    <row r="37" spans="1:27" x14ac:dyDescent="0.25">
      <c r="A37" s="20">
        <f t="shared" ca="1" si="0"/>
        <v>45341</v>
      </c>
      <c r="B37" vm="103">
        <f ca="1"/>
        <v>45344</v>
      </c>
      <c r="C37" vm="104">
        <f ca="1"/>
        <v>168.25</v>
      </c>
      <c r="D37" vm="105">
        <f ca="1"/>
        <v>7539232</v>
      </c>
      <c r="E37">
        <f t="shared" ca="1" si="1"/>
        <v>1268475784</v>
      </c>
      <c r="F37">
        <f ca="1">SUM($E$2:E37)/SUM($D$2:D37)</f>
        <v>168.81159143091122</v>
      </c>
      <c r="G37">
        <f ca="1">_xlfn.STDEV.P($C$2:C37)</f>
        <v>2.2588634064256481</v>
      </c>
      <c r="H37">
        <f t="shared" ca="1" si="2"/>
        <v>171.07045483733688</v>
      </c>
      <c r="I37">
        <f t="shared" ca="1" si="3"/>
        <v>166.55272802448556</v>
      </c>
      <c r="J37">
        <f t="shared" ca="1" si="12"/>
        <v>169.28200000000004</v>
      </c>
      <c r="K37">
        <f t="shared" ca="1" si="13"/>
        <v>1.9613276920977434</v>
      </c>
      <c r="L37">
        <f t="shared" ca="1" si="14"/>
        <v>173.20465538419552</v>
      </c>
      <c r="M37">
        <f t="shared" ca="1" si="15"/>
        <v>165.35934461580456</v>
      </c>
      <c r="N37">
        <f t="shared" ca="1" si="4"/>
        <v>-0.58000000000001251</v>
      </c>
      <c r="O37">
        <f t="shared" ca="1" si="5"/>
        <v>0</v>
      </c>
      <c r="P37">
        <f t="shared" ca="1" si="6"/>
        <v>0.58000000000001251</v>
      </c>
      <c r="Q37">
        <f t="shared" ca="1" si="10"/>
        <v>0.66907389230101422</v>
      </c>
      <c r="R37">
        <f t="shared" ca="1" si="11"/>
        <v>0.7418521208166341</v>
      </c>
      <c r="S37">
        <f t="shared" ca="1" si="8"/>
        <v>0.90189658225212688</v>
      </c>
      <c r="T37">
        <f t="shared" ca="1" si="9"/>
        <v>47.420905567018153</v>
      </c>
      <c r="U37">
        <f>70</f>
        <v>70</v>
      </c>
      <c r="V37">
        <f>30</f>
        <v>30</v>
      </c>
      <c r="W37">
        <f t="shared" ca="1" si="7"/>
        <v>168.72293507632256</v>
      </c>
      <c r="X37">
        <f t="shared" ca="1" si="17"/>
        <v>168.62825572545702</v>
      </c>
      <c r="Y37">
        <f t="shared" ca="1" si="16"/>
        <v>0.15763135867314304</v>
      </c>
      <c r="Z37">
        <f ca="1">Y37*(2/(9+1)) + Z36*(1-(2/(9+1)))</f>
        <v>0.45719944561015685</v>
      </c>
      <c r="AA37">
        <f ca="1">Y37-Z37</f>
        <v>-0.29956808693701381</v>
      </c>
    </row>
    <row r="38" spans="1:27" x14ac:dyDescent="0.25">
      <c r="A38" s="20">
        <f t="shared" ca="1" si="0"/>
        <v>45341</v>
      </c>
      <c r="B38" vm="106">
        <f ca="1"/>
        <v>45345</v>
      </c>
      <c r="C38" vm="107">
        <f ca="1"/>
        <v>169.6</v>
      </c>
      <c r="D38" vm="108">
        <f ca="1"/>
        <v>6409765</v>
      </c>
      <c r="E38">
        <f t="shared" ca="1" si="1"/>
        <v>1087096144</v>
      </c>
      <c r="F38">
        <f ca="1">SUM($E$2:E38)/SUM($D$2:D38)</f>
        <v>168.83530221010798</v>
      </c>
      <c r="G38">
        <f ca="1">_xlfn.STDEV.P($C$2:C38)</f>
        <v>2.2331362675576623</v>
      </c>
      <c r="H38">
        <f t="shared" ca="1" si="2"/>
        <v>171.06843847766564</v>
      </c>
      <c r="I38">
        <f t="shared" ca="1" si="3"/>
        <v>166.60216594255033</v>
      </c>
      <c r="J38">
        <f t="shared" ca="1" si="12"/>
        <v>169.43400000000003</v>
      </c>
      <c r="K38">
        <f t="shared" ca="1" si="13"/>
        <v>1.8541430138447956</v>
      </c>
      <c r="L38">
        <f t="shared" ca="1" si="14"/>
        <v>173.14228602768961</v>
      </c>
      <c r="M38">
        <f t="shared" ca="1" si="15"/>
        <v>165.72571397231044</v>
      </c>
      <c r="N38">
        <f t="shared" ca="1" si="4"/>
        <v>1.3499999999999943</v>
      </c>
      <c r="O38">
        <f t="shared" ca="1" si="5"/>
        <v>1.3499999999999943</v>
      </c>
      <c r="P38">
        <f t="shared" ca="1" si="6"/>
        <v>0</v>
      </c>
      <c r="Q38">
        <f t="shared" ca="1" si="10"/>
        <v>0.71771147142236991</v>
      </c>
      <c r="R38">
        <f t="shared" ca="1" si="11"/>
        <v>0.688862683615446</v>
      </c>
      <c r="S38">
        <f t="shared" ca="1" si="8"/>
        <v>1.041878865691364</v>
      </c>
      <c r="T38">
        <f t="shared" ca="1" si="9"/>
        <v>51.02549828971329</v>
      </c>
      <c r="U38">
        <f>70</f>
        <v>70</v>
      </c>
      <c r="V38">
        <f>30</f>
        <v>30</v>
      </c>
      <c r="W38">
        <f t="shared" ca="1" si="7"/>
        <v>168.8578681415037</v>
      </c>
      <c r="X38">
        <f t="shared" ca="1" si="17"/>
        <v>168.70023678283056</v>
      </c>
      <c r="Y38">
        <f t="shared" ca="1" si="16"/>
        <v>9.8261776657153632E-2</v>
      </c>
      <c r="Z38">
        <f t="shared" ref="Z38:Z101" ca="1" si="18">Y38*(2/(9+1)) + Z37*(1-(2/(9+1)))</f>
        <v>0.38541191181955625</v>
      </c>
      <c r="AA38">
        <f t="shared" ref="AA38:AA101" ca="1" si="19">Y38-Z38</f>
        <v>-0.28715013516240262</v>
      </c>
    </row>
    <row r="39" spans="1:27" x14ac:dyDescent="0.25">
      <c r="A39" s="20">
        <f t="shared" ca="1" si="0"/>
        <v>45348</v>
      </c>
      <c r="B39" vm="109">
        <f ca="1"/>
        <v>45348</v>
      </c>
      <c r="C39" vm="110">
        <f ca="1"/>
        <v>168.26</v>
      </c>
      <c r="D39" vm="111">
        <f ca="1"/>
        <v>3836980</v>
      </c>
      <c r="E39">
        <f t="shared" ca="1" si="1"/>
        <v>645610254.79999995</v>
      </c>
      <c r="F39">
        <f ca="1">SUM($E$2:E39)/SUM($D$2:D39)</f>
        <v>168.82512827518332</v>
      </c>
      <c r="G39">
        <f ca="1">_xlfn.STDEV.P($C$2:C39)</f>
        <v>2.2046989606123559</v>
      </c>
      <c r="H39">
        <f t="shared" ca="1" si="2"/>
        <v>171.02982723579566</v>
      </c>
      <c r="I39">
        <f t="shared" ca="1" si="3"/>
        <v>166.62042931457097</v>
      </c>
      <c r="J39">
        <f t="shared" ca="1" si="12"/>
        <v>169.45400000000001</v>
      </c>
      <c r="K39">
        <f t="shared" ca="1" si="13"/>
        <v>1.8383613985228635</v>
      </c>
      <c r="L39">
        <f t="shared" ca="1" si="14"/>
        <v>173.13072279704573</v>
      </c>
      <c r="M39">
        <f t="shared" ca="1" si="15"/>
        <v>165.77727720295428</v>
      </c>
      <c r="N39">
        <f t="shared" ca="1" si="4"/>
        <v>-1.3400000000000034</v>
      </c>
      <c r="O39">
        <f t="shared" ca="1" si="5"/>
        <v>0</v>
      </c>
      <c r="P39">
        <f t="shared" ca="1" si="6"/>
        <v>1.3400000000000034</v>
      </c>
      <c r="Q39">
        <f t="shared" ca="1" si="10"/>
        <v>0.66644636632077214</v>
      </c>
      <c r="R39">
        <f t="shared" ca="1" si="11"/>
        <v>0.73537249192862864</v>
      </c>
      <c r="S39">
        <f t="shared" ca="1" si="8"/>
        <v>0.90627045971343445</v>
      </c>
      <c r="T39">
        <f t="shared" ca="1" si="9"/>
        <v>47.541546641271047</v>
      </c>
      <c r="U39">
        <f>70</f>
        <v>70</v>
      </c>
      <c r="V39">
        <f>30</f>
        <v>30</v>
      </c>
      <c r="W39">
        <f t="shared" ca="1" si="7"/>
        <v>168.7658884274262</v>
      </c>
      <c r="X39">
        <f t="shared" ca="1" si="17"/>
        <v>168.66762665076905</v>
      </c>
      <c r="Y39">
        <f t="shared" ca="1" si="16"/>
        <v>4.2650146568774971E-2</v>
      </c>
      <c r="Z39">
        <f t="shared" ca="1" si="18"/>
        <v>0.31685955876940003</v>
      </c>
      <c r="AA39">
        <f t="shared" ca="1" si="19"/>
        <v>-0.27420941220062506</v>
      </c>
    </row>
    <row r="40" spans="1:27" x14ac:dyDescent="0.25">
      <c r="A40" s="20">
        <f t="shared" ca="1" si="0"/>
        <v>45348</v>
      </c>
      <c r="B40" vm="112">
        <f ca="1"/>
        <v>45349</v>
      </c>
      <c r="C40" vm="113">
        <f ca="1"/>
        <v>168.16</v>
      </c>
      <c r="D40" vm="114">
        <f ca="1"/>
        <v>3567644</v>
      </c>
      <c r="E40">
        <f t="shared" ca="1" si="1"/>
        <v>599935015.03999996</v>
      </c>
      <c r="F40">
        <f ca="1">SUM($E$2:E40)/SUM($D$2:D40)</f>
        <v>168.8143684006273</v>
      </c>
      <c r="G40">
        <f ca="1">_xlfn.STDEV.P($C$2:C40)</f>
        <v>2.1778714372915005</v>
      </c>
      <c r="H40">
        <f t="shared" ca="1" si="2"/>
        <v>170.99223983791882</v>
      </c>
      <c r="I40">
        <f t="shared" ca="1" si="3"/>
        <v>166.63649696333579</v>
      </c>
      <c r="J40">
        <f t="shared" ca="1" si="12"/>
        <v>169.4545</v>
      </c>
      <c r="K40">
        <f t="shared" ca="1" si="13"/>
        <v>1.83798939061138</v>
      </c>
      <c r="L40">
        <f t="shared" ca="1" si="14"/>
        <v>173.13047878122276</v>
      </c>
      <c r="M40">
        <f t="shared" ca="1" si="15"/>
        <v>165.77852121877723</v>
      </c>
      <c r="N40">
        <f t="shared" ca="1" si="4"/>
        <v>-9.9999999999994316E-2</v>
      </c>
      <c r="O40">
        <f t="shared" ca="1" si="5"/>
        <v>0</v>
      </c>
      <c r="P40">
        <f t="shared" ca="1" si="6"/>
        <v>9.9999999999994316E-2</v>
      </c>
      <c r="Q40">
        <f t="shared" ca="1" si="10"/>
        <v>0.61884305444071697</v>
      </c>
      <c r="R40">
        <f t="shared" ca="1" si="11"/>
        <v>0.68998874250515474</v>
      </c>
      <c r="S40">
        <f t="shared" ca="1" si="8"/>
        <v>0.89688862486925824</v>
      </c>
      <c r="T40">
        <f t="shared" ca="1" si="9"/>
        <v>47.282092006381014</v>
      </c>
      <c r="U40">
        <f>70</f>
        <v>70</v>
      </c>
      <c r="V40">
        <f>30</f>
        <v>30</v>
      </c>
      <c r="W40">
        <f t="shared" ca="1" si="7"/>
        <v>168.67267482320679</v>
      </c>
      <c r="X40">
        <f t="shared" ca="1" si="17"/>
        <v>168.63002467663802</v>
      </c>
      <c r="Y40">
        <f t="shared" ca="1" si="16"/>
        <v>-9.1548710583850834E-2</v>
      </c>
      <c r="Z40">
        <f t="shared" ca="1" si="18"/>
        <v>0.23517790489874985</v>
      </c>
      <c r="AA40">
        <f t="shared" ca="1" si="19"/>
        <v>-0.32672661548260068</v>
      </c>
    </row>
    <row r="41" spans="1:27" x14ac:dyDescent="0.25">
      <c r="A41" s="20">
        <f t="shared" ca="1" si="0"/>
        <v>45348</v>
      </c>
      <c r="B41" vm="115">
        <f ca="1"/>
        <v>45350</v>
      </c>
      <c r="C41" vm="116">
        <f ca="1"/>
        <v>167.03</v>
      </c>
      <c r="D41" vm="117">
        <f ca="1"/>
        <v>5275282</v>
      </c>
      <c r="E41">
        <f t="shared" ca="1" si="1"/>
        <v>881130352.46000004</v>
      </c>
      <c r="F41">
        <f ca="1">SUM($E$2:E41)/SUM($D$2:D41)</f>
        <v>168.77268296421749</v>
      </c>
      <c r="G41">
        <f ca="1">_xlfn.STDEV.P($C$2:C41)</f>
        <v>2.1658120734495858</v>
      </c>
      <c r="H41">
        <f t="shared" ca="1" si="2"/>
        <v>170.93849503766708</v>
      </c>
      <c r="I41">
        <f t="shared" ca="1" si="3"/>
        <v>166.60687089076791</v>
      </c>
      <c r="J41">
        <f t="shared" ca="1" si="12"/>
        <v>169.32500000000002</v>
      </c>
      <c r="K41">
        <f t="shared" ca="1" si="13"/>
        <v>1.9153301213326652</v>
      </c>
      <c r="L41">
        <f t="shared" ca="1" si="14"/>
        <v>173.15566024266533</v>
      </c>
      <c r="M41">
        <f t="shared" ca="1" si="15"/>
        <v>165.4943397573347</v>
      </c>
      <c r="N41">
        <f t="shared" ca="1" si="4"/>
        <v>-1.1299999999999955</v>
      </c>
      <c r="O41">
        <f t="shared" ca="1" si="5"/>
        <v>0</v>
      </c>
      <c r="P41">
        <f t="shared" ca="1" si="6"/>
        <v>1.1299999999999955</v>
      </c>
      <c r="Q41">
        <f t="shared" ca="1" si="10"/>
        <v>0.57463997912352294</v>
      </c>
      <c r="R41">
        <f t="shared" ca="1" si="11"/>
        <v>0.72141811804050049</v>
      </c>
      <c r="S41">
        <f t="shared" ca="1" si="8"/>
        <v>0.79654220590459668</v>
      </c>
      <c r="T41">
        <f t="shared" ca="1" si="9"/>
        <v>44.337516997187436</v>
      </c>
      <c r="U41">
        <f>70</f>
        <v>70</v>
      </c>
      <c r="V41">
        <f>30</f>
        <v>30</v>
      </c>
      <c r="W41">
        <f t="shared" ca="1" si="7"/>
        <v>168.41995561963651</v>
      </c>
      <c r="X41">
        <f t="shared" ca="1" si="17"/>
        <v>168.51150433022036</v>
      </c>
      <c r="Y41">
        <f t="shared" ca="1" si="16"/>
        <v>-0.33046178999879317</v>
      </c>
      <c r="Z41">
        <f t="shared" ca="1" si="18"/>
        <v>0.12204996591924124</v>
      </c>
      <c r="AA41">
        <f t="shared" ca="1" si="19"/>
        <v>-0.45251175591803439</v>
      </c>
    </row>
    <row r="42" spans="1:27" x14ac:dyDescent="0.25">
      <c r="A42" s="20">
        <f t="shared" ca="1" si="0"/>
        <v>45348</v>
      </c>
      <c r="B42" vm="118">
        <f ca="1"/>
        <v>45351</v>
      </c>
      <c r="C42" vm="119">
        <f ca="1"/>
        <v>165.34</v>
      </c>
      <c r="D42" vm="120">
        <f ca="1"/>
        <v>8489449</v>
      </c>
      <c r="E42">
        <f t="shared" ca="1" si="1"/>
        <v>1403645497.6600001</v>
      </c>
      <c r="F42">
        <f ca="1">SUM($E$2:E42)/SUM($D$2:D42)</f>
        <v>168.64830617331586</v>
      </c>
      <c r="G42">
        <f ca="1">_xlfn.STDEV.P($C$2:C42)</f>
        <v>2.1988530891792144</v>
      </c>
      <c r="H42">
        <f t="shared" ca="1" si="2"/>
        <v>170.84715926249507</v>
      </c>
      <c r="I42">
        <f t="shared" ca="1" si="3"/>
        <v>166.44945308413665</v>
      </c>
      <c r="J42">
        <f t="shared" ca="1" si="12"/>
        <v>169.16550000000001</v>
      </c>
      <c r="K42">
        <f t="shared" ca="1" si="13"/>
        <v>2.1081383031630412</v>
      </c>
      <c r="L42">
        <f t="shared" ca="1" si="14"/>
        <v>173.3817766063261</v>
      </c>
      <c r="M42">
        <f t="shared" ca="1" si="15"/>
        <v>164.94922339367392</v>
      </c>
      <c r="N42">
        <f t="shared" ca="1" si="4"/>
        <v>-1.6899999999999977</v>
      </c>
      <c r="O42">
        <f t="shared" ca="1" si="5"/>
        <v>0</v>
      </c>
      <c r="P42">
        <f t="shared" ca="1" si="6"/>
        <v>1.6899999999999977</v>
      </c>
      <c r="Q42">
        <f t="shared" ca="1" si="10"/>
        <v>0.53359426632898554</v>
      </c>
      <c r="R42">
        <f t="shared" ca="1" si="11"/>
        <v>0.79060253818046455</v>
      </c>
      <c r="S42">
        <f t="shared" ca="1" si="8"/>
        <v>0.67492101348046296</v>
      </c>
      <c r="T42">
        <f t="shared" ca="1" si="9"/>
        <v>40.295692038515071</v>
      </c>
      <c r="U42">
        <f>70</f>
        <v>70</v>
      </c>
      <c r="V42">
        <f>30</f>
        <v>30</v>
      </c>
      <c r="W42">
        <f t="shared" ca="1" si="7"/>
        <v>167.94611629353858</v>
      </c>
      <c r="X42">
        <f t="shared" ca="1" si="17"/>
        <v>168.27657808353737</v>
      </c>
      <c r="Y42">
        <f t="shared" ca="1" si="16"/>
        <v>-0.57370751558030975</v>
      </c>
      <c r="Z42">
        <f t="shared" ca="1" si="18"/>
        <v>-1.7101530380668972E-2</v>
      </c>
      <c r="AA42">
        <f t="shared" ca="1" si="19"/>
        <v>-0.55660598519964077</v>
      </c>
    </row>
    <row r="43" spans="1:27" x14ac:dyDescent="0.25">
      <c r="A43" s="20">
        <f t="shared" ca="1" si="0"/>
        <v>45348</v>
      </c>
      <c r="B43" vm="121">
        <f ca="1"/>
        <v>45352</v>
      </c>
      <c r="C43" vm="122">
        <f ca="1"/>
        <v>164.59</v>
      </c>
      <c r="D43" vm="123">
        <f ca="1"/>
        <v>6109856</v>
      </c>
      <c r="E43">
        <f t="shared" ca="1" si="1"/>
        <v>1005621199.04</v>
      </c>
      <c r="F43">
        <f ca="1">SUM($E$2:E43)/SUM($D$2:D43)</f>
        <v>168.54516739277901</v>
      </c>
      <c r="G43">
        <f ca="1">_xlfn.STDEV.P($C$2:C43)</f>
        <v>2.2551024030124562</v>
      </c>
      <c r="H43">
        <f t="shared" ca="1" si="2"/>
        <v>170.80026979579145</v>
      </c>
      <c r="I43">
        <f t="shared" ca="1" si="3"/>
        <v>166.29006498976656</v>
      </c>
      <c r="J43">
        <f t="shared" ca="1" si="12"/>
        <v>168.81</v>
      </c>
      <c r="K43">
        <f t="shared" ca="1" si="13"/>
        <v>2.252771392611423</v>
      </c>
      <c r="L43">
        <f t="shared" ca="1" si="14"/>
        <v>173.31554278522285</v>
      </c>
      <c r="M43">
        <f t="shared" ca="1" si="15"/>
        <v>164.30445721477716</v>
      </c>
      <c r="N43">
        <f t="shared" ca="1" si="4"/>
        <v>-0.75</v>
      </c>
      <c r="O43">
        <f t="shared" ca="1" si="5"/>
        <v>0</v>
      </c>
      <c r="P43">
        <f t="shared" ca="1" si="6"/>
        <v>0.75</v>
      </c>
      <c r="Q43">
        <f t="shared" ca="1" si="10"/>
        <v>0.49548039016262946</v>
      </c>
      <c r="R43">
        <f t="shared" ca="1" si="11"/>
        <v>0.78770235688185986</v>
      </c>
      <c r="S43">
        <f t="shared" ca="1" si="8"/>
        <v>0.62901981418971675</v>
      </c>
      <c r="T43">
        <f t="shared" ca="1" si="9"/>
        <v>38.613392465247244</v>
      </c>
      <c r="U43">
        <f>70</f>
        <v>70</v>
      </c>
      <c r="V43">
        <f>30</f>
        <v>30</v>
      </c>
      <c r="W43">
        <f t="shared" ca="1" si="7"/>
        <v>167.42979070991726</v>
      </c>
      <c r="X43">
        <f t="shared" ca="1" si="17"/>
        <v>168.00349822549757</v>
      </c>
      <c r="Y43">
        <f t="shared" ca="1" si="16"/>
        <v>-0.69552445139964902</v>
      </c>
      <c r="Z43">
        <f t="shared" ca="1" si="18"/>
        <v>-0.15278611458446498</v>
      </c>
      <c r="AA43">
        <f t="shared" ca="1" si="19"/>
        <v>-0.54273833681518402</v>
      </c>
    </row>
    <row r="44" spans="1:27" x14ac:dyDescent="0.25">
      <c r="A44" s="20">
        <f t="shared" ca="1" si="0"/>
        <v>45355</v>
      </c>
      <c r="B44" vm="124">
        <f ca="1"/>
        <v>45355</v>
      </c>
      <c r="C44" vm="125">
        <f ca="1"/>
        <v>165.37</v>
      </c>
      <c r="D44" vm="126">
        <f ca="1"/>
        <v>4303882</v>
      </c>
      <c r="E44">
        <f t="shared" ca="1" si="1"/>
        <v>711732966.34000003</v>
      </c>
      <c r="F44">
        <f ca="1">SUM($E$2:E44)/SUM($D$2:D44)</f>
        <v>168.48932459937893</v>
      </c>
      <c r="G44">
        <f ca="1">_xlfn.STDEV.P($C$2:C44)</f>
        <v>2.2769216264560463</v>
      </c>
      <c r="H44">
        <f t="shared" ca="1" si="2"/>
        <v>170.76624622583498</v>
      </c>
      <c r="I44">
        <f t="shared" ca="1" si="3"/>
        <v>166.21240297292289</v>
      </c>
      <c r="J44">
        <f t="shared" ca="1" si="12"/>
        <v>168.53</v>
      </c>
      <c r="K44">
        <f t="shared" ca="1" si="13"/>
        <v>2.3172647214924913</v>
      </c>
      <c r="L44">
        <f t="shared" ca="1" si="14"/>
        <v>173.16452944298499</v>
      </c>
      <c r="M44">
        <f t="shared" ca="1" si="15"/>
        <v>163.89547055701502</v>
      </c>
      <c r="N44">
        <f t="shared" ca="1" si="4"/>
        <v>0.78000000000000114</v>
      </c>
      <c r="O44">
        <f t="shared" ca="1" si="5"/>
        <v>0.78000000000000114</v>
      </c>
      <c r="P44">
        <f t="shared" ca="1" si="6"/>
        <v>0</v>
      </c>
      <c r="Q44">
        <f t="shared" ca="1" si="10"/>
        <v>0.51580321943672747</v>
      </c>
      <c r="R44">
        <f t="shared" ca="1" si="11"/>
        <v>0.73143790281886989</v>
      </c>
      <c r="S44">
        <f t="shared" ca="1" si="8"/>
        <v>0.70519071741960127</v>
      </c>
      <c r="T44">
        <f t="shared" ca="1" si="9"/>
        <v>41.355533443598553</v>
      </c>
      <c r="U44">
        <f>70</f>
        <v>70</v>
      </c>
      <c r="V44">
        <f>30</f>
        <v>30</v>
      </c>
      <c r="W44">
        <f t="shared" ca="1" si="7"/>
        <v>167.11289983146847</v>
      </c>
      <c r="X44">
        <f t="shared" ca="1" si="17"/>
        <v>167.80842428286812</v>
      </c>
      <c r="Y44">
        <f t="shared" ca="1" si="16"/>
        <v>-1.0486798916980149</v>
      </c>
      <c r="Z44">
        <f t="shared" ca="1" si="18"/>
        <v>-0.33196487000717501</v>
      </c>
      <c r="AA44">
        <f t="shared" ca="1" si="19"/>
        <v>-0.71671502169083989</v>
      </c>
    </row>
    <row r="45" spans="1:27" x14ac:dyDescent="0.25">
      <c r="A45" s="20">
        <f t="shared" ca="1" si="0"/>
        <v>45355</v>
      </c>
      <c r="B45" vm="127">
        <f ca="1"/>
        <v>45356</v>
      </c>
      <c r="C45" vm="128">
        <f ca="1"/>
        <v>162.04</v>
      </c>
      <c r="D45" vm="129">
        <f ca="1"/>
        <v>6631346</v>
      </c>
      <c r="E45">
        <f t="shared" ca="1" si="1"/>
        <v>1074543305.8399999</v>
      </c>
      <c r="F45">
        <f ca="1">SUM($E$2:E45)/SUM($D$2:D45)</f>
        <v>168.31916985131809</v>
      </c>
      <c r="G45">
        <f ca="1">_xlfn.STDEV.P($C$2:C45)</f>
        <v>2.4417489984614713</v>
      </c>
      <c r="H45">
        <f t="shared" ca="1" si="2"/>
        <v>170.76091884977956</v>
      </c>
      <c r="I45">
        <f t="shared" ca="1" si="3"/>
        <v>165.87742085285663</v>
      </c>
      <c r="J45">
        <f t="shared" ca="1" si="12"/>
        <v>168.08600000000004</v>
      </c>
      <c r="K45">
        <f t="shared" ca="1" si="13"/>
        <v>2.6605290332642682</v>
      </c>
      <c r="L45">
        <f t="shared" ca="1" si="14"/>
        <v>173.40705806652858</v>
      </c>
      <c r="M45">
        <f t="shared" ca="1" si="15"/>
        <v>162.7649419334715</v>
      </c>
      <c r="N45">
        <f t="shared" ca="1" si="4"/>
        <v>-3.3300000000000125</v>
      </c>
      <c r="O45">
        <f t="shared" ca="1" si="5"/>
        <v>0</v>
      </c>
      <c r="P45">
        <f t="shared" ca="1" si="6"/>
        <v>3.3300000000000125</v>
      </c>
      <c r="Q45">
        <f t="shared" ca="1" si="10"/>
        <v>0.47896013233410406</v>
      </c>
      <c r="R45">
        <f t="shared" ca="1" si="11"/>
        <v>0.91704948118895147</v>
      </c>
      <c r="S45">
        <f t="shared" ca="1" si="8"/>
        <v>0.52228384853686838</v>
      </c>
      <c r="T45">
        <f t="shared" ca="1" si="9"/>
        <v>34.309228797169297</v>
      </c>
      <c r="U45">
        <f>70</f>
        <v>70</v>
      </c>
      <c r="V45">
        <f>30</f>
        <v>30</v>
      </c>
      <c r="W45">
        <f t="shared" ca="1" si="7"/>
        <v>166.33245370355024</v>
      </c>
      <c r="X45">
        <f t="shared" ca="1" si="17"/>
        <v>167.38113359524826</v>
      </c>
      <c r="Y45">
        <f t="shared" ca="1" si="16"/>
        <v>-1.2368366623967688</v>
      </c>
      <c r="Z45">
        <f t="shared" ca="1" si="18"/>
        <v>-0.51293922848509377</v>
      </c>
      <c r="AA45">
        <f t="shared" ca="1" si="19"/>
        <v>-0.72389743391167505</v>
      </c>
    </row>
    <row r="46" spans="1:27" x14ac:dyDescent="0.25">
      <c r="A46" s="20">
        <f t="shared" ca="1" si="0"/>
        <v>45355</v>
      </c>
      <c r="B46" vm="130">
        <f ca="1"/>
        <v>45357</v>
      </c>
      <c r="C46" vm="131">
        <f ca="1"/>
        <v>163</v>
      </c>
      <c r="D46" vm="132">
        <f ca="1"/>
        <v>5302463</v>
      </c>
      <c r="E46">
        <f t="shared" ca="1" si="1"/>
        <v>864301469</v>
      </c>
      <c r="F46">
        <f ca="1">SUM($E$2:E46)/SUM($D$2:D46)</f>
        <v>168.20927357911734</v>
      </c>
      <c r="G46">
        <f ca="1">_xlfn.STDEV.P($C$2:C46)</f>
        <v>2.535261391057666</v>
      </c>
      <c r="H46">
        <f t="shared" ca="1" si="2"/>
        <v>170.74453497017501</v>
      </c>
      <c r="I46">
        <f t="shared" ca="1" si="3"/>
        <v>165.67401218805966</v>
      </c>
      <c r="J46">
        <f t="shared" ca="1" si="12"/>
        <v>167.66500000000002</v>
      </c>
      <c r="K46">
        <f t="shared" ca="1" si="13"/>
        <v>2.7691619480876963</v>
      </c>
      <c r="L46">
        <f t="shared" ca="1" si="14"/>
        <v>173.20332389617542</v>
      </c>
      <c r="M46">
        <f t="shared" ca="1" si="15"/>
        <v>162.12667610382462</v>
      </c>
      <c r="N46">
        <f t="shared" ca="1" si="4"/>
        <v>0.96000000000000796</v>
      </c>
      <c r="O46">
        <f t="shared" ca="1" si="5"/>
        <v>0.96000000000000796</v>
      </c>
      <c r="P46">
        <f t="shared" ca="1" si="6"/>
        <v>0</v>
      </c>
      <c r="Q46">
        <f t="shared" ca="1" si="10"/>
        <v>0.51332012288166862</v>
      </c>
      <c r="R46">
        <f t="shared" ca="1" si="11"/>
        <v>0.85154594681831208</v>
      </c>
      <c r="S46">
        <f t="shared" ca="1" si="8"/>
        <v>0.60280966024161209</v>
      </c>
      <c r="T46">
        <f t="shared" ca="1" si="9"/>
        <v>37.609559961770067</v>
      </c>
      <c r="U46">
        <f>70</f>
        <v>70</v>
      </c>
      <c r="V46">
        <f>30</f>
        <v>30</v>
      </c>
      <c r="W46">
        <f t="shared" ca="1" si="7"/>
        <v>165.81976851838866</v>
      </c>
      <c r="X46">
        <f t="shared" ca="1" si="17"/>
        <v>167.05660518078543</v>
      </c>
      <c r="Y46">
        <f t="shared" ca="1" si="16"/>
        <v>-1.3613830022616185</v>
      </c>
      <c r="Z46">
        <f t="shared" ca="1" si="18"/>
        <v>-0.68262798324039875</v>
      </c>
      <c r="AA46">
        <f t="shared" ca="1" si="19"/>
        <v>-0.67875501902121971</v>
      </c>
    </row>
    <row r="47" spans="1:27" x14ac:dyDescent="0.25">
      <c r="A47" s="20">
        <f t="shared" ca="1" si="0"/>
        <v>45355</v>
      </c>
      <c r="B47" vm="133">
        <f ca="1"/>
        <v>45358</v>
      </c>
      <c r="C47" vm="134">
        <f ca="1"/>
        <v>163.11000000000001</v>
      </c>
      <c r="D47" vm="135">
        <f ca="1"/>
        <v>5801610</v>
      </c>
      <c r="E47">
        <f t="shared" ca="1" si="1"/>
        <v>946300607.10000002</v>
      </c>
      <c r="F47">
        <f ca="1">SUM($E$2:E47)/SUM($D$2:D47)</f>
        <v>168.09655116879406</v>
      </c>
      <c r="G47">
        <f ca="1">_xlfn.STDEV.P($C$2:C47)</f>
        <v>2.612193813969232</v>
      </c>
      <c r="H47">
        <f t="shared" ca="1" si="2"/>
        <v>170.70874498276331</v>
      </c>
      <c r="I47">
        <f t="shared" ca="1" si="3"/>
        <v>165.48435735482482</v>
      </c>
      <c r="J47">
        <f t="shared" ca="1" si="12"/>
        <v>167.24700000000001</v>
      </c>
      <c r="K47">
        <f t="shared" ca="1" si="13"/>
        <v>2.795413725146394</v>
      </c>
      <c r="L47">
        <f t="shared" ca="1" si="14"/>
        <v>172.83782745029279</v>
      </c>
      <c r="M47">
        <f t="shared" ca="1" si="15"/>
        <v>161.65617254970724</v>
      </c>
      <c r="N47">
        <f t="shared" ca="1" si="4"/>
        <v>0.11000000000001364</v>
      </c>
      <c r="O47">
        <f t="shared" ca="1" si="5"/>
        <v>0.11000000000001364</v>
      </c>
      <c r="P47">
        <f t="shared" ca="1" si="6"/>
        <v>0</v>
      </c>
      <c r="Q47">
        <f t="shared" ca="1" si="10"/>
        <v>0.48451154267583613</v>
      </c>
      <c r="R47">
        <f t="shared" ca="1" si="11"/>
        <v>0.79072123633128988</v>
      </c>
      <c r="S47">
        <f t="shared" ca="1" si="8"/>
        <v>0.61274633892953834</v>
      </c>
      <c r="T47">
        <f t="shared" ca="1" si="9"/>
        <v>37.993968681785951</v>
      </c>
      <c r="U47">
        <f>70</f>
        <v>70</v>
      </c>
      <c r="V47">
        <f>30</f>
        <v>30</v>
      </c>
      <c r="W47">
        <f t="shared" ca="1" si="7"/>
        <v>165.40288105402118</v>
      </c>
      <c r="X47">
        <f t="shared" ca="1" si="17"/>
        <v>166.7642640562828</v>
      </c>
      <c r="Y47">
        <f t="shared" ca="1" si="16"/>
        <v>-1.4482340320445246</v>
      </c>
      <c r="Z47">
        <f t="shared" ca="1" si="18"/>
        <v>-0.83574919300122397</v>
      </c>
      <c r="AA47">
        <f t="shared" ca="1" si="19"/>
        <v>-0.61248483904330064</v>
      </c>
    </row>
    <row r="48" spans="1:27" x14ac:dyDescent="0.25">
      <c r="A48" s="20">
        <f t="shared" ca="1" si="0"/>
        <v>45355</v>
      </c>
      <c r="B48" vm="136">
        <f ca="1"/>
        <v>45359</v>
      </c>
      <c r="C48" vm="137">
        <f ca="1"/>
        <v>163.05000000000001</v>
      </c>
      <c r="D48" vm="138">
        <f ca="1"/>
        <v>6065294</v>
      </c>
      <c r="E48">
        <f t="shared" ca="1" si="1"/>
        <v>988946186.70000005</v>
      </c>
      <c r="F48">
        <f ca="1">SUM($E$2:E48)/SUM($D$2:D48)</f>
        <v>167.98255834526131</v>
      </c>
      <c r="G48">
        <f ca="1">_xlfn.STDEV.P($C$2:C48)</f>
        <v>2.6819290807899061</v>
      </c>
      <c r="H48">
        <f t="shared" ca="1" si="2"/>
        <v>170.66448742605121</v>
      </c>
      <c r="I48">
        <f t="shared" ca="1" si="3"/>
        <v>165.30062926447141</v>
      </c>
      <c r="J48">
        <f t="shared" ca="1" si="12"/>
        <v>166.70700000000002</v>
      </c>
      <c r="K48">
        <f t="shared" ca="1" si="13"/>
        <v>2.4778558218113114</v>
      </c>
      <c r="L48">
        <f t="shared" ca="1" si="14"/>
        <v>171.66271164362266</v>
      </c>
      <c r="M48">
        <f t="shared" ca="1" si="15"/>
        <v>161.75128835637739</v>
      </c>
      <c r="N48">
        <f t="shared" ca="1" si="4"/>
        <v>-6.0000000000002274E-2</v>
      </c>
      <c r="O48">
        <f t="shared" ca="1" si="5"/>
        <v>0</v>
      </c>
      <c r="P48">
        <f t="shared" ca="1" si="6"/>
        <v>6.0000000000002274E-2</v>
      </c>
      <c r="Q48">
        <f t="shared" ca="1" si="10"/>
        <v>0.44990357534184783</v>
      </c>
      <c r="R48">
        <f t="shared" ca="1" si="11"/>
        <v>0.73852686230762643</v>
      </c>
      <c r="S48">
        <f t="shared" ca="1" si="8"/>
        <v>0.60919053632804043</v>
      </c>
      <c r="T48">
        <f t="shared" ca="1" si="9"/>
        <v>37.856954945691676</v>
      </c>
      <c r="U48">
        <f>70</f>
        <v>70</v>
      </c>
      <c r="V48">
        <f>30</f>
        <v>30</v>
      </c>
      <c r="W48">
        <f t="shared" ca="1" si="7"/>
        <v>165.04089935340252</v>
      </c>
      <c r="X48">
        <f t="shared" ca="1" si="17"/>
        <v>166.48913338544705</v>
      </c>
      <c r="Y48">
        <f t="shared" ca="1" si="16"/>
        <v>-1.3657585250989825</v>
      </c>
      <c r="Z48">
        <f t="shared" ca="1" si="18"/>
        <v>-0.94175105942077564</v>
      </c>
      <c r="AA48">
        <f t="shared" ca="1" si="19"/>
        <v>-0.42400746567820691</v>
      </c>
    </row>
    <row r="49" spans="1:27" x14ac:dyDescent="0.25">
      <c r="A49" s="20">
        <f t="shared" ca="1" si="0"/>
        <v>45362</v>
      </c>
      <c r="B49" vm="139">
        <f ca="1"/>
        <v>45362</v>
      </c>
      <c r="C49" vm="140">
        <f ca="1"/>
        <v>164.73</v>
      </c>
      <c r="D49" vm="141">
        <f ca="1"/>
        <v>5404790</v>
      </c>
      <c r="E49">
        <f t="shared" ca="1" si="1"/>
        <v>890331056.69999993</v>
      </c>
      <c r="F49">
        <f ca="1">SUM($E$2:E49)/SUM($D$2:D49)</f>
        <v>167.91838125184714</v>
      </c>
      <c r="G49">
        <f ca="1">_xlfn.STDEV.P($C$2:C49)</f>
        <v>2.6925328521156824</v>
      </c>
      <c r="H49">
        <f t="shared" ca="1" si="2"/>
        <v>170.61091410396281</v>
      </c>
      <c r="I49">
        <f t="shared" ca="1" si="3"/>
        <v>165.22584839973146</v>
      </c>
      <c r="J49">
        <f t="shared" ca="1" si="12"/>
        <v>166.56</v>
      </c>
      <c r="K49">
        <f t="shared" ca="1" si="13"/>
        <v>2.5047806921544002</v>
      </c>
      <c r="L49">
        <f t="shared" ca="1" si="14"/>
        <v>171.5695613843088</v>
      </c>
      <c r="M49">
        <f t="shared" ca="1" si="15"/>
        <v>161.55043861569121</v>
      </c>
      <c r="N49">
        <f t="shared" ca="1" si="4"/>
        <v>1.6799999999999784</v>
      </c>
      <c r="O49">
        <f t="shared" ca="1" si="5"/>
        <v>1.6799999999999784</v>
      </c>
      <c r="P49">
        <f t="shared" ca="1" si="6"/>
        <v>0</v>
      </c>
      <c r="Q49">
        <f t="shared" ca="1" si="10"/>
        <v>0.53776760567457138</v>
      </c>
      <c r="R49">
        <f t="shared" ca="1" si="11"/>
        <v>0.68577494357136737</v>
      </c>
      <c r="S49">
        <f t="shared" ca="1" si="8"/>
        <v>0.78417505730669335</v>
      </c>
      <c r="T49">
        <f t="shared" ca="1" si="9"/>
        <v>43.951688153876958</v>
      </c>
      <c r="U49">
        <f>70</f>
        <v>70</v>
      </c>
      <c r="V49">
        <f>30</f>
        <v>30</v>
      </c>
      <c r="W49">
        <f t="shared" ca="1" si="7"/>
        <v>164.99306868364829</v>
      </c>
      <c r="X49">
        <f t="shared" ca="1" si="17"/>
        <v>166.35882720874727</v>
      </c>
      <c r="Y49">
        <f t="shared" ca="1" si="16"/>
        <v>-1.300733458117719</v>
      </c>
      <c r="Z49">
        <f t="shared" ca="1" si="18"/>
        <v>-1.0135475391601643</v>
      </c>
      <c r="AA49">
        <f t="shared" ca="1" si="19"/>
        <v>-0.28718591895755474</v>
      </c>
    </row>
    <row r="50" spans="1:27" x14ac:dyDescent="0.25">
      <c r="A50" s="20">
        <f t="shared" ca="1" si="0"/>
        <v>45362</v>
      </c>
      <c r="B50" vm="142">
        <f ca="1"/>
        <v>45363</v>
      </c>
      <c r="C50" vm="143">
        <f ca="1"/>
        <v>164.54</v>
      </c>
      <c r="D50" vm="144">
        <f ca="1"/>
        <v>6158507</v>
      </c>
      <c r="E50">
        <f t="shared" ca="1" si="1"/>
        <v>1013320741.78</v>
      </c>
      <c r="F50">
        <f ca="1">SUM($E$2:E50)/SUM($D$2:D50)</f>
        <v>167.8440957289377</v>
      </c>
      <c r="G50">
        <f ca="1">_xlfn.STDEV.P($C$2:C50)</f>
        <v>2.7056486333743135</v>
      </c>
      <c r="H50">
        <f t="shared" ca="1" si="2"/>
        <v>170.54974436231203</v>
      </c>
      <c r="I50">
        <f t="shared" ca="1" si="3"/>
        <v>165.13844709556338</v>
      </c>
      <c r="J50">
        <f t="shared" ca="1" si="12"/>
        <v>166.25650000000002</v>
      </c>
      <c r="K50">
        <f t="shared" ca="1" si="13"/>
        <v>2.3512623149457843</v>
      </c>
      <c r="L50">
        <f t="shared" ca="1" si="14"/>
        <v>170.95902462989159</v>
      </c>
      <c r="M50">
        <f t="shared" ca="1" si="15"/>
        <v>161.55397537010845</v>
      </c>
      <c r="N50">
        <f t="shared" ca="1" si="4"/>
        <v>-0.18999999999999773</v>
      </c>
      <c r="O50">
        <f t="shared" ca="1" si="5"/>
        <v>0</v>
      </c>
      <c r="P50">
        <f t="shared" ca="1" si="6"/>
        <v>0.18999999999999773</v>
      </c>
      <c r="Q50">
        <f t="shared" ca="1" si="10"/>
        <v>0.49935563384067339</v>
      </c>
      <c r="R50">
        <f t="shared" ca="1" si="11"/>
        <v>0.65036244760198392</v>
      </c>
      <c r="S50">
        <f t="shared" ca="1" si="8"/>
        <v>0.76781129611941346</v>
      </c>
      <c r="T50">
        <f t="shared" ca="1" si="9"/>
        <v>43.432876450380412</v>
      </c>
      <c r="U50">
        <f>70</f>
        <v>70</v>
      </c>
      <c r="V50">
        <f>30</f>
        <v>30</v>
      </c>
      <c r="W50">
        <f t="shared" ca="1" si="7"/>
        <v>164.92336580924086</v>
      </c>
      <c r="X50">
        <f t="shared" ca="1" si="17"/>
        <v>166.22409926735858</v>
      </c>
      <c r="Y50">
        <f t="shared" ca="1" si="16"/>
        <v>-1.1743379388803419</v>
      </c>
      <c r="Z50">
        <f t="shared" ca="1" si="18"/>
        <v>-1.0457056191041998</v>
      </c>
      <c r="AA50">
        <f t="shared" ca="1" si="19"/>
        <v>-0.12863231977614209</v>
      </c>
    </row>
    <row r="51" spans="1:27" x14ac:dyDescent="0.25">
      <c r="A51" s="20">
        <f t="shared" ca="1" si="0"/>
        <v>45362</v>
      </c>
      <c r="B51" vm="145">
        <f ca="1"/>
        <v>45364</v>
      </c>
      <c r="C51" vm="146">
        <f ca="1"/>
        <v>165.3</v>
      </c>
      <c r="D51" vm="147">
        <f ca="1"/>
        <v>4585789</v>
      </c>
      <c r="E51">
        <f t="shared" ca="1" si="1"/>
        <v>758030921.70000005</v>
      </c>
      <c r="F51">
        <f ca="1">SUM($E$2:E51)/SUM($D$2:D51)</f>
        <v>167.8031117245157</v>
      </c>
      <c r="G51">
        <f ca="1">_xlfn.STDEV.P($C$2:C51)</f>
        <v>2.7008723331546034</v>
      </c>
      <c r="H51">
        <f t="shared" ca="1" si="2"/>
        <v>170.50398405767029</v>
      </c>
      <c r="I51">
        <f t="shared" ca="1" si="3"/>
        <v>165.10223939136111</v>
      </c>
      <c r="J51">
        <f t="shared" ca="1" si="12"/>
        <v>166.07750000000001</v>
      </c>
      <c r="K51">
        <f t="shared" ca="1" si="13"/>
        <v>2.2760951672824041</v>
      </c>
      <c r="L51">
        <f t="shared" ca="1" si="14"/>
        <v>170.62969033456483</v>
      </c>
      <c r="M51">
        <f t="shared" ca="1" si="15"/>
        <v>161.5253096654352</v>
      </c>
      <c r="N51">
        <f t="shared" ca="1" si="4"/>
        <v>0.76000000000001933</v>
      </c>
      <c r="O51">
        <f t="shared" ca="1" si="5"/>
        <v>0.76000000000001933</v>
      </c>
      <c r="P51">
        <f t="shared" ca="1" si="6"/>
        <v>0</v>
      </c>
      <c r="Q51">
        <f t="shared" ca="1" si="10"/>
        <v>0.51797308856634094</v>
      </c>
      <c r="R51">
        <f t="shared" ca="1" si="11"/>
        <v>0.60390798705898507</v>
      </c>
      <c r="S51">
        <f t="shared" ca="1" si="8"/>
        <v>0.85770200041376388</v>
      </c>
      <c r="T51">
        <f t="shared" ca="1" si="9"/>
        <v>46.170053120615087</v>
      </c>
      <c r="U51">
        <f>70</f>
        <v>70</v>
      </c>
      <c r="V51">
        <f>30</f>
        <v>30</v>
      </c>
      <c r="W51">
        <f t="shared" ca="1" si="7"/>
        <v>164.98130953089611</v>
      </c>
      <c r="X51">
        <f t="shared" ca="1" si="17"/>
        <v>166.15564746977645</v>
      </c>
      <c r="Y51">
        <f t="shared" ca="1" si="16"/>
        <v>-1.103408823365271</v>
      </c>
      <c r="Z51">
        <f t="shared" ca="1" si="18"/>
        <v>-1.0572462599564141</v>
      </c>
      <c r="AA51">
        <f t="shared" ca="1" si="19"/>
        <v>-4.6162563408856938E-2</v>
      </c>
    </row>
    <row r="52" spans="1:27" x14ac:dyDescent="0.25">
      <c r="A52" s="20">
        <f t="shared" ca="1" si="0"/>
        <v>45362</v>
      </c>
      <c r="B52" vm="148">
        <f ca="1"/>
        <v>45365</v>
      </c>
      <c r="C52" vm="149">
        <f ca="1"/>
        <v>164.78</v>
      </c>
      <c r="D52" vm="150">
        <f ca="1"/>
        <v>5155326</v>
      </c>
      <c r="E52">
        <f t="shared" ca="1" si="1"/>
        <v>849494618.27999997</v>
      </c>
      <c r="F52">
        <f ca="1">SUM($E$2:E52)/SUM($D$2:D52)</f>
        <v>167.74933647683014</v>
      </c>
      <c r="G52">
        <f ca="1">_xlfn.STDEV.P($C$2:C52)</f>
        <v>2.7053761248543502</v>
      </c>
      <c r="H52">
        <f t="shared" ca="1" si="2"/>
        <v>170.45471260168449</v>
      </c>
      <c r="I52">
        <f t="shared" ca="1" si="3"/>
        <v>165.04396035197578</v>
      </c>
      <c r="J52">
        <f t="shared" ca="1" si="12"/>
        <v>165.94050000000001</v>
      </c>
      <c r="K52">
        <f t="shared" ca="1" si="13"/>
        <v>2.2671439835408034</v>
      </c>
      <c r="L52">
        <f t="shared" ca="1" si="14"/>
        <v>170.47478796708162</v>
      </c>
      <c r="M52">
        <f t="shared" ca="1" si="15"/>
        <v>161.4062120329184</v>
      </c>
      <c r="N52">
        <f t="shared" ca="1" si="4"/>
        <v>-0.52000000000001023</v>
      </c>
      <c r="O52">
        <f t="shared" ca="1" si="5"/>
        <v>0</v>
      </c>
      <c r="P52">
        <f t="shared" ca="1" si="6"/>
        <v>0.52000000000001023</v>
      </c>
      <c r="Q52">
        <f t="shared" ca="1" si="10"/>
        <v>0.48097501081160232</v>
      </c>
      <c r="R52">
        <f t="shared" ca="1" si="11"/>
        <v>0.5979145594119154</v>
      </c>
      <c r="S52">
        <f t="shared" ca="1" si="8"/>
        <v>0.80442097159278059</v>
      </c>
      <c r="T52">
        <f t="shared" ca="1" si="9"/>
        <v>44.580559872495279</v>
      </c>
      <c r="U52">
        <f>70</f>
        <v>70</v>
      </c>
      <c r="V52">
        <f>30</f>
        <v>30</v>
      </c>
      <c r="W52">
        <f t="shared" ca="1" si="7"/>
        <v>164.95033883383516</v>
      </c>
      <c r="X52">
        <f t="shared" ca="1" si="17"/>
        <v>166.05374765720043</v>
      </c>
      <c r="Y52">
        <f t="shared" ca="1" si="16"/>
        <v>-1.0448357690629564</v>
      </c>
      <c r="Z52">
        <f t="shared" ca="1" si="18"/>
        <v>-1.0547641617777226</v>
      </c>
      <c r="AA52">
        <f t="shared" ca="1" si="19"/>
        <v>9.9283927147661988E-3</v>
      </c>
    </row>
    <row r="53" spans="1:27" x14ac:dyDescent="0.25">
      <c r="A53" s="20">
        <f t="shared" ca="1" si="0"/>
        <v>45362</v>
      </c>
      <c r="B53" vm="151">
        <f ca="1"/>
        <v>45366</v>
      </c>
      <c r="C53" vm="152">
        <f ca="1"/>
        <v>164.66</v>
      </c>
      <c r="D53" vm="153">
        <f ca="1"/>
        <v>21887267</v>
      </c>
      <c r="E53">
        <f t="shared" ca="1" si="1"/>
        <v>3603957384.2199998</v>
      </c>
      <c r="F53">
        <f ca="1">SUM($E$2:E53)/SUM($D$2:D53)</f>
        <v>167.53241116498856</v>
      </c>
      <c r="G53">
        <f ca="1">_xlfn.STDEV.P($C$2:C53)</f>
        <v>2.7110007377350511</v>
      </c>
      <c r="H53">
        <f t="shared" ca="1" si="2"/>
        <v>170.24341190272361</v>
      </c>
      <c r="I53">
        <f t="shared" ca="1" si="3"/>
        <v>164.82141042725351</v>
      </c>
      <c r="J53">
        <f t="shared" ca="1" si="12"/>
        <v>165.78050000000002</v>
      </c>
      <c r="K53">
        <f t="shared" ca="1" si="13"/>
        <v>2.2372691883304139</v>
      </c>
      <c r="L53">
        <f t="shared" ca="1" si="14"/>
        <v>170.25503837666085</v>
      </c>
      <c r="M53">
        <f t="shared" ca="1" si="15"/>
        <v>161.30596162333919</v>
      </c>
      <c r="N53">
        <f t="shared" ca="1" si="4"/>
        <v>-0.12000000000000455</v>
      </c>
      <c r="O53">
        <f t="shared" ca="1" si="5"/>
        <v>0</v>
      </c>
      <c r="P53">
        <f t="shared" ca="1" si="6"/>
        <v>0.12000000000000455</v>
      </c>
      <c r="Q53">
        <f t="shared" ca="1" si="10"/>
        <v>0.44661965289648792</v>
      </c>
      <c r="R53">
        <f t="shared" ca="1" si="11"/>
        <v>0.56377780516820752</v>
      </c>
      <c r="S53">
        <f t="shared" ca="1" si="8"/>
        <v>0.79219091067842839</v>
      </c>
      <c r="T53">
        <f t="shared" ca="1" si="9"/>
        <v>44.202372970329762</v>
      </c>
      <c r="U53">
        <f>70</f>
        <v>70</v>
      </c>
      <c r="V53">
        <f>30</f>
        <v>30</v>
      </c>
      <c r="W53">
        <f t="shared" ca="1" si="7"/>
        <v>164.90567132093744</v>
      </c>
      <c r="X53">
        <f t="shared" ca="1" si="17"/>
        <v>165.9505070900004</v>
      </c>
      <c r="Y53">
        <f t="shared" ca="1" si="16"/>
        <v>-0.46054251262594903</v>
      </c>
      <c r="Z53">
        <f t="shared" ca="1" si="18"/>
        <v>-0.93591983194736783</v>
      </c>
      <c r="AA53">
        <f t="shared" ca="1" si="19"/>
        <v>0.4753773193214188</v>
      </c>
    </row>
    <row r="54" spans="1:27" x14ac:dyDescent="0.25">
      <c r="A54" s="20">
        <f t="shared" ca="1" si="0"/>
        <v>45369</v>
      </c>
      <c r="B54" vm="154">
        <f ca="1"/>
        <v>45369</v>
      </c>
      <c r="C54" vm="155">
        <f ca="1"/>
        <v>171.26</v>
      </c>
      <c r="D54" vm="156">
        <f ca="1"/>
        <v>10478533</v>
      </c>
      <c r="E54">
        <f t="shared" ca="1" si="1"/>
        <v>1794553561.5799999</v>
      </c>
      <c r="F54">
        <f ca="1">SUM($E$2:E54)/SUM($D$2:D54)</f>
        <v>167.65364462177263</v>
      </c>
      <c r="G54">
        <f ca="1">_xlfn.STDEV.P($C$2:C54)</f>
        <v>2.7307150396885937</v>
      </c>
      <c r="H54">
        <f t="shared" ca="1" si="2"/>
        <v>170.38435966146122</v>
      </c>
      <c r="I54">
        <f t="shared" ca="1" si="3"/>
        <v>164.92292958208404</v>
      </c>
      <c r="J54">
        <f t="shared" ca="1" si="12"/>
        <v>166.0275</v>
      </c>
      <c r="K54">
        <f t="shared" ca="1" si="13"/>
        <v>2.5507044950469315</v>
      </c>
      <c r="L54">
        <f t="shared" ca="1" si="14"/>
        <v>171.12890899009386</v>
      </c>
      <c r="M54">
        <f t="shared" ca="1" si="15"/>
        <v>160.92609100990614</v>
      </c>
      <c r="N54">
        <f t="shared" ca="1" si="4"/>
        <v>6.5999999999999943</v>
      </c>
      <c r="O54">
        <f t="shared" ca="1" si="5"/>
        <v>6.5999999999999943</v>
      </c>
      <c r="P54">
        <f t="shared" ca="1" si="6"/>
        <v>0</v>
      </c>
      <c r="Q54">
        <f t="shared" ca="1" si="10"/>
        <v>0.88614682054673843</v>
      </c>
      <c r="R54">
        <f t="shared" ca="1" si="11"/>
        <v>0.52350796194190696</v>
      </c>
      <c r="S54">
        <f t="shared" ca="1" si="8"/>
        <v>1.6927093472650432</v>
      </c>
      <c r="T54">
        <f t="shared" ca="1" si="9"/>
        <v>62.862683229599604</v>
      </c>
      <c r="U54">
        <f>70</f>
        <v>70</v>
      </c>
      <c r="V54">
        <f>30</f>
        <v>30</v>
      </c>
      <c r="W54">
        <f t="shared" ca="1" si="7"/>
        <v>165.88326034848552</v>
      </c>
      <c r="X54">
        <f t="shared" ca="1" si="17"/>
        <v>166.34380286111147</v>
      </c>
      <c r="Y54">
        <f t="shared" ca="1" si="16"/>
        <v>4.5562375039793324E-2</v>
      </c>
      <c r="Z54">
        <f t="shared" ca="1" si="18"/>
        <v>-0.73962339054993564</v>
      </c>
      <c r="AA54">
        <f t="shared" ca="1" si="19"/>
        <v>0.78518576558972897</v>
      </c>
    </row>
    <row r="55" spans="1:27" x14ac:dyDescent="0.25">
      <c r="A55" s="20">
        <f t="shared" ca="1" si="0"/>
        <v>45369</v>
      </c>
      <c r="B55" vm="157">
        <f ca="1"/>
        <v>45370</v>
      </c>
      <c r="C55" vm="158">
        <f ca="1"/>
        <v>171.8</v>
      </c>
      <c r="D55" vm="159">
        <f ca="1"/>
        <v>7653926</v>
      </c>
      <c r="E55">
        <f t="shared" ca="1" si="1"/>
        <v>1314944486.8000002</v>
      </c>
      <c r="F55">
        <f ca="1">SUM($E$2:E55)/SUM($D$2:D55)</f>
        <v>167.74986082322016</v>
      </c>
      <c r="G55">
        <f ca="1">_xlfn.STDEV.P($C$2:C55)</f>
        <v>2.761642694189522</v>
      </c>
      <c r="H55">
        <f t="shared" ca="1" si="2"/>
        <v>170.51150351740969</v>
      </c>
      <c r="I55">
        <f t="shared" ca="1" si="3"/>
        <v>164.98821812903063</v>
      </c>
      <c r="J55">
        <f t="shared" ca="1" si="12"/>
        <v>166.18500000000003</v>
      </c>
      <c r="K55">
        <f t="shared" ca="1" si="13"/>
        <v>2.8056700109824595</v>
      </c>
      <c r="L55">
        <f t="shared" ca="1" si="14"/>
        <v>171.79634002196494</v>
      </c>
      <c r="M55">
        <f t="shared" ca="1" si="15"/>
        <v>160.57365997803512</v>
      </c>
      <c r="N55">
        <f t="shared" ca="1" si="4"/>
        <v>0.54000000000002046</v>
      </c>
      <c r="O55">
        <f t="shared" ca="1" si="5"/>
        <v>0.54000000000002046</v>
      </c>
      <c r="P55">
        <f t="shared" ca="1" si="6"/>
        <v>0</v>
      </c>
      <c r="Q55">
        <f t="shared" ca="1" si="10"/>
        <v>0.86142204765054431</v>
      </c>
      <c r="R55">
        <f t="shared" ca="1" si="11"/>
        <v>0.48611453608891358</v>
      </c>
      <c r="S55">
        <f t="shared" ca="1" si="8"/>
        <v>1.7720557269922586</v>
      </c>
      <c r="T55">
        <f t="shared" ca="1" si="9"/>
        <v>63.925689146046786</v>
      </c>
      <c r="U55">
        <f>70</f>
        <v>70</v>
      </c>
      <c r="V55">
        <f>30</f>
        <v>30</v>
      </c>
      <c r="W55">
        <f t="shared" ca="1" si="7"/>
        <v>166.79352798718006</v>
      </c>
      <c r="X55">
        <f t="shared" ca="1" si="17"/>
        <v>166.74796561214026</v>
      </c>
      <c r="Y55">
        <f t="shared" ca="1" si="16"/>
        <v>0.44635039386577091</v>
      </c>
      <c r="Z55">
        <f t="shared" ca="1" si="18"/>
        <v>-0.50242863366679436</v>
      </c>
      <c r="AA55">
        <f t="shared" ca="1" si="19"/>
        <v>0.94877902753256527</v>
      </c>
    </row>
    <row r="56" spans="1:27" x14ac:dyDescent="0.25">
      <c r="A56" s="20">
        <f t="shared" ca="1" si="0"/>
        <v>45369</v>
      </c>
      <c r="B56" vm="160">
        <f ca="1"/>
        <v>45371</v>
      </c>
      <c r="C56" vm="161">
        <f ca="1"/>
        <v>171.86</v>
      </c>
      <c r="D56" vm="162">
        <f ca="1"/>
        <v>5046920</v>
      </c>
      <c r="E56">
        <f t="shared" ca="1" si="1"/>
        <v>867363671.20000005</v>
      </c>
      <c r="F56">
        <f ca="1">SUM($E$2:E56)/SUM($D$2:D56)</f>
        <v>167.81180286263202</v>
      </c>
      <c r="G56">
        <f ca="1">_xlfn.STDEV.P($C$2:C56)</f>
        <v>2.7907137035544518</v>
      </c>
      <c r="H56">
        <f t="shared" ca="1" si="2"/>
        <v>170.60251656618647</v>
      </c>
      <c r="I56">
        <f t="shared" ca="1" si="3"/>
        <v>165.02108915907758</v>
      </c>
      <c r="J56">
        <f t="shared" ca="1" si="12"/>
        <v>166.3365</v>
      </c>
      <c r="K56">
        <f t="shared" ca="1" si="13"/>
        <v>3.0289346311863521</v>
      </c>
      <c r="L56">
        <f t="shared" ca="1" si="14"/>
        <v>172.39436926237269</v>
      </c>
      <c r="M56">
        <f t="shared" ca="1" si="15"/>
        <v>160.27863073762731</v>
      </c>
      <c r="N56">
        <f t="shared" ca="1" si="4"/>
        <v>6.0000000000002274E-2</v>
      </c>
      <c r="O56">
        <f t="shared" ca="1" si="5"/>
        <v>6.0000000000002274E-2</v>
      </c>
      <c r="P56">
        <f t="shared" ca="1" si="6"/>
        <v>0</v>
      </c>
      <c r="Q56">
        <f t="shared" ca="1" si="10"/>
        <v>0.80417761567550561</v>
      </c>
      <c r="R56">
        <f t="shared" ca="1" si="11"/>
        <v>0.45139206922541975</v>
      </c>
      <c r="S56">
        <f t="shared" ca="1" si="8"/>
        <v>1.7815501655920964</v>
      </c>
      <c r="T56">
        <f t="shared" ca="1" si="9"/>
        <v>64.048823840387783</v>
      </c>
      <c r="U56">
        <f>70</f>
        <v>70</v>
      </c>
      <c r="V56">
        <f>30</f>
        <v>30</v>
      </c>
      <c r="W56">
        <f t="shared" ca="1" si="7"/>
        <v>167.57298521992158</v>
      </c>
      <c r="X56">
        <f t="shared" ca="1" si="17"/>
        <v>167.12663482605581</v>
      </c>
      <c r="Y56">
        <f t="shared" ca="1" si="16"/>
        <v>0.80233701381362721</v>
      </c>
      <c r="Z56">
        <f t="shared" ca="1" si="18"/>
        <v>-0.24147550417071004</v>
      </c>
      <c r="AA56">
        <f t="shared" ca="1" si="19"/>
        <v>1.0438125179843372</v>
      </c>
    </row>
    <row r="57" spans="1:27" x14ac:dyDescent="0.25">
      <c r="A57" s="20">
        <f t="shared" ca="1" si="0"/>
        <v>45369</v>
      </c>
      <c r="B57" vm="163">
        <f ca="1"/>
        <v>45372</v>
      </c>
      <c r="C57" vm="164">
        <f ca="1"/>
        <v>172.45</v>
      </c>
      <c r="D57" vm="165">
        <f ca="1"/>
        <v>4343007</v>
      </c>
      <c r="E57">
        <f t="shared" ca="1" si="1"/>
        <v>748951557.14999998</v>
      </c>
      <c r="F57">
        <f ca="1">SUM($E$2:E57)/SUM($D$2:D57)</f>
        <v>167.87118369775297</v>
      </c>
      <c r="G57">
        <f ca="1">_xlfn.STDEV.P($C$2:C57)</f>
        <v>2.8324225620752732</v>
      </c>
      <c r="H57">
        <f t="shared" ca="1" si="2"/>
        <v>170.70360625982823</v>
      </c>
      <c r="I57">
        <f t="shared" ca="1" si="3"/>
        <v>165.0387611356777</v>
      </c>
      <c r="J57">
        <f t="shared" ca="1" si="12"/>
        <v>166.54650000000004</v>
      </c>
      <c r="K57">
        <f t="shared" ca="1" si="13"/>
        <v>3.3018802856936871</v>
      </c>
      <c r="L57">
        <f t="shared" ca="1" si="14"/>
        <v>173.15026057138741</v>
      </c>
      <c r="M57">
        <f t="shared" ca="1" si="15"/>
        <v>159.94273942861267</v>
      </c>
      <c r="N57">
        <f t="shared" ca="1" si="4"/>
        <v>0.58999999999997499</v>
      </c>
      <c r="O57">
        <f t="shared" ca="1" si="5"/>
        <v>0.58999999999997499</v>
      </c>
      <c r="P57">
        <f t="shared" ca="1" si="6"/>
        <v>0</v>
      </c>
      <c r="Q57">
        <f t="shared" ca="1" si="10"/>
        <v>0.78887921455582488</v>
      </c>
      <c r="R57">
        <f t="shared" ca="1" si="11"/>
        <v>0.41914977856646118</v>
      </c>
      <c r="S57">
        <f t="shared" ca="1" si="8"/>
        <v>1.8820938358929342</v>
      </c>
      <c r="T57">
        <f t="shared" ca="1" si="9"/>
        <v>65.303003408625017</v>
      </c>
      <c r="U57">
        <f>70</f>
        <v>70</v>
      </c>
      <c r="V57">
        <f>30</f>
        <v>30</v>
      </c>
      <c r="W57">
        <f t="shared" ca="1" si="7"/>
        <v>168.32329518608751</v>
      </c>
      <c r="X57">
        <f t="shared" ca="1" si="17"/>
        <v>167.52095817227388</v>
      </c>
      <c r="Y57">
        <f t="shared" ca="1" si="16"/>
        <v>1.0377984737293104</v>
      </c>
      <c r="Z57">
        <f t="shared" ca="1" si="18"/>
        <v>1.4379291409294059E-2</v>
      </c>
      <c r="AA57">
        <f t="shared" ca="1" si="19"/>
        <v>1.0234191823200165</v>
      </c>
    </row>
    <row r="58" spans="1:27" x14ac:dyDescent="0.25">
      <c r="A58" s="20">
        <f t="shared" ca="1" si="0"/>
        <v>45369</v>
      </c>
      <c r="B58" vm="166">
        <f ca="1"/>
        <v>45373</v>
      </c>
      <c r="C58" vm="167">
        <f ca="1"/>
        <v>172.02</v>
      </c>
      <c r="D58" vm="168">
        <f ca="1"/>
        <v>4106531</v>
      </c>
      <c r="E58">
        <f t="shared" ca="1" si="1"/>
        <v>706405462.62</v>
      </c>
      <c r="F58">
        <f ca="1">SUM($E$2:E58)/SUM($D$2:D58)</f>
        <v>167.92080636539336</v>
      </c>
      <c r="G58">
        <f ca="1">_xlfn.STDEV.P($C$2:C58)</f>
        <v>2.8586775768627675</v>
      </c>
      <c r="H58">
        <f t="shared" ca="1" si="2"/>
        <v>170.77948394225612</v>
      </c>
      <c r="I58">
        <f t="shared" ca="1" si="3"/>
        <v>165.0621287885306</v>
      </c>
      <c r="J58">
        <f t="shared" ca="1" si="12"/>
        <v>166.66750000000002</v>
      </c>
      <c r="K58">
        <f t="shared" ca="1" si="13"/>
        <v>3.4602127634613824</v>
      </c>
      <c r="L58">
        <f t="shared" ca="1" si="14"/>
        <v>173.58792552692279</v>
      </c>
      <c r="M58">
        <f t="shared" ca="1" si="15"/>
        <v>159.74707447307725</v>
      </c>
      <c r="N58">
        <f t="shared" ca="1" si="4"/>
        <v>-0.4299999999999784</v>
      </c>
      <c r="O58">
        <f t="shared" ca="1" si="5"/>
        <v>0</v>
      </c>
      <c r="P58">
        <f t="shared" ca="1" si="6"/>
        <v>0.4299999999999784</v>
      </c>
      <c r="Q58">
        <f t="shared" ca="1" si="10"/>
        <v>0.73253069923040892</v>
      </c>
      <c r="R58">
        <f t="shared" ca="1" si="11"/>
        <v>0.41992479438314101</v>
      </c>
      <c r="S58">
        <f t="shared" ca="1" si="8"/>
        <v>1.7444330723706805</v>
      </c>
      <c r="T58">
        <f t="shared" ca="1" si="9"/>
        <v>63.562602051862548</v>
      </c>
      <c r="U58">
        <f>70</f>
        <v>70</v>
      </c>
      <c r="V58">
        <f>30</f>
        <v>30</v>
      </c>
      <c r="W58">
        <f t="shared" ca="1" si="7"/>
        <v>168.89201900361252</v>
      </c>
      <c r="X58">
        <f t="shared" ca="1" si="17"/>
        <v>167.85422052988321</v>
      </c>
      <c r="Y58">
        <f t="shared" ca="1" si="16"/>
        <v>1.2567178685495151</v>
      </c>
      <c r="Z58">
        <f t="shared" ca="1" si="18"/>
        <v>0.26284700683733825</v>
      </c>
      <c r="AA58">
        <f t="shared" ca="1" si="19"/>
        <v>0.99387086171217676</v>
      </c>
    </row>
    <row r="59" spans="1:27" x14ac:dyDescent="0.25">
      <c r="A59" s="20">
        <f t="shared" ca="1" si="0"/>
        <v>45376</v>
      </c>
      <c r="B59" vm="169">
        <f ca="1"/>
        <v>45376</v>
      </c>
      <c r="C59" vm="170">
        <f ca="1"/>
        <v>172.6</v>
      </c>
      <c r="D59" vm="171">
        <f ca="1"/>
        <v>3941985</v>
      </c>
      <c r="E59">
        <f t="shared" ca="1" si="1"/>
        <v>680386611</v>
      </c>
      <c r="F59">
        <f ca="1">SUM($E$2:E59)/SUM($D$2:D59)</f>
        <v>167.97392034830895</v>
      </c>
      <c r="G59">
        <f ca="1">_xlfn.STDEV.P($C$2:C59)</f>
        <v>2.8967918055265875</v>
      </c>
      <c r="H59">
        <f t="shared" ca="1" si="2"/>
        <v>170.87071215383554</v>
      </c>
      <c r="I59">
        <f t="shared" ca="1" si="3"/>
        <v>165.07712854278236</v>
      </c>
      <c r="J59">
        <f t="shared" ca="1" si="12"/>
        <v>166.8845</v>
      </c>
      <c r="K59">
        <f t="shared" ca="1" si="13"/>
        <v>3.6935583684372215</v>
      </c>
      <c r="L59">
        <f t="shared" ca="1" si="14"/>
        <v>174.27161673687445</v>
      </c>
      <c r="M59">
        <f t="shared" ca="1" si="15"/>
        <v>159.49738326312556</v>
      </c>
      <c r="N59">
        <f t="shared" ca="1" si="4"/>
        <v>0.57999999999998408</v>
      </c>
      <c r="O59">
        <f t="shared" ca="1" si="5"/>
        <v>0.57999999999998408</v>
      </c>
      <c r="P59">
        <f t="shared" ca="1" si="6"/>
        <v>0</v>
      </c>
      <c r="Q59">
        <f t="shared" ca="1" si="10"/>
        <v>0.7216356492853786</v>
      </c>
      <c r="R59">
        <f t="shared" ca="1" si="11"/>
        <v>0.3899301662129166</v>
      </c>
      <c r="S59">
        <f t="shared" ca="1" si="8"/>
        <v>1.8506792031354105</v>
      </c>
      <c r="T59">
        <f t="shared" ca="1" si="9"/>
        <v>64.920640705551222</v>
      </c>
      <c r="U59">
        <f>70</f>
        <v>70</v>
      </c>
      <c r="V59">
        <f>30</f>
        <v>30</v>
      </c>
      <c r="W59">
        <f t="shared" ca="1" si="7"/>
        <v>169.46247761844137</v>
      </c>
      <c r="X59">
        <f t="shared" ca="1" si="17"/>
        <v>168.20575974989185</v>
      </c>
      <c r="Y59">
        <f t="shared" ca="1" si="16"/>
        <v>1.4242847121431055</v>
      </c>
      <c r="Z59">
        <f t="shared" ca="1" si="18"/>
        <v>0.49513454789849171</v>
      </c>
      <c r="AA59">
        <f t="shared" ca="1" si="19"/>
        <v>0.92915016424461383</v>
      </c>
    </row>
    <row r="60" spans="1:27" x14ac:dyDescent="0.25">
      <c r="A60" s="20">
        <f t="shared" ca="1" si="0"/>
        <v>45376</v>
      </c>
      <c r="B60" vm="172">
        <f ca="1"/>
        <v>45377</v>
      </c>
      <c r="C60" vm="173">
        <f ca="1"/>
        <v>172.73</v>
      </c>
      <c r="D60" vm="174">
        <f ca="1"/>
        <v>4593166</v>
      </c>
      <c r="E60">
        <f t="shared" ca="1" si="1"/>
        <v>793377563.17999995</v>
      </c>
      <c r="F60">
        <f ca="1">SUM($E$2:E60)/SUM($D$2:D60)</f>
        <v>168.03600406877473</v>
      </c>
      <c r="G60">
        <f ca="1">_xlfn.STDEV.P($C$2:C60)</f>
        <v>2.9344913186192914</v>
      </c>
      <c r="H60">
        <f t="shared" ca="1" si="2"/>
        <v>170.97049538739401</v>
      </c>
      <c r="I60">
        <f t="shared" ca="1" si="3"/>
        <v>165.10151275015545</v>
      </c>
      <c r="J60">
        <f t="shared" ca="1" si="12"/>
        <v>167.113</v>
      </c>
      <c r="K60">
        <f t="shared" ca="1" si="13"/>
        <v>3.911547143092049</v>
      </c>
      <c r="L60">
        <f t="shared" ca="1" si="14"/>
        <v>174.9360942861841</v>
      </c>
      <c r="M60">
        <f t="shared" ca="1" si="15"/>
        <v>159.2899057138159</v>
      </c>
      <c r="N60">
        <f t="shared" ca="1" si="4"/>
        <v>0.12999999999999545</v>
      </c>
      <c r="O60">
        <f t="shared" ca="1" si="5"/>
        <v>0.12999999999999545</v>
      </c>
      <c r="P60">
        <f t="shared" ca="1" si="6"/>
        <v>0</v>
      </c>
      <c r="Q60">
        <f t="shared" ca="1" si="10"/>
        <v>0.67937596005070844</v>
      </c>
      <c r="R60">
        <f t="shared" ca="1" si="11"/>
        <v>0.36207801148342256</v>
      </c>
      <c r="S60">
        <f t="shared" ca="1" si="8"/>
        <v>1.8763248209062071</v>
      </c>
      <c r="T60">
        <f t="shared" ca="1" si="9"/>
        <v>65.233412000910846</v>
      </c>
      <c r="U60">
        <f>70</f>
        <v>70</v>
      </c>
      <c r="V60">
        <f>30</f>
        <v>30</v>
      </c>
      <c r="W60">
        <f t="shared" ca="1" si="7"/>
        <v>169.96517336945038</v>
      </c>
      <c r="X60">
        <f t="shared" ca="1" si="17"/>
        <v>168.54088865730728</v>
      </c>
      <c r="Y60">
        <f t="shared" ca="1" si="16"/>
        <v>1.6063466584099615</v>
      </c>
      <c r="Z60">
        <f t="shared" ca="1" si="18"/>
        <v>0.71737697000078571</v>
      </c>
      <c r="AA60">
        <f t="shared" ca="1" si="19"/>
        <v>0.88896968840917578</v>
      </c>
    </row>
    <row r="61" spans="1:27" x14ac:dyDescent="0.25">
      <c r="A61" s="20">
        <f t="shared" ca="1" si="0"/>
        <v>45376</v>
      </c>
      <c r="B61" vm="175">
        <f ca="1"/>
        <v>45378</v>
      </c>
      <c r="C61" vm="176">
        <f ca="1"/>
        <v>173.57</v>
      </c>
      <c r="D61" vm="177">
        <f ca="1"/>
        <v>4911274</v>
      </c>
      <c r="E61">
        <f t="shared" ca="1" si="1"/>
        <v>852449828.17999995</v>
      </c>
      <c r="F61">
        <f ca="1">SUM($E$2:E61)/SUM($D$2:D61)</f>
        <v>168.11218208878989</v>
      </c>
      <c r="G61">
        <f ca="1">_xlfn.STDEV.P($C$2:C61)</f>
        <v>2.991591043612448</v>
      </c>
      <c r="H61">
        <f t="shared" ca="1" si="2"/>
        <v>171.10377313240235</v>
      </c>
      <c r="I61">
        <f t="shared" ca="1" si="3"/>
        <v>165.12059104517743</v>
      </c>
      <c r="J61">
        <f t="shared" ca="1" si="12"/>
        <v>167.44</v>
      </c>
      <c r="K61">
        <f t="shared" ca="1" si="13"/>
        <v>4.1691296580057502</v>
      </c>
      <c r="L61">
        <f t="shared" ca="1" si="14"/>
        <v>175.77825931601149</v>
      </c>
      <c r="M61">
        <f t="shared" ca="1" si="15"/>
        <v>159.10174068398851</v>
      </c>
      <c r="N61">
        <f t="shared" ca="1" si="4"/>
        <v>0.84000000000000341</v>
      </c>
      <c r="O61">
        <f t="shared" ca="1" si="5"/>
        <v>0.84000000000000341</v>
      </c>
      <c r="P61">
        <f t="shared" ca="1" si="6"/>
        <v>0</v>
      </c>
      <c r="Q61">
        <f t="shared" ca="1" si="10"/>
        <v>0.69084910576137237</v>
      </c>
      <c r="R61">
        <f t="shared" ca="1" si="11"/>
        <v>0.33621529637746378</v>
      </c>
      <c r="S61">
        <f t="shared" ca="1" si="8"/>
        <v>2.0547819007787398</v>
      </c>
      <c r="T61">
        <f t="shared" ca="1" si="9"/>
        <v>67.264438756001695</v>
      </c>
      <c r="U61">
        <f>70</f>
        <v>70</v>
      </c>
      <c r="V61">
        <f>30</f>
        <v>30</v>
      </c>
      <c r="W61">
        <f t="shared" ca="1" si="7"/>
        <v>170.51976208184263</v>
      </c>
      <c r="X61">
        <f t="shared" ca="1" si="17"/>
        <v>168.91341542343267</v>
      </c>
      <c r="Y61">
        <f t="shared" ca="1" si="16"/>
        <v>1.8455536344491179</v>
      </c>
      <c r="Z61">
        <f t="shared" ca="1" si="18"/>
        <v>0.94301230289045224</v>
      </c>
      <c r="AA61">
        <f t="shared" ca="1" si="19"/>
        <v>0.90254133155866567</v>
      </c>
    </row>
    <row r="62" spans="1:27" x14ac:dyDescent="0.25">
      <c r="A62" s="20">
        <f t="shared" ca="1" si="0"/>
        <v>45376</v>
      </c>
      <c r="B62" vm="178">
        <f ca="1"/>
        <v>45379</v>
      </c>
      <c r="C62" vm="179">
        <f ca="1"/>
        <v>175.01</v>
      </c>
      <c r="D62" vm="180">
        <f ca="1"/>
        <v>5710539</v>
      </c>
      <c r="E62">
        <f t="shared" ca="1" si="1"/>
        <v>999401430.38999999</v>
      </c>
      <c r="F62">
        <f ca="1">SUM($E$2:E62)/SUM($D$2:D62)</f>
        <v>168.2208470121455</v>
      </c>
      <c r="G62">
        <f ca="1">_xlfn.STDEV.P($C$2:C62)</f>
        <v>3.0890802378598985</v>
      </c>
      <c r="H62">
        <f t="shared" ca="1" si="2"/>
        <v>171.30992725000539</v>
      </c>
      <c r="I62">
        <f t="shared" ca="1" si="3"/>
        <v>165.13176677428561</v>
      </c>
      <c r="J62">
        <f t="shared" ca="1" si="12"/>
        <v>167.92350000000002</v>
      </c>
      <c r="K62">
        <f t="shared" ca="1" si="13"/>
        <v>4.4631276206147987</v>
      </c>
      <c r="L62">
        <f t="shared" ca="1" si="14"/>
        <v>176.84975524122962</v>
      </c>
      <c r="M62">
        <f t="shared" ca="1" si="15"/>
        <v>158.99724475877042</v>
      </c>
      <c r="N62">
        <f t="shared" ca="1" si="4"/>
        <v>1.4399999999999977</v>
      </c>
      <c r="O62">
        <f t="shared" ca="1" si="5"/>
        <v>1.4399999999999977</v>
      </c>
      <c r="P62">
        <f t="shared" ca="1" si="6"/>
        <v>0</v>
      </c>
      <c r="Q62">
        <f t="shared" ca="1" si="10"/>
        <v>0.74435988392127417</v>
      </c>
      <c r="R62">
        <f t="shared" ca="1" si="11"/>
        <v>0.31219991806478781</v>
      </c>
      <c r="S62">
        <f t="shared" ca="1" si="8"/>
        <v>2.3842411251587978</v>
      </c>
      <c r="T62">
        <f t="shared" ca="1" si="9"/>
        <v>70.451278055635669</v>
      </c>
      <c r="U62">
        <f>70</f>
        <v>70</v>
      </c>
      <c r="V62">
        <f>30</f>
        <v>30</v>
      </c>
      <c r="W62">
        <f t="shared" ca="1" si="7"/>
        <v>171.21056791540531</v>
      </c>
      <c r="X62">
        <f t="shared" ca="1" si="17"/>
        <v>169.36501428095619</v>
      </c>
      <c r="Y62">
        <f t="shared" ca="1" si="16"/>
        <v>1.849997235226823</v>
      </c>
      <c r="Z62">
        <f t="shared" ca="1" si="18"/>
        <v>1.1244092893577264</v>
      </c>
      <c r="AA62">
        <f t="shared" ca="1" si="19"/>
        <v>0.72558794586909658</v>
      </c>
    </row>
    <row r="63" spans="1:27" x14ac:dyDescent="0.25">
      <c r="A63" s="20">
        <f t="shared" ca="1" si="0"/>
        <v>45383</v>
      </c>
      <c r="B63" vm="181">
        <f ca="1"/>
        <v>45383</v>
      </c>
      <c r="C63" vm="182">
        <f ca="1"/>
        <v>172.98</v>
      </c>
      <c r="D63" vm="183">
        <f ca="1"/>
        <v>4815366</v>
      </c>
      <c r="E63">
        <f t="shared" ca="1" si="1"/>
        <v>832962010.67999995</v>
      </c>
      <c r="F63">
        <f ca="1">SUM($E$2:E63)/SUM($D$2:D63)</f>
        <v>168.28323892781381</v>
      </c>
      <c r="G63">
        <f ca="1">_xlfn.STDEV.P($C$2:C63)</f>
        <v>3.1191112758099035</v>
      </c>
      <c r="H63">
        <f t="shared" ca="1" si="2"/>
        <v>171.40235020362371</v>
      </c>
      <c r="I63">
        <f t="shared" ca="1" si="3"/>
        <v>165.16412765200391</v>
      </c>
      <c r="J63">
        <f t="shared" ca="1" si="12"/>
        <v>168.34300000000002</v>
      </c>
      <c r="K63">
        <f t="shared" ca="1" si="13"/>
        <v>4.5271521197977709</v>
      </c>
      <c r="L63">
        <f t="shared" ca="1" si="14"/>
        <v>177.39730423959557</v>
      </c>
      <c r="M63">
        <f t="shared" ca="1" si="15"/>
        <v>159.28869576040447</v>
      </c>
      <c r="N63">
        <f t="shared" ca="1" si="4"/>
        <v>-2.0300000000000011</v>
      </c>
      <c r="O63">
        <f t="shared" ca="1" si="5"/>
        <v>0</v>
      </c>
      <c r="P63">
        <f t="shared" ca="1" si="6"/>
        <v>2.0300000000000011</v>
      </c>
      <c r="Q63">
        <f t="shared" ca="1" si="10"/>
        <v>0.69119132078404022</v>
      </c>
      <c r="R63">
        <f t="shared" ca="1" si="11"/>
        <v>0.43489992391730309</v>
      </c>
      <c r="S63">
        <f t="shared" ca="1" si="8"/>
        <v>1.5893112018926712</v>
      </c>
      <c r="T63">
        <f t="shared" ca="1" si="9"/>
        <v>61.379690503441815</v>
      </c>
      <c r="U63">
        <f>70</f>
        <v>70</v>
      </c>
      <c r="V63">
        <f>30</f>
        <v>30</v>
      </c>
      <c r="W63">
        <f t="shared" ca="1" si="7"/>
        <v>171.48278823611219</v>
      </c>
      <c r="X63">
        <f t="shared" ca="1" si="17"/>
        <v>169.63279100088536</v>
      </c>
      <c r="Y63">
        <f t="shared" ca="1" si="16"/>
        <v>1.7095470964033552</v>
      </c>
      <c r="Z63">
        <f t="shared" ca="1" si="18"/>
        <v>1.2414368507668523</v>
      </c>
      <c r="AA63">
        <f t="shared" ca="1" si="19"/>
        <v>0.46811024563650294</v>
      </c>
    </row>
    <row r="64" spans="1:27" x14ac:dyDescent="0.25">
      <c r="A64" s="20">
        <f t="shared" ca="1" si="0"/>
        <v>45383</v>
      </c>
      <c r="B64" vm="184">
        <f ca="1"/>
        <v>45384</v>
      </c>
      <c r="C64" vm="185">
        <f ca="1"/>
        <v>171.44</v>
      </c>
      <c r="D64" vm="186">
        <f ca="1"/>
        <v>5158492</v>
      </c>
      <c r="E64">
        <f t="shared" ca="1" si="1"/>
        <v>884371868.48000002</v>
      </c>
      <c r="F64">
        <f ca="1">SUM($E$2:E64)/SUM($D$2:D64)</f>
        <v>168.32695861124361</v>
      </c>
      <c r="G64">
        <f ca="1">_xlfn.STDEV.P($C$2:C64)</f>
        <v>3.1171404565483294</v>
      </c>
      <c r="H64">
        <f t="shared" ca="1" si="2"/>
        <v>171.44409906779194</v>
      </c>
      <c r="I64">
        <f t="shared" ca="1" si="3"/>
        <v>165.20981815469528</v>
      </c>
      <c r="J64">
        <f t="shared" ca="1" si="12"/>
        <v>168.6465</v>
      </c>
      <c r="K64">
        <f t="shared" ca="1" si="13"/>
        <v>4.520814173295963</v>
      </c>
      <c r="L64">
        <f t="shared" ca="1" si="14"/>
        <v>177.68812834659192</v>
      </c>
      <c r="M64">
        <f t="shared" ca="1" si="15"/>
        <v>159.60487165340808</v>
      </c>
      <c r="N64">
        <f t="shared" ca="1" si="4"/>
        <v>-1.539999999999992</v>
      </c>
      <c r="O64">
        <f t="shared" ca="1" si="5"/>
        <v>0</v>
      </c>
      <c r="P64">
        <f t="shared" ca="1" si="6"/>
        <v>1.539999999999992</v>
      </c>
      <c r="Q64">
        <f t="shared" ca="1" si="10"/>
        <v>0.64182051215660874</v>
      </c>
      <c r="R64">
        <f t="shared" ca="1" si="11"/>
        <v>0.51383564363749523</v>
      </c>
      <c r="S64">
        <f t="shared" ca="1" si="8"/>
        <v>1.2490774435441954</v>
      </c>
      <c r="T64">
        <f t="shared" ca="1" si="9"/>
        <v>55.537324743066385</v>
      </c>
      <c r="U64">
        <f>70</f>
        <v>70</v>
      </c>
      <c r="V64">
        <f>30</f>
        <v>30</v>
      </c>
      <c r="W64">
        <f t="shared" ca="1" si="7"/>
        <v>171.47620543055646</v>
      </c>
      <c r="X64">
        <f t="shared" ca="1" si="17"/>
        <v>169.76665833415311</v>
      </c>
      <c r="Y64">
        <f t="shared" ca="1" si="16"/>
        <v>1.4396269352578486</v>
      </c>
      <c r="Z64">
        <f t="shared" ca="1" si="18"/>
        <v>1.2810748676650516</v>
      </c>
      <c r="AA64">
        <f t="shared" ca="1" si="19"/>
        <v>0.15855206759279694</v>
      </c>
    </row>
    <row r="65" spans="1:27" x14ac:dyDescent="0.25">
      <c r="A65" s="20">
        <f t="shared" ca="1" si="0"/>
        <v>45383</v>
      </c>
      <c r="B65" vm="187">
        <f ca="1"/>
        <v>45385</v>
      </c>
      <c r="C65" vm="188">
        <f ca="1"/>
        <v>169.68</v>
      </c>
      <c r="D65" vm="189">
        <f ca="1"/>
        <v>5828024</v>
      </c>
      <c r="E65">
        <f t="shared" ca="1" si="1"/>
        <v>988899112.32000005</v>
      </c>
      <c r="F65">
        <f ca="1">SUM($E$2:E65)/SUM($D$2:D65)</f>
        <v>168.34780362159202</v>
      </c>
      <c r="G65">
        <f ca="1">_xlfn.STDEV.P($C$2:C65)</f>
        <v>3.0963218949818088</v>
      </c>
      <c r="H65">
        <f t="shared" ca="1" si="2"/>
        <v>171.44412551657382</v>
      </c>
      <c r="I65">
        <f t="shared" ca="1" si="3"/>
        <v>165.25148172661022</v>
      </c>
      <c r="J65">
        <f t="shared" ca="1" si="12"/>
        <v>169.02850000000001</v>
      </c>
      <c r="K65">
        <f t="shared" ca="1" si="13"/>
        <v>4.2477316237455955</v>
      </c>
      <c r="L65">
        <f t="shared" ca="1" si="14"/>
        <v>177.5239632474912</v>
      </c>
      <c r="M65">
        <f t="shared" ca="1" si="15"/>
        <v>160.53303675250882</v>
      </c>
      <c r="N65">
        <f t="shared" ca="1" si="4"/>
        <v>-1.7599999999999909</v>
      </c>
      <c r="O65">
        <f t="shared" ca="1" si="5"/>
        <v>0</v>
      </c>
      <c r="P65">
        <f t="shared" ca="1" si="6"/>
        <v>1.7599999999999909</v>
      </c>
      <c r="Q65">
        <f t="shared" ca="1" si="10"/>
        <v>0.59597618985970813</v>
      </c>
      <c r="R65">
        <f t="shared" ca="1" si="11"/>
        <v>0.60284738337767352</v>
      </c>
      <c r="S65">
        <f t="shared" ca="1" si="8"/>
        <v>0.98860210111642688</v>
      </c>
      <c r="T65">
        <f t="shared" ca="1" si="9"/>
        <v>49.713419319099231</v>
      </c>
      <c r="U65">
        <f>70</f>
        <v>70</v>
      </c>
      <c r="V65">
        <f>30</f>
        <v>30</v>
      </c>
      <c r="W65">
        <f t="shared" ca="1" si="7"/>
        <v>171.19986613354777</v>
      </c>
      <c r="X65">
        <f t="shared" ca="1" si="17"/>
        <v>169.76023919828992</v>
      </c>
      <c r="Y65">
        <f t="shared" ca="1" si="16"/>
        <v>1.209351858175097</v>
      </c>
      <c r="Z65">
        <f t="shared" ca="1" si="18"/>
        <v>1.2667302657670607</v>
      </c>
      <c r="AA65">
        <f t="shared" ca="1" si="19"/>
        <v>-5.7378407591963665E-2</v>
      </c>
    </row>
    <row r="66" spans="1:27" x14ac:dyDescent="0.25">
      <c r="A66" s="20">
        <f t="shared" ca="1" si="0"/>
        <v>45383</v>
      </c>
      <c r="B66" vm="190">
        <f ca="1"/>
        <v>45386</v>
      </c>
      <c r="C66" vm="191">
        <f ca="1"/>
        <v>169.65</v>
      </c>
      <c r="D66" vm="192">
        <f ca="1"/>
        <v>5422567</v>
      </c>
      <c r="E66">
        <f t="shared" ca="1" si="1"/>
        <v>919938491.55000007</v>
      </c>
      <c r="F66">
        <f ca="1">SUM($E$2:E66)/SUM($D$2:D66)</f>
        <v>168.36620583346485</v>
      </c>
      <c r="G66">
        <f ca="1">_xlfn.STDEV.P($C$2:C66)</f>
        <v>3.0757252514626843</v>
      </c>
      <c r="H66">
        <f t="shared" ca="1" si="2"/>
        <v>171.44193108492752</v>
      </c>
      <c r="I66">
        <f t="shared" ca="1" si="3"/>
        <v>165.29048058200217</v>
      </c>
      <c r="J66">
        <f t="shared" ca="1" si="12"/>
        <v>169.36100000000002</v>
      </c>
      <c r="K66">
        <f t="shared" ca="1" si="13"/>
        <v>4.0042975597935273</v>
      </c>
      <c r="L66">
        <f t="shared" ca="1" si="14"/>
        <v>177.36959511958707</v>
      </c>
      <c r="M66">
        <f t="shared" ca="1" si="15"/>
        <v>161.35240488041296</v>
      </c>
      <c r="N66">
        <f t="shared" ca="1" si="4"/>
        <v>-3.0000000000001137E-2</v>
      </c>
      <c r="O66">
        <f t="shared" ca="1" si="5"/>
        <v>0</v>
      </c>
      <c r="P66">
        <f t="shared" ca="1" si="6"/>
        <v>3.0000000000001137E-2</v>
      </c>
      <c r="Q66">
        <f t="shared" ca="1" si="10"/>
        <v>0.55340646201258614</v>
      </c>
      <c r="R66">
        <f t="shared" ca="1" si="11"/>
        <v>0.56192971313641116</v>
      </c>
      <c r="S66">
        <f t="shared" ca="1" si="8"/>
        <v>0.98483217576046567</v>
      </c>
      <c r="T66">
        <f t="shared" ca="1" si="9"/>
        <v>49.617906631483265</v>
      </c>
      <c r="U66">
        <f>70</f>
        <v>70</v>
      </c>
      <c r="V66">
        <f>30</f>
        <v>30</v>
      </c>
      <c r="W66">
        <f t="shared" ca="1" si="7"/>
        <v>170.96142518992502</v>
      </c>
      <c r="X66">
        <f t="shared" ca="1" si="17"/>
        <v>169.75207333174993</v>
      </c>
      <c r="Y66">
        <f t="shared" ca="1" si="16"/>
        <v>0.97447136350143637</v>
      </c>
      <c r="Z66">
        <f t="shared" ca="1" si="18"/>
        <v>1.2082784853139359</v>
      </c>
      <c r="AA66">
        <f t="shared" ca="1" si="19"/>
        <v>-0.23380712181249952</v>
      </c>
    </row>
    <row r="67" spans="1:27" x14ac:dyDescent="0.25">
      <c r="A67" s="20">
        <f t="shared" ref="A67:A130" ca="1" si="20">B67 - WEEKDAY(B67, 2) + 1</f>
        <v>45383</v>
      </c>
      <c r="B67" vm="193">
        <f ca="1"/>
        <v>45387</v>
      </c>
      <c r="C67" vm="194">
        <f ca="1"/>
        <v>169.14</v>
      </c>
      <c r="D67" vm="195">
        <f ca="1"/>
        <v>4412390</v>
      </c>
      <c r="E67">
        <f t="shared" ref="E67:E130" ca="1" si="21">C67*D67</f>
        <v>746311644.5999999</v>
      </c>
      <c r="F67">
        <f ca="1">SUM($E$2:E67)/SUM($D$2:D67)</f>
        <v>168.37500258801379</v>
      </c>
      <c r="G67">
        <f ca="1">_xlfn.STDEV.P($C$2:C67)</f>
        <v>3.0533110668705814</v>
      </c>
      <c r="H67">
        <f t="shared" ref="H67:H130" ca="1" si="22">F67 + G67</f>
        <v>171.42831365488436</v>
      </c>
      <c r="I67">
        <f t="shared" ref="I67:I130" ca="1" si="23">F67 - G67</f>
        <v>165.32169152114321</v>
      </c>
      <c r="J67">
        <f t="shared" ca="1" si="12"/>
        <v>169.66249999999997</v>
      </c>
      <c r="K67">
        <f t="shared" ca="1" si="13"/>
        <v>3.7262184513751215</v>
      </c>
      <c r="L67">
        <f t="shared" ca="1" si="14"/>
        <v>177.1149369027502</v>
      </c>
      <c r="M67">
        <f t="shared" ca="1" si="15"/>
        <v>162.21006309724973</v>
      </c>
      <c r="N67">
        <f t="shared" ca="1" si="4"/>
        <v>-0.51000000000001933</v>
      </c>
      <c r="O67">
        <f t="shared" ca="1" si="5"/>
        <v>0</v>
      </c>
      <c r="P67">
        <f t="shared" ca="1" si="6"/>
        <v>0.51000000000001933</v>
      </c>
      <c r="Q67">
        <f t="shared" ca="1" si="10"/>
        <v>0.51387742901168709</v>
      </c>
      <c r="R67">
        <f t="shared" ca="1" si="11"/>
        <v>0.55822044791238323</v>
      </c>
      <c r="S67">
        <f t="shared" ca="1" si="8"/>
        <v>0.9205636069647235</v>
      </c>
      <c r="T67">
        <f t="shared" ca="1" si="9"/>
        <v>47.931950997425737</v>
      </c>
      <c r="U67">
        <f>70</f>
        <v>70</v>
      </c>
      <c r="V67">
        <f>30</f>
        <v>30</v>
      </c>
      <c r="W67">
        <f t="shared" ca="1" si="7"/>
        <v>170.68120592993654</v>
      </c>
      <c r="X67">
        <f t="shared" ca="1" si="17"/>
        <v>169.7067345664351</v>
      </c>
      <c r="Y67">
        <f t="shared" ca="1" si="16"/>
        <v>0.81444281224997894</v>
      </c>
      <c r="Z67">
        <f t="shared" ca="1" si="18"/>
        <v>1.1295113507011445</v>
      </c>
      <c r="AA67">
        <f t="shared" ca="1" si="19"/>
        <v>-0.31506853845116556</v>
      </c>
    </row>
    <row r="68" spans="1:27" x14ac:dyDescent="0.25">
      <c r="A68" s="20">
        <f t="shared" ca="1" si="20"/>
        <v>45390</v>
      </c>
      <c r="B68" vm="196">
        <f ca="1"/>
        <v>45390</v>
      </c>
      <c r="C68" vm="197">
        <f ca="1"/>
        <v>169.58</v>
      </c>
      <c r="D68" vm="198">
        <f ca="1"/>
        <v>3755725</v>
      </c>
      <c r="E68">
        <f t="shared" ca="1" si="21"/>
        <v>636895845.5</v>
      </c>
      <c r="F68">
        <f ca="1">SUM($E$2:E68)/SUM($D$2:D68)</f>
        <v>168.38655096082192</v>
      </c>
      <c r="G68">
        <f ca="1">_xlfn.STDEV.P($C$2:C68)</f>
        <v>3.033175618524838</v>
      </c>
      <c r="H68">
        <f t="shared" ca="1" si="22"/>
        <v>171.41972657934676</v>
      </c>
      <c r="I68">
        <f t="shared" ca="1" si="23"/>
        <v>165.35337534229708</v>
      </c>
      <c r="J68">
        <f t="shared" ca="1" si="12"/>
        <v>169.98899999999998</v>
      </c>
      <c r="K68">
        <f t="shared" ca="1" si="13"/>
        <v>3.3869640185803402</v>
      </c>
      <c r="L68">
        <f t="shared" ca="1" si="14"/>
        <v>176.76292803716066</v>
      </c>
      <c r="M68">
        <f t="shared" ca="1" si="15"/>
        <v>163.21507196283929</v>
      </c>
      <c r="N68">
        <f t="shared" ref="N68:N131" ca="1" si="24">C68-C67</f>
        <v>0.44000000000002615</v>
      </c>
      <c r="O68">
        <f t="shared" ref="O68:O131" ca="1" si="25">MAX(N68,0)</f>
        <v>0.44000000000002615</v>
      </c>
      <c r="P68">
        <f t="shared" ref="P68:P131" ca="1" si="26">MAX(-N68,0)</f>
        <v>0</v>
      </c>
      <c r="Q68">
        <f t="shared" ca="1" si="10"/>
        <v>0.50860046979656848</v>
      </c>
      <c r="R68">
        <f t="shared" ca="1" si="11"/>
        <v>0.51834755877578442</v>
      </c>
      <c r="S68">
        <f t="shared" ca="1" si="8"/>
        <v>0.98119584280046324</v>
      </c>
      <c r="T68">
        <f t="shared" ca="1" si="9"/>
        <v>49.525434164727585</v>
      </c>
      <c r="U68">
        <f>70</f>
        <v>70</v>
      </c>
      <c r="V68">
        <f>30</f>
        <v>30</v>
      </c>
      <c r="W68">
        <f t="shared" ca="1" si="7"/>
        <v>170.51178963302323</v>
      </c>
      <c r="X68">
        <f t="shared" ca="1" si="17"/>
        <v>169.69734682077325</v>
      </c>
      <c r="Y68">
        <f t="shared" ca="1" si="16"/>
        <v>0.76194816027518186</v>
      </c>
      <c r="Z68">
        <f t="shared" ca="1" si="18"/>
        <v>1.055998712615952</v>
      </c>
      <c r="AA68">
        <f t="shared" ca="1" si="19"/>
        <v>-0.29405055234077015</v>
      </c>
    </row>
    <row r="69" spans="1:27" x14ac:dyDescent="0.25">
      <c r="A69" s="20">
        <f t="shared" ca="1" si="20"/>
        <v>45390</v>
      </c>
      <c r="B69" vm="199">
        <f ca="1"/>
        <v>45391</v>
      </c>
      <c r="C69" vm="84">
        <f ca="1"/>
        <v>170.61</v>
      </c>
      <c r="D69" vm="200">
        <f ca="1"/>
        <v>3774304</v>
      </c>
      <c r="E69">
        <f t="shared" ca="1" si="21"/>
        <v>643934005.44000006</v>
      </c>
      <c r="F69">
        <f ca="1">SUM($E$2:E69)/SUM($D$2:D69)</f>
        <v>168.40776103638873</v>
      </c>
      <c r="G69">
        <f ca="1">_xlfn.STDEV.P($C$2:C69)</f>
        <v>3.0211471503066876</v>
      </c>
      <c r="H69">
        <f t="shared" ca="1" si="22"/>
        <v>171.42890818669542</v>
      </c>
      <c r="I69">
        <f t="shared" ca="1" si="23"/>
        <v>165.38661388608205</v>
      </c>
      <c r="J69">
        <f t="shared" ca="1" si="12"/>
        <v>170.28299999999999</v>
      </c>
      <c r="K69">
        <f t="shared" ca="1" si="13"/>
        <v>3.1536012830780571</v>
      </c>
      <c r="L69">
        <f t="shared" ca="1" si="14"/>
        <v>176.59020256615611</v>
      </c>
      <c r="M69">
        <f t="shared" ca="1" si="15"/>
        <v>163.97579743384387</v>
      </c>
      <c r="N69">
        <f t="shared" ca="1" si="24"/>
        <v>1.0300000000000011</v>
      </c>
      <c r="O69">
        <f t="shared" ca="1" si="25"/>
        <v>1.0300000000000011</v>
      </c>
      <c r="P69">
        <f t="shared" ca="1" si="26"/>
        <v>0</v>
      </c>
      <c r="Q69">
        <f t="shared" ca="1" si="10"/>
        <v>0.54584329338252791</v>
      </c>
      <c r="R69">
        <f t="shared" ca="1" si="11"/>
        <v>0.48132273314894264</v>
      </c>
      <c r="S69">
        <f t="shared" ca="1" si="8"/>
        <v>1.1340484373374065</v>
      </c>
      <c r="T69">
        <f t="shared" ca="1" si="9"/>
        <v>53.140707469242237</v>
      </c>
      <c r="U69">
        <f>70</f>
        <v>70</v>
      </c>
      <c r="V69">
        <f>30</f>
        <v>30</v>
      </c>
      <c r="W69">
        <f t="shared" ca="1" si="7"/>
        <v>170.52689892025043</v>
      </c>
      <c r="X69">
        <f t="shared" ca="1" si="17"/>
        <v>169.76495075997525</v>
      </c>
      <c r="Y69">
        <f t="shared" ca="1" si="16"/>
        <v>0.57971504935161988</v>
      </c>
      <c r="Z69">
        <f t="shared" ca="1" si="18"/>
        <v>0.96074197996308563</v>
      </c>
      <c r="AA69">
        <f t="shared" ca="1" si="19"/>
        <v>-0.38102693061146575</v>
      </c>
    </row>
    <row r="70" spans="1:27" x14ac:dyDescent="0.25">
      <c r="A70" s="20">
        <f t="shared" ca="1" si="20"/>
        <v>45390</v>
      </c>
      <c r="B70" vm="201">
        <f ca="1"/>
        <v>45392</v>
      </c>
      <c r="C70" vm="202">
        <f ca="1"/>
        <v>168.95</v>
      </c>
      <c r="D70" vm="203">
        <f ca="1"/>
        <v>4581676</v>
      </c>
      <c r="E70">
        <f t="shared" ca="1" si="21"/>
        <v>774074160.19999993</v>
      </c>
      <c r="F70">
        <f ca="1">SUM($E$2:E70)/SUM($D$2:D70)</f>
        <v>168.41396819851204</v>
      </c>
      <c r="G70">
        <f ca="1">_xlfn.STDEV.P($C$2:C70)</f>
        <v>2.9995294176884202</v>
      </c>
      <c r="H70">
        <f t="shared" ca="1" si="22"/>
        <v>171.41349761620046</v>
      </c>
      <c r="I70">
        <f t="shared" ca="1" si="23"/>
        <v>165.41443878082362</v>
      </c>
      <c r="J70">
        <f t="shared" ca="1" si="12"/>
        <v>170.50349999999997</v>
      </c>
      <c r="K70">
        <f t="shared" ca="1" si="13"/>
        <v>2.8725676667399824</v>
      </c>
      <c r="L70">
        <f t="shared" ca="1" si="14"/>
        <v>176.24863533347994</v>
      </c>
      <c r="M70">
        <f t="shared" ca="1" si="15"/>
        <v>164.75836466652001</v>
      </c>
      <c r="N70">
        <f t="shared" ca="1" si="24"/>
        <v>-1.660000000000025</v>
      </c>
      <c r="O70">
        <f t="shared" ca="1" si="25"/>
        <v>0</v>
      </c>
      <c r="P70">
        <f t="shared" ca="1" si="26"/>
        <v>1.660000000000025</v>
      </c>
      <c r="Q70">
        <f t="shared" ca="1" si="10"/>
        <v>0.50685448671234734</v>
      </c>
      <c r="R70">
        <f t="shared" ca="1" si="11"/>
        <v>0.56551396649544849</v>
      </c>
      <c r="S70">
        <f t="shared" ca="1" si="8"/>
        <v>0.89627227043282354</v>
      </c>
      <c r="T70">
        <f t="shared" ca="1" si="9"/>
        <v>47.264956852860038</v>
      </c>
      <c r="U70">
        <f>70</f>
        <v>70</v>
      </c>
      <c r="V70">
        <f>30</f>
        <v>30</v>
      </c>
      <c r="W70">
        <f t="shared" ca="1" si="7"/>
        <v>170.28429908636573</v>
      </c>
      <c r="X70">
        <f t="shared" ca="1" si="17"/>
        <v>169.70458403701411</v>
      </c>
      <c r="Y70">
        <f t="shared" ca="1" si="16"/>
        <v>0.38326785362119153</v>
      </c>
      <c r="Z70">
        <f t="shared" ca="1" si="18"/>
        <v>0.84524715469470679</v>
      </c>
      <c r="AA70">
        <f t="shared" ca="1" si="19"/>
        <v>-0.46197930107351526</v>
      </c>
    </row>
    <row r="71" spans="1:27" x14ac:dyDescent="0.25">
      <c r="A71" s="20">
        <f t="shared" ca="1" si="20"/>
        <v>45390</v>
      </c>
      <c r="B71" vm="204">
        <f ca="1"/>
        <v>45393</v>
      </c>
      <c r="C71" vm="205">
        <f ca="1"/>
        <v>168.36</v>
      </c>
      <c r="D71" vm="206">
        <f ca="1"/>
        <v>4241563</v>
      </c>
      <c r="E71">
        <f t="shared" ca="1" si="21"/>
        <v>714109546.68000007</v>
      </c>
      <c r="F71">
        <f ca="1">SUM($E$2:E71)/SUM($D$2:D71)</f>
        <v>168.41340226734545</v>
      </c>
      <c r="G71">
        <f ca="1">_xlfn.STDEV.P($C$2:C71)</f>
        <v>2.9781311116818445</v>
      </c>
      <c r="H71">
        <f t="shared" ca="1" si="22"/>
        <v>171.39153337902729</v>
      </c>
      <c r="I71">
        <f t="shared" ca="1" si="23"/>
        <v>165.4352711556636</v>
      </c>
      <c r="J71">
        <f t="shared" ca="1" si="12"/>
        <v>170.65649999999999</v>
      </c>
      <c r="K71">
        <f t="shared" ca="1" si="13"/>
        <v>2.6540064549955189</v>
      </c>
      <c r="L71">
        <f t="shared" ca="1" si="14"/>
        <v>175.96451290999104</v>
      </c>
      <c r="M71">
        <f t="shared" ca="1" si="15"/>
        <v>165.34848709000894</v>
      </c>
      <c r="N71">
        <f t="shared" ca="1" si="24"/>
        <v>-0.58999999999997499</v>
      </c>
      <c r="O71">
        <f t="shared" ca="1" si="25"/>
        <v>0</v>
      </c>
      <c r="P71">
        <f t="shared" ca="1" si="26"/>
        <v>0.58999999999997499</v>
      </c>
      <c r="Q71">
        <f t="shared" ca="1" si="10"/>
        <v>0.47065059480432253</v>
      </c>
      <c r="R71">
        <f t="shared" ca="1" si="11"/>
        <v>0.56726296888862893</v>
      </c>
      <c r="S71">
        <f t="shared" ca="1" si="8"/>
        <v>0.82968679539652035</v>
      </c>
      <c r="T71">
        <f t="shared" ca="1" si="9"/>
        <v>45.345837193775829</v>
      </c>
      <c r="U71">
        <f>70</f>
        <v>70</v>
      </c>
      <c r="V71">
        <f>30</f>
        <v>30</v>
      </c>
      <c r="W71">
        <f t="shared" ca="1" si="7"/>
        <v>169.98825307307868</v>
      </c>
      <c r="X71">
        <f t="shared" ca="1" si="17"/>
        <v>169.60498521945749</v>
      </c>
      <c r="Y71">
        <f t="shared" ca="1" si="16"/>
        <v>0.20424776746634166</v>
      </c>
      <c r="Z71">
        <f t="shared" ca="1" si="18"/>
        <v>0.71704727724903383</v>
      </c>
      <c r="AA71">
        <f t="shared" ca="1" si="19"/>
        <v>-0.51279950978269218</v>
      </c>
    </row>
    <row r="72" spans="1:27" x14ac:dyDescent="0.25">
      <c r="A72" s="20">
        <f t="shared" ca="1" si="20"/>
        <v>45390</v>
      </c>
      <c r="B72" vm="207">
        <f ca="1"/>
        <v>45394</v>
      </c>
      <c r="C72" vm="208">
        <f ca="1"/>
        <v>168.1</v>
      </c>
      <c r="D72" vm="209">
        <f ca="1"/>
        <v>5453736</v>
      </c>
      <c r="E72">
        <f t="shared" ca="1" si="21"/>
        <v>916773021.60000002</v>
      </c>
      <c r="F72">
        <f ca="1">SUM($E$2:E72)/SUM($D$2:D72)</f>
        <v>168.40923281084054</v>
      </c>
      <c r="G72">
        <f ca="1">_xlfn.STDEV.P($C$2:C72)</f>
        <v>2.9575953750805519</v>
      </c>
      <c r="H72">
        <f t="shared" ca="1" si="22"/>
        <v>171.36682818592109</v>
      </c>
      <c r="I72">
        <f t="shared" ca="1" si="23"/>
        <v>165.45163743575998</v>
      </c>
      <c r="J72">
        <f t="shared" ca="1" si="12"/>
        <v>170.82249999999996</v>
      </c>
      <c r="K72">
        <f t="shared" ca="1" si="13"/>
        <v>2.3539728456154139</v>
      </c>
      <c r="L72">
        <f t="shared" ca="1" si="14"/>
        <v>175.5304456912308</v>
      </c>
      <c r="M72">
        <f t="shared" ca="1" si="15"/>
        <v>166.11455430876913</v>
      </c>
      <c r="N72">
        <f t="shared" ca="1" si="24"/>
        <v>-0.26000000000001933</v>
      </c>
      <c r="O72">
        <f t="shared" ca="1" si="25"/>
        <v>0</v>
      </c>
      <c r="P72">
        <f t="shared" ca="1" si="26"/>
        <v>0.26000000000001933</v>
      </c>
      <c r="Q72">
        <f t="shared" ca="1" si="10"/>
        <v>0.43703269517544235</v>
      </c>
      <c r="R72">
        <f t="shared" ca="1" si="11"/>
        <v>0.54531561396801398</v>
      </c>
      <c r="S72">
        <f t="shared" ca="1" si="8"/>
        <v>0.80143073842201951</v>
      </c>
      <c r="T72">
        <f t="shared" ca="1" si="9"/>
        <v>44.48856796592915</v>
      </c>
      <c r="U72">
        <f>70</f>
        <v>70</v>
      </c>
      <c r="V72">
        <f>30</f>
        <v>30</v>
      </c>
      <c r="W72">
        <f t="shared" ca="1" si="7"/>
        <v>169.69775260029735</v>
      </c>
      <c r="X72">
        <f t="shared" ca="1" si="17"/>
        <v>169.49350483283101</v>
      </c>
      <c r="Y72">
        <f t="shared" ca="1" si="16"/>
        <v>-3.0075636415290319E-2</v>
      </c>
      <c r="Z72">
        <f t="shared" ca="1" si="18"/>
        <v>0.56762269451616898</v>
      </c>
      <c r="AA72">
        <f t="shared" ca="1" si="19"/>
        <v>-0.5976983309314593</v>
      </c>
    </row>
    <row r="73" spans="1:27" x14ac:dyDescent="0.25">
      <c r="A73" s="20">
        <f t="shared" ca="1" si="20"/>
        <v>45397</v>
      </c>
      <c r="B73" vm="210">
        <f ca="1"/>
        <v>45397</v>
      </c>
      <c r="C73" vm="211">
        <f ca="1"/>
        <v>166.95</v>
      </c>
      <c r="D73" vm="212">
        <f ca="1"/>
        <v>5133181</v>
      </c>
      <c r="E73">
        <f t="shared" ca="1" si="21"/>
        <v>856984567.94999993</v>
      </c>
      <c r="F73">
        <f ca="1">SUM($E$2:E73)/SUM($D$2:D73)</f>
        <v>168.39118643711842</v>
      </c>
      <c r="G73">
        <f ca="1">_xlfn.STDEV.P($C$2:C73)</f>
        <v>2.9430233992265595</v>
      </c>
      <c r="H73">
        <f t="shared" ca="1" si="22"/>
        <v>171.33420983634497</v>
      </c>
      <c r="I73">
        <f t="shared" ca="1" si="23"/>
        <v>165.44816303789187</v>
      </c>
      <c r="J73">
        <f t="shared" ca="1" si="12"/>
        <v>170.93699999999998</v>
      </c>
      <c r="K73">
        <f t="shared" ca="1" si="13"/>
        <v>2.0779572459002775</v>
      </c>
      <c r="L73">
        <f t="shared" ca="1" si="14"/>
        <v>175.09291449180054</v>
      </c>
      <c r="M73">
        <f t="shared" ca="1" si="15"/>
        <v>166.78108550819942</v>
      </c>
      <c r="N73">
        <f t="shared" ca="1" si="24"/>
        <v>-1.1500000000000057</v>
      </c>
      <c r="O73">
        <f t="shared" ca="1" si="25"/>
        <v>0</v>
      </c>
      <c r="P73">
        <f t="shared" ca="1" si="26"/>
        <v>1.1500000000000057</v>
      </c>
      <c r="Q73">
        <f t="shared" ca="1" si="10"/>
        <v>0.40581607409148218</v>
      </c>
      <c r="R73">
        <f t="shared" ca="1" si="11"/>
        <v>0.58850735582744196</v>
      </c>
      <c r="S73">
        <f t="shared" ca="1" si="8"/>
        <v>0.68956839718834839</v>
      </c>
      <c r="T73">
        <f t="shared" ca="1" si="9"/>
        <v>40.813286892432167</v>
      </c>
      <c r="U73">
        <f>70</f>
        <v>70</v>
      </c>
      <c r="V73">
        <f>30</f>
        <v>30</v>
      </c>
      <c r="W73">
        <f t="shared" ca="1" si="7"/>
        <v>169.27502143102083</v>
      </c>
      <c r="X73">
        <f t="shared" ca="1" si="17"/>
        <v>169.30509706743612</v>
      </c>
      <c r="Y73">
        <f t="shared" ca="1" si="16"/>
        <v>-0.1694449626882033</v>
      </c>
      <c r="Z73">
        <f t="shared" ca="1" si="18"/>
        <v>0.42020916307529455</v>
      </c>
      <c r="AA73">
        <f t="shared" ca="1" si="19"/>
        <v>-0.58965412576349785</v>
      </c>
    </row>
    <row r="74" spans="1:27" x14ac:dyDescent="0.25">
      <c r="A74" s="20">
        <f t="shared" ca="1" si="20"/>
        <v>45397</v>
      </c>
      <c r="B74" vm="213">
        <f ca="1"/>
        <v>45398</v>
      </c>
      <c r="C74" vm="214">
        <f ca="1"/>
        <v>167.5</v>
      </c>
      <c r="D74" vm="215">
        <f ca="1"/>
        <v>4569689</v>
      </c>
      <c r="E74">
        <f t="shared" ca="1" si="21"/>
        <v>765422907.5</v>
      </c>
      <c r="F74">
        <f ca="1">SUM($E$2:E74)/SUM($D$2:D74)</f>
        <v>168.38148181158044</v>
      </c>
      <c r="G74">
        <f ca="1">_xlfn.STDEV.P($C$2:C74)</f>
        <v>2.9252843766984755</v>
      </c>
      <c r="H74">
        <f t="shared" ca="1" si="22"/>
        <v>171.30676618827891</v>
      </c>
      <c r="I74">
        <f t="shared" ca="1" si="23"/>
        <v>165.45619743488197</v>
      </c>
      <c r="J74">
        <f t="shared" ca="1" si="12"/>
        <v>170.74899999999997</v>
      </c>
      <c r="K74">
        <f t="shared" ca="1" si="13"/>
        <v>2.2129044976657863</v>
      </c>
      <c r="L74">
        <f t="shared" ca="1" si="14"/>
        <v>175.17480899533155</v>
      </c>
      <c r="M74">
        <f t="shared" ca="1" si="15"/>
        <v>166.32319100466839</v>
      </c>
      <c r="N74">
        <f t="shared" ca="1" si="24"/>
        <v>0.55000000000001137</v>
      </c>
      <c r="O74">
        <f t="shared" ca="1" si="25"/>
        <v>0.55000000000001137</v>
      </c>
      <c r="P74">
        <f t="shared" ca="1" si="26"/>
        <v>0</v>
      </c>
      <c r="Q74">
        <f t="shared" ca="1" si="10"/>
        <v>0.41611492594209137</v>
      </c>
      <c r="R74">
        <f t="shared" ca="1" si="11"/>
        <v>0.54647111612548183</v>
      </c>
      <c r="S74">
        <f t="shared" ca="1" si="8"/>
        <v>0.76145822471345803</v>
      </c>
      <c r="T74">
        <f t="shared" ca="1" si="9"/>
        <v>43.228855162734661</v>
      </c>
      <c r="U74">
        <f>70</f>
        <v>70</v>
      </c>
      <c r="V74">
        <f>30</f>
        <v>30</v>
      </c>
      <c r="W74">
        <f t="shared" ca="1" si="7"/>
        <v>169.00194121086378</v>
      </c>
      <c r="X74">
        <f t="shared" ca="1" si="17"/>
        <v>169.17138617355198</v>
      </c>
      <c r="Y74">
        <f t="shared" ca="1" si="16"/>
        <v>-0.11875774010783857</v>
      </c>
      <c r="Z74">
        <f t="shared" ca="1" si="18"/>
        <v>0.31241578243866797</v>
      </c>
      <c r="AA74">
        <f t="shared" ca="1" si="19"/>
        <v>-0.43117352254650654</v>
      </c>
    </row>
    <row r="75" spans="1:27" x14ac:dyDescent="0.25">
      <c r="A75" s="20">
        <f t="shared" ca="1" si="20"/>
        <v>45397</v>
      </c>
      <c r="B75" vm="216">
        <f ca="1"/>
        <v>45399</v>
      </c>
      <c r="C75" vm="217">
        <f ca="1"/>
        <v>169.48</v>
      </c>
      <c r="D75" vm="218">
        <f ca="1"/>
        <v>4069200</v>
      </c>
      <c r="E75">
        <f t="shared" ca="1" si="21"/>
        <v>689648016</v>
      </c>
      <c r="F75">
        <f ca="1">SUM($E$2:E75)/SUM($D$2:D75)</f>
        <v>168.3920317235966</v>
      </c>
      <c r="G75">
        <f ca="1">_xlfn.STDEV.P($C$2:C75)</f>
        <v>2.9075495545182957</v>
      </c>
      <c r="H75">
        <f t="shared" ca="1" si="22"/>
        <v>171.29958127811489</v>
      </c>
      <c r="I75">
        <f t="shared" ca="1" si="23"/>
        <v>165.48448216907832</v>
      </c>
      <c r="J75">
        <f t="shared" ca="1" si="12"/>
        <v>170.63299999999998</v>
      </c>
      <c r="K75">
        <f t="shared" ca="1" si="13"/>
        <v>2.2157168259124567</v>
      </c>
      <c r="L75">
        <f t="shared" ca="1" si="14"/>
        <v>175.06443365182488</v>
      </c>
      <c r="M75">
        <f t="shared" ca="1" si="15"/>
        <v>166.20156634817508</v>
      </c>
      <c r="N75">
        <f t="shared" ca="1" si="24"/>
        <v>1.9799999999999898</v>
      </c>
      <c r="O75">
        <f t="shared" ca="1" si="25"/>
        <v>1.9799999999999898</v>
      </c>
      <c r="P75">
        <f t="shared" ca="1" si="26"/>
        <v>0</v>
      </c>
      <c r="Q75">
        <f t="shared" ca="1" si="10"/>
        <v>0.52782100266051268</v>
      </c>
      <c r="R75">
        <f t="shared" ca="1" si="11"/>
        <v>0.50743746497366171</v>
      </c>
      <c r="S75">
        <f t="shared" ca="1" si="8"/>
        <v>1.0401695560415685</v>
      </c>
      <c r="T75">
        <f t="shared" ca="1" si="9"/>
        <v>50.984466117598267</v>
      </c>
      <c r="U75">
        <f>70</f>
        <v>70</v>
      </c>
      <c r="V75">
        <f>30</f>
        <v>30</v>
      </c>
      <c r="W75">
        <f t="shared" ca="1" si="7"/>
        <v>169.07548871688473</v>
      </c>
      <c r="X75">
        <f t="shared" ca="1" si="17"/>
        <v>169.19424645699257</v>
      </c>
      <c r="Y75">
        <f t="shared" ca="1" si="16"/>
        <v>0.14487193843925184</v>
      </c>
      <c r="Z75">
        <f t="shared" ca="1" si="18"/>
        <v>0.27890701363878473</v>
      </c>
      <c r="AA75">
        <f t="shared" ca="1" si="19"/>
        <v>-0.13403507519953289</v>
      </c>
    </row>
    <row r="76" spans="1:27" x14ac:dyDescent="0.25">
      <c r="A76" s="20">
        <f t="shared" ca="1" si="20"/>
        <v>45397</v>
      </c>
      <c r="B76" vm="219">
        <f ca="1"/>
        <v>45400</v>
      </c>
      <c r="C76" vm="220">
        <f ca="1"/>
        <v>172.27</v>
      </c>
      <c r="D76" vm="221">
        <f ca="1"/>
        <v>5574662</v>
      </c>
      <c r="E76">
        <f t="shared" ca="1" si="21"/>
        <v>960347022.74000001</v>
      </c>
      <c r="F76">
        <f ca="1">SUM($E$2:E76)/SUM($D$2:D76)</f>
        <v>168.44239090572955</v>
      </c>
      <c r="G76">
        <f ca="1">_xlfn.STDEV.P($C$2:C76)</f>
        <v>2.9196752209030965</v>
      </c>
      <c r="H76">
        <f t="shared" ca="1" si="22"/>
        <v>171.36206612663264</v>
      </c>
      <c r="I76">
        <f t="shared" ca="1" si="23"/>
        <v>165.52271568482647</v>
      </c>
      <c r="J76">
        <f t="shared" ca="1" si="12"/>
        <v>170.65350000000001</v>
      </c>
      <c r="K76">
        <f t="shared" ca="1" si="13"/>
        <v>2.2295203047906242</v>
      </c>
      <c r="L76">
        <f t="shared" ca="1" si="14"/>
        <v>175.11254060958126</v>
      </c>
      <c r="M76">
        <f t="shared" ca="1" si="15"/>
        <v>166.19445939041876</v>
      </c>
      <c r="N76">
        <f t="shared" ca="1" si="24"/>
        <v>2.7900000000000205</v>
      </c>
      <c r="O76">
        <f t="shared" ca="1" si="25"/>
        <v>2.7900000000000205</v>
      </c>
      <c r="P76">
        <f t="shared" ca="1" si="26"/>
        <v>0</v>
      </c>
      <c r="Q76">
        <f t="shared" ca="1" si="10"/>
        <v>0.68940521675619182</v>
      </c>
      <c r="R76">
        <f t="shared" ca="1" si="11"/>
        <v>0.47119193176125729</v>
      </c>
      <c r="S76">
        <f t="shared" ca="1" si="8"/>
        <v>1.463109128756259</v>
      </c>
      <c r="T76">
        <f t="shared" ca="1" si="9"/>
        <v>59.400905614565787</v>
      </c>
      <c r="U76">
        <f>70</f>
        <v>70</v>
      </c>
      <c r="V76">
        <f>30</f>
        <v>30</v>
      </c>
      <c r="W76">
        <f t="shared" ca="1" si="7"/>
        <v>169.56695199121015</v>
      </c>
      <c r="X76">
        <f t="shared" ca="1" si="17"/>
        <v>169.42208005277089</v>
      </c>
      <c r="Y76">
        <f t="shared" ca="1" si="16"/>
        <v>0.49814451350101763</v>
      </c>
      <c r="Z76">
        <f t="shared" ca="1" si="18"/>
        <v>0.32275451361123131</v>
      </c>
      <c r="AA76">
        <f t="shared" ca="1" si="19"/>
        <v>0.17538999988978632</v>
      </c>
    </row>
    <row r="77" spans="1:27" x14ac:dyDescent="0.25">
      <c r="A77" s="20">
        <f t="shared" ca="1" si="20"/>
        <v>45397</v>
      </c>
      <c r="B77" vm="222">
        <f ca="1"/>
        <v>45401</v>
      </c>
      <c r="C77" vm="223">
        <f ca="1"/>
        <v>174.13</v>
      </c>
      <c r="D77" vm="224">
        <f ca="1"/>
        <v>6636697</v>
      </c>
      <c r="E77">
        <f t="shared" ca="1" si="21"/>
        <v>1155648048.6099999</v>
      </c>
      <c r="F77">
        <f ca="1">SUM($E$2:E77)/SUM($D$2:D77)</f>
        <v>168.52898231539785</v>
      </c>
      <c r="G77">
        <f ca="1">_xlfn.STDEV.P($C$2:C77)</f>
        <v>2.9684001375709599</v>
      </c>
      <c r="H77">
        <f t="shared" ca="1" si="22"/>
        <v>171.49738245296882</v>
      </c>
      <c r="I77">
        <f t="shared" ca="1" si="23"/>
        <v>165.56058217782689</v>
      </c>
      <c r="J77">
        <f t="shared" ca="1" si="12"/>
        <v>170.73750000000001</v>
      </c>
      <c r="K77">
        <f t="shared" ca="1" si="13"/>
        <v>2.3301454099645675</v>
      </c>
      <c r="L77">
        <f t="shared" ca="1" si="14"/>
        <v>175.39779081992916</v>
      </c>
      <c r="M77">
        <f t="shared" ca="1" si="15"/>
        <v>166.07720918007087</v>
      </c>
      <c r="N77">
        <f t="shared" ca="1" si="24"/>
        <v>1.8599999999999852</v>
      </c>
      <c r="O77">
        <f t="shared" ca="1" si="25"/>
        <v>1.8599999999999852</v>
      </c>
      <c r="P77">
        <f t="shared" ca="1" si="26"/>
        <v>0</v>
      </c>
      <c r="Q77">
        <f t="shared" ca="1" si="10"/>
        <v>0.77301912984503418</v>
      </c>
      <c r="R77">
        <f t="shared" ca="1" si="11"/>
        <v>0.43753536520688174</v>
      </c>
      <c r="S77">
        <f t="shared" ca="1" si="8"/>
        <v>1.766758052756545</v>
      </c>
      <c r="T77">
        <f t="shared" ca="1" si="9"/>
        <v>63.856615543101384</v>
      </c>
      <c r="U77">
        <f>70</f>
        <v>70</v>
      </c>
      <c r="V77">
        <f>30</f>
        <v>30</v>
      </c>
      <c r="W77">
        <f t="shared" ca="1" si="7"/>
        <v>170.26895937717779</v>
      </c>
      <c r="X77">
        <f t="shared" ca="1" si="17"/>
        <v>169.77081486367678</v>
      </c>
      <c r="Y77">
        <f t="shared" ca="1" si="16"/>
        <v>0.95511710634431779</v>
      </c>
      <c r="Z77">
        <f t="shared" ca="1" si="18"/>
        <v>0.44922703215784865</v>
      </c>
      <c r="AA77">
        <f t="shared" ca="1" si="19"/>
        <v>0.50589007418646914</v>
      </c>
    </row>
    <row r="78" spans="1:27" x14ac:dyDescent="0.25">
      <c r="A78" s="20">
        <f t="shared" ca="1" si="20"/>
        <v>45404</v>
      </c>
      <c r="B78" vm="225">
        <f ca="1"/>
        <v>45404</v>
      </c>
      <c r="C78" vm="226">
        <f ca="1"/>
        <v>176.46</v>
      </c>
      <c r="D78" vm="227">
        <f ca="1"/>
        <v>7288701</v>
      </c>
      <c r="E78">
        <f t="shared" ca="1" si="21"/>
        <v>1286164178.46</v>
      </c>
      <c r="F78">
        <f ca="1">SUM($E$2:E78)/SUM($D$2:D78)</f>
        <v>168.65941026043691</v>
      </c>
      <c r="G78">
        <f ca="1">_xlfn.STDEV.P($C$2:C78)</f>
        <v>3.0784723383412418</v>
      </c>
      <c r="H78">
        <f t="shared" ca="1" si="22"/>
        <v>171.73788259877816</v>
      </c>
      <c r="I78">
        <f t="shared" ca="1" si="23"/>
        <v>165.58093792209567</v>
      </c>
      <c r="J78">
        <f t="shared" ca="1" si="12"/>
        <v>170.95949999999999</v>
      </c>
      <c r="K78">
        <f t="shared" ca="1" si="13"/>
        <v>2.6485198945031438</v>
      </c>
      <c r="L78">
        <f t="shared" ca="1" si="14"/>
        <v>176.25653978900627</v>
      </c>
      <c r="M78">
        <f t="shared" ca="1" si="15"/>
        <v>165.66246021099371</v>
      </c>
      <c r="N78">
        <f t="shared" ca="1" si="24"/>
        <v>2.3300000000000125</v>
      </c>
      <c r="O78">
        <f t="shared" ca="1" si="25"/>
        <v>2.3300000000000125</v>
      </c>
      <c r="P78">
        <f t="shared" ca="1" si="26"/>
        <v>0</v>
      </c>
      <c r="Q78">
        <f t="shared" ca="1" si="10"/>
        <v>0.88423204914181841</v>
      </c>
      <c r="R78">
        <f t="shared" ca="1" si="11"/>
        <v>0.40628283912067592</v>
      </c>
      <c r="S78">
        <f t="shared" ca="1" si="8"/>
        <v>2.1763952695013531</v>
      </c>
      <c r="T78">
        <f t="shared" ca="1" si="9"/>
        <v>68.5177720291409</v>
      </c>
      <c r="U78">
        <f>70</f>
        <v>70</v>
      </c>
      <c r="V78">
        <f>30</f>
        <v>30</v>
      </c>
      <c r="W78">
        <f t="shared" ca="1" si="7"/>
        <v>171.22142716530431</v>
      </c>
      <c r="X78">
        <f t="shared" ca="1" si="17"/>
        <v>170.26631005895999</v>
      </c>
      <c r="Y78">
        <f t="shared" ca="1" si="16"/>
        <v>0.88425384311503308</v>
      </c>
      <c r="Z78">
        <f t="shared" ca="1" si="18"/>
        <v>0.5362323943492856</v>
      </c>
      <c r="AA78">
        <f t="shared" ca="1" si="19"/>
        <v>0.34802144876574748</v>
      </c>
    </row>
    <row r="79" spans="1:27" x14ac:dyDescent="0.25">
      <c r="A79" s="20">
        <f t="shared" ca="1" si="20"/>
        <v>45404</v>
      </c>
      <c r="B79" vm="228">
        <f ca="1"/>
        <v>45405</v>
      </c>
      <c r="C79" vm="229">
        <f ca="1"/>
        <v>171.22</v>
      </c>
      <c r="D79" vm="230">
        <f ca="1"/>
        <v>9145041</v>
      </c>
      <c r="E79">
        <f t="shared" ca="1" si="21"/>
        <v>1565813920.02</v>
      </c>
      <c r="F79">
        <f ca="1">SUM($E$2:E79)/SUM($D$2:D79)</f>
        <v>168.71117658722002</v>
      </c>
      <c r="G79">
        <f ca="1">_xlfn.STDEV.P($C$2:C79)</f>
        <v>3.0711642154720069</v>
      </c>
      <c r="H79">
        <f t="shared" ca="1" si="22"/>
        <v>171.78234080269203</v>
      </c>
      <c r="I79">
        <f t="shared" ca="1" si="23"/>
        <v>165.64001237174801</v>
      </c>
      <c r="J79">
        <f t="shared" ca="1" si="12"/>
        <v>170.8905</v>
      </c>
      <c r="K79">
        <f t="shared" ca="1" si="13"/>
        <v>2.6213686160196223</v>
      </c>
      <c r="L79">
        <f t="shared" ca="1" si="14"/>
        <v>176.13323723203925</v>
      </c>
      <c r="M79">
        <f t="shared" ca="1" si="15"/>
        <v>165.64776276796076</v>
      </c>
      <c r="N79">
        <f t="shared" ca="1" si="24"/>
        <v>-5.2400000000000091</v>
      </c>
      <c r="O79">
        <f t="shared" ca="1" si="25"/>
        <v>0</v>
      </c>
      <c r="P79">
        <f t="shared" ca="1" si="26"/>
        <v>5.2400000000000091</v>
      </c>
      <c r="Q79">
        <f t="shared" ca="1" si="10"/>
        <v>0.82107261706025991</v>
      </c>
      <c r="R79">
        <f t="shared" ca="1" si="11"/>
        <v>0.75154835061205694</v>
      </c>
      <c r="S79">
        <f t="shared" ca="1" si="8"/>
        <v>1.0925080420861581</v>
      </c>
      <c r="T79">
        <f t="shared" ca="1" si="9"/>
        <v>52.210458460028924</v>
      </c>
      <c r="U79">
        <f>70</f>
        <v>70</v>
      </c>
      <c r="V79">
        <f>30</f>
        <v>30</v>
      </c>
      <c r="W79">
        <f t="shared" ref="W79:W142" ca="1" si="27">C79*(2/(12+1)) + W78*(1-(2/(12+1)))</f>
        <v>171.22120760141132</v>
      </c>
      <c r="X79">
        <f t="shared" ca="1" si="17"/>
        <v>170.33695375829629</v>
      </c>
      <c r="Y79">
        <f t="shared" ca="1" si="16"/>
        <v>1.3124463993528934</v>
      </c>
      <c r="Z79">
        <f t="shared" ca="1" si="18"/>
        <v>0.69147519535000712</v>
      </c>
      <c r="AA79">
        <f t="shared" ca="1" si="19"/>
        <v>0.6209712040028863</v>
      </c>
    </row>
    <row r="80" spans="1:27" x14ac:dyDescent="0.25">
      <c r="A80" s="20">
        <f t="shared" ca="1" si="20"/>
        <v>45404</v>
      </c>
      <c r="B80" vm="231">
        <f ca="1"/>
        <v>45406</v>
      </c>
      <c r="C80" vm="232">
        <f ca="1"/>
        <v>177.41</v>
      </c>
      <c r="D80" vm="233">
        <f ca="1"/>
        <v>10016685</v>
      </c>
      <c r="E80">
        <f t="shared" ca="1" si="21"/>
        <v>1777060085.8499999</v>
      </c>
      <c r="F80">
        <f ca="1">SUM($E$2:E80)/SUM($D$2:D80)</f>
        <v>168.89962581572539</v>
      </c>
      <c r="G80">
        <f ca="1">_xlfn.STDEV.P($C$2:C80)</f>
        <v>3.2001360680492628</v>
      </c>
      <c r="H80">
        <f t="shared" ca="1" si="22"/>
        <v>172.09976188377465</v>
      </c>
      <c r="I80">
        <f t="shared" ca="1" si="23"/>
        <v>165.69948974767613</v>
      </c>
      <c r="J80">
        <f t="shared" ca="1" si="12"/>
        <v>171.12449999999998</v>
      </c>
      <c r="K80">
        <f t="shared" ca="1" si="13"/>
        <v>2.9787395338509066</v>
      </c>
      <c r="L80">
        <f t="shared" ca="1" si="14"/>
        <v>177.08197906770181</v>
      </c>
      <c r="M80">
        <f t="shared" ca="1" si="15"/>
        <v>165.16702093229816</v>
      </c>
      <c r="N80">
        <f t="shared" ca="1" si="24"/>
        <v>6.1899999999999977</v>
      </c>
      <c r="O80">
        <f t="shared" ca="1" si="25"/>
        <v>6.1899999999999977</v>
      </c>
      <c r="P80">
        <f t="shared" ca="1" si="26"/>
        <v>0</v>
      </c>
      <c r="Q80">
        <f t="shared" ca="1" si="10"/>
        <v>1.2045674301273839</v>
      </c>
      <c r="R80">
        <f t="shared" ca="1" si="11"/>
        <v>0.69786632556833861</v>
      </c>
      <c r="S80">
        <f t="shared" ref="S80:S143" ca="1" si="28">IF(R80=0,NA(),Q80/R80)</f>
        <v>1.7260718650472073</v>
      </c>
      <c r="T80">
        <f t="shared" ref="T80:T143" ca="1" si="29">100-(100/(1+S80))</f>
        <v>63.317181295853949</v>
      </c>
      <c r="U80">
        <f>70</f>
        <v>70</v>
      </c>
      <c r="V80">
        <f>30</f>
        <v>30</v>
      </c>
      <c r="W80">
        <f t="shared" ca="1" si="27"/>
        <v>172.1733295088865</v>
      </c>
      <c r="X80">
        <f t="shared" ca="1" si="17"/>
        <v>170.8608831095336</v>
      </c>
      <c r="Y80">
        <f t="shared" ca="1" si="16"/>
        <v>1.5747346254725585</v>
      </c>
      <c r="Z80">
        <f t="shared" ca="1" si="18"/>
        <v>0.86812708137451744</v>
      </c>
      <c r="AA80">
        <f t="shared" ca="1" si="19"/>
        <v>0.70660754409804105</v>
      </c>
    </row>
    <row r="81" spans="1:27" x14ac:dyDescent="0.25">
      <c r="A81" s="20">
        <f t="shared" ca="1" si="20"/>
        <v>45404</v>
      </c>
      <c r="B81" vm="234">
        <f ca="1"/>
        <v>45407</v>
      </c>
      <c r="C81" vm="235">
        <f ca="1"/>
        <v>176.68</v>
      </c>
      <c r="D81" vm="236">
        <f ca="1"/>
        <v>7441497</v>
      </c>
      <c r="E81">
        <f t="shared" ca="1" si="21"/>
        <v>1314763689.96</v>
      </c>
      <c r="F81">
        <f ca="1">SUM($E$2:E81)/SUM($D$2:D81)</f>
        <v>169.02286154616516</v>
      </c>
      <c r="G81">
        <f ca="1">_xlfn.STDEV.P($C$2:C81)</f>
        <v>3.2954193374098835</v>
      </c>
      <c r="H81">
        <f t="shared" ca="1" si="22"/>
        <v>172.31828088357506</v>
      </c>
      <c r="I81">
        <f t="shared" ca="1" si="23"/>
        <v>165.72744220875526</v>
      </c>
      <c r="J81">
        <f t="shared" ca="1" si="12"/>
        <v>171.27999999999997</v>
      </c>
      <c r="K81">
        <f t="shared" ca="1" si="13"/>
        <v>3.1870164235865701</v>
      </c>
      <c r="L81">
        <f t="shared" ca="1" si="14"/>
        <v>177.65403284717311</v>
      </c>
      <c r="M81">
        <f t="shared" ca="1" si="15"/>
        <v>164.90596715282683</v>
      </c>
      <c r="N81">
        <f t="shared" ca="1" si="24"/>
        <v>-0.72999999999998977</v>
      </c>
      <c r="O81">
        <f t="shared" ca="1" si="25"/>
        <v>0</v>
      </c>
      <c r="P81">
        <f t="shared" ca="1" si="26"/>
        <v>0.72999999999998977</v>
      </c>
      <c r="Q81">
        <f t="shared" ref="Q81:Q144" ca="1" si="30">(Q80*13+O81)/14</f>
        <v>1.1185268994039992</v>
      </c>
      <c r="R81">
        <f t="shared" ref="R81:R144" ca="1" si="31">(R80*13+P81)/14</f>
        <v>0.70016158802774231</v>
      </c>
      <c r="S81">
        <f t="shared" ca="1" si="28"/>
        <v>1.5975267974279104</v>
      </c>
      <c r="T81">
        <f t="shared" ca="1" si="29"/>
        <v>61.501840866850458</v>
      </c>
      <c r="U81">
        <f>70</f>
        <v>70</v>
      </c>
      <c r="V81">
        <f>30</f>
        <v>30</v>
      </c>
      <c r="W81">
        <f t="shared" ca="1" si="27"/>
        <v>172.86666343059625</v>
      </c>
      <c r="X81">
        <f t="shared" ca="1" si="17"/>
        <v>171.29192880512369</v>
      </c>
      <c r="Y81">
        <f t="shared" ca="1" si="16"/>
        <v>1.6745361174412778</v>
      </c>
      <c r="Z81">
        <f t="shared" ca="1" si="18"/>
        <v>1.0294088885878696</v>
      </c>
      <c r="AA81">
        <f t="shared" ca="1" si="19"/>
        <v>0.64512722885340823</v>
      </c>
    </row>
    <row r="82" spans="1:27" x14ac:dyDescent="0.25">
      <c r="A82" s="20">
        <f t="shared" ca="1" si="20"/>
        <v>45404</v>
      </c>
      <c r="B82" vm="237">
        <f ca="1"/>
        <v>45408</v>
      </c>
      <c r="C82" vm="238">
        <f ca="1"/>
        <v>175.58</v>
      </c>
      <c r="D82" vm="239">
        <f ca="1"/>
        <v>4472102</v>
      </c>
      <c r="E82">
        <f t="shared" ca="1" si="21"/>
        <v>785211669.16000009</v>
      </c>
      <c r="F82">
        <f ca="1">SUM($E$2:E82)/SUM($D$2:D82)</f>
        <v>169.08468986547547</v>
      </c>
      <c r="G82">
        <f ca="1">_xlfn.STDEV.P($C$2:C82)</f>
        <v>3.3546836411145522</v>
      </c>
      <c r="H82">
        <f t="shared" ca="1" si="22"/>
        <v>172.43937350659002</v>
      </c>
      <c r="I82">
        <f t="shared" ca="1" si="23"/>
        <v>165.73000622436092</v>
      </c>
      <c r="J82">
        <f t="shared" ca="1" si="12"/>
        <v>171.30849999999995</v>
      </c>
      <c r="K82">
        <f t="shared" ca="1" si="13"/>
        <v>3.2244563393245911</v>
      </c>
      <c r="L82">
        <f t="shared" ca="1" si="14"/>
        <v>177.75741267864913</v>
      </c>
      <c r="M82">
        <f t="shared" ca="1" si="15"/>
        <v>164.85958732135077</v>
      </c>
      <c r="N82">
        <f t="shared" ca="1" si="24"/>
        <v>-1.0999999999999943</v>
      </c>
      <c r="O82">
        <f t="shared" ca="1" si="25"/>
        <v>0</v>
      </c>
      <c r="P82">
        <f t="shared" ca="1" si="26"/>
        <v>1.0999999999999943</v>
      </c>
      <c r="Q82">
        <f t="shared" ca="1" si="30"/>
        <v>1.0386321208751421</v>
      </c>
      <c r="R82">
        <f t="shared" ca="1" si="31"/>
        <v>0.72872147459718895</v>
      </c>
      <c r="S82">
        <f t="shared" ca="1" si="28"/>
        <v>1.4252799692080718</v>
      </c>
      <c r="T82">
        <f t="shared" ca="1" si="29"/>
        <v>58.767646923397031</v>
      </c>
      <c r="U82">
        <f>70</f>
        <v>70</v>
      </c>
      <c r="V82">
        <f>30</f>
        <v>30</v>
      </c>
      <c r="W82">
        <f t="shared" ca="1" si="27"/>
        <v>173.28409982588914</v>
      </c>
      <c r="X82">
        <f t="shared" ca="1" si="17"/>
        <v>171.60956370844787</v>
      </c>
      <c r="Y82">
        <f t="shared" ca="1" si="16"/>
        <v>1.7783175015484858</v>
      </c>
      <c r="Z82">
        <f t="shared" ca="1" si="18"/>
        <v>1.179190611179993</v>
      </c>
      <c r="AA82">
        <f t="shared" ca="1" si="19"/>
        <v>0.59912689036849276</v>
      </c>
    </row>
    <row r="83" spans="1:27" x14ac:dyDescent="0.25">
      <c r="A83" s="20">
        <f t="shared" ca="1" si="20"/>
        <v>45411</v>
      </c>
      <c r="B83" vm="240">
        <f ca="1"/>
        <v>45411</v>
      </c>
      <c r="C83" vm="241">
        <f ca="1"/>
        <v>176.14</v>
      </c>
      <c r="D83" vm="242">
        <f ca="1"/>
        <v>3224473</v>
      </c>
      <c r="E83">
        <f t="shared" ca="1" si="21"/>
        <v>567958674.21999991</v>
      </c>
      <c r="F83">
        <f ca="1">SUM($E$2:E83)/SUM($D$2:D83)</f>
        <v>169.13233226572615</v>
      </c>
      <c r="G83">
        <f ca="1">_xlfn.STDEV.P($C$2:C83)</f>
        <v>3.4230335392668678</v>
      </c>
      <c r="H83">
        <f t="shared" ca="1" si="22"/>
        <v>172.55536580499302</v>
      </c>
      <c r="I83">
        <f t="shared" ca="1" si="23"/>
        <v>165.70929872645928</v>
      </c>
      <c r="J83">
        <f t="shared" ca="1" si="12"/>
        <v>171.46649999999997</v>
      </c>
      <c r="K83">
        <f t="shared" ca="1" si="13"/>
        <v>3.3841383494799766</v>
      </c>
      <c r="L83">
        <f t="shared" ca="1" si="14"/>
        <v>178.23477669895993</v>
      </c>
      <c r="M83">
        <f t="shared" ca="1" si="15"/>
        <v>164.69822330104</v>
      </c>
      <c r="N83">
        <f t="shared" ca="1" si="24"/>
        <v>0.55999999999997385</v>
      </c>
      <c r="O83">
        <f t="shared" ca="1" si="25"/>
        <v>0.55999999999997385</v>
      </c>
      <c r="P83">
        <f t="shared" ca="1" si="26"/>
        <v>0</v>
      </c>
      <c r="Q83">
        <f t="shared" ca="1" si="30"/>
        <v>1.0044441122412016</v>
      </c>
      <c r="R83">
        <f t="shared" ca="1" si="31"/>
        <v>0.67666994069738973</v>
      </c>
      <c r="S83">
        <f t="shared" ca="1" si="28"/>
        <v>1.4843929836841889</v>
      </c>
      <c r="T83">
        <f t="shared" ca="1" si="29"/>
        <v>59.748719040533324</v>
      </c>
      <c r="U83">
        <f>70</f>
        <v>70</v>
      </c>
      <c r="V83">
        <f>30</f>
        <v>30</v>
      </c>
      <c r="W83">
        <f t="shared" ca="1" si="27"/>
        <v>173.72346908344466</v>
      </c>
      <c r="X83">
        <f t="shared" ca="1" si="17"/>
        <v>171.94515158189617</v>
      </c>
      <c r="Y83">
        <f t="shared" ca="1" si="16"/>
        <v>1.8210143979111137</v>
      </c>
      <c r="Z83">
        <f t="shared" ca="1" si="18"/>
        <v>1.3075553685262173</v>
      </c>
      <c r="AA83">
        <f t="shared" ca="1" si="19"/>
        <v>0.5134590293848964</v>
      </c>
    </row>
    <row r="84" spans="1:27" x14ac:dyDescent="0.25">
      <c r="A84" s="20">
        <f t="shared" ca="1" si="20"/>
        <v>45411</v>
      </c>
      <c r="B84" vm="243">
        <f ca="1"/>
        <v>45412</v>
      </c>
      <c r="C84" vm="244">
        <f ca="1"/>
        <v>175.91</v>
      </c>
      <c r="D84" vm="245">
        <f ca="1"/>
        <v>4465331</v>
      </c>
      <c r="E84">
        <f t="shared" ca="1" si="21"/>
        <v>785496376.21000004</v>
      </c>
      <c r="F84">
        <f ca="1">SUM($E$2:E84)/SUM($D$2:D84)</f>
        <v>169.19512513962485</v>
      </c>
      <c r="G84">
        <f ca="1">_xlfn.STDEV.P($C$2:C84)</f>
        <v>3.4810055100934014</v>
      </c>
      <c r="H84">
        <f t="shared" ca="1" si="22"/>
        <v>172.67613064971826</v>
      </c>
      <c r="I84">
        <f t="shared" ca="1" si="23"/>
        <v>165.71411962953144</v>
      </c>
      <c r="J84">
        <f t="shared" ca="1" si="12"/>
        <v>171.68999999999997</v>
      </c>
      <c r="K84">
        <f t="shared" ca="1" si="13"/>
        <v>3.526892175989031</v>
      </c>
      <c r="L84">
        <f t="shared" ca="1" si="14"/>
        <v>178.74378435197804</v>
      </c>
      <c r="M84">
        <f t="shared" ca="1" si="15"/>
        <v>164.6362156480219</v>
      </c>
      <c r="N84">
        <f t="shared" ca="1" si="24"/>
        <v>-0.22999999999998977</v>
      </c>
      <c r="O84">
        <f t="shared" ca="1" si="25"/>
        <v>0</v>
      </c>
      <c r="P84">
        <f t="shared" ca="1" si="26"/>
        <v>0.22999999999998977</v>
      </c>
      <c r="Q84">
        <f t="shared" ca="1" si="30"/>
        <v>0.93269810422397292</v>
      </c>
      <c r="R84">
        <f t="shared" ca="1" si="31"/>
        <v>0.64476494493328984</v>
      </c>
      <c r="S84">
        <f t="shared" ca="1" si="28"/>
        <v>1.4465707410946076</v>
      </c>
      <c r="T84">
        <f t="shared" ca="1" si="29"/>
        <v>59.126462881159313</v>
      </c>
      <c r="U84">
        <f>70</f>
        <v>70</v>
      </c>
      <c r="V84">
        <f>30</f>
        <v>30</v>
      </c>
      <c r="W84">
        <f t="shared" ca="1" si="27"/>
        <v>174.05985845522238</v>
      </c>
      <c r="X84">
        <f t="shared" ca="1" si="17"/>
        <v>172.23884405731127</v>
      </c>
      <c r="Y84">
        <f t="shared" ca="1" si="16"/>
        <v>1.7730873007831462</v>
      </c>
      <c r="Z84">
        <f t="shared" ca="1" si="18"/>
        <v>1.400661754977603</v>
      </c>
      <c r="AA84">
        <f t="shared" ca="1" si="19"/>
        <v>0.37242554580554321</v>
      </c>
    </row>
    <row r="85" spans="1:27" x14ac:dyDescent="0.25">
      <c r="A85" s="20">
        <f t="shared" ca="1" si="20"/>
        <v>45411</v>
      </c>
      <c r="B85" vm="246">
        <f ca="1"/>
        <v>45413</v>
      </c>
      <c r="C85" vm="247">
        <f ca="1"/>
        <v>175.15</v>
      </c>
      <c r="D85" vm="248">
        <f ca="1"/>
        <v>4340495</v>
      </c>
      <c r="E85">
        <f t="shared" ca="1" si="21"/>
        <v>760237699.25</v>
      </c>
      <c r="F85">
        <f ca="1">SUM($E$2:E85)/SUM($D$2:D85)</f>
        <v>169.24827409397719</v>
      </c>
      <c r="G85">
        <f ca="1">_xlfn.STDEV.P($C$2:C85)</f>
        <v>3.5189535617142109</v>
      </c>
      <c r="H85">
        <f t="shared" ca="1" si="22"/>
        <v>172.76722765569139</v>
      </c>
      <c r="I85">
        <f t="shared" ca="1" si="23"/>
        <v>165.72932053226299</v>
      </c>
      <c r="J85">
        <f t="shared" ca="1" si="12"/>
        <v>171.96349999999998</v>
      </c>
      <c r="K85">
        <f t="shared" ca="1" si="13"/>
        <v>3.5745876096337854</v>
      </c>
      <c r="L85">
        <f t="shared" ca="1" si="14"/>
        <v>179.11267521926754</v>
      </c>
      <c r="M85">
        <f t="shared" ca="1" si="15"/>
        <v>164.81432478073242</v>
      </c>
      <c r="N85">
        <f t="shared" ca="1" si="24"/>
        <v>-0.75999999999999091</v>
      </c>
      <c r="O85">
        <f t="shared" ca="1" si="25"/>
        <v>0</v>
      </c>
      <c r="P85">
        <f t="shared" ca="1" si="26"/>
        <v>0.75999999999999091</v>
      </c>
      <c r="Q85">
        <f t="shared" ca="1" si="30"/>
        <v>0.86607681106511769</v>
      </c>
      <c r="R85">
        <f t="shared" ca="1" si="31"/>
        <v>0.6529960202951971</v>
      </c>
      <c r="S85">
        <f t="shared" ca="1" si="28"/>
        <v>1.3263125411906709</v>
      </c>
      <c r="T85">
        <f t="shared" ca="1" si="29"/>
        <v>57.0135146377119</v>
      </c>
      <c r="U85">
        <f>70</f>
        <v>70</v>
      </c>
      <c r="V85">
        <f>30</f>
        <v>30</v>
      </c>
      <c r="W85">
        <f t="shared" ca="1" si="27"/>
        <v>174.22757253903433</v>
      </c>
      <c r="X85">
        <f t="shared" ca="1" si="17"/>
        <v>172.45448523825118</v>
      </c>
      <c r="Y85">
        <f t="shared" ca="1" si="16"/>
        <v>1.7392630816568726</v>
      </c>
      <c r="Z85">
        <f t="shared" ca="1" si="18"/>
        <v>1.4683820203134572</v>
      </c>
      <c r="AA85">
        <f t="shared" ca="1" si="19"/>
        <v>0.27088106134341539</v>
      </c>
    </row>
    <row r="86" spans="1:27" x14ac:dyDescent="0.25">
      <c r="A86" s="20">
        <f t="shared" ca="1" si="20"/>
        <v>45411</v>
      </c>
      <c r="B86" vm="249">
        <f ca="1"/>
        <v>45414</v>
      </c>
      <c r="C86" vm="250">
        <f ca="1"/>
        <v>175.45</v>
      </c>
      <c r="D86" vm="251">
        <f ca="1"/>
        <v>3964773</v>
      </c>
      <c r="E86">
        <f t="shared" ca="1" si="21"/>
        <v>695619422.8499999</v>
      </c>
      <c r="F86">
        <f ca="1">SUM($E$2:E86)/SUM($D$2:D86)</f>
        <v>169.29842599563233</v>
      </c>
      <c r="G86">
        <f ca="1">_xlfn.STDEV.P($C$2:C86)</f>
        <v>3.5601435374041324</v>
      </c>
      <c r="H86">
        <f t="shared" ca="1" si="22"/>
        <v>172.85856953303647</v>
      </c>
      <c r="I86">
        <f t="shared" ca="1" si="23"/>
        <v>165.73828245822818</v>
      </c>
      <c r="J86">
        <f t="shared" ref="J86:J149" ca="1" si="32">AVERAGE(C67:C86)</f>
        <v>172.25349999999997</v>
      </c>
      <c r="K86">
        <f t="shared" ref="K86:K149" ca="1" si="33">_xlfn.STDEV.S(C67:C86)</f>
        <v>3.612094122163545</v>
      </c>
      <c r="L86">
        <f t="shared" ref="L86:L149" ca="1" si="34">J86 + 2*K86</f>
        <v>179.47768824432706</v>
      </c>
      <c r="M86">
        <f t="shared" ref="M86:M149" ca="1" si="35">J86-2*K86</f>
        <v>165.02931175567289</v>
      </c>
      <c r="N86">
        <f t="shared" ca="1" si="24"/>
        <v>0.29999999999998295</v>
      </c>
      <c r="O86">
        <f t="shared" ca="1" si="25"/>
        <v>0.29999999999998295</v>
      </c>
      <c r="P86">
        <f t="shared" ca="1" si="26"/>
        <v>0</v>
      </c>
      <c r="Q86">
        <f t="shared" ca="1" si="30"/>
        <v>0.82564275313189384</v>
      </c>
      <c r="R86">
        <f t="shared" ca="1" si="31"/>
        <v>0.60635344741696873</v>
      </c>
      <c r="S86">
        <f t="shared" ca="1" si="28"/>
        <v>1.3616526081431302</v>
      </c>
      <c r="T86">
        <f t="shared" ca="1" si="29"/>
        <v>57.656769816528659</v>
      </c>
      <c r="U86">
        <f>70</f>
        <v>70</v>
      </c>
      <c r="V86">
        <f>30</f>
        <v>30</v>
      </c>
      <c r="W86">
        <f t="shared" ca="1" si="27"/>
        <v>174.41563830225982</v>
      </c>
      <c r="X86">
        <f t="shared" ca="1" si="17"/>
        <v>172.67637522060295</v>
      </c>
      <c r="Y86">
        <f t="shared" ca="1" si="16"/>
        <v>1.7487824190176866</v>
      </c>
      <c r="Z86">
        <f t="shared" ca="1" si="18"/>
        <v>1.5244621000543033</v>
      </c>
      <c r="AA86">
        <f t="shared" ca="1" si="19"/>
        <v>0.22432031896338334</v>
      </c>
    </row>
    <row r="87" spans="1:27" x14ac:dyDescent="0.25">
      <c r="A87" s="20">
        <f t="shared" ca="1" si="20"/>
        <v>45411</v>
      </c>
      <c r="B87" vm="252">
        <f ca="1"/>
        <v>45415</v>
      </c>
      <c r="C87" vm="253">
        <f ca="1"/>
        <v>176.15</v>
      </c>
      <c r="D87" vm="254">
        <f ca="1"/>
        <v>3492120</v>
      </c>
      <c r="E87">
        <f t="shared" ca="1" si="21"/>
        <v>615136938</v>
      </c>
      <c r="F87">
        <f ca="1">SUM($E$2:E87)/SUM($D$2:D87)</f>
        <v>169.34688267280259</v>
      </c>
      <c r="G87">
        <f ca="1">_xlfn.STDEV.P($C$2:C87)</f>
        <v>3.6128275403994121</v>
      </c>
      <c r="H87">
        <f t="shared" ca="1" si="22"/>
        <v>172.95971021320202</v>
      </c>
      <c r="I87">
        <f t="shared" ca="1" si="23"/>
        <v>165.73405513240317</v>
      </c>
      <c r="J87">
        <f t="shared" ca="1" si="32"/>
        <v>172.60399999999998</v>
      </c>
      <c r="K87">
        <f t="shared" ca="1" si="33"/>
        <v>3.6341152546679818</v>
      </c>
      <c r="L87">
        <f t="shared" ca="1" si="34"/>
        <v>179.87223050933594</v>
      </c>
      <c r="M87">
        <f t="shared" ca="1" si="35"/>
        <v>165.33576949066403</v>
      </c>
      <c r="N87">
        <f t="shared" ca="1" si="24"/>
        <v>0.70000000000001705</v>
      </c>
      <c r="O87">
        <f t="shared" ca="1" si="25"/>
        <v>0.70000000000001705</v>
      </c>
      <c r="P87">
        <f t="shared" ca="1" si="26"/>
        <v>0</v>
      </c>
      <c r="Q87">
        <f t="shared" ca="1" si="30"/>
        <v>0.81666827076533122</v>
      </c>
      <c r="R87">
        <f t="shared" ca="1" si="31"/>
        <v>0.56304248688718528</v>
      </c>
      <c r="S87">
        <f t="shared" ca="1" si="28"/>
        <v>1.4504558533057275</v>
      </c>
      <c r="T87">
        <f t="shared" ca="1" si="29"/>
        <v>59.191266447384692</v>
      </c>
      <c r="U87">
        <f>70</f>
        <v>70</v>
      </c>
      <c r="V87">
        <f>30</f>
        <v>30</v>
      </c>
      <c r="W87">
        <f t="shared" ca="1" si="27"/>
        <v>174.68246317883523</v>
      </c>
      <c r="X87">
        <f t="shared" ca="1" si="17"/>
        <v>172.93368075981755</v>
      </c>
      <c r="Y87">
        <f t="shared" ca="1" si="16"/>
        <v>1.709986658613559</v>
      </c>
      <c r="Z87">
        <f t="shared" ca="1" si="18"/>
        <v>1.5615670117661546</v>
      </c>
      <c r="AA87">
        <f t="shared" ca="1" si="19"/>
        <v>0.14841964684740439</v>
      </c>
    </row>
    <row r="88" spans="1:27" x14ac:dyDescent="0.25">
      <c r="A88" s="20">
        <f t="shared" ca="1" si="20"/>
        <v>45418</v>
      </c>
      <c r="B88" vm="255">
        <f ca="1"/>
        <v>45418</v>
      </c>
      <c r="C88" vm="256">
        <f ca="1"/>
        <v>175.82</v>
      </c>
      <c r="D88" vm="257">
        <f ca="1"/>
        <v>3576284</v>
      </c>
      <c r="E88">
        <f t="shared" ca="1" si="21"/>
        <v>628782252.88</v>
      </c>
      <c r="F88">
        <f ca="1">SUM($E$2:E88)/SUM($D$2:D88)</f>
        <v>169.39342900101263</v>
      </c>
      <c r="G88">
        <f ca="1">_xlfn.STDEV.P($C$2:C88)</f>
        <v>3.6552604305169409</v>
      </c>
      <c r="H88">
        <f t="shared" ca="1" si="22"/>
        <v>173.04868943152957</v>
      </c>
      <c r="I88">
        <f t="shared" ca="1" si="23"/>
        <v>165.7381685704957</v>
      </c>
      <c r="J88">
        <f t="shared" ca="1" si="32"/>
        <v>172.916</v>
      </c>
      <c r="K88">
        <f t="shared" ca="1" si="33"/>
        <v>3.6286889034325807</v>
      </c>
      <c r="L88">
        <f t="shared" ca="1" si="34"/>
        <v>180.17337780686515</v>
      </c>
      <c r="M88">
        <f t="shared" ca="1" si="35"/>
        <v>165.65862219313485</v>
      </c>
      <c r="N88">
        <f t="shared" ca="1" si="24"/>
        <v>-0.33000000000001251</v>
      </c>
      <c r="O88">
        <f t="shared" ca="1" si="25"/>
        <v>0</v>
      </c>
      <c r="P88">
        <f t="shared" ca="1" si="26"/>
        <v>0.33000000000001251</v>
      </c>
      <c r="Q88">
        <f t="shared" ca="1" si="30"/>
        <v>0.75833482285352183</v>
      </c>
      <c r="R88">
        <f t="shared" ca="1" si="31"/>
        <v>0.54639659496667292</v>
      </c>
      <c r="S88">
        <f t="shared" ca="1" si="28"/>
        <v>1.3878835077655927</v>
      </c>
      <c r="T88">
        <f t="shared" ca="1" si="29"/>
        <v>58.121910187497917</v>
      </c>
      <c r="U88">
        <f>70</f>
        <v>70</v>
      </c>
      <c r="V88">
        <f>30</f>
        <v>30</v>
      </c>
      <c r="W88">
        <f t="shared" ca="1" si="27"/>
        <v>174.85746884362982</v>
      </c>
      <c r="X88">
        <f t="shared" ca="1" si="17"/>
        <v>173.14748218501626</v>
      </c>
      <c r="Y88">
        <f t="shared" ca="1" si="16"/>
        <v>1.8356026678853823</v>
      </c>
      <c r="Z88">
        <f t="shared" ca="1" si="18"/>
        <v>1.6163741429900003</v>
      </c>
      <c r="AA88">
        <f t="shared" ca="1" si="19"/>
        <v>0.21922852489538203</v>
      </c>
    </row>
    <row r="89" spans="1:27" x14ac:dyDescent="0.25">
      <c r="A89" s="20">
        <f t="shared" ca="1" si="20"/>
        <v>45418</v>
      </c>
      <c r="B89" vm="258">
        <f ca="1"/>
        <v>45419</v>
      </c>
      <c r="C89" vm="259">
        <f ca="1"/>
        <v>178.02</v>
      </c>
      <c r="D89" vm="260">
        <f ca="1"/>
        <v>3707968</v>
      </c>
      <c r="E89">
        <f t="shared" ca="1" si="21"/>
        <v>660092463.36000001</v>
      </c>
      <c r="F89">
        <f ca="1">SUM($E$2:E89)/SUM($D$2:D89)</f>
        <v>169.45726832237605</v>
      </c>
      <c r="G89">
        <f ca="1">_xlfn.STDEV.P($C$2:C89)</f>
        <v>3.7438991264328902</v>
      </c>
      <c r="H89">
        <f t="shared" ca="1" si="22"/>
        <v>173.20116744880895</v>
      </c>
      <c r="I89">
        <f t="shared" ca="1" si="23"/>
        <v>165.71336919594316</v>
      </c>
      <c r="J89">
        <f t="shared" ca="1" si="32"/>
        <v>173.28649999999999</v>
      </c>
      <c r="K89">
        <f t="shared" ca="1" si="33"/>
        <v>3.7568747860282423</v>
      </c>
      <c r="L89">
        <f t="shared" ca="1" si="34"/>
        <v>180.80024957205649</v>
      </c>
      <c r="M89">
        <f t="shared" ca="1" si="35"/>
        <v>165.77275042794349</v>
      </c>
      <c r="N89">
        <f t="shared" ca="1" si="24"/>
        <v>2.2000000000000171</v>
      </c>
      <c r="O89">
        <f t="shared" ca="1" si="25"/>
        <v>2.2000000000000171</v>
      </c>
      <c r="P89">
        <f t="shared" ca="1" si="26"/>
        <v>0</v>
      </c>
      <c r="Q89">
        <f t="shared" ca="1" si="30"/>
        <v>0.86131090693541434</v>
      </c>
      <c r="R89">
        <f t="shared" ca="1" si="31"/>
        <v>0.50736826675476776</v>
      </c>
      <c r="S89">
        <f t="shared" ca="1" si="28"/>
        <v>1.6976050008892689</v>
      </c>
      <c r="T89">
        <f t="shared" ca="1" si="29"/>
        <v>62.930080583690021</v>
      </c>
      <c r="U89">
        <f>70</f>
        <v>70</v>
      </c>
      <c r="V89">
        <f>30</f>
        <v>30</v>
      </c>
      <c r="W89">
        <f t="shared" ca="1" si="27"/>
        <v>175.34401209845601</v>
      </c>
      <c r="X89">
        <f t="shared" ca="1" si="17"/>
        <v>173.50840943057062</v>
      </c>
      <c r="Y89">
        <f t="shared" ca="1" si="16"/>
        <v>1.8644402515839715</v>
      </c>
      <c r="Z89">
        <f t="shared" ca="1" si="18"/>
        <v>1.6659873647087946</v>
      </c>
      <c r="AA89">
        <f t="shared" ca="1" si="19"/>
        <v>0.19845288687517693</v>
      </c>
    </row>
    <row r="90" spans="1:27" x14ac:dyDescent="0.25">
      <c r="A90" s="20">
        <f t="shared" ca="1" si="20"/>
        <v>45418</v>
      </c>
      <c r="B90" vm="261">
        <f ca="1"/>
        <v>45420</v>
      </c>
      <c r="C90" vm="232">
        <f ca="1"/>
        <v>177.41</v>
      </c>
      <c r="D90" vm="262">
        <f ca="1"/>
        <v>3400880</v>
      </c>
      <c r="E90">
        <f t="shared" ca="1" si="21"/>
        <v>603350120.79999995</v>
      </c>
      <c r="F90">
        <f ca="1">SUM($E$2:E90)/SUM($D$2:D90)</f>
        <v>169.5108830292825</v>
      </c>
      <c r="G90">
        <f ca="1">_xlfn.STDEV.P($C$2:C90)</f>
        <v>3.8118847530498643</v>
      </c>
      <c r="H90">
        <f t="shared" ca="1" si="22"/>
        <v>173.32276778233236</v>
      </c>
      <c r="I90">
        <f t="shared" ca="1" si="23"/>
        <v>165.69899827623263</v>
      </c>
      <c r="J90">
        <f t="shared" ca="1" si="32"/>
        <v>173.70949999999999</v>
      </c>
      <c r="K90">
        <f t="shared" ca="1" si="33"/>
        <v>3.7189945939021873</v>
      </c>
      <c r="L90">
        <f t="shared" ca="1" si="34"/>
        <v>181.14748918780435</v>
      </c>
      <c r="M90">
        <f t="shared" ca="1" si="35"/>
        <v>166.27151081219563</v>
      </c>
      <c r="N90">
        <f t="shared" ca="1" si="24"/>
        <v>-0.61000000000001364</v>
      </c>
      <c r="O90">
        <f t="shared" ca="1" si="25"/>
        <v>0</v>
      </c>
      <c r="P90">
        <f t="shared" ca="1" si="26"/>
        <v>0.61000000000001364</v>
      </c>
      <c r="Q90">
        <f t="shared" ca="1" si="30"/>
        <v>0.79978869929717056</v>
      </c>
      <c r="R90">
        <f t="shared" ca="1" si="31"/>
        <v>0.51469910484371384</v>
      </c>
      <c r="S90">
        <f t="shared" ca="1" si="28"/>
        <v>1.5538956484877178</v>
      </c>
      <c r="T90">
        <f t="shared" ca="1" si="29"/>
        <v>60.844132351603818</v>
      </c>
      <c r="U90">
        <f>70</f>
        <v>70</v>
      </c>
      <c r="V90">
        <f>30</f>
        <v>30</v>
      </c>
      <c r="W90">
        <f t="shared" ca="1" si="27"/>
        <v>175.66185639100124</v>
      </c>
      <c r="X90">
        <f t="shared" ca="1" si="17"/>
        <v>173.79741613941727</v>
      </c>
      <c r="Y90">
        <f t="shared" ca="1" si="16"/>
        <v>1.9176384695634283</v>
      </c>
      <c r="Z90">
        <f t="shared" ca="1" si="18"/>
        <v>1.7163175856797215</v>
      </c>
      <c r="AA90">
        <f t="shared" ca="1" si="19"/>
        <v>0.20132088388370684</v>
      </c>
    </row>
    <row r="91" spans="1:27" x14ac:dyDescent="0.25">
      <c r="A91" s="20">
        <f t="shared" ca="1" si="20"/>
        <v>45418</v>
      </c>
      <c r="B91" vm="263">
        <f ca="1"/>
        <v>45421</v>
      </c>
      <c r="C91" vm="264">
        <f ca="1"/>
        <v>178.06</v>
      </c>
      <c r="D91" vm="265">
        <f ca="1"/>
        <v>2421414</v>
      </c>
      <c r="E91">
        <f t="shared" ca="1" si="21"/>
        <v>431156976.84000003</v>
      </c>
      <c r="F91">
        <f ca="1">SUM($E$2:E91)/SUM($D$2:D91)</f>
        <v>169.55172314468095</v>
      </c>
      <c r="G91">
        <f ca="1">_xlfn.STDEV.P($C$2:C91)</f>
        <v>3.8900390743538802</v>
      </c>
      <c r="H91">
        <f t="shared" ca="1" si="22"/>
        <v>173.44176221903484</v>
      </c>
      <c r="I91">
        <f t="shared" ca="1" si="23"/>
        <v>165.66168407032706</v>
      </c>
      <c r="J91">
        <f t="shared" ca="1" si="32"/>
        <v>174.19450000000001</v>
      </c>
      <c r="K91">
        <f t="shared" ca="1" si="33"/>
        <v>3.6157018318498175</v>
      </c>
      <c r="L91">
        <f t="shared" ca="1" si="34"/>
        <v>181.42590366369964</v>
      </c>
      <c r="M91">
        <f t="shared" ca="1" si="35"/>
        <v>166.96309633630037</v>
      </c>
      <c r="N91">
        <f t="shared" ca="1" si="24"/>
        <v>0.65000000000000568</v>
      </c>
      <c r="O91">
        <f t="shared" ca="1" si="25"/>
        <v>0.65000000000000568</v>
      </c>
      <c r="P91">
        <f t="shared" ca="1" si="26"/>
        <v>0</v>
      </c>
      <c r="Q91">
        <f t="shared" ca="1" si="30"/>
        <v>0.78908950649023013</v>
      </c>
      <c r="R91">
        <f t="shared" ca="1" si="31"/>
        <v>0.47793488306916287</v>
      </c>
      <c r="S91">
        <f t="shared" ca="1" si="28"/>
        <v>1.6510397847985485</v>
      </c>
      <c r="T91">
        <f t="shared" ca="1" si="29"/>
        <v>62.278951612339171</v>
      </c>
      <c r="U91">
        <f>70</f>
        <v>70</v>
      </c>
      <c r="V91">
        <f>30</f>
        <v>30</v>
      </c>
      <c r="W91">
        <f t="shared" ca="1" si="27"/>
        <v>176.03080156161644</v>
      </c>
      <c r="X91">
        <f t="shared" ca="1" si="17"/>
        <v>174.11316309205301</v>
      </c>
      <c r="Y91">
        <f t="shared" ca="1" si="16"/>
        <v>2.075470253227536</v>
      </c>
      <c r="Z91">
        <f t="shared" ca="1" si="18"/>
        <v>1.7881481191892845</v>
      </c>
      <c r="AA91">
        <f t="shared" ca="1" si="19"/>
        <v>0.28732213403825146</v>
      </c>
    </row>
    <row r="92" spans="1:27" x14ac:dyDescent="0.25">
      <c r="A92" s="20">
        <f t="shared" ca="1" si="20"/>
        <v>45418</v>
      </c>
      <c r="B92" vm="266">
        <f ca="1"/>
        <v>45422</v>
      </c>
      <c r="C92" vm="267">
        <f ca="1"/>
        <v>179.79</v>
      </c>
      <c r="D92" vm="268">
        <f ca="1"/>
        <v>4201814</v>
      </c>
      <c r="E92">
        <f t="shared" ca="1" si="21"/>
        <v>755444139.05999994</v>
      </c>
      <c r="F92">
        <f ca="1">SUM($E$2:E92)/SUM($D$2:D92)</f>
        <v>169.63589658121123</v>
      </c>
      <c r="G92">
        <f ca="1">_xlfn.STDEV.P($C$2:C92)</f>
        <v>4.0058714304330536</v>
      </c>
      <c r="H92">
        <f t="shared" ca="1" si="22"/>
        <v>173.64176801164427</v>
      </c>
      <c r="I92">
        <f t="shared" ca="1" si="23"/>
        <v>165.63002515077818</v>
      </c>
      <c r="J92">
        <f t="shared" ca="1" si="32"/>
        <v>174.779</v>
      </c>
      <c r="K92">
        <f t="shared" ca="1" si="33"/>
        <v>3.522309200689679</v>
      </c>
      <c r="L92">
        <f t="shared" ca="1" si="34"/>
        <v>181.82361840137935</v>
      </c>
      <c r="M92">
        <f t="shared" ca="1" si="35"/>
        <v>167.73438159862064</v>
      </c>
      <c r="N92">
        <f t="shared" ca="1" si="24"/>
        <v>1.7299999999999898</v>
      </c>
      <c r="O92">
        <f t="shared" ca="1" si="25"/>
        <v>1.7299999999999898</v>
      </c>
      <c r="P92">
        <f t="shared" ca="1" si="26"/>
        <v>0</v>
      </c>
      <c r="Q92">
        <f t="shared" ca="1" si="30"/>
        <v>0.85629739888378442</v>
      </c>
      <c r="R92">
        <f t="shared" ca="1" si="31"/>
        <v>0.44379667713565124</v>
      </c>
      <c r="S92">
        <f t="shared" ca="1" si="28"/>
        <v>1.9294813210646187</v>
      </c>
      <c r="T92">
        <f t="shared" ca="1" si="29"/>
        <v>65.864264338897215</v>
      </c>
      <c r="U92">
        <f>70</f>
        <v>70</v>
      </c>
      <c r="V92">
        <f>30</f>
        <v>30</v>
      </c>
      <c r="W92">
        <f t="shared" ca="1" si="27"/>
        <v>176.60913978290623</v>
      </c>
      <c r="X92">
        <f t="shared" ca="1" si="17"/>
        <v>174.53366952967869</v>
      </c>
      <c r="Y92">
        <f t="shared" ref="Y92:Y155" ca="1" si="36">W93-X93</f>
        <v>2.264022559480253</v>
      </c>
      <c r="Z92">
        <f t="shared" ca="1" si="18"/>
        <v>1.8833230072474783</v>
      </c>
      <c r="AA92">
        <f t="shared" ca="1" si="19"/>
        <v>0.38069955223277474</v>
      </c>
    </row>
    <row r="93" spans="1:27" x14ac:dyDescent="0.25">
      <c r="A93" s="20">
        <f t="shared" ca="1" si="20"/>
        <v>45425</v>
      </c>
      <c r="B93" vm="269">
        <f ca="1"/>
        <v>45425</v>
      </c>
      <c r="C93" vm="270">
        <f ca="1"/>
        <v>180.9</v>
      </c>
      <c r="D93" vm="271">
        <f ca="1"/>
        <v>4408084</v>
      </c>
      <c r="E93">
        <f t="shared" ca="1" si="21"/>
        <v>797422395.60000002</v>
      </c>
      <c r="F93">
        <f ca="1">SUM($E$2:E93)/SUM($D$2:D93)</f>
        <v>169.73221916190195</v>
      </c>
      <c r="G93">
        <f ca="1">_xlfn.STDEV.P($C$2:C93)</f>
        <v>4.1433251303311041</v>
      </c>
      <c r="H93">
        <f t="shared" ca="1" si="22"/>
        <v>173.87554429223306</v>
      </c>
      <c r="I93">
        <f t="shared" ca="1" si="23"/>
        <v>165.58889403157085</v>
      </c>
      <c r="J93">
        <f t="shared" ca="1" si="32"/>
        <v>175.47649999999999</v>
      </c>
      <c r="K93">
        <f t="shared" ca="1" si="33"/>
        <v>3.2619807915146488</v>
      </c>
      <c r="L93">
        <f t="shared" ca="1" si="34"/>
        <v>182.00046158302928</v>
      </c>
      <c r="M93">
        <f t="shared" ca="1" si="35"/>
        <v>168.9525384169707</v>
      </c>
      <c r="N93">
        <f t="shared" ca="1" si="24"/>
        <v>1.1100000000000136</v>
      </c>
      <c r="O93">
        <f t="shared" ca="1" si="25"/>
        <v>1.1100000000000136</v>
      </c>
      <c r="P93">
        <f t="shared" ca="1" si="26"/>
        <v>0</v>
      </c>
      <c r="Q93">
        <f t="shared" ca="1" si="30"/>
        <v>0.87441901324922944</v>
      </c>
      <c r="R93">
        <f t="shared" ca="1" si="31"/>
        <v>0.41209691448310476</v>
      </c>
      <c r="S93">
        <f t="shared" ca="1" si="28"/>
        <v>2.1218771180221467</v>
      </c>
      <c r="T93">
        <f t="shared" ca="1" si="29"/>
        <v>67.967989699942251</v>
      </c>
      <c r="U93">
        <f>70</f>
        <v>70</v>
      </c>
      <c r="V93">
        <f>30</f>
        <v>30</v>
      </c>
      <c r="W93">
        <f t="shared" ca="1" si="27"/>
        <v>177.26927212399755</v>
      </c>
      <c r="X93">
        <f t="shared" ref="X93:X156" ca="1" si="37">C93*(2/(26+1)) + X92*(1-(2/(26+1)))</f>
        <v>175.0052495645173</v>
      </c>
      <c r="Y93">
        <f t="shared" ca="1" si="36"/>
        <v>2.3037826562938903</v>
      </c>
      <c r="Z93">
        <f t="shared" ca="1" si="18"/>
        <v>1.9674149370567606</v>
      </c>
      <c r="AA93">
        <f t="shared" ca="1" si="19"/>
        <v>0.33636771923712971</v>
      </c>
    </row>
    <row r="94" spans="1:27" x14ac:dyDescent="0.25">
      <c r="A94" s="20">
        <f t="shared" ca="1" si="20"/>
        <v>45425</v>
      </c>
      <c r="B94" vm="272">
        <f ca="1"/>
        <v>45426</v>
      </c>
      <c r="C94" vm="273">
        <f ca="1"/>
        <v>179.87</v>
      </c>
      <c r="D94" vm="274">
        <f ca="1"/>
        <v>3508716</v>
      </c>
      <c r="E94">
        <f t="shared" ca="1" si="21"/>
        <v>631112746.91999996</v>
      </c>
      <c r="F94">
        <f ca="1">SUM($E$2:E94)/SUM($D$2:D94)</f>
        <v>169.80075641322634</v>
      </c>
      <c r="G94">
        <f ca="1">_xlfn.STDEV.P($C$2:C94)</f>
        <v>4.243713363339487</v>
      </c>
      <c r="H94">
        <f t="shared" ca="1" si="22"/>
        <v>174.04446977656582</v>
      </c>
      <c r="I94">
        <f t="shared" ca="1" si="23"/>
        <v>165.55704304988686</v>
      </c>
      <c r="J94">
        <f t="shared" ca="1" si="32"/>
        <v>176.095</v>
      </c>
      <c r="K94">
        <f t="shared" ca="1" si="33"/>
        <v>2.8116047113048426</v>
      </c>
      <c r="L94">
        <f t="shared" ca="1" si="34"/>
        <v>181.71820942260968</v>
      </c>
      <c r="M94">
        <f t="shared" ca="1" si="35"/>
        <v>170.47179057739032</v>
      </c>
      <c r="N94">
        <f t="shared" ca="1" si="24"/>
        <v>-1.0300000000000011</v>
      </c>
      <c r="O94">
        <f t="shared" ca="1" si="25"/>
        <v>0</v>
      </c>
      <c r="P94">
        <f t="shared" ca="1" si="26"/>
        <v>1.0300000000000011</v>
      </c>
      <c r="Q94">
        <f t="shared" ca="1" si="30"/>
        <v>0.81196051230285593</v>
      </c>
      <c r="R94">
        <f t="shared" ca="1" si="31"/>
        <v>0.45623284916288309</v>
      </c>
      <c r="S94">
        <f t="shared" ca="1" si="28"/>
        <v>1.7797063797415689</v>
      </c>
      <c r="T94">
        <f t="shared" ca="1" si="29"/>
        <v>64.024977339765982</v>
      </c>
      <c r="U94">
        <f>70</f>
        <v>70</v>
      </c>
      <c r="V94">
        <f>30</f>
        <v>30</v>
      </c>
      <c r="W94">
        <f t="shared" ca="1" si="27"/>
        <v>177.66938410492102</v>
      </c>
      <c r="X94">
        <f t="shared" ca="1" si="37"/>
        <v>175.36560144862713</v>
      </c>
      <c r="Y94">
        <f t="shared" ca="1" si="36"/>
        <v>2.27597324318441</v>
      </c>
      <c r="Z94">
        <f t="shared" ca="1" si="18"/>
        <v>2.0291265982822906</v>
      </c>
      <c r="AA94">
        <f t="shared" ca="1" si="19"/>
        <v>0.24684664490211938</v>
      </c>
    </row>
    <row r="95" spans="1:27" x14ac:dyDescent="0.25">
      <c r="A95" s="20">
        <f t="shared" ca="1" si="20"/>
        <v>45425</v>
      </c>
      <c r="B95" vm="275">
        <f ca="1"/>
        <v>45427</v>
      </c>
      <c r="C95" vm="276">
        <f ca="1"/>
        <v>179.46</v>
      </c>
      <c r="D95" vm="277">
        <f ca="1"/>
        <v>4785118</v>
      </c>
      <c r="E95">
        <f t="shared" ca="1" si="21"/>
        <v>858737276.28000009</v>
      </c>
      <c r="F95">
        <f ca="1">SUM($E$2:E95)/SUM($D$2:D95)</f>
        <v>169.88900047986039</v>
      </c>
      <c r="G95">
        <f ca="1">_xlfn.STDEV.P($C$2:C95)</f>
        <v>4.3277517772976672</v>
      </c>
      <c r="H95">
        <f t="shared" ca="1" si="22"/>
        <v>174.21675225715805</v>
      </c>
      <c r="I95">
        <f t="shared" ca="1" si="23"/>
        <v>165.56124870256272</v>
      </c>
      <c r="J95">
        <f t="shared" ca="1" si="32"/>
        <v>176.59399999999999</v>
      </c>
      <c r="K95">
        <f t="shared" ca="1" si="33"/>
        <v>2.4363721952288433</v>
      </c>
      <c r="L95">
        <f t="shared" ca="1" si="34"/>
        <v>181.46674439045768</v>
      </c>
      <c r="M95">
        <f t="shared" ca="1" si="35"/>
        <v>171.72125560954231</v>
      </c>
      <c r="N95">
        <f t="shared" ca="1" si="24"/>
        <v>-0.40999999999999659</v>
      </c>
      <c r="O95">
        <f t="shared" ca="1" si="25"/>
        <v>0</v>
      </c>
      <c r="P95">
        <f t="shared" ca="1" si="26"/>
        <v>0.40999999999999659</v>
      </c>
      <c r="Q95">
        <f t="shared" ca="1" si="30"/>
        <v>0.75396333285265194</v>
      </c>
      <c r="R95">
        <f t="shared" ca="1" si="31"/>
        <v>0.45293050279410546</v>
      </c>
      <c r="S95">
        <f t="shared" ca="1" si="28"/>
        <v>1.6646335987562995</v>
      </c>
      <c r="T95">
        <f t="shared" ca="1" si="29"/>
        <v>62.471388168837038</v>
      </c>
      <c r="U95">
        <f>70</f>
        <v>70</v>
      </c>
      <c r="V95">
        <f>30</f>
        <v>30</v>
      </c>
      <c r="W95">
        <f t="shared" ca="1" si="27"/>
        <v>177.94486347339472</v>
      </c>
      <c r="X95">
        <f t="shared" ca="1" si="37"/>
        <v>175.66889023021031</v>
      </c>
      <c r="Y95">
        <f t="shared" ca="1" si="36"/>
        <v>2.519416315612176</v>
      </c>
      <c r="Z95">
        <f t="shared" ca="1" si="18"/>
        <v>2.1271845417482678</v>
      </c>
      <c r="AA95">
        <f t="shared" ca="1" si="19"/>
        <v>0.39223177386390828</v>
      </c>
    </row>
    <row r="96" spans="1:27" x14ac:dyDescent="0.25">
      <c r="A96" s="20">
        <f t="shared" ca="1" si="20"/>
        <v>45425</v>
      </c>
      <c r="B96" vm="278">
        <f ca="1"/>
        <v>45428</v>
      </c>
      <c r="C96" vm="279">
        <f ca="1"/>
        <v>183.11</v>
      </c>
      <c r="D96" vm="280">
        <f ca="1"/>
        <v>5984739</v>
      </c>
      <c r="E96">
        <f t="shared" ca="1" si="21"/>
        <v>1095865558.2900002</v>
      </c>
      <c r="F96">
        <f ca="1">SUM($E$2:E96)/SUM($D$2:D96)</f>
        <v>170.03835732331453</v>
      </c>
      <c r="G96">
        <f ca="1">_xlfn.STDEV.P($C$2:C96)</f>
        <v>4.5005076155678196</v>
      </c>
      <c r="H96">
        <f t="shared" ca="1" si="22"/>
        <v>174.53886493888234</v>
      </c>
      <c r="I96">
        <f t="shared" ca="1" si="23"/>
        <v>165.53784970774672</v>
      </c>
      <c r="J96">
        <f t="shared" ca="1" si="32"/>
        <v>177.13600000000002</v>
      </c>
      <c r="K96">
        <f t="shared" ca="1" si="33"/>
        <v>2.6224564619335164</v>
      </c>
      <c r="L96">
        <f t="shared" ca="1" si="34"/>
        <v>182.38091292386704</v>
      </c>
      <c r="M96">
        <f t="shared" ca="1" si="35"/>
        <v>171.891087076133</v>
      </c>
      <c r="N96">
        <f t="shared" ca="1" si="24"/>
        <v>3.6500000000000057</v>
      </c>
      <c r="O96">
        <f t="shared" ca="1" si="25"/>
        <v>3.6500000000000057</v>
      </c>
      <c r="P96">
        <f t="shared" ca="1" si="26"/>
        <v>0</v>
      </c>
      <c r="Q96">
        <f t="shared" ca="1" si="30"/>
        <v>0.96082309479174854</v>
      </c>
      <c r="R96">
        <f t="shared" ca="1" si="31"/>
        <v>0.42057832402309792</v>
      </c>
      <c r="S96">
        <f t="shared" ca="1" si="28"/>
        <v>2.2845283266167105</v>
      </c>
      <c r="T96">
        <f t="shared" ca="1" si="29"/>
        <v>69.554228170409218</v>
      </c>
      <c r="U96">
        <f>70</f>
        <v>70</v>
      </c>
      <c r="V96">
        <f>30</f>
        <v>30</v>
      </c>
      <c r="W96">
        <f t="shared" ca="1" si="27"/>
        <v>178.7394998621032</v>
      </c>
      <c r="X96">
        <f t="shared" ca="1" si="37"/>
        <v>176.22008354649103</v>
      </c>
      <c r="Y96">
        <f t="shared" ca="1" si="36"/>
        <v>2.6080464570799791</v>
      </c>
      <c r="Z96">
        <f t="shared" ca="1" si="18"/>
        <v>2.2233569248146101</v>
      </c>
      <c r="AA96">
        <f t="shared" ca="1" si="19"/>
        <v>0.38468953226536895</v>
      </c>
    </row>
    <row r="97" spans="1:28" x14ac:dyDescent="0.25">
      <c r="A97" s="20">
        <f t="shared" ca="1" si="20"/>
        <v>45425</v>
      </c>
      <c r="B97" vm="281">
        <f ca="1"/>
        <v>45429</v>
      </c>
      <c r="C97" vm="282">
        <f ca="1"/>
        <v>182.19</v>
      </c>
      <c r="D97" vm="283">
        <f ca="1"/>
        <v>4449107</v>
      </c>
      <c r="E97">
        <f t="shared" ca="1" si="21"/>
        <v>810582804.33000004</v>
      </c>
      <c r="F97">
        <f ca="1">SUM($E$2:E97)/SUM($D$2:D97)</f>
        <v>170.13955985624895</v>
      </c>
      <c r="G97">
        <f ca="1">_xlfn.STDEV.P($C$2:C97)</f>
        <v>4.6346320122409823</v>
      </c>
      <c r="H97">
        <f t="shared" ca="1" si="22"/>
        <v>174.77419186848994</v>
      </c>
      <c r="I97">
        <f t="shared" ca="1" si="23"/>
        <v>165.50492784400797</v>
      </c>
      <c r="J97">
        <f t="shared" ca="1" si="32"/>
        <v>177.53900000000002</v>
      </c>
      <c r="K97">
        <f t="shared" ca="1" si="33"/>
        <v>2.7522907205682916</v>
      </c>
      <c r="L97">
        <f t="shared" ca="1" si="34"/>
        <v>183.04358144113661</v>
      </c>
      <c r="M97">
        <f t="shared" ca="1" si="35"/>
        <v>172.03441855886342</v>
      </c>
      <c r="N97">
        <f t="shared" ca="1" si="24"/>
        <v>-0.92000000000001592</v>
      </c>
      <c r="O97">
        <f t="shared" ca="1" si="25"/>
        <v>0</v>
      </c>
      <c r="P97">
        <f t="shared" ca="1" si="26"/>
        <v>0.92000000000001592</v>
      </c>
      <c r="Q97">
        <f t="shared" ca="1" si="30"/>
        <v>0.89219287373519507</v>
      </c>
      <c r="R97">
        <f t="shared" ca="1" si="31"/>
        <v>0.45625130087859206</v>
      </c>
      <c r="S97">
        <f t="shared" ca="1" si="28"/>
        <v>1.9554856545441535</v>
      </c>
      <c r="T97">
        <f t="shared" ca="1" si="29"/>
        <v>66.164613302640532</v>
      </c>
      <c r="U97">
        <f>70</f>
        <v>70</v>
      </c>
      <c r="V97">
        <f>30</f>
        <v>30</v>
      </c>
      <c r="W97">
        <f t="shared" ca="1" si="27"/>
        <v>179.27034603716424</v>
      </c>
      <c r="X97">
        <f t="shared" ca="1" si="37"/>
        <v>176.66229958008427</v>
      </c>
      <c r="Y97">
        <f t="shared" ca="1" si="36"/>
        <v>2.4977931894883056</v>
      </c>
      <c r="Z97">
        <f t="shared" ca="1" si="18"/>
        <v>2.2782441777493494</v>
      </c>
      <c r="AA97">
        <f t="shared" ca="1" si="19"/>
        <v>0.21954901173895625</v>
      </c>
    </row>
    <row r="98" spans="1:28" x14ac:dyDescent="0.25">
      <c r="A98" s="20">
        <f t="shared" ca="1" si="20"/>
        <v>45432</v>
      </c>
      <c r="B98" vm="284">
        <f ca="1"/>
        <v>45432</v>
      </c>
      <c r="C98" vm="285">
        <f ca="1"/>
        <v>180.31</v>
      </c>
      <c r="D98" vm="286">
        <f ca="1"/>
        <v>3221153</v>
      </c>
      <c r="E98">
        <f t="shared" ca="1" si="21"/>
        <v>580806097.43000007</v>
      </c>
      <c r="F98">
        <f ca="1">SUM($E$2:E98)/SUM($D$2:D98)</f>
        <v>170.20051689285617</v>
      </c>
      <c r="G98">
        <f ca="1">_xlfn.STDEV.P($C$2:C98)</f>
        <v>4.7157645200999916</v>
      </c>
      <c r="H98">
        <f t="shared" ca="1" si="22"/>
        <v>174.91628141295615</v>
      </c>
      <c r="I98">
        <f t="shared" ca="1" si="23"/>
        <v>165.48475237275619</v>
      </c>
      <c r="J98">
        <f t="shared" ca="1" si="32"/>
        <v>177.73150000000001</v>
      </c>
      <c r="K98">
        <f t="shared" ca="1" si="33"/>
        <v>2.8069467866630293</v>
      </c>
      <c r="L98">
        <f t="shared" ca="1" si="34"/>
        <v>183.34539357332608</v>
      </c>
      <c r="M98">
        <f t="shared" ca="1" si="35"/>
        <v>172.11760642667394</v>
      </c>
      <c r="N98">
        <f t="shared" ca="1" si="24"/>
        <v>-1.8799999999999955</v>
      </c>
      <c r="O98">
        <f t="shared" ca="1" si="25"/>
        <v>0</v>
      </c>
      <c r="P98">
        <f t="shared" ca="1" si="26"/>
        <v>1.8799999999999955</v>
      </c>
      <c r="Q98">
        <f t="shared" ca="1" si="30"/>
        <v>0.82846481132553829</v>
      </c>
      <c r="R98">
        <f t="shared" ca="1" si="31"/>
        <v>0.55794763653012092</v>
      </c>
      <c r="S98">
        <f t="shared" ca="1" si="28"/>
        <v>1.4848433026399483</v>
      </c>
      <c r="T98">
        <f t="shared" ca="1" si="29"/>
        <v>59.756013631218536</v>
      </c>
      <c r="U98">
        <f>70</f>
        <v>70</v>
      </c>
      <c r="V98">
        <f>30</f>
        <v>30</v>
      </c>
      <c r="W98">
        <f t="shared" ca="1" si="27"/>
        <v>179.43029280067745</v>
      </c>
      <c r="X98">
        <f t="shared" ca="1" si="37"/>
        <v>176.93249961118914</v>
      </c>
      <c r="Y98">
        <f t="shared" ca="1" si="36"/>
        <v>2.4443720460533598</v>
      </c>
      <c r="Z98">
        <f t="shared" ca="1" si="18"/>
        <v>2.3114697514101517</v>
      </c>
      <c r="AA98">
        <f t="shared" ca="1" si="19"/>
        <v>0.13290229464320813</v>
      </c>
    </row>
    <row r="99" spans="1:28" x14ac:dyDescent="0.25">
      <c r="A99" s="20">
        <f t="shared" ca="1" si="20"/>
        <v>45432</v>
      </c>
      <c r="B99" vm="287">
        <f ca="1"/>
        <v>45433</v>
      </c>
      <c r="C99" vm="288">
        <f ca="1"/>
        <v>181.08</v>
      </c>
      <c r="D99" vm="289">
        <f ca="1"/>
        <v>3288063</v>
      </c>
      <c r="E99">
        <f t="shared" ca="1" si="21"/>
        <v>595402448.04000008</v>
      </c>
      <c r="F99">
        <f ca="1">SUM($E$2:E99)/SUM($D$2:D99)</f>
        <v>170.26667334349034</v>
      </c>
      <c r="G99">
        <f ca="1">_xlfn.STDEV.P($C$2:C99)</f>
        <v>4.8081841812458679</v>
      </c>
      <c r="H99">
        <f t="shared" ca="1" si="22"/>
        <v>175.07485752473622</v>
      </c>
      <c r="I99">
        <f t="shared" ca="1" si="23"/>
        <v>165.45848916224446</v>
      </c>
      <c r="J99">
        <f t="shared" ca="1" si="32"/>
        <v>178.22450000000001</v>
      </c>
      <c r="K99">
        <f t="shared" ca="1" si="33"/>
        <v>2.4457470605544107</v>
      </c>
      <c r="L99">
        <f t="shared" ca="1" si="34"/>
        <v>183.11599412110883</v>
      </c>
      <c r="M99">
        <f t="shared" ca="1" si="35"/>
        <v>173.33300587889119</v>
      </c>
      <c r="N99">
        <f t="shared" ca="1" si="24"/>
        <v>0.77000000000001023</v>
      </c>
      <c r="O99">
        <f t="shared" ca="1" si="25"/>
        <v>0.77000000000001023</v>
      </c>
      <c r="P99">
        <f t="shared" ca="1" si="26"/>
        <v>0</v>
      </c>
      <c r="Q99">
        <f t="shared" ca="1" si="30"/>
        <v>0.82428875337371488</v>
      </c>
      <c r="R99">
        <f t="shared" ca="1" si="31"/>
        <v>0.51809423392082654</v>
      </c>
      <c r="S99">
        <f t="shared" ca="1" si="28"/>
        <v>1.5910015966317046</v>
      </c>
      <c r="T99">
        <f t="shared" ca="1" si="29"/>
        <v>61.404886770428952</v>
      </c>
      <c r="U99">
        <f>70</f>
        <v>70</v>
      </c>
      <c r="V99">
        <f>30</f>
        <v>30</v>
      </c>
      <c r="W99">
        <f t="shared" ca="1" si="27"/>
        <v>179.68409390826554</v>
      </c>
      <c r="X99">
        <f t="shared" ca="1" si="37"/>
        <v>177.23972186221218</v>
      </c>
      <c r="Y99">
        <f t="shared" ca="1" si="36"/>
        <v>2.4552315827233429</v>
      </c>
      <c r="Z99">
        <f t="shared" ca="1" si="18"/>
        <v>2.34022211767279</v>
      </c>
      <c r="AA99">
        <f t="shared" ca="1" si="19"/>
        <v>0.11500946505055287</v>
      </c>
    </row>
    <row r="100" spans="1:28" x14ac:dyDescent="0.25">
      <c r="A100" s="20">
        <f t="shared" ca="1" si="20"/>
        <v>45432</v>
      </c>
      <c r="B100" vm="290">
        <f ca="1"/>
        <v>45434</v>
      </c>
      <c r="C100" vm="291">
        <f ca="1"/>
        <v>182.09</v>
      </c>
      <c r="D100" vm="292">
        <f ca="1"/>
        <v>4046993</v>
      </c>
      <c r="E100">
        <f t="shared" ca="1" si="21"/>
        <v>736916955.37</v>
      </c>
      <c r="F100">
        <f ca="1">SUM($E$2:E100)/SUM($D$2:D100)</f>
        <v>170.35450632423394</v>
      </c>
      <c r="G100">
        <f ca="1">_xlfn.STDEV.P($C$2:C100)</f>
        <v>4.9171560468862134</v>
      </c>
      <c r="H100">
        <f t="shared" ca="1" si="22"/>
        <v>175.27166237112016</v>
      </c>
      <c r="I100">
        <f t="shared" ca="1" si="23"/>
        <v>165.43735027734772</v>
      </c>
      <c r="J100">
        <f t="shared" ca="1" si="32"/>
        <v>178.45850000000002</v>
      </c>
      <c r="K100">
        <f t="shared" ca="1" si="33"/>
        <v>2.5837086258241095</v>
      </c>
      <c r="L100">
        <f t="shared" ca="1" si="34"/>
        <v>183.62591725164825</v>
      </c>
      <c r="M100">
        <f t="shared" ca="1" si="35"/>
        <v>173.29108274835178</v>
      </c>
      <c r="N100">
        <f t="shared" ca="1" si="24"/>
        <v>1.0099999999999909</v>
      </c>
      <c r="O100">
        <f t="shared" ca="1" si="25"/>
        <v>1.0099999999999909</v>
      </c>
      <c r="P100">
        <f t="shared" ca="1" si="26"/>
        <v>0</v>
      </c>
      <c r="Q100">
        <f t="shared" ca="1" si="30"/>
        <v>0.83755384241844888</v>
      </c>
      <c r="R100">
        <f t="shared" ca="1" si="31"/>
        <v>0.48108750292648178</v>
      </c>
      <c r="S100">
        <f t="shared" ca="1" si="28"/>
        <v>1.7409594664662098</v>
      </c>
      <c r="T100">
        <f t="shared" ca="1" si="29"/>
        <v>63.51642509733086</v>
      </c>
      <c r="U100">
        <f>70</f>
        <v>70</v>
      </c>
      <c r="V100">
        <f>30</f>
        <v>30</v>
      </c>
      <c r="W100">
        <f t="shared" ca="1" si="27"/>
        <v>180.05423330699389</v>
      </c>
      <c r="X100">
        <f t="shared" ca="1" si="37"/>
        <v>177.59900172427055</v>
      </c>
      <c r="Y100">
        <f t="shared" ca="1" si="36"/>
        <v>2.2108026546702604</v>
      </c>
      <c r="Z100">
        <f t="shared" ca="1" si="18"/>
        <v>2.3143382250722841</v>
      </c>
      <c r="AA100">
        <f t="shared" ca="1" si="19"/>
        <v>-0.10353557040202377</v>
      </c>
    </row>
    <row r="101" spans="1:28" x14ac:dyDescent="0.25">
      <c r="A101" s="20">
        <f t="shared" ca="1" si="20"/>
        <v>45432</v>
      </c>
      <c r="B101" vm="293">
        <f ca="1"/>
        <v>45435</v>
      </c>
      <c r="C101" vm="294">
        <f ca="1"/>
        <v>179.27</v>
      </c>
      <c r="D101" vm="295">
        <f ca="1"/>
        <v>4009026</v>
      </c>
      <c r="E101">
        <f t="shared" ca="1" si="21"/>
        <v>718698091.0200001</v>
      </c>
      <c r="F101">
        <f ca="1">SUM($E$2:E101)/SUM($D$2:D101)</f>
        <v>170.41963697797885</v>
      </c>
      <c r="G101">
        <f ca="1">_xlfn.STDEV.P($C$2:C101)</f>
        <v>4.9640237015953099</v>
      </c>
      <c r="H101">
        <f t="shared" ca="1" si="22"/>
        <v>175.38366067957418</v>
      </c>
      <c r="I101">
        <f t="shared" ca="1" si="23"/>
        <v>165.45561327638353</v>
      </c>
      <c r="J101">
        <f t="shared" ca="1" si="32"/>
        <v>178.58800000000002</v>
      </c>
      <c r="K101">
        <f t="shared" ca="1" si="33"/>
        <v>2.5546193454211559</v>
      </c>
      <c r="L101">
        <f t="shared" ca="1" si="34"/>
        <v>183.69723869084234</v>
      </c>
      <c r="M101">
        <f t="shared" ca="1" si="35"/>
        <v>173.4787613091577</v>
      </c>
      <c r="N101">
        <f t="shared" ca="1" si="24"/>
        <v>-2.8199999999999932</v>
      </c>
      <c r="O101">
        <f t="shared" ca="1" si="25"/>
        <v>0</v>
      </c>
      <c r="P101">
        <f t="shared" ca="1" si="26"/>
        <v>2.8199999999999932</v>
      </c>
      <c r="Q101">
        <f t="shared" ca="1" si="30"/>
        <v>0.77772856795998824</v>
      </c>
      <c r="R101">
        <f t="shared" ca="1" si="31"/>
        <v>0.64815268128887549</v>
      </c>
      <c r="S101">
        <f t="shared" ca="1" si="28"/>
        <v>1.1999156840845684</v>
      </c>
      <c r="T101">
        <f t="shared" ca="1" si="29"/>
        <v>54.543712414318222</v>
      </c>
      <c r="U101">
        <f>70</f>
        <v>70</v>
      </c>
      <c r="V101">
        <f>30</f>
        <v>30</v>
      </c>
      <c r="W101">
        <f t="shared" ca="1" si="27"/>
        <v>179.93358202899483</v>
      </c>
      <c r="X101">
        <f t="shared" ca="1" si="37"/>
        <v>177.72277937432457</v>
      </c>
      <c r="Y101">
        <f t="shared" ca="1" si="36"/>
        <v>1.8919959144045322</v>
      </c>
      <c r="Z101">
        <f t="shared" ca="1" si="18"/>
        <v>2.2298697629387338</v>
      </c>
      <c r="AA101">
        <f t="shared" ca="1" si="19"/>
        <v>-0.33787384853420166</v>
      </c>
      <c r="AB101">
        <f ca="1">AVERAGE(C2:C101)</f>
        <v>170.91630000000004</v>
      </c>
    </row>
    <row r="102" spans="1:28" x14ac:dyDescent="0.25">
      <c r="A102" s="20">
        <f t="shared" ca="1" si="20"/>
        <v>45432</v>
      </c>
      <c r="B102" vm="296">
        <f ca="1"/>
        <v>45436</v>
      </c>
      <c r="C102" vm="297">
        <f ca="1"/>
        <v>177.99</v>
      </c>
      <c r="D102" vm="298">
        <f ca="1"/>
        <v>3447399</v>
      </c>
      <c r="E102">
        <f t="shared" ca="1" si="21"/>
        <v>613602548.00999999</v>
      </c>
      <c r="F102">
        <f ca="1">SUM($E$2:E102)/SUM($D$2:D102)</f>
        <v>170.46689654665568</v>
      </c>
      <c r="G102">
        <f ca="1">_xlfn.STDEV.P($C$2:C102)</f>
        <v>4.9887943190679769</v>
      </c>
      <c r="H102">
        <f t="shared" ca="1" si="22"/>
        <v>175.45569086572365</v>
      </c>
      <c r="I102">
        <f t="shared" ca="1" si="23"/>
        <v>165.4781022275877</v>
      </c>
      <c r="J102">
        <f t="shared" ca="1" si="32"/>
        <v>178.70850000000002</v>
      </c>
      <c r="K102">
        <f t="shared" ca="1" si="33"/>
        <v>2.4603664147311188</v>
      </c>
      <c r="L102">
        <f t="shared" ca="1" si="34"/>
        <v>183.62923282946224</v>
      </c>
      <c r="M102">
        <f t="shared" ca="1" si="35"/>
        <v>173.78776717053779</v>
      </c>
      <c r="N102">
        <f t="shared" ca="1" si="24"/>
        <v>-1.2800000000000011</v>
      </c>
      <c r="O102">
        <f t="shared" ca="1" si="25"/>
        <v>0</v>
      </c>
      <c r="P102">
        <f t="shared" ca="1" si="26"/>
        <v>1.2800000000000011</v>
      </c>
      <c r="Q102">
        <f t="shared" ca="1" si="30"/>
        <v>0.72217652739141769</v>
      </c>
      <c r="R102">
        <f t="shared" ca="1" si="31"/>
        <v>0.69328463262538442</v>
      </c>
      <c r="S102">
        <f t="shared" ca="1" si="28"/>
        <v>1.0416739293017692</v>
      </c>
      <c r="T102">
        <f t="shared" ca="1" si="29"/>
        <v>51.020582393291889</v>
      </c>
      <c r="U102">
        <f>70</f>
        <v>70</v>
      </c>
      <c r="V102">
        <f>30</f>
        <v>30</v>
      </c>
      <c r="W102">
        <f t="shared" ca="1" si="27"/>
        <v>179.63456940914949</v>
      </c>
      <c r="X102">
        <f t="shared" ca="1" si="37"/>
        <v>177.74257349474496</v>
      </c>
      <c r="Y102">
        <f t="shared" ca="1" si="36"/>
        <v>1.2529080590464048</v>
      </c>
      <c r="Z102">
        <f t="shared" ref="Z102:Z165" ca="1" si="38">Y102*(2/(9+1)) + Z101*(1-(2/(9+1)))</f>
        <v>2.0344774221602684</v>
      </c>
      <c r="AA102">
        <f t="shared" ref="AA102:AA165" ca="1" si="39">Y102-Z102</f>
        <v>-0.7815693631138636</v>
      </c>
      <c r="AB102">
        <f t="shared" ref="AB102:AB165" ca="1" si="40">AVERAGE(C3:C102)</f>
        <v>170.96710000000002</v>
      </c>
    </row>
    <row r="103" spans="1:28" x14ac:dyDescent="0.25">
      <c r="A103" s="20">
        <f t="shared" ca="1" si="20"/>
        <v>45439</v>
      </c>
      <c r="B103" vm="299">
        <f ca="1"/>
        <v>45440</v>
      </c>
      <c r="C103" vm="300">
        <f ca="1"/>
        <v>173.38</v>
      </c>
      <c r="D103" vm="301">
        <f ca="1"/>
        <v>6178117</v>
      </c>
      <c r="E103">
        <f t="shared" ca="1" si="21"/>
        <v>1071161925.4599999</v>
      </c>
      <c r="F103">
        <f ca="1">SUM($E$2:E103)/SUM($D$2:D103)</f>
        <v>170.4991266568434</v>
      </c>
      <c r="G103">
        <f ca="1">_xlfn.STDEV.P($C$2:C103)</f>
        <v>4.9698782839856044</v>
      </c>
      <c r="H103">
        <f t="shared" ca="1" si="22"/>
        <v>175.469004940829</v>
      </c>
      <c r="I103">
        <f t="shared" ca="1" si="23"/>
        <v>165.52924837285781</v>
      </c>
      <c r="J103">
        <f t="shared" ca="1" si="32"/>
        <v>178.57050000000004</v>
      </c>
      <c r="K103">
        <f t="shared" ca="1" si="33"/>
        <v>2.6796454498388633</v>
      </c>
      <c r="L103">
        <f t="shared" ca="1" si="34"/>
        <v>183.92979089967776</v>
      </c>
      <c r="M103">
        <f t="shared" ca="1" si="35"/>
        <v>173.21120910032232</v>
      </c>
      <c r="N103">
        <f t="shared" ca="1" si="24"/>
        <v>-4.6100000000000136</v>
      </c>
      <c r="O103">
        <f t="shared" ca="1" si="25"/>
        <v>0</v>
      </c>
      <c r="P103">
        <f t="shared" ca="1" si="26"/>
        <v>4.6100000000000136</v>
      </c>
      <c r="Q103">
        <f t="shared" ca="1" si="30"/>
        <v>0.67059248972060215</v>
      </c>
      <c r="R103">
        <f t="shared" ca="1" si="31"/>
        <v>0.97305001600928642</v>
      </c>
      <c r="S103">
        <f t="shared" ca="1" si="28"/>
        <v>0.68916548860547189</v>
      </c>
      <c r="T103">
        <f t="shared" ca="1" si="29"/>
        <v>40.799169368208425</v>
      </c>
      <c r="U103">
        <f>70</f>
        <v>70</v>
      </c>
      <c r="V103">
        <f>30</f>
        <v>30</v>
      </c>
      <c r="W103">
        <f t="shared" ca="1" si="27"/>
        <v>178.67232796158802</v>
      </c>
      <c r="X103">
        <f t="shared" ca="1" si="37"/>
        <v>177.41941990254162</v>
      </c>
      <c r="Y103">
        <f t="shared" ca="1" si="36"/>
        <v>0.56002830844903428</v>
      </c>
      <c r="Z103">
        <f t="shared" ca="1" si="38"/>
        <v>1.7395875994180217</v>
      </c>
      <c r="AA103">
        <f t="shared" ca="1" si="39"/>
        <v>-1.1795592909689874</v>
      </c>
      <c r="AB103">
        <f t="shared" ca="1" si="40"/>
        <v>170.97140000000002</v>
      </c>
    </row>
    <row r="104" spans="1:28" x14ac:dyDescent="0.25">
      <c r="A104" s="20">
        <f t="shared" ca="1" si="20"/>
        <v>45439</v>
      </c>
      <c r="B104" vm="302">
        <f ca="1"/>
        <v>45441</v>
      </c>
      <c r="C104" vm="303">
        <f ca="1"/>
        <v>171.15</v>
      </c>
      <c r="D104" vm="304">
        <f ca="1"/>
        <v>5352113</v>
      </c>
      <c r="E104">
        <f t="shared" ca="1" si="21"/>
        <v>916014139.95000005</v>
      </c>
      <c r="F104">
        <f ca="1">SUM($E$2:E104)/SUM($D$2:D104)</f>
        <v>170.50530580752468</v>
      </c>
      <c r="G104">
        <f ca="1">_xlfn.STDEV.P($C$2:C104)</f>
        <v>4.9457129225789904</v>
      </c>
      <c r="H104">
        <f t="shared" ca="1" si="22"/>
        <v>175.45101873010367</v>
      </c>
      <c r="I104">
        <f t="shared" ca="1" si="23"/>
        <v>165.55959288494569</v>
      </c>
      <c r="J104">
        <f t="shared" ca="1" si="32"/>
        <v>178.33250000000001</v>
      </c>
      <c r="K104">
        <f t="shared" ca="1" si="33"/>
        <v>3.1058702907812989</v>
      </c>
      <c r="L104">
        <f t="shared" ca="1" si="34"/>
        <v>184.5442405815626</v>
      </c>
      <c r="M104">
        <f t="shared" ca="1" si="35"/>
        <v>172.12075941843742</v>
      </c>
      <c r="N104">
        <f t="shared" ca="1" si="24"/>
        <v>-2.2299999999999898</v>
      </c>
      <c r="O104">
        <f t="shared" ca="1" si="25"/>
        <v>0</v>
      </c>
      <c r="P104">
        <f t="shared" ca="1" si="26"/>
        <v>2.2299999999999898</v>
      </c>
      <c r="Q104">
        <f t="shared" ca="1" si="30"/>
        <v>0.62269302616913058</v>
      </c>
      <c r="R104">
        <f t="shared" ca="1" si="31"/>
        <v>1.0628321577229081</v>
      </c>
      <c r="S104">
        <f t="shared" ca="1" si="28"/>
        <v>0.58588086711944731</v>
      </c>
      <c r="T104">
        <f t="shared" ca="1" si="29"/>
        <v>36.943561100123873</v>
      </c>
      <c r="U104">
        <f>70</f>
        <v>70</v>
      </c>
      <c r="V104">
        <f>30</f>
        <v>30</v>
      </c>
      <c r="W104">
        <f t="shared" ca="1" si="27"/>
        <v>177.51504673672832</v>
      </c>
      <c r="X104">
        <f t="shared" ca="1" si="37"/>
        <v>176.95501842827929</v>
      </c>
      <c r="Y104">
        <f t="shared" ca="1" si="36"/>
        <v>-4.2655579437195001E-2</v>
      </c>
      <c r="Z104">
        <f t="shared" ca="1" si="38"/>
        <v>1.3831389636469784</v>
      </c>
      <c r="AA104">
        <f t="shared" ca="1" si="39"/>
        <v>-1.4257945430841734</v>
      </c>
      <c r="AB104">
        <f t="shared" ca="1" si="40"/>
        <v>170.96820000000002</v>
      </c>
    </row>
    <row r="105" spans="1:28" x14ac:dyDescent="0.25">
      <c r="A105" s="20">
        <f t="shared" ca="1" si="20"/>
        <v>45439</v>
      </c>
      <c r="B105" vm="305">
        <f ca="1"/>
        <v>45442</v>
      </c>
      <c r="C105" vm="306">
        <f ca="1"/>
        <v>170.48</v>
      </c>
      <c r="D105" vm="307">
        <f ca="1"/>
        <v>3903880</v>
      </c>
      <c r="E105">
        <f t="shared" ca="1" si="21"/>
        <v>665533462.39999998</v>
      </c>
      <c r="F105">
        <f ca="1">SUM($E$2:E105)/SUM($D$2:D105)</f>
        <v>170.50513177650095</v>
      </c>
      <c r="G105">
        <f ca="1">_xlfn.STDEV.P($C$2:C105)</f>
        <v>4.9221509561504853</v>
      </c>
      <c r="H105">
        <f t="shared" ca="1" si="22"/>
        <v>175.42728273265143</v>
      </c>
      <c r="I105">
        <f t="shared" ca="1" si="23"/>
        <v>165.58298082035046</v>
      </c>
      <c r="J105">
        <f t="shared" ca="1" si="32"/>
        <v>178.09900000000002</v>
      </c>
      <c r="K105">
        <f t="shared" ca="1" si="33"/>
        <v>3.5073245163739726</v>
      </c>
      <c r="L105">
        <f t="shared" ca="1" si="34"/>
        <v>185.11364903274796</v>
      </c>
      <c r="M105">
        <f t="shared" ca="1" si="35"/>
        <v>171.08435096725208</v>
      </c>
      <c r="N105">
        <f t="shared" ca="1" si="24"/>
        <v>-0.67000000000001592</v>
      </c>
      <c r="O105">
        <f t="shared" ca="1" si="25"/>
        <v>0</v>
      </c>
      <c r="P105">
        <f t="shared" ca="1" si="26"/>
        <v>0.67000000000001592</v>
      </c>
      <c r="Q105">
        <f t="shared" ca="1" si="30"/>
        <v>0.57821495287133551</v>
      </c>
      <c r="R105">
        <f t="shared" ca="1" si="31"/>
        <v>1.0347727178855586</v>
      </c>
      <c r="S105">
        <f t="shared" ca="1" si="28"/>
        <v>0.55878449719166601</v>
      </c>
      <c r="T105">
        <f t="shared" ca="1" si="29"/>
        <v>35.847450253603512</v>
      </c>
      <c r="U105">
        <f>70</f>
        <v>70</v>
      </c>
      <c r="V105">
        <f>30</f>
        <v>30</v>
      </c>
      <c r="W105">
        <f t="shared" ca="1" si="27"/>
        <v>176.43273185415472</v>
      </c>
      <c r="X105">
        <f t="shared" ca="1" si="37"/>
        <v>176.47538743359192</v>
      </c>
      <c r="Y105">
        <f t="shared" ca="1" si="36"/>
        <v>-0.32130927416929467</v>
      </c>
      <c r="Z105">
        <f t="shared" ca="1" si="38"/>
        <v>1.0422493160837238</v>
      </c>
      <c r="AA105">
        <f t="shared" ca="1" si="39"/>
        <v>-1.3635585902530185</v>
      </c>
      <c r="AB105">
        <f t="shared" ca="1" si="40"/>
        <v>170.9836</v>
      </c>
    </row>
    <row r="106" spans="1:28" x14ac:dyDescent="0.25">
      <c r="A106" s="20">
        <f t="shared" ca="1" si="20"/>
        <v>45439</v>
      </c>
      <c r="B106" vm="308">
        <f ca="1"/>
        <v>45443</v>
      </c>
      <c r="C106" vm="309">
        <f ca="1"/>
        <v>172.9</v>
      </c>
      <c r="D106" vm="310">
        <f ca="1"/>
        <v>8155606</v>
      </c>
      <c r="E106">
        <f t="shared" ca="1" si="21"/>
        <v>1410104277.4000001</v>
      </c>
      <c r="F106">
        <f ca="1">SUM($E$2:E106)/SUM($D$2:D106)</f>
        <v>170.53905153556747</v>
      </c>
      <c r="G106">
        <f ca="1">_xlfn.STDEV.P($C$2:C106)</f>
        <v>4.9021085250053078</v>
      </c>
      <c r="H106">
        <f t="shared" ca="1" si="22"/>
        <v>175.44116006057277</v>
      </c>
      <c r="I106">
        <f t="shared" ca="1" si="23"/>
        <v>165.63694301056216</v>
      </c>
      <c r="J106">
        <f t="shared" ca="1" si="32"/>
        <v>177.97150000000005</v>
      </c>
      <c r="K106">
        <f t="shared" ca="1" si="33"/>
        <v>3.6520538922062702</v>
      </c>
      <c r="L106">
        <f t="shared" ca="1" si="34"/>
        <v>185.27560778441259</v>
      </c>
      <c r="M106">
        <f t="shared" ca="1" si="35"/>
        <v>170.66739221558751</v>
      </c>
      <c r="N106">
        <f t="shared" ca="1" si="24"/>
        <v>2.4200000000000159</v>
      </c>
      <c r="O106">
        <f t="shared" ca="1" si="25"/>
        <v>2.4200000000000159</v>
      </c>
      <c r="P106">
        <f t="shared" ca="1" si="26"/>
        <v>0</v>
      </c>
      <c r="Q106">
        <f t="shared" ca="1" si="30"/>
        <v>0.70977102766624134</v>
      </c>
      <c r="R106">
        <f t="shared" ca="1" si="31"/>
        <v>0.96086038089373293</v>
      </c>
      <c r="S106">
        <f t="shared" ca="1" si="28"/>
        <v>0.73868279073600285</v>
      </c>
      <c r="T106">
        <f t="shared" ca="1" si="29"/>
        <v>42.485195958217915</v>
      </c>
      <c r="U106">
        <f>70</f>
        <v>70</v>
      </c>
      <c r="V106">
        <f>30</f>
        <v>30</v>
      </c>
      <c r="W106">
        <f t="shared" ca="1" si="27"/>
        <v>175.88923464582322</v>
      </c>
      <c r="X106">
        <f t="shared" ca="1" si="37"/>
        <v>176.21054391999252</v>
      </c>
      <c r="Y106">
        <f t="shared" ca="1" si="36"/>
        <v>-0.66918542503725575</v>
      </c>
      <c r="Z106">
        <f t="shared" ca="1" si="38"/>
        <v>0.69996236785952792</v>
      </c>
      <c r="AA106">
        <f t="shared" ca="1" si="39"/>
        <v>-1.3691477928967837</v>
      </c>
      <c r="AB106">
        <f t="shared" ca="1" si="40"/>
        <v>171.02150000000006</v>
      </c>
    </row>
    <row r="107" spans="1:28" x14ac:dyDescent="0.25">
      <c r="A107" s="20">
        <f t="shared" ca="1" si="20"/>
        <v>45446</v>
      </c>
      <c r="B107" vm="311">
        <f ca="1"/>
        <v>45446</v>
      </c>
      <c r="C107" vm="312">
        <f ca="1"/>
        <v>171.23</v>
      </c>
      <c r="D107" vm="313">
        <f ca="1"/>
        <v>5032377</v>
      </c>
      <c r="E107">
        <f t="shared" ca="1" si="21"/>
        <v>861693913.70999992</v>
      </c>
      <c r="F107">
        <f ca="1">SUM($E$2:E107)/SUM($D$2:D107)</f>
        <v>170.54503778329629</v>
      </c>
      <c r="G107">
        <f ca="1">_xlfn.STDEV.P($C$2:C107)</f>
        <v>4.8789711796813187</v>
      </c>
      <c r="H107">
        <f t="shared" ca="1" si="22"/>
        <v>175.42400896297761</v>
      </c>
      <c r="I107">
        <f t="shared" ca="1" si="23"/>
        <v>165.66606660361498</v>
      </c>
      <c r="J107">
        <f t="shared" ca="1" si="32"/>
        <v>177.72550000000001</v>
      </c>
      <c r="K107">
        <f t="shared" ca="1" si="33"/>
        <v>3.9358814635017745</v>
      </c>
      <c r="L107">
        <f t="shared" ca="1" si="34"/>
        <v>185.59726292700356</v>
      </c>
      <c r="M107">
        <f t="shared" ca="1" si="35"/>
        <v>169.85373707299647</v>
      </c>
      <c r="N107">
        <f t="shared" ca="1" si="24"/>
        <v>-1.6700000000000159</v>
      </c>
      <c r="O107">
        <f t="shared" ca="1" si="25"/>
        <v>0</v>
      </c>
      <c r="P107">
        <f t="shared" ca="1" si="26"/>
        <v>1.6700000000000159</v>
      </c>
      <c r="Q107">
        <f t="shared" ca="1" si="30"/>
        <v>0.6590730971186527</v>
      </c>
      <c r="R107">
        <f t="shared" ca="1" si="31"/>
        <v>1.0115132108298961</v>
      </c>
      <c r="S107">
        <f t="shared" ca="1" si="28"/>
        <v>0.6515714180123422</v>
      </c>
      <c r="T107">
        <f t="shared" ca="1" si="29"/>
        <v>39.451604145372357</v>
      </c>
      <c r="U107">
        <f>70</f>
        <v>70</v>
      </c>
      <c r="V107">
        <f>30</f>
        <v>30</v>
      </c>
      <c r="W107">
        <f t="shared" ca="1" si="27"/>
        <v>175.17242931569658</v>
      </c>
      <c r="X107">
        <f t="shared" ca="1" si="37"/>
        <v>175.84161474073383</v>
      </c>
      <c r="Y107">
        <f t="shared" ca="1" si="36"/>
        <v>-0.72191818796758866</v>
      </c>
      <c r="Z107">
        <f t="shared" ca="1" si="38"/>
        <v>0.41558625669410459</v>
      </c>
      <c r="AA107">
        <f t="shared" ca="1" si="39"/>
        <v>-1.1375044446616933</v>
      </c>
      <c r="AB107">
        <f t="shared" ca="1" si="40"/>
        <v>171.06210000000002</v>
      </c>
    </row>
    <row r="108" spans="1:28" x14ac:dyDescent="0.25">
      <c r="A108" s="20">
        <f t="shared" ca="1" si="20"/>
        <v>45446</v>
      </c>
      <c r="B108" vm="314">
        <f ca="1"/>
        <v>45447</v>
      </c>
      <c r="C108" vm="315">
        <f ca="1"/>
        <v>173.89</v>
      </c>
      <c r="D108" vm="316">
        <f ca="1"/>
        <v>4619065</v>
      </c>
      <c r="E108">
        <f t="shared" ca="1" si="21"/>
        <v>803209212.8499999</v>
      </c>
      <c r="F108">
        <f ca="1">SUM($E$2:E108)/SUM($D$2:D108)</f>
        <v>170.57142789283253</v>
      </c>
      <c r="G108">
        <f ca="1">_xlfn.STDEV.P($C$2:C108)</f>
        <v>4.863931488233467</v>
      </c>
      <c r="H108">
        <f t="shared" ca="1" si="22"/>
        <v>175.43535938106601</v>
      </c>
      <c r="I108">
        <f t="shared" ca="1" si="23"/>
        <v>165.70749640459906</v>
      </c>
      <c r="J108">
        <f t="shared" ca="1" si="32"/>
        <v>177.62900000000002</v>
      </c>
      <c r="K108">
        <f t="shared" ca="1" si="33"/>
        <v>4.0080575423960578</v>
      </c>
      <c r="L108">
        <f t="shared" ca="1" si="34"/>
        <v>185.64511508479214</v>
      </c>
      <c r="M108">
        <f t="shared" ca="1" si="35"/>
        <v>169.6128849152079</v>
      </c>
      <c r="N108">
        <f t="shared" ca="1" si="24"/>
        <v>2.6599999999999966</v>
      </c>
      <c r="O108">
        <f t="shared" ca="1" si="25"/>
        <v>2.6599999999999966</v>
      </c>
      <c r="P108">
        <f t="shared" ca="1" si="26"/>
        <v>0</v>
      </c>
      <c r="Q108">
        <f t="shared" ca="1" si="30"/>
        <v>0.80199644732446296</v>
      </c>
      <c r="R108">
        <f t="shared" ca="1" si="31"/>
        <v>0.93926226719918926</v>
      </c>
      <c r="S108">
        <f t="shared" ca="1" si="28"/>
        <v>0.85385783644429492</v>
      </c>
      <c r="T108">
        <f t="shared" ca="1" si="29"/>
        <v>46.058431216171186</v>
      </c>
      <c r="U108">
        <f>70</f>
        <v>70</v>
      </c>
      <c r="V108">
        <f>30</f>
        <v>30</v>
      </c>
      <c r="W108">
        <f t="shared" ca="1" si="27"/>
        <v>174.97513249789708</v>
      </c>
      <c r="X108">
        <f t="shared" ca="1" si="37"/>
        <v>175.69705068586467</v>
      </c>
      <c r="Y108">
        <f t="shared" ca="1" si="36"/>
        <v>-0.78691487473102484</v>
      </c>
      <c r="Z108">
        <f t="shared" ca="1" si="38"/>
        <v>0.17508603040907869</v>
      </c>
      <c r="AA108">
        <f t="shared" ca="1" si="39"/>
        <v>-0.9620009051401035</v>
      </c>
      <c r="AB108">
        <f t="shared" ca="1" si="40"/>
        <v>171.1318</v>
      </c>
    </row>
    <row r="109" spans="1:28" x14ac:dyDescent="0.25">
      <c r="A109" s="20">
        <f t="shared" ca="1" si="20"/>
        <v>45446</v>
      </c>
      <c r="B109" vm="317">
        <f ca="1"/>
        <v>45448</v>
      </c>
      <c r="C109" vm="318">
        <f ca="1"/>
        <v>173.49</v>
      </c>
      <c r="D109" vm="319">
        <f ca="1"/>
        <v>5370688</v>
      </c>
      <c r="E109">
        <f t="shared" ca="1" si="21"/>
        <v>931760661.12</v>
      </c>
      <c r="F109">
        <f ca="1">SUM($E$2:E109)/SUM($D$2:D109)</f>
        <v>170.59795748049186</v>
      </c>
      <c r="G109">
        <f ca="1">_xlfn.STDEV.P($C$2:C109)</f>
        <v>4.8469852076900901</v>
      </c>
      <c r="H109">
        <f t="shared" ca="1" si="22"/>
        <v>175.44494268818195</v>
      </c>
      <c r="I109">
        <f t="shared" ca="1" si="23"/>
        <v>165.75097227280176</v>
      </c>
      <c r="J109">
        <f t="shared" ca="1" si="32"/>
        <v>177.4025</v>
      </c>
      <c r="K109">
        <f t="shared" ca="1" si="33"/>
        <v>4.1114626351214758</v>
      </c>
      <c r="L109">
        <f t="shared" ca="1" si="34"/>
        <v>185.62542527024294</v>
      </c>
      <c r="M109">
        <f t="shared" ca="1" si="35"/>
        <v>169.17957472975706</v>
      </c>
      <c r="N109">
        <f t="shared" ca="1" si="24"/>
        <v>-0.39999999999997726</v>
      </c>
      <c r="O109">
        <f t="shared" ca="1" si="25"/>
        <v>0</v>
      </c>
      <c r="P109">
        <f t="shared" ca="1" si="26"/>
        <v>0.39999999999997726</v>
      </c>
      <c r="Q109">
        <f t="shared" ca="1" si="30"/>
        <v>0.74471098680128711</v>
      </c>
      <c r="R109">
        <f t="shared" ca="1" si="31"/>
        <v>0.90074353382781702</v>
      </c>
      <c r="S109">
        <f t="shared" ca="1" si="28"/>
        <v>0.82677361405698802</v>
      </c>
      <c r="T109">
        <f t="shared" ca="1" si="29"/>
        <v>45.258679438709919</v>
      </c>
      <c r="U109">
        <f>70</f>
        <v>70</v>
      </c>
      <c r="V109">
        <f>30</f>
        <v>30</v>
      </c>
      <c r="W109">
        <f t="shared" ca="1" si="27"/>
        <v>174.74665057514369</v>
      </c>
      <c r="X109">
        <f t="shared" ca="1" si="37"/>
        <v>175.53356544987471</v>
      </c>
      <c r="Y109">
        <f t="shared" ca="1" si="36"/>
        <v>-0.85200441707010555</v>
      </c>
      <c r="Z109">
        <f t="shared" ca="1" si="38"/>
        <v>-3.0332059086758179E-2</v>
      </c>
      <c r="AA109">
        <f t="shared" ca="1" si="39"/>
        <v>-0.82167235798334737</v>
      </c>
      <c r="AB109">
        <f t="shared" ca="1" si="40"/>
        <v>171.2054</v>
      </c>
    </row>
    <row r="110" spans="1:28" x14ac:dyDescent="0.25">
      <c r="A110" s="20">
        <f t="shared" ca="1" si="20"/>
        <v>45446</v>
      </c>
      <c r="B110" vm="320">
        <f ca="1"/>
        <v>45449</v>
      </c>
      <c r="C110" vm="321">
        <f ca="1"/>
        <v>173.2</v>
      </c>
      <c r="D110" vm="322">
        <f ca="1"/>
        <v>5536694</v>
      </c>
      <c r="E110">
        <f t="shared" ca="1" si="21"/>
        <v>958955400.79999995</v>
      </c>
      <c r="F110">
        <f ca="1">SUM($E$2:E110)/SUM($D$2:D110)</f>
        <v>170.62211455203175</v>
      </c>
      <c r="G110">
        <f ca="1">_xlfn.STDEV.P($C$2:C110)</f>
        <v>4.8289506552255732</v>
      </c>
      <c r="H110">
        <f t="shared" ca="1" si="22"/>
        <v>175.45106520725733</v>
      </c>
      <c r="I110">
        <f t="shared" ca="1" si="23"/>
        <v>165.79316389680616</v>
      </c>
      <c r="J110">
        <f t="shared" ca="1" si="32"/>
        <v>177.19200000000001</v>
      </c>
      <c r="K110">
        <f t="shared" ca="1" si="33"/>
        <v>4.2174644415560296</v>
      </c>
      <c r="L110">
        <f t="shared" ca="1" si="34"/>
        <v>185.62692888311207</v>
      </c>
      <c r="M110">
        <f t="shared" ca="1" si="35"/>
        <v>168.75707111688794</v>
      </c>
      <c r="N110">
        <f t="shared" ca="1" si="24"/>
        <v>-0.29000000000002046</v>
      </c>
      <c r="O110">
        <f t="shared" ca="1" si="25"/>
        <v>0</v>
      </c>
      <c r="P110">
        <f t="shared" ca="1" si="26"/>
        <v>0.29000000000002046</v>
      </c>
      <c r="Q110">
        <f t="shared" ca="1" si="30"/>
        <v>0.69151734488690941</v>
      </c>
      <c r="R110">
        <f t="shared" ca="1" si="31"/>
        <v>0.85711899569726013</v>
      </c>
      <c r="S110">
        <f t="shared" ca="1" si="28"/>
        <v>0.80679269548140753</v>
      </c>
      <c r="T110">
        <f t="shared" ca="1" si="29"/>
        <v>44.653307349487768</v>
      </c>
      <c r="U110">
        <f>70</f>
        <v>70</v>
      </c>
      <c r="V110">
        <f>30</f>
        <v>30</v>
      </c>
      <c r="W110">
        <f t="shared" ca="1" si="27"/>
        <v>174.50870433281389</v>
      </c>
      <c r="X110">
        <f t="shared" ca="1" si="37"/>
        <v>175.360708749884</v>
      </c>
      <c r="Y110">
        <f t="shared" ca="1" si="36"/>
        <v>-1.0655987375116069</v>
      </c>
      <c r="Z110">
        <f t="shared" ca="1" si="38"/>
        <v>-0.23738539477172796</v>
      </c>
      <c r="AA110">
        <f t="shared" ca="1" si="39"/>
        <v>-0.82821334273987901</v>
      </c>
      <c r="AB110">
        <f t="shared" ca="1" si="40"/>
        <v>171.2647</v>
      </c>
    </row>
    <row r="111" spans="1:28" x14ac:dyDescent="0.25">
      <c r="A111" s="20">
        <f t="shared" ca="1" si="20"/>
        <v>45446</v>
      </c>
      <c r="B111" vm="323">
        <f ca="1"/>
        <v>45450</v>
      </c>
      <c r="C111" vm="324">
        <f ca="1"/>
        <v>171.04</v>
      </c>
      <c r="D111" vm="325">
        <f ca="1"/>
        <v>3521165</v>
      </c>
      <c r="E111">
        <f t="shared" ca="1" si="21"/>
        <v>602260061.60000002</v>
      </c>
      <c r="F111">
        <f ca="1">SUM($E$2:E111)/SUM($D$2:D111)</f>
        <v>170.62456737582312</v>
      </c>
      <c r="G111">
        <f ca="1">_xlfn.STDEV.P($C$2:C111)</f>
        <v>4.8069535858857133</v>
      </c>
      <c r="H111">
        <f t="shared" ca="1" si="22"/>
        <v>175.43152096170883</v>
      </c>
      <c r="I111">
        <f t="shared" ca="1" si="23"/>
        <v>165.81761378993741</v>
      </c>
      <c r="J111">
        <f t="shared" ca="1" si="32"/>
        <v>176.84099999999998</v>
      </c>
      <c r="K111">
        <f t="shared" ca="1" si="33"/>
        <v>4.4282750592075963</v>
      </c>
      <c r="L111">
        <f t="shared" ca="1" si="34"/>
        <v>185.69755011841517</v>
      </c>
      <c r="M111">
        <f t="shared" ca="1" si="35"/>
        <v>167.98444988158479</v>
      </c>
      <c r="N111">
        <f t="shared" ca="1" si="24"/>
        <v>-2.1599999999999966</v>
      </c>
      <c r="O111">
        <f t="shared" ca="1" si="25"/>
        <v>0</v>
      </c>
      <c r="P111">
        <f t="shared" ca="1" si="26"/>
        <v>2.1599999999999966</v>
      </c>
      <c r="Q111">
        <f t="shared" ca="1" si="30"/>
        <v>0.64212324882355876</v>
      </c>
      <c r="R111">
        <f t="shared" ca="1" si="31"/>
        <v>0.95018192457602701</v>
      </c>
      <c r="S111">
        <f t="shared" ca="1" si="28"/>
        <v>0.67578979584364895</v>
      </c>
      <c r="T111">
        <f t="shared" ca="1" si="29"/>
        <v>40.326644637636882</v>
      </c>
      <c r="U111">
        <f>70</f>
        <v>70</v>
      </c>
      <c r="V111">
        <f>30</f>
        <v>30</v>
      </c>
      <c r="W111">
        <f t="shared" ca="1" si="27"/>
        <v>173.975057512381</v>
      </c>
      <c r="X111">
        <f t="shared" ca="1" si="37"/>
        <v>175.04065624989261</v>
      </c>
      <c r="Y111">
        <f t="shared" ca="1" si="36"/>
        <v>-1.6308296297377467</v>
      </c>
      <c r="Z111">
        <f t="shared" ca="1" si="38"/>
        <v>-0.51607424176493177</v>
      </c>
      <c r="AA111">
        <f t="shared" ca="1" si="39"/>
        <v>-1.1147553879728149</v>
      </c>
      <c r="AB111">
        <f t="shared" ca="1" si="40"/>
        <v>171.3134</v>
      </c>
    </row>
    <row r="112" spans="1:28" x14ac:dyDescent="0.25">
      <c r="A112" s="20">
        <f t="shared" ca="1" si="20"/>
        <v>45453</v>
      </c>
      <c r="B112" vm="326">
        <f ca="1"/>
        <v>45453</v>
      </c>
      <c r="C112" vm="327">
        <f ca="1"/>
        <v>165.9</v>
      </c>
      <c r="D112" vm="328">
        <f ca="1"/>
        <v>9432639</v>
      </c>
      <c r="E112">
        <f t="shared" ca="1" si="21"/>
        <v>1564874810.1000001</v>
      </c>
      <c r="F112">
        <f ca="1">SUM($E$2:E112)/SUM($D$2:D112)</f>
        <v>170.5514294934477</v>
      </c>
      <c r="G112">
        <f ca="1">_xlfn.STDEV.P($C$2:C112)</f>
        <v>4.8103554243421227</v>
      </c>
      <c r="H112">
        <f t="shared" ca="1" si="22"/>
        <v>175.36178491778983</v>
      </c>
      <c r="I112">
        <f t="shared" ca="1" si="23"/>
        <v>165.74107406910557</v>
      </c>
      <c r="J112">
        <f t="shared" ca="1" si="32"/>
        <v>176.1465</v>
      </c>
      <c r="K112">
        <f t="shared" ca="1" si="33"/>
        <v>4.9944445716162882</v>
      </c>
      <c r="L112">
        <f t="shared" ca="1" si="34"/>
        <v>186.13538914323257</v>
      </c>
      <c r="M112">
        <f t="shared" ca="1" si="35"/>
        <v>166.15761085676743</v>
      </c>
      <c r="N112">
        <f t="shared" ca="1" si="24"/>
        <v>-5.1399999999999864</v>
      </c>
      <c r="O112">
        <f t="shared" ca="1" si="25"/>
        <v>0</v>
      </c>
      <c r="P112">
        <f t="shared" ca="1" si="26"/>
        <v>5.1399999999999864</v>
      </c>
      <c r="Q112">
        <f t="shared" ca="1" si="30"/>
        <v>0.59625730247901887</v>
      </c>
      <c r="R112">
        <f t="shared" ca="1" si="31"/>
        <v>1.2494546442491672</v>
      </c>
      <c r="S112">
        <f t="shared" ca="1" si="28"/>
        <v>0.47721404312145066</v>
      </c>
      <c r="T112">
        <f t="shared" ca="1" si="29"/>
        <v>32.305003147212574</v>
      </c>
      <c r="U112">
        <f>70</f>
        <v>70</v>
      </c>
      <c r="V112">
        <f>30</f>
        <v>30</v>
      </c>
      <c r="W112">
        <f t="shared" ca="1" si="27"/>
        <v>172.73274097201468</v>
      </c>
      <c r="X112">
        <f t="shared" ca="1" si="37"/>
        <v>174.36357060175243</v>
      </c>
      <c r="Y112">
        <f t="shared" ca="1" si="36"/>
        <v>-2.1213002190347083</v>
      </c>
      <c r="Z112">
        <f t="shared" ca="1" si="38"/>
        <v>-0.83711943721888715</v>
      </c>
      <c r="AA112">
        <f t="shared" ca="1" si="39"/>
        <v>-1.2841807818158211</v>
      </c>
      <c r="AB112">
        <f t="shared" ca="1" si="40"/>
        <v>171.30800000000002</v>
      </c>
    </row>
    <row r="113" spans="1:28" x14ac:dyDescent="0.25">
      <c r="A113" s="20">
        <f t="shared" ca="1" si="20"/>
        <v>45453</v>
      </c>
      <c r="B113" vm="329">
        <f ca="1"/>
        <v>45454</v>
      </c>
      <c r="C113" vm="330">
        <f ca="1"/>
        <v>165.07</v>
      </c>
      <c r="D113" vm="331">
        <f ca="1"/>
        <v>8284512</v>
      </c>
      <c r="E113">
        <f t="shared" ca="1" si="21"/>
        <v>1367524395.8399999</v>
      </c>
      <c r="F113">
        <f ca="1">SUM($E$2:E113)/SUM($D$2:D113)</f>
        <v>170.47790315178869</v>
      </c>
      <c r="G113">
        <f ca="1">_xlfn.STDEV.P($C$2:C113)</f>
        <v>4.821731801807176</v>
      </c>
      <c r="H113">
        <f t="shared" ca="1" si="22"/>
        <v>175.29963495359587</v>
      </c>
      <c r="I113">
        <f t="shared" ca="1" si="23"/>
        <v>165.65617134998152</v>
      </c>
      <c r="J113">
        <f t="shared" ca="1" si="32"/>
        <v>175.35500000000002</v>
      </c>
      <c r="K113">
        <f t="shared" ca="1" si="33"/>
        <v>5.4362753309305676</v>
      </c>
      <c r="L113">
        <f t="shared" ca="1" si="34"/>
        <v>186.22755066186116</v>
      </c>
      <c r="M113">
        <f t="shared" ca="1" si="35"/>
        <v>164.48244933813888</v>
      </c>
      <c r="N113">
        <f t="shared" ca="1" si="24"/>
        <v>-0.83000000000001251</v>
      </c>
      <c r="O113">
        <f t="shared" ca="1" si="25"/>
        <v>0</v>
      </c>
      <c r="P113">
        <f t="shared" ca="1" si="26"/>
        <v>0.83000000000001251</v>
      </c>
      <c r="Q113">
        <f t="shared" ca="1" si="30"/>
        <v>0.55366749515908897</v>
      </c>
      <c r="R113">
        <f t="shared" ca="1" si="31"/>
        <v>1.2194935982313704</v>
      </c>
      <c r="S113">
        <f t="shared" ca="1" si="28"/>
        <v>0.45401426949848039</v>
      </c>
      <c r="T113">
        <f t="shared" ca="1" si="29"/>
        <v>31.224884034671774</v>
      </c>
      <c r="U113">
        <f>70</f>
        <v>70</v>
      </c>
      <c r="V113">
        <f>30</f>
        <v>30</v>
      </c>
      <c r="W113">
        <f t="shared" ca="1" si="27"/>
        <v>171.55385774555089</v>
      </c>
      <c r="X113">
        <f t="shared" ca="1" si="37"/>
        <v>173.67515796458559</v>
      </c>
      <c r="Y113">
        <f t="shared" ca="1" si="36"/>
        <v>-2.5803150657028766</v>
      </c>
      <c r="Z113">
        <f t="shared" ca="1" si="38"/>
        <v>-1.185758562915685</v>
      </c>
      <c r="AA113">
        <f t="shared" ca="1" si="39"/>
        <v>-1.3945565027871916</v>
      </c>
      <c r="AB113">
        <f t="shared" ca="1" si="40"/>
        <v>171.28700000000001</v>
      </c>
    </row>
    <row r="114" spans="1:28" x14ac:dyDescent="0.25">
      <c r="A114" s="20">
        <f t="shared" ca="1" si="20"/>
        <v>45453</v>
      </c>
      <c r="B114" vm="332">
        <f ca="1"/>
        <v>45455</v>
      </c>
      <c r="C114" vm="333">
        <f ca="1"/>
        <v>163.83000000000001</v>
      </c>
      <c r="D114" vm="334">
        <f ca="1"/>
        <v>6281102</v>
      </c>
      <c r="E114">
        <f t="shared" ca="1" si="21"/>
        <v>1029032940.6600001</v>
      </c>
      <c r="F114">
        <f ca="1">SUM($E$2:E114)/SUM($D$2:D114)</f>
        <v>170.41097508402288</v>
      </c>
      <c r="G114">
        <f ca="1">_xlfn.STDEV.P($C$2:C114)</f>
        <v>4.8470138862436531</v>
      </c>
      <c r="H114">
        <f t="shared" ca="1" si="22"/>
        <v>175.25798897026652</v>
      </c>
      <c r="I114">
        <f t="shared" ca="1" si="23"/>
        <v>165.56396119777924</v>
      </c>
      <c r="J114">
        <f t="shared" ca="1" si="32"/>
        <v>174.55300000000003</v>
      </c>
      <c r="K114">
        <f t="shared" ca="1" si="33"/>
        <v>5.8986395398475286</v>
      </c>
      <c r="L114">
        <f t="shared" ca="1" si="34"/>
        <v>186.35027907969507</v>
      </c>
      <c r="M114">
        <f t="shared" ca="1" si="35"/>
        <v>162.75572092030498</v>
      </c>
      <c r="N114">
        <f t="shared" ca="1" si="24"/>
        <v>-1.2399999999999807</v>
      </c>
      <c r="O114">
        <f t="shared" ca="1" si="25"/>
        <v>0</v>
      </c>
      <c r="P114">
        <f t="shared" ca="1" si="26"/>
        <v>1.2399999999999807</v>
      </c>
      <c r="Q114">
        <f t="shared" ca="1" si="30"/>
        <v>0.51411981693343978</v>
      </c>
      <c r="R114">
        <f t="shared" ca="1" si="31"/>
        <v>1.2209583412148426</v>
      </c>
      <c r="S114">
        <f t="shared" ca="1" si="28"/>
        <v>0.42107891774742712</v>
      </c>
      <c r="T114">
        <f t="shared" ca="1" si="29"/>
        <v>29.630931293730356</v>
      </c>
      <c r="U114">
        <f>70</f>
        <v>70</v>
      </c>
      <c r="V114">
        <f>30</f>
        <v>30</v>
      </c>
      <c r="W114">
        <f t="shared" ca="1" si="27"/>
        <v>170.36557193854304</v>
      </c>
      <c r="X114">
        <f t="shared" ca="1" si="37"/>
        <v>172.94588700424592</v>
      </c>
      <c r="Y114">
        <f t="shared" ca="1" si="36"/>
        <v>-2.950422822315204</v>
      </c>
      <c r="Z114">
        <f t="shared" ca="1" si="38"/>
        <v>-1.538691414795589</v>
      </c>
      <c r="AA114">
        <f t="shared" ca="1" si="39"/>
        <v>-1.411731407519615</v>
      </c>
      <c r="AB114">
        <f t="shared" ca="1" si="40"/>
        <v>171.26750000000001</v>
      </c>
    </row>
    <row r="115" spans="1:28" x14ac:dyDescent="0.25">
      <c r="A115" s="20">
        <f t="shared" ca="1" si="20"/>
        <v>45453</v>
      </c>
      <c r="B115" vm="335">
        <f ca="1"/>
        <v>45456</v>
      </c>
      <c r="C115" vm="336">
        <f ca="1"/>
        <v>163.33000000000001</v>
      </c>
      <c r="D115" vm="337">
        <f ca="1"/>
        <v>5432649</v>
      </c>
      <c r="E115">
        <f t="shared" ca="1" si="21"/>
        <v>887314561.17000008</v>
      </c>
      <c r="F115">
        <f ca="1">SUM($E$2:E115)/SUM($D$2:D115)</f>
        <v>170.34984891631575</v>
      </c>
      <c r="G115">
        <f ca="1">_xlfn.STDEV.P($C$2:C115)</f>
        <v>4.8774775641131569</v>
      </c>
      <c r="H115">
        <f t="shared" ca="1" si="22"/>
        <v>175.2273264804289</v>
      </c>
      <c r="I115">
        <f t="shared" ca="1" si="23"/>
        <v>165.4723713522026</v>
      </c>
      <c r="J115">
        <f t="shared" ca="1" si="32"/>
        <v>173.74650000000003</v>
      </c>
      <c r="K115">
        <f t="shared" ca="1" si="33"/>
        <v>6.2826128280651234</v>
      </c>
      <c r="L115">
        <f t="shared" ca="1" si="34"/>
        <v>186.31172565613028</v>
      </c>
      <c r="M115">
        <f t="shared" ca="1" si="35"/>
        <v>161.18127434386977</v>
      </c>
      <c r="N115">
        <f t="shared" ca="1" si="24"/>
        <v>-0.5</v>
      </c>
      <c r="O115">
        <f t="shared" ca="1" si="25"/>
        <v>0</v>
      </c>
      <c r="P115">
        <f t="shared" ca="1" si="26"/>
        <v>0.5</v>
      </c>
      <c r="Q115">
        <f t="shared" ca="1" si="30"/>
        <v>0.47739697286676552</v>
      </c>
      <c r="R115">
        <f t="shared" ca="1" si="31"/>
        <v>1.1694613168423538</v>
      </c>
      <c r="S115">
        <f t="shared" ca="1" si="28"/>
        <v>0.40821955031037577</v>
      </c>
      <c r="T115">
        <f t="shared" ca="1" si="29"/>
        <v>28.988345618437336</v>
      </c>
      <c r="U115">
        <f>70</f>
        <v>70</v>
      </c>
      <c r="V115">
        <f>30</f>
        <v>30</v>
      </c>
      <c r="W115">
        <f t="shared" ca="1" si="27"/>
        <v>169.28317625569028</v>
      </c>
      <c r="X115">
        <f t="shared" ca="1" si="37"/>
        <v>172.23359907800548</v>
      </c>
      <c r="Y115">
        <f t="shared" ca="1" si="36"/>
        <v>-3.1684796365007912</v>
      </c>
      <c r="Z115">
        <f t="shared" ca="1" si="38"/>
        <v>-1.8646490591366296</v>
      </c>
      <c r="AA115">
        <f t="shared" ca="1" si="39"/>
        <v>-1.3038305773641616</v>
      </c>
      <c r="AB115">
        <f t="shared" ca="1" si="40"/>
        <v>171.24970000000002</v>
      </c>
    </row>
    <row r="116" spans="1:28" x14ac:dyDescent="0.25">
      <c r="A116" s="20">
        <f t="shared" ca="1" si="20"/>
        <v>45453</v>
      </c>
      <c r="B116" vm="338">
        <f ca="1"/>
        <v>45457</v>
      </c>
      <c r="C116" vm="339">
        <f ca="1"/>
        <v>163.81</v>
      </c>
      <c r="D116" vm="340">
        <f ca="1"/>
        <v>3603340</v>
      </c>
      <c r="E116">
        <f t="shared" ca="1" si="21"/>
        <v>590263125.39999998</v>
      </c>
      <c r="F116">
        <f ca="1">SUM($E$2:E116)/SUM($D$2:D116)</f>
        <v>170.31261695874406</v>
      </c>
      <c r="G116">
        <f ca="1">_xlfn.STDEV.P($C$2:C116)</f>
        <v>4.9001896232743265</v>
      </c>
      <c r="H116">
        <f t="shared" ca="1" si="22"/>
        <v>175.21280658201837</v>
      </c>
      <c r="I116">
        <f t="shared" ca="1" si="23"/>
        <v>165.41242733546974</v>
      </c>
      <c r="J116">
        <f t="shared" ca="1" si="32"/>
        <v>172.78149999999999</v>
      </c>
      <c r="K116">
        <f t="shared" ca="1" si="33"/>
        <v>6.2508427010831271</v>
      </c>
      <c r="L116">
        <f t="shared" ca="1" si="34"/>
        <v>185.28318540216625</v>
      </c>
      <c r="M116">
        <f t="shared" ca="1" si="35"/>
        <v>160.27981459783373</v>
      </c>
      <c r="N116">
        <f t="shared" ca="1" si="24"/>
        <v>0.47999999999998977</v>
      </c>
      <c r="O116">
        <f t="shared" ca="1" si="25"/>
        <v>0.47999999999998977</v>
      </c>
      <c r="P116">
        <f t="shared" ca="1" si="26"/>
        <v>0</v>
      </c>
      <c r="Q116">
        <f t="shared" ca="1" si="30"/>
        <v>0.47758290337628156</v>
      </c>
      <c r="R116">
        <f t="shared" ca="1" si="31"/>
        <v>1.0859283656393284</v>
      </c>
      <c r="S116">
        <f t="shared" ca="1" si="28"/>
        <v>0.43979227220490724</v>
      </c>
      <c r="T116">
        <f t="shared" ca="1" si="29"/>
        <v>30.545536373202395</v>
      </c>
      <c r="U116">
        <f>70</f>
        <v>70</v>
      </c>
      <c r="V116">
        <f>30</f>
        <v>30</v>
      </c>
      <c r="W116">
        <f t="shared" ca="1" si="27"/>
        <v>168.44114913943022</v>
      </c>
      <c r="X116">
        <f t="shared" ca="1" si="37"/>
        <v>171.60962877593101</v>
      </c>
      <c r="Y116">
        <f t="shared" ca="1" si="36"/>
        <v>-3.1173448939225068</v>
      </c>
      <c r="Z116">
        <f t="shared" ca="1" si="38"/>
        <v>-2.1151882260938049</v>
      </c>
      <c r="AA116">
        <f t="shared" ca="1" si="39"/>
        <v>-1.0021566678287019</v>
      </c>
      <c r="AB116">
        <f t="shared" ca="1" si="40"/>
        <v>171.21140000000003</v>
      </c>
    </row>
    <row r="117" spans="1:28" x14ac:dyDescent="0.25">
      <c r="A117" s="20">
        <f t="shared" ca="1" si="20"/>
        <v>45460</v>
      </c>
      <c r="B117" vm="341">
        <f ca="1"/>
        <v>45460</v>
      </c>
      <c r="C117" vm="342">
        <f ca="1"/>
        <v>166.14</v>
      </c>
      <c r="D117" vm="343">
        <f ca="1"/>
        <v>5412239</v>
      </c>
      <c r="E117">
        <f t="shared" ca="1" si="21"/>
        <v>899189387.45999992</v>
      </c>
      <c r="F117">
        <f ca="1">SUM($E$2:E117)/SUM($D$2:D117)</f>
        <v>170.27723918430368</v>
      </c>
      <c r="G117">
        <f ca="1">_xlfn.STDEV.P($C$2:C117)</f>
        <v>4.8980272455082154</v>
      </c>
      <c r="H117">
        <f t="shared" ca="1" si="22"/>
        <v>175.1752664298119</v>
      </c>
      <c r="I117">
        <f t="shared" ca="1" si="23"/>
        <v>165.37921193879546</v>
      </c>
      <c r="J117">
        <f t="shared" ca="1" si="32"/>
        <v>171.97899999999998</v>
      </c>
      <c r="K117">
        <f t="shared" ca="1" si="33"/>
        <v>6.0048102647618675</v>
      </c>
      <c r="L117">
        <f t="shared" ca="1" si="34"/>
        <v>183.98862052952373</v>
      </c>
      <c r="M117">
        <f t="shared" ca="1" si="35"/>
        <v>159.96937947047624</v>
      </c>
      <c r="N117">
        <f t="shared" ca="1" si="24"/>
        <v>2.3299999999999841</v>
      </c>
      <c r="O117">
        <f t="shared" ca="1" si="25"/>
        <v>2.3299999999999841</v>
      </c>
      <c r="P117">
        <f t="shared" ca="1" si="26"/>
        <v>0</v>
      </c>
      <c r="Q117">
        <f t="shared" ca="1" si="30"/>
        <v>0.60989841027797453</v>
      </c>
      <c r="R117">
        <f t="shared" ca="1" si="31"/>
        <v>1.0083620538079479</v>
      </c>
      <c r="S117">
        <f t="shared" ca="1" si="28"/>
        <v>0.60484069980100175</v>
      </c>
      <c r="T117">
        <f t="shared" ca="1" si="29"/>
        <v>37.68851948208949</v>
      </c>
      <c r="U117">
        <f>70</f>
        <v>70</v>
      </c>
      <c r="V117">
        <f>30</f>
        <v>30</v>
      </c>
      <c r="W117">
        <f t="shared" ca="1" si="27"/>
        <v>168.08712619490251</v>
      </c>
      <c r="X117">
        <f t="shared" ca="1" si="37"/>
        <v>171.20447108882502</v>
      </c>
      <c r="Y117">
        <f t="shared" ca="1" si="36"/>
        <v>-3.0146342563591872</v>
      </c>
      <c r="Z117">
        <f t="shared" ca="1" si="38"/>
        <v>-2.2950774321468814</v>
      </c>
      <c r="AA117">
        <f t="shared" ca="1" si="39"/>
        <v>-0.71955682421230582</v>
      </c>
      <c r="AB117">
        <f t="shared" ca="1" si="40"/>
        <v>171.21680000000003</v>
      </c>
    </row>
    <row r="118" spans="1:28" x14ac:dyDescent="0.25">
      <c r="A118" s="20">
        <f t="shared" ca="1" si="20"/>
        <v>45460</v>
      </c>
      <c r="B118" vm="344">
        <f ca="1"/>
        <v>45461</v>
      </c>
      <c r="C118" vm="345">
        <f ca="1"/>
        <v>166.48</v>
      </c>
      <c r="D118" vm="346">
        <f ca="1"/>
        <v>3519509</v>
      </c>
      <c r="E118">
        <f t="shared" ca="1" si="21"/>
        <v>585927858.31999993</v>
      </c>
      <c r="F118">
        <f ca="1">SUM($E$2:E118)/SUM($D$2:D118)</f>
        <v>170.25641791732031</v>
      </c>
      <c r="G118">
        <f ca="1">_xlfn.STDEV.P($C$2:C118)</f>
        <v>4.8929581460003533</v>
      </c>
      <c r="H118">
        <f t="shared" ca="1" si="22"/>
        <v>175.14937606332066</v>
      </c>
      <c r="I118">
        <f t="shared" ca="1" si="23"/>
        <v>165.36345977131995</v>
      </c>
      <c r="J118">
        <f t="shared" ca="1" si="32"/>
        <v>171.28749999999999</v>
      </c>
      <c r="K118">
        <f t="shared" ca="1" si="33"/>
        <v>5.7873145076560633</v>
      </c>
      <c r="L118">
        <f t="shared" ca="1" si="34"/>
        <v>182.86212901531212</v>
      </c>
      <c r="M118">
        <f t="shared" ca="1" si="35"/>
        <v>159.71287098468787</v>
      </c>
      <c r="N118">
        <f t="shared" ca="1" si="24"/>
        <v>0.34000000000000341</v>
      </c>
      <c r="O118">
        <f t="shared" ca="1" si="25"/>
        <v>0.34000000000000341</v>
      </c>
      <c r="P118">
        <f t="shared" ca="1" si="26"/>
        <v>0</v>
      </c>
      <c r="Q118">
        <f t="shared" ca="1" si="30"/>
        <v>0.59061995240097664</v>
      </c>
      <c r="R118">
        <f t="shared" ca="1" si="31"/>
        <v>0.93633619282166591</v>
      </c>
      <c r="S118">
        <f t="shared" ca="1" si="28"/>
        <v>0.63077765970055355</v>
      </c>
      <c r="T118">
        <f t="shared" ca="1" si="29"/>
        <v>38.679562229002947</v>
      </c>
      <c r="U118">
        <f>70</f>
        <v>70</v>
      </c>
      <c r="V118">
        <f>30</f>
        <v>30</v>
      </c>
      <c r="W118">
        <f t="shared" ca="1" si="27"/>
        <v>167.83987601107137</v>
      </c>
      <c r="X118">
        <f t="shared" ca="1" si="37"/>
        <v>170.85451026743056</v>
      </c>
      <c r="Y118">
        <f t="shared" ca="1" si="36"/>
        <v>-2.8838537368282857</v>
      </c>
      <c r="Z118">
        <f t="shared" ca="1" si="38"/>
        <v>-2.4128326930831623</v>
      </c>
      <c r="AA118">
        <f t="shared" ca="1" si="39"/>
        <v>-0.47102104374512344</v>
      </c>
      <c r="AB118">
        <f t="shared" ca="1" si="40"/>
        <v>171.21599999999998</v>
      </c>
    </row>
    <row r="119" spans="1:28" x14ac:dyDescent="0.25">
      <c r="A119" s="20">
        <f t="shared" ca="1" si="20"/>
        <v>45460</v>
      </c>
      <c r="B119" vm="347">
        <f ca="1"/>
        <v>45463</v>
      </c>
      <c r="C119" vm="348">
        <f ca="1"/>
        <v>166.68</v>
      </c>
      <c r="D119" vm="349">
        <f ca="1"/>
        <v>4942417</v>
      </c>
      <c r="E119">
        <f t="shared" ca="1" si="21"/>
        <v>823802065.56000006</v>
      </c>
      <c r="F119">
        <f ca="1">SUM($E$2:E119)/SUM($D$2:D119)</f>
        <v>170.22908956404993</v>
      </c>
      <c r="G119">
        <f ca="1">_xlfn.STDEV.P($C$2:C119)</f>
        <v>4.8862769274784297</v>
      </c>
      <c r="H119">
        <f t="shared" ca="1" si="22"/>
        <v>175.11536649152836</v>
      </c>
      <c r="I119">
        <f t="shared" ca="1" si="23"/>
        <v>165.34281263657149</v>
      </c>
      <c r="J119">
        <f t="shared" ca="1" si="32"/>
        <v>170.5675</v>
      </c>
      <c r="K119">
        <f t="shared" ca="1" si="33"/>
        <v>5.3868024643079027</v>
      </c>
      <c r="L119">
        <f t="shared" ca="1" si="34"/>
        <v>181.34110492861581</v>
      </c>
      <c r="M119">
        <f t="shared" ca="1" si="35"/>
        <v>159.79389507138418</v>
      </c>
      <c r="N119">
        <f t="shared" ca="1" si="24"/>
        <v>0.20000000000001705</v>
      </c>
      <c r="O119">
        <f t="shared" ca="1" si="25"/>
        <v>0.20000000000001705</v>
      </c>
      <c r="P119">
        <f t="shared" ca="1" si="26"/>
        <v>0</v>
      </c>
      <c r="Q119">
        <f t="shared" ca="1" si="30"/>
        <v>0.56271852722947957</v>
      </c>
      <c r="R119">
        <f t="shared" ca="1" si="31"/>
        <v>0.86945503619154696</v>
      </c>
      <c r="S119">
        <f t="shared" ca="1" si="28"/>
        <v>0.64720831303058757</v>
      </c>
      <c r="T119">
        <f t="shared" ca="1" si="29"/>
        <v>39.291224304218858</v>
      </c>
      <c r="U119">
        <f>70</f>
        <v>70</v>
      </c>
      <c r="V119">
        <f>30</f>
        <v>30</v>
      </c>
      <c r="W119">
        <f t="shared" ca="1" si="27"/>
        <v>167.66143354782963</v>
      </c>
      <c r="X119">
        <f t="shared" ca="1" si="37"/>
        <v>170.54528728465792</v>
      </c>
      <c r="Y119">
        <f t="shared" ca="1" si="36"/>
        <v>-2.7006626889128995</v>
      </c>
      <c r="Z119">
        <f t="shared" ca="1" si="38"/>
        <v>-2.4703986922491099</v>
      </c>
      <c r="AA119">
        <f t="shared" ca="1" si="39"/>
        <v>-0.23026399666378961</v>
      </c>
      <c r="AB119">
        <f t="shared" ca="1" si="40"/>
        <v>171.20419999999999</v>
      </c>
    </row>
    <row r="120" spans="1:28" x14ac:dyDescent="0.25">
      <c r="A120" s="20">
        <f t="shared" ca="1" si="20"/>
        <v>45460</v>
      </c>
      <c r="B120" vm="350">
        <f ca="1"/>
        <v>45464</v>
      </c>
      <c r="C120" vm="351">
        <f ca="1"/>
        <v>167.28</v>
      </c>
      <c r="D120" vm="352">
        <f ca="1"/>
        <v>10899240</v>
      </c>
      <c r="E120">
        <f t="shared" ca="1" si="21"/>
        <v>1823224867.2</v>
      </c>
      <c r="F120">
        <f ca="1">SUM($E$2:E120)/SUM($D$2:D120)</f>
        <v>170.18021839422065</v>
      </c>
      <c r="G120">
        <f ca="1">_xlfn.STDEV.P($C$2:C120)</f>
        <v>4.8756595855660843</v>
      </c>
      <c r="H120">
        <f t="shared" ca="1" si="22"/>
        <v>175.05587797978674</v>
      </c>
      <c r="I120">
        <f t="shared" ca="1" si="23"/>
        <v>165.30455880865455</v>
      </c>
      <c r="J120">
        <f t="shared" ca="1" si="32"/>
        <v>169.827</v>
      </c>
      <c r="K120">
        <f t="shared" ca="1" si="33"/>
        <v>4.6927044160954887</v>
      </c>
      <c r="L120">
        <f t="shared" ca="1" si="34"/>
        <v>179.21240883219099</v>
      </c>
      <c r="M120">
        <f t="shared" ca="1" si="35"/>
        <v>160.44159116780901</v>
      </c>
      <c r="N120">
        <f t="shared" ca="1" si="24"/>
        <v>0.59999999999999432</v>
      </c>
      <c r="O120">
        <f t="shared" ca="1" si="25"/>
        <v>0.59999999999999432</v>
      </c>
      <c r="P120">
        <f t="shared" ca="1" si="26"/>
        <v>0</v>
      </c>
      <c r="Q120">
        <f t="shared" ca="1" si="30"/>
        <v>0.5653814895702306</v>
      </c>
      <c r="R120">
        <f t="shared" ca="1" si="31"/>
        <v>0.80735110503500784</v>
      </c>
      <c r="S120">
        <f t="shared" ca="1" si="28"/>
        <v>0.70029196225069257</v>
      </c>
      <c r="T120">
        <f t="shared" ca="1" si="29"/>
        <v>41.186571353528564</v>
      </c>
      <c r="U120">
        <f>70</f>
        <v>70</v>
      </c>
      <c r="V120">
        <f>30</f>
        <v>30</v>
      </c>
      <c r="W120">
        <f t="shared" ca="1" si="27"/>
        <v>167.60275146354815</v>
      </c>
      <c r="X120">
        <f t="shared" ca="1" si="37"/>
        <v>170.30341415246104</v>
      </c>
      <c r="Y120">
        <f t="shared" ca="1" si="36"/>
        <v>-2.4625424925243351</v>
      </c>
      <c r="Z120">
        <f t="shared" ca="1" si="38"/>
        <v>-2.4688274523041551</v>
      </c>
      <c r="AA120">
        <f t="shared" ca="1" si="39"/>
        <v>6.2849597798200207E-3</v>
      </c>
      <c r="AB120">
        <f t="shared" ca="1" si="40"/>
        <v>171.19549999999995</v>
      </c>
    </row>
    <row r="121" spans="1:28" x14ac:dyDescent="0.25">
      <c r="A121" s="20">
        <f t="shared" ca="1" si="20"/>
        <v>45467</v>
      </c>
      <c r="B121" vm="353">
        <f ca="1"/>
        <v>45467</v>
      </c>
      <c r="C121" vm="354">
        <f ca="1"/>
        <v>168.08</v>
      </c>
      <c r="D121" vm="355">
        <f ca="1"/>
        <v>4476929</v>
      </c>
      <c r="E121">
        <f t="shared" ca="1" si="21"/>
        <v>752482226.32000005</v>
      </c>
      <c r="F121">
        <f ca="1">SUM($E$2:E121)/SUM($D$2:D121)</f>
        <v>170.16601909071031</v>
      </c>
      <c r="G121">
        <f ca="1">_xlfn.STDEV.P($C$2:C121)</f>
        <v>4.8609765222638144</v>
      </c>
      <c r="H121">
        <f t="shared" ca="1" si="22"/>
        <v>175.02699561297413</v>
      </c>
      <c r="I121">
        <f t="shared" ca="1" si="23"/>
        <v>165.30504256844648</v>
      </c>
      <c r="J121">
        <f t="shared" ca="1" si="32"/>
        <v>169.26749999999998</v>
      </c>
      <c r="K121">
        <f t="shared" ca="1" si="33"/>
        <v>4.1423929964263522</v>
      </c>
      <c r="L121">
        <f t="shared" ca="1" si="34"/>
        <v>177.55228599285269</v>
      </c>
      <c r="M121">
        <f t="shared" ca="1" si="35"/>
        <v>160.98271400714728</v>
      </c>
      <c r="N121">
        <f t="shared" ca="1" si="24"/>
        <v>0.80000000000001137</v>
      </c>
      <c r="O121">
        <f t="shared" ca="1" si="25"/>
        <v>0.80000000000001137</v>
      </c>
      <c r="P121">
        <f t="shared" ca="1" si="26"/>
        <v>0</v>
      </c>
      <c r="Q121">
        <f t="shared" ca="1" si="30"/>
        <v>0.58213995460092927</v>
      </c>
      <c r="R121">
        <f t="shared" ca="1" si="31"/>
        <v>0.74968316896107878</v>
      </c>
      <c r="S121">
        <f t="shared" ca="1" si="28"/>
        <v>0.77651463805392185</v>
      </c>
      <c r="T121">
        <f t="shared" ca="1" si="29"/>
        <v>43.71000505262105</v>
      </c>
      <c r="U121">
        <f>70</f>
        <v>70</v>
      </c>
      <c r="V121">
        <f>30</f>
        <v>30</v>
      </c>
      <c r="W121">
        <f t="shared" ca="1" si="27"/>
        <v>167.67617431530996</v>
      </c>
      <c r="X121">
        <f t="shared" ca="1" si="37"/>
        <v>170.1387168078343</v>
      </c>
      <c r="Y121">
        <f t="shared" ca="1" si="36"/>
        <v>-2.3061515410230697</v>
      </c>
      <c r="Z121">
        <f t="shared" ca="1" si="38"/>
        <v>-2.4362922700479381</v>
      </c>
      <c r="AA121">
        <f t="shared" ca="1" si="39"/>
        <v>0.1301407290248684</v>
      </c>
      <c r="AB121">
        <f t="shared" ca="1" si="40"/>
        <v>171.18009999999995</v>
      </c>
    </row>
    <row r="122" spans="1:28" x14ac:dyDescent="0.25">
      <c r="A122" s="20">
        <f t="shared" ca="1" si="20"/>
        <v>45467</v>
      </c>
      <c r="B122" vm="356">
        <f ca="1"/>
        <v>45468</v>
      </c>
      <c r="C122" vm="357">
        <f ca="1"/>
        <v>167.35</v>
      </c>
      <c r="D122" vm="358">
        <f ca="1"/>
        <v>4220902</v>
      </c>
      <c r="E122">
        <f t="shared" ca="1" si="21"/>
        <v>706367949.69999993</v>
      </c>
      <c r="F122">
        <f ca="1">SUM($E$2:E122)/SUM($D$2:D122)</f>
        <v>170.14818283317743</v>
      </c>
      <c r="G122">
        <f ca="1">_xlfn.STDEV.P($C$2:C122)</f>
        <v>4.850011131698273</v>
      </c>
      <c r="H122">
        <f t="shared" ca="1" si="22"/>
        <v>174.9981939648757</v>
      </c>
      <c r="I122">
        <f t="shared" ca="1" si="23"/>
        <v>165.29817170147916</v>
      </c>
      <c r="J122">
        <f t="shared" ca="1" si="32"/>
        <v>168.73549999999997</v>
      </c>
      <c r="K122">
        <f t="shared" ca="1" si="33"/>
        <v>3.6125752223091609</v>
      </c>
      <c r="L122">
        <f t="shared" ca="1" si="34"/>
        <v>175.9606504446183</v>
      </c>
      <c r="M122">
        <f t="shared" ca="1" si="35"/>
        <v>161.51034955538165</v>
      </c>
      <c r="N122">
        <f t="shared" ca="1" si="24"/>
        <v>-0.73000000000001819</v>
      </c>
      <c r="O122">
        <f t="shared" ca="1" si="25"/>
        <v>0</v>
      </c>
      <c r="P122">
        <f t="shared" ca="1" si="26"/>
        <v>0.73000000000001819</v>
      </c>
      <c r="Q122">
        <f t="shared" ca="1" si="30"/>
        <v>0.54055852927229142</v>
      </c>
      <c r="R122">
        <f t="shared" ca="1" si="31"/>
        <v>0.74827722832100296</v>
      </c>
      <c r="S122">
        <f t="shared" ca="1" si="28"/>
        <v>0.72240408876962048</v>
      </c>
      <c r="T122">
        <f t="shared" ca="1" si="29"/>
        <v>41.941614832420747</v>
      </c>
      <c r="U122">
        <f>70</f>
        <v>70</v>
      </c>
      <c r="V122">
        <f>30</f>
        <v>30</v>
      </c>
      <c r="W122">
        <f t="shared" ca="1" si="27"/>
        <v>167.62599365141611</v>
      </c>
      <c r="X122">
        <f t="shared" ca="1" si="37"/>
        <v>169.93214519243918</v>
      </c>
      <c r="Y122">
        <f t="shared" ca="1" si="36"/>
        <v>-2.2060030571856259</v>
      </c>
      <c r="Z122">
        <f t="shared" ca="1" si="38"/>
        <v>-2.3902344274754759</v>
      </c>
      <c r="AA122">
        <f t="shared" ca="1" si="39"/>
        <v>0.18423137028984993</v>
      </c>
      <c r="AB122">
        <f t="shared" ca="1" si="40"/>
        <v>171.16829999999993</v>
      </c>
    </row>
    <row r="123" spans="1:28" x14ac:dyDescent="0.25">
      <c r="A123" s="20">
        <f t="shared" ca="1" si="20"/>
        <v>45467</v>
      </c>
      <c r="B123" vm="359">
        <f ca="1"/>
        <v>45469</v>
      </c>
      <c r="C123" vm="360">
        <f ca="1"/>
        <v>166.74</v>
      </c>
      <c r="D123" vm="361">
        <f ca="1"/>
        <v>4778280</v>
      </c>
      <c r="E123">
        <f t="shared" ca="1" si="21"/>
        <v>796730407.20000005</v>
      </c>
      <c r="F123">
        <f ca="1">SUM($E$2:E123)/SUM($D$2:D123)</f>
        <v>170.1239192766119</v>
      </c>
      <c r="G123">
        <f ca="1">_xlfn.STDEV.P($C$2:C123)</f>
        <v>4.8427084891221197</v>
      </c>
      <c r="H123">
        <f t="shared" ca="1" si="22"/>
        <v>174.96662776573402</v>
      </c>
      <c r="I123">
        <f t="shared" ca="1" si="23"/>
        <v>165.28121078748978</v>
      </c>
      <c r="J123">
        <f t="shared" ca="1" si="32"/>
        <v>168.40349999999998</v>
      </c>
      <c r="K123">
        <f t="shared" ca="1" si="33"/>
        <v>3.4653886772208549</v>
      </c>
      <c r="L123">
        <f t="shared" ca="1" si="34"/>
        <v>175.3342773544417</v>
      </c>
      <c r="M123">
        <f t="shared" ca="1" si="35"/>
        <v>161.47272264555826</v>
      </c>
      <c r="N123">
        <f t="shared" ca="1" si="24"/>
        <v>-0.60999999999998522</v>
      </c>
      <c r="O123">
        <f t="shared" ca="1" si="25"/>
        <v>0</v>
      </c>
      <c r="P123">
        <f t="shared" ca="1" si="26"/>
        <v>0.60999999999998522</v>
      </c>
      <c r="Q123">
        <f t="shared" ca="1" si="30"/>
        <v>0.50194720575284202</v>
      </c>
      <c r="R123">
        <f t="shared" ca="1" si="31"/>
        <v>0.73840028344093034</v>
      </c>
      <c r="S123">
        <f t="shared" ca="1" si="28"/>
        <v>0.67977656158767741</v>
      </c>
      <c r="T123">
        <f t="shared" ca="1" si="29"/>
        <v>40.468272812734796</v>
      </c>
      <c r="U123">
        <f>70</f>
        <v>70</v>
      </c>
      <c r="V123">
        <f>30</f>
        <v>30</v>
      </c>
      <c r="W123">
        <f t="shared" ca="1" si="27"/>
        <v>167.48968693581364</v>
      </c>
      <c r="X123">
        <f t="shared" ca="1" si="37"/>
        <v>169.69568999299926</v>
      </c>
      <c r="Y123">
        <f t="shared" ca="1" si="36"/>
        <v>-2.140690107658429</v>
      </c>
      <c r="Z123">
        <f t="shared" ca="1" si="38"/>
        <v>-2.3403255635120668</v>
      </c>
      <c r="AA123">
        <f t="shared" ca="1" si="39"/>
        <v>0.19963545585363773</v>
      </c>
      <c r="AB123">
        <f t="shared" ca="1" si="40"/>
        <v>171.1186999999999</v>
      </c>
    </row>
    <row r="124" spans="1:28" x14ac:dyDescent="0.25">
      <c r="A124" s="20">
        <f t="shared" ca="1" si="20"/>
        <v>45467</v>
      </c>
      <c r="B124" vm="362">
        <f ca="1"/>
        <v>45470</v>
      </c>
      <c r="C124" vm="363">
        <f ca="1"/>
        <v>166.26</v>
      </c>
      <c r="D124" vm="364">
        <f ca="1"/>
        <v>4326460</v>
      </c>
      <c r="E124">
        <f t="shared" ca="1" si="21"/>
        <v>719317239.5999999</v>
      </c>
      <c r="F124">
        <f ca="1">SUM($E$2:E124)/SUM($D$2:D124)</f>
        <v>170.09917183975728</v>
      </c>
      <c r="G124">
        <f ca="1">_xlfn.STDEV.P($C$2:C124)</f>
        <v>4.8385773353245121</v>
      </c>
      <c r="H124">
        <f t="shared" ca="1" si="22"/>
        <v>174.93774917508179</v>
      </c>
      <c r="I124">
        <f t="shared" ca="1" si="23"/>
        <v>165.26059450443276</v>
      </c>
      <c r="J124">
        <f t="shared" ca="1" si="32"/>
        <v>168.15900000000002</v>
      </c>
      <c r="K124">
        <f t="shared" ca="1" si="33"/>
        <v>3.4337732812998003</v>
      </c>
      <c r="L124">
        <f t="shared" ca="1" si="34"/>
        <v>175.02654656259963</v>
      </c>
      <c r="M124">
        <f t="shared" ca="1" si="35"/>
        <v>161.29145343740041</v>
      </c>
      <c r="N124">
        <f t="shared" ca="1" si="24"/>
        <v>-0.48000000000001819</v>
      </c>
      <c r="O124">
        <f t="shared" ca="1" si="25"/>
        <v>0</v>
      </c>
      <c r="P124">
        <f t="shared" ca="1" si="26"/>
        <v>0.48000000000001819</v>
      </c>
      <c r="Q124">
        <f t="shared" ca="1" si="30"/>
        <v>0.46609383391335329</v>
      </c>
      <c r="R124">
        <f t="shared" ca="1" si="31"/>
        <v>0.719943120338008</v>
      </c>
      <c r="S124">
        <f t="shared" ca="1" si="28"/>
        <v>0.64740369168959577</v>
      </c>
      <c r="T124">
        <f t="shared" ca="1" si="29"/>
        <v>39.298424239028577</v>
      </c>
      <c r="U124">
        <f>70</f>
        <v>70</v>
      </c>
      <c r="V124">
        <f>30</f>
        <v>30</v>
      </c>
      <c r="W124">
        <f t="shared" ca="1" si="27"/>
        <v>167.30050433030385</v>
      </c>
      <c r="X124">
        <f t="shared" ca="1" si="37"/>
        <v>169.44119443796228</v>
      </c>
      <c r="Y124">
        <f t="shared" ca="1" si="36"/>
        <v>-2.1712205305911425</v>
      </c>
      <c r="Z124">
        <f t="shared" ca="1" si="38"/>
        <v>-2.3065045569278819</v>
      </c>
      <c r="AA124">
        <f t="shared" ca="1" si="39"/>
        <v>0.13528402633673942</v>
      </c>
      <c r="AB124">
        <f t="shared" ca="1" si="40"/>
        <v>171.07159999999993</v>
      </c>
    </row>
    <row r="125" spans="1:28" x14ac:dyDescent="0.25">
      <c r="A125" s="20">
        <f t="shared" ca="1" si="20"/>
        <v>45467</v>
      </c>
      <c r="B125" vm="365">
        <f ca="1"/>
        <v>45471</v>
      </c>
      <c r="C125" vm="366">
        <f ca="1"/>
        <v>164.93</v>
      </c>
      <c r="D125" vm="367">
        <f ca="1"/>
        <v>8756033</v>
      </c>
      <c r="E125">
        <f t="shared" ca="1" si="21"/>
        <v>1444132522.6900001</v>
      </c>
      <c r="F125">
        <f ca="1">SUM($E$2:E125)/SUM($D$2:D125)</f>
        <v>170.03302568070885</v>
      </c>
      <c r="G125">
        <f ca="1">_xlfn.STDEV.P($C$2:C125)</f>
        <v>4.8451471022299897</v>
      </c>
      <c r="H125">
        <f t="shared" ca="1" si="22"/>
        <v>174.87817278293883</v>
      </c>
      <c r="I125">
        <f t="shared" ca="1" si="23"/>
        <v>165.18787857847886</v>
      </c>
      <c r="J125">
        <f t="shared" ca="1" si="32"/>
        <v>167.88149999999999</v>
      </c>
      <c r="K125">
        <f t="shared" ca="1" si="33"/>
        <v>3.4604871500685346</v>
      </c>
      <c r="L125">
        <f t="shared" ca="1" si="34"/>
        <v>174.80247430013705</v>
      </c>
      <c r="M125">
        <f t="shared" ca="1" si="35"/>
        <v>160.96052569986293</v>
      </c>
      <c r="N125">
        <f t="shared" ca="1" si="24"/>
        <v>-1.3299999999999841</v>
      </c>
      <c r="O125">
        <f t="shared" ca="1" si="25"/>
        <v>0</v>
      </c>
      <c r="P125">
        <f t="shared" ca="1" si="26"/>
        <v>1.3299999999999841</v>
      </c>
      <c r="Q125">
        <f t="shared" ca="1" si="30"/>
        <v>0.43280141720525661</v>
      </c>
      <c r="R125">
        <f t="shared" ca="1" si="31"/>
        <v>0.76351861174243485</v>
      </c>
      <c r="S125">
        <f t="shared" ca="1" si="28"/>
        <v>0.56685116845751193</v>
      </c>
      <c r="T125">
        <f t="shared" ca="1" si="29"/>
        <v>36.177728929771234</v>
      </c>
      <c r="U125">
        <f>70</f>
        <v>70</v>
      </c>
      <c r="V125">
        <f>30</f>
        <v>30</v>
      </c>
      <c r="W125">
        <f t="shared" ca="1" si="27"/>
        <v>166.93581135641097</v>
      </c>
      <c r="X125">
        <f t="shared" ca="1" si="37"/>
        <v>169.10703188700211</v>
      </c>
      <c r="Y125">
        <f t="shared" ca="1" si="36"/>
        <v>-2.3331321664433631</v>
      </c>
      <c r="Z125">
        <f t="shared" ca="1" si="38"/>
        <v>-2.3118300788309782</v>
      </c>
      <c r="AA125">
        <f t="shared" ca="1" si="39"/>
        <v>-2.1302087612384835E-2</v>
      </c>
      <c r="AB125">
        <f t="shared" ca="1" si="40"/>
        <v>171.01169999999993</v>
      </c>
    </row>
    <row r="126" spans="1:28" x14ac:dyDescent="0.25">
      <c r="A126" s="20">
        <f t="shared" ca="1" si="20"/>
        <v>45474</v>
      </c>
      <c r="B126" vm="368">
        <f ca="1"/>
        <v>45474</v>
      </c>
      <c r="C126" vm="369">
        <f ca="1"/>
        <v>162.88999999999999</v>
      </c>
      <c r="D126" vm="370">
        <f ca="1"/>
        <v>4508019</v>
      </c>
      <c r="E126">
        <f t="shared" ca="1" si="21"/>
        <v>734311214.90999997</v>
      </c>
      <c r="F126">
        <f ca="1">SUM($E$2:E126)/SUM($D$2:D126)</f>
        <v>169.9862745179347</v>
      </c>
      <c r="G126">
        <f ca="1">_xlfn.STDEV.P($C$2:C126)</f>
        <v>4.873139702491609</v>
      </c>
      <c r="H126">
        <f t="shared" ca="1" si="22"/>
        <v>174.85941422042632</v>
      </c>
      <c r="I126">
        <f t="shared" ca="1" si="23"/>
        <v>165.11313481544309</v>
      </c>
      <c r="J126">
        <f t="shared" ca="1" si="32"/>
        <v>167.381</v>
      </c>
      <c r="K126">
        <f t="shared" ca="1" si="33"/>
        <v>3.4200967976452272</v>
      </c>
      <c r="L126">
        <f t="shared" ca="1" si="34"/>
        <v>174.22119359529046</v>
      </c>
      <c r="M126">
        <f t="shared" ca="1" si="35"/>
        <v>160.54080640470954</v>
      </c>
      <c r="N126">
        <f t="shared" ca="1" si="24"/>
        <v>-2.0400000000000205</v>
      </c>
      <c r="O126">
        <f t="shared" ca="1" si="25"/>
        <v>0</v>
      </c>
      <c r="P126">
        <f t="shared" ca="1" si="26"/>
        <v>2.0400000000000205</v>
      </c>
      <c r="Q126">
        <f t="shared" ca="1" si="30"/>
        <v>0.40188703026202399</v>
      </c>
      <c r="R126">
        <f t="shared" ca="1" si="31"/>
        <v>0.85469585376083379</v>
      </c>
      <c r="S126">
        <f t="shared" ca="1" si="28"/>
        <v>0.47021057665559063</v>
      </c>
      <c r="T126">
        <f t="shared" ca="1" si="29"/>
        <v>31.982532578783207</v>
      </c>
      <c r="U126">
        <f>70</f>
        <v>70</v>
      </c>
      <c r="V126">
        <f>30</f>
        <v>30</v>
      </c>
      <c r="W126">
        <f t="shared" ca="1" si="27"/>
        <v>166.31337884004006</v>
      </c>
      <c r="X126">
        <f t="shared" ca="1" si="37"/>
        <v>168.64651100648342</v>
      </c>
      <c r="Y126">
        <f t="shared" ca="1" si="36"/>
        <v>-2.378354876396628</v>
      </c>
      <c r="Z126">
        <f t="shared" ca="1" si="38"/>
        <v>-2.3251350383441083</v>
      </c>
      <c r="AA126">
        <f t="shared" ca="1" si="39"/>
        <v>-5.321983805251973E-2</v>
      </c>
      <c r="AB126">
        <f t="shared" ca="1" si="40"/>
        <v>170.92639999999992</v>
      </c>
    </row>
    <row r="127" spans="1:28" x14ac:dyDescent="0.25">
      <c r="A127" s="20">
        <f t="shared" ca="1" si="20"/>
        <v>45474</v>
      </c>
      <c r="B127" vm="371">
        <f ca="1"/>
        <v>45475</v>
      </c>
      <c r="C127" vm="372">
        <f ca="1"/>
        <v>163.58000000000001</v>
      </c>
      <c r="D127" vm="373">
        <f ca="1"/>
        <v>4650803</v>
      </c>
      <c r="E127">
        <f t="shared" ca="1" si="21"/>
        <v>760778354.74000001</v>
      </c>
      <c r="F127">
        <f ca="1">SUM($E$2:E127)/SUM($D$2:D127)</f>
        <v>169.94330748929147</v>
      </c>
      <c r="G127">
        <f ca="1">_xlfn.STDEV.P($C$2:C127)</f>
        <v>4.891796474202903</v>
      </c>
      <c r="H127">
        <f t="shared" ca="1" si="22"/>
        <v>174.83510396349436</v>
      </c>
      <c r="I127">
        <f t="shared" ca="1" si="23"/>
        <v>165.05151101508858</v>
      </c>
      <c r="J127">
        <f t="shared" ca="1" si="32"/>
        <v>166.99849999999998</v>
      </c>
      <c r="K127">
        <f t="shared" ca="1" si="33"/>
        <v>3.3946618698371562</v>
      </c>
      <c r="L127">
        <f t="shared" ca="1" si="34"/>
        <v>173.78782373967428</v>
      </c>
      <c r="M127">
        <f t="shared" ca="1" si="35"/>
        <v>160.20917626032568</v>
      </c>
      <c r="N127">
        <f t="shared" ca="1" si="24"/>
        <v>0.69000000000002615</v>
      </c>
      <c r="O127">
        <f t="shared" ca="1" si="25"/>
        <v>0.69000000000002615</v>
      </c>
      <c r="P127">
        <f t="shared" ca="1" si="26"/>
        <v>0</v>
      </c>
      <c r="Q127">
        <f t="shared" ca="1" si="30"/>
        <v>0.42246652810045271</v>
      </c>
      <c r="R127">
        <f t="shared" ca="1" si="31"/>
        <v>0.7936461499207742</v>
      </c>
      <c r="S127">
        <f t="shared" ca="1" si="28"/>
        <v>0.53231094001101809</v>
      </c>
      <c r="T127">
        <f t="shared" ca="1" si="29"/>
        <v>34.739094142810899</v>
      </c>
      <c r="U127">
        <f>70</f>
        <v>70</v>
      </c>
      <c r="V127">
        <f>30</f>
        <v>30</v>
      </c>
      <c r="W127">
        <f t="shared" ca="1" si="27"/>
        <v>165.89285901849544</v>
      </c>
      <c r="X127">
        <f t="shared" ca="1" si="37"/>
        <v>168.27121389489207</v>
      </c>
      <c r="Y127">
        <f t="shared" ca="1" si="36"/>
        <v>-2.4648586534096353</v>
      </c>
      <c r="Z127">
        <f t="shared" ca="1" si="38"/>
        <v>-2.3530797613572139</v>
      </c>
      <c r="AA127">
        <f t="shared" ca="1" si="39"/>
        <v>-0.11177889205242142</v>
      </c>
      <c r="AB127">
        <f t="shared" ca="1" si="40"/>
        <v>170.84749999999997</v>
      </c>
    </row>
    <row r="128" spans="1:28" x14ac:dyDescent="0.25">
      <c r="A128" s="20">
        <f t="shared" ca="1" si="20"/>
        <v>45474</v>
      </c>
      <c r="B128" vm="374">
        <f ca="1"/>
        <v>45476</v>
      </c>
      <c r="C128" vm="375">
        <f ca="1"/>
        <v>162.6</v>
      </c>
      <c r="D128" vm="376">
        <f ca="1"/>
        <v>2879575</v>
      </c>
      <c r="E128">
        <f t="shared" ca="1" si="21"/>
        <v>468218895</v>
      </c>
      <c r="F128">
        <f ca="1">SUM($E$2:E128)/SUM($D$2:D128)</f>
        <v>169.91293907034992</v>
      </c>
      <c r="G128">
        <f ca="1">_xlfn.STDEV.P($C$2:C128)</f>
        <v>4.9208657064218491</v>
      </c>
      <c r="H128">
        <f t="shared" ca="1" si="22"/>
        <v>174.83380477677176</v>
      </c>
      <c r="I128">
        <f t="shared" ca="1" si="23"/>
        <v>164.99207336392809</v>
      </c>
      <c r="J128">
        <f t="shared" ca="1" si="32"/>
        <v>166.434</v>
      </c>
      <c r="K128">
        <f t="shared" ca="1" si="33"/>
        <v>3.115594730756198</v>
      </c>
      <c r="L128">
        <f t="shared" ca="1" si="34"/>
        <v>172.6651894615124</v>
      </c>
      <c r="M128">
        <f t="shared" ca="1" si="35"/>
        <v>160.2028105384876</v>
      </c>
      <c r="N128">
        <f t="shared" ca="1" si="24"/>
        <v>-0.98000000000001819</v>
      </c>
      <c r="O128">
        <f t="shared" ca="1" si="25"/>
        <v>0</v>
      </c>
      <c r="P128">
        <f t="shared" ca="1" si="26"/>
        <v>0.98000000000001819</v>
      </c>
      <c r="Q128">
        <f t="shared" ca="1" si="30"/>
        <v>0.39229034752184894</v>
      </c>
      <c r="R128">
        <f t="shared" ca="1" si="31"/>
        <v>0.80695713921214884</v>
      </c>
      <c r="S128">
        <f t="shared" ca="1" si="28"/>
        <v>0.48613529574179265</v>
      </c>
      <c r="T128">
        <f t="shared" ca="1" si="29"/>
        <v>32.711375413443903</v>
      </c>
      <c r="U128">
        <f>70</f>
        <v>70</v>
      </c>
      <c r="V128">
        <f>30</f>
        <v>30</v>
      </c>
      <c r="W128">
        <f t="shared" ca="1" si="27"/>
        <v>165.38626532334229</v>
      </c>
      <c r="X128">
        <f t="shared" ca="1" si="37"/>
        <v>167.85112397675192</v>
      </c>
      <c r="Y128">
        <f t="shared" ca="1" si="36"/>
        <v>-2.36175068778266</v>
      </c>
      <c r="Z128">
        <f t="shared" ca="1" si="38"/>
        <v>-2.3548139466423033</v>
      </c>
      <c r="AA128">
        <f t="shared" ca="1" si="39"/>
        <v>-6.9367411403566948E-3</v>
      </c>
      <c r="AB128">
        <f t="shared" ca="1" si="40"/>
        <v>170.73499999999993</v>
      </c>
    </row>
    <row r="129" spans="1:28" x14ac:dyDescent="0.25">
      <c r="A129" s="20">
        <f t="shared" ca="1" si="20"/>
        <v>45474</v>
      </c>
      <c r="B129" vm="377">
        <f ca="1"/>
        <v>45478</v>
      </c>
      <c r="C129" vm="378">
        <f ca="1"/>
        <v>164.39</v>
      </c>
      <c r="D129" vm="379">
        <f ca="1"/>
        <v>4208217</v>
      </c>
      <c r="E129">
        <f t="shared" ca="1" si="21"/>
        <v>691788792.63</v>
      </c>
      <c r="F129">
        <f ca="1">SUM($E$2:E129)/SUM($D$2:D129)</f>
        <v>169.87976080909738</v>
      </c>
      <c r="G129">
        <f ca="1">_xlfn.STDEV.P($C$2:C129)</f>
        <v>4.9293832711195984</v>
      </c>
      <c r="H129">
        <f t="shared" ca="1" si="22"/>
        <v>174.80914408021698</v>
      </c>
      <c r="I129">
        <f t="shared" ca="1" si="23"/>
        <v>164.95037753797777</v>
      </c>
      <c r="J129">
        <f t="shared" ca="1" si="32"/>
        <v>165.97899999999998</v>
      </c>
      <c r="K129">
        <f t="shared" ca="1" si="33"/>
        <v>2.6624284522138586</v>
      </c>
      <c r="L129">
        <f t="shared" ca="1" si="34"/>
        <v>171.3038569044277</v>
      </c>
      <c r="M129">
        <f t="shared" ca="1" si="35"/>
        <v>160.65414309557227</v>
      </c>
      <c r="N129">
        <f t="shared" ca="1" si="24"/>
        <v>1.789999999999992</v>
      </c>
      <c r="O129">
        <f t="shared" ca="1" si="25"/>
        <v>1.789999999999992</v>
      </c>
      <c r="P129">
        <f t="shared" ca="1" si="26"/>
        <v>0</v>
      </c>
      <c r="Q129">
        <f t="shared" ca="1" si="30"/>
        <v>0.49212675127028771</v>
      </c>
      <c r="R129">
        <f t="shared" ca="1" si="31"/>
        <v>0.74931734355413826</v>
      </c>
      <c r="S129">
        <f t="shared" ca="1" si="28"/>
        <v>0.65676679647644043</v>
      </c>
      <c r="T129">
        <f t="shared" ca="1" si="29"/>
        <v>39.641475062949809</v>
      </c>
      <c r="U129">
        <f>70</f>
        <v>70</v>
      </c>
      <c r="V129">
        <f>30</f>
        <v>30</v>
      </c>
      <c r="W129">
        <f t="shared" ca="1" si="27"/>
        <v>165.23299373513578</v>
      </c>
      <c r="X129">
        <f t="shared" ca="1" si="37"/>
        <v>167.59474442291844</v>
      </c>
      <c r="Y129">
        <f t="shared" ca="1" si="36"/>
        <v>-2.435136176960583</v>
      </c>
      <c r="Z129">
        <f t="shared" ca="1" si="38"/>
        <v>-2.3708783927059596</v>
      </c>
      <c r="AA129">
        <f t="shared" ca="1" si="39"/>
        <v>-6.4257784254623473E-2</v>
      </c>
      <c r="AB129">
        <f t="shared" ca="1" si="40"/>
        <v>170.70219999999995</v>
      </c>
    </row>
    <row r="130" spans="1:28" x14ac:dyDescent="0.25">
      <c r="A130" s="20">
        <f t="shared" ca="1" si="20"/>
        <v>45481</v>
      </c>
      <c r="B130" vm="380">
        <f ca="1"/>
        <v>45481</v>
      </c>
      <c r="C130" vm="381">
        <f ca="1"/>
        <v>162.12</v>
      </c>
      <c r="D130" vm="382">
        <f ca="1"/>
        <v>5268800</v>
      </c>
      <c r="E130">
        <f t="shared" ca="1" si="21"/>
        <v>854177856</v>
      </c>
      <c r="F130">
        <f ca="1">SUM($E$2:E130)/SUM($D$2:D130)</f>
        <v>169.82183247684492</v>
      </c>
      <c r="G130">
        <f ca="1">_xlfn.STDEV.P($C$2:C130)</f>
        <v>4.9621069071146344</v>
      </c>
      <c r="H130">
        <f t="shared" ca="1" si="22"/>
        <v>174.78393938395956</v>
      </c>
      <c r="I130">
        <f t="shared" ca="1" si="23"/>
        <v>164.85972556973027</v>
      </c>
      <c r="J130">
        <f t="shared" ca="1" si="32"/>
        <v>165.42499999999995</v>
      </c>
      <c r="K130">
        <f t="shared" ca="1" si="33"/>
        <v>2.1920034095248155</v>
      </c>
      <c r="L130">
        <f t="shared" ca="1" si="34"/>
        <v>169.80900681904959</v>
      </c>
      <c r="M130">
        <f t="shared" ca="1" si="35"/>
        <v>161.04099318095032</v>
      </c>
      <c r="N130">
        <f t="shared" ca="1" si="24"/>
        <v>-2.2699999999999818</v>
      </c>
      <c r="O130">
        <f t="shared" ca="1" si="25"/>
        <v>0</v>
      </c>
      <c r="P130">
        <f t="shared" ca="1" si="26"/>
        <v>2.2699999999999818</v>
      </c>
      <c r="Q130">
        <f t="shared" ca="1" si="30"/>
        <v>0.45697484046526721</v>
      </c>
      <c r="R130">
        <f t="shared" ca="1" si="31"/>
        <v>0.85793753330027001</v>
      </c>
      <c r="S130">
        <f t="shared" ca="1" si="28"/>
        <v>0.53264348828218278</v>
      </c>
      <c r="T130">
        <f t="shared" ca="1" si="29"/>
        <v>34.753254253484627</v>
      </c>
      <c r="U130">
        <f>70</f>
        <v>70</v>
      </c>
      <c r="V130">
        <f>30</f>
        <v>30</v>
      </c>
      <c r="W130">
        <f t="shared" ca="1" si="27"/>
        <v>164.75407162203797</v>
      </c>
      <c r="X130">
        <f t="shared" ca="1" si="37"/>
        <v>167.18920779899855</v>
      </c>
      <c r="Y130">
        <f t="shared" ca="1" si="36"/>
        <v>-2.4824309485163951</v>
      </c>
      <c r="Z130">
        <f t="shared" ca="1" si="38"/>
        <v>-2.3931889038680465</v>
      </c>
      <c r="AA130">
        <f t="shared" ca="1" si="39"/>
        <v>-8.9242044648348617E-2</v>
      </c>
      <c r="AB130">
        <f t="shared" ca="1" si="40"/>
        <v>170.61729999999997</v>
      </c>
    </row>
    <row r="131" spans="1:28" x14ac:dyDescent="0.25">
      <c r="A131" s="20">
        <f t="shared" ref="A131:A194" ca="1" si="41">B131 - WEEKDAY(B131, 2) + 1</f>
        <v>45481</v>
      </c>
      <c r="B131" vm="383">
        <f ca="1"/>
        <v>45482</v>
      </c>
      <c r="C131" vm="384">
        <f ca="1"/>
        <v>161.9</v>
      </c>
      <c r="D131" vm="385">
        <f ca="1"/>
        <v>5801833</v>
      </c>
      <c r="E131">
        <f t="shared" ref="E131:E194" ca="1" si="42">C131*D131</f>
        <v>939316762.70000005</v>
      </c>
      <c r="F131">
        <f ca="1">SUM($E$2:E131)/SUM($D$2:D131)</f>
        <v>169.75724231861327</v>
      </c>
      <c r="G131">
        <f ca="1">_xlfn.STDEV.P($C$2:C131)</f>
        <v>4.996093825659492</v>
      </c>
      <c r="H131">
        <f t="shared" ref="H131:H194" ca="1" si="43">F131 + G131</f>
        <v>174.75333614427277</v>
      </c>
      <c r="I131">
        <f t="shared" ref="I131:I194" ca="1" si="44">F131 - G131</f>
        <v>164.76114849295377</v>
      </c>
      <c r="J131">
        <f t="shared" ca="1" si="32"/>
        <v>164.96799999999996</v>
      </c>
      <c r="K131">
        <f t="shared" ca="1" si="33"/>
        <v>1.8919931011335216</v>
      </c>
      <c r="L131">
        <f t="shared" ca="1" si="34"/>
        <v>168.75198620226701</v>
      </c>
      <c r="M131">
        <f t="shared" ca="1" si="35"/>
        <v>161.18401379773292</v>
      </c>
      <c r="N131">
        <f t="shared" ca="1" si="24"/>
        <v>-0.21999999999999886</v>
      </c>
      <c r="O131">
        <f t="shared" ca="1" si="25"/>
        <v>0</v>
      </c>
      <c r="P131">
        <f t="shared" ca="1" si="26"/>
        <v>0.21999999999999886</v>
      </c>
      <c r="Q131">
        <f t="shared" ca="1" si="30"/>
        <v>0.42433378043203385</v>
      </c>
      <c r="R131">
        <f t="shared" ca="1" si="31"/>
        <v>0.81237056663596496</v>
      </c>
      <c r="S131">
        <f t="shared" ca="1" si="28"/>
        <v>0.52234017067999461</v>
      </c>
      <c r="T131">
        <f t="shared" ca="1" si="29"/>
        <v>34.311659163974966</v>
      </c>
      <c r="U131">
        <f>70</f>
        <v>70</v>
      </c>
      <c r="V131">
        <f>30</f>
        <v>30</v>
      </c>
      <c r="W131">
        <f t="shared" ca="1" si="27"/>
        <v>164.31498368018597</v>
      </c>
      <c r="X131">
        <f t="shared" ca="1" si="37"/>
        <v>166.79741462870237</v>
      </c>
      <c r="Y131">
        <f t="shared" ca="1" si="36"/>
        <v>-2.3563806305214712</v>
      </c>
      <c r="Z131">
        <f t="shared" ca="1" si="38"/>
        <v>-2.3858272491987313</v>
      </c>
      <c r="AA131">
        <f t="shared" ca="1" si="39"/>
        <v>2.9446618677260172E-2</v>
      </c>
      <c r="AB131">
        <f t="shared" ca="1" si="40"/>
        <v>170.54749999999996</v>
      </c>
    </row>
    <row r="132" spans="1:28" x14ac:dyDescent="0.25">
      <c r="A132" s="20">
        <f t="shared" ca="1" si="41"/>
        <v>45481</v>
      </c>
      <c r="B132" vm="386">
        <f ca="1"/>
        <v>45483</v>
      </c>
      <c r="C132" vm="387">
        <f ca="1"/>
        <v>163.59</v>
      </c>
      <c r="D132" vm="388">
        <f ca="1"/>
        <v>7372266</v>
      </c>
      <c r="E132">
        <f t="shared" ca="1" si="42"/>
        <v>1206028994.9400001</v>
      </c>
      <c r="F132">
        <f ca="1">SUM($E$2:E132)/SUM($D$2:D132)</f>
        <v>169.69400242010909</v>
      </c>
      <c r="G132">
        <f ca="1">_xlfn.STDEV.P($C$2:C132)</f>
        <v>5.0096495406847064</v>
      </c>
      <c r="H132">
        <f t="shared" ca="1" si="43"/>
        <v>174.70365196079379</v>
      </c>
      <c r="I132">
        <f t="shared" ca="1" si="44"/>
        <v>164.68435287942438</v>
      </c>
      <c r="J132">
        <f t="shared" ca="1" si="32"/>
        <v>164.85249999999996</v>
      </c>
      <c r="K132">
        <f t="shared" ca="1" si="33"/>
        <v>1.9025823863481188</v>
      </c>
      <c r="L132">
        <f t="shared" ca="1" si="34"/>
        <v>168.65766477269619</v>
      </c>
      <c r="M132">
        <f t="shared" ca="1" si="35"/>
        <v>161.04733522730373</v>
      </c>
      <c r="N132">
        <f t="shared" ref="N132:N195" ca="1" si="45">C132-C131</f>
        <v>1.6899999999999977</v>
      </c>
      <c r="O132">
        <f t="shared" ref="O132:O195" ca="1" si="46">MAX(N132,0)</f>
        <v>1.6899999999999977</v>
      </c>
      <c r="P132">
        <f t="shared" ref="P132:P195" ca="1" si="47">MAX(-N132,0)</f>
        <v>0</v>
      </c>
      <c r="Q132">
        <f t="shared" ca="1" si="30"/>
        <v>0.51473851040117413</v>
      </c>
      <c r="R132">
        <f t="shared" ca="1" si="31"/>
        <v>0.75434409759053889</v>
      </c>
      <c r="S132">
        <f t="shared" ca="1" si="28"/>
        <v>0.68236566315731462</v>
      </c>
      <c r="T132">
        <f t="shared" ca="1" si="29"/>
        <v>40.55989004653788</v>
      </c>
      <c r="U132">
        <f>70</f>
        <v>70</v>
      </c>
      <c r="V132">
        <f>30</f>
        <v>30</v>
      </c>
      <c r="W132">
        <f t="shared" ca="1" si="27"/>
        <v>164.20344772938813</v>
      </c>
      <c r="X132">
        <f t="shared" ca="1" si="37"/>
        <v>166.5598283599096</v>
      </c>
      <c r="Y132">
        <f t="shared" ca="1" si="36"/>
        <v>-2.202051969636301</v>
      </c>
      <c r="Z132">
        <f t="shared" ca="1" si="38"/>
        <v>-2.3490721932862453</v>
      </c>
      <c r="AA132">
        <f t="shared" ca="1" si="39"/>
        <v>0.14702022364994427</v>
      </c>
      <c r="AB132">
        <f t="shared" ca="1" si="40"/>
        <v>170.50819999999996</v>
      </c>
    </row>
    <row r="133" spans="1:28" x14ac:dyDescent="0.25">
      <c r="A133" s="20">
        <f t="shared" ca="1" si="41"/>
        <v>45481</v>
      </c>
      <c r="B133" vm="389">
        <f ca="1"/>
        <v>45484</v>
      </c>
      <c r="C133" vm="390">
        <f ca="1"/>
        <v>163.95</v>
      </c>
      <c r="D133" vm="391">
        <f ca="1"/>
        <v>10259333</v>
      </c>
      <c r="E133">
        <f t="shared" ca="1" si="42"/>
        <v>1682017645.3499999</v>
      </c>
      <c r="F133">
        <f ca="1">SUM($E$2:E133)/SUM($D$2:D133)</f>
        <v>169.61318976134035</v>
      </c>
      <c r="G133">
        <f ca="1">_xlfn.STDEV.P($C$2:C133)</f>
        <v>5.0190625233609909</v>
      </c>
      <c r="H133">
        <f t="shared" ca="1" si="43"/>
        <v>174.63225228470134</v>
      </c>
      <c r="I133">
        <f t="shared" ca="1" si="44"/>
        <v>164.59412723797936</v>
      </c>
      <c r="J133">
        <f t="shared" ca="1" si="32"/>
        <v>164.79649999999998</v>
      </c>
      <c r="K133">
        <f t="shared" ca="1" si="33"/>
        <v>1.9123016581018135</v>
      </c>
      <c r="L133">
        <f t="shared" ca="1" si="34"/>
        <v>168.6211033162036</v>
      </c>
      <c r="M133">
        <f t="shared" ca="1" si="35"/>
        <v>160.97189668379636</v>
      </c>
      <c r="N133">
        <f t="shared" ca="1" si="45"/>
        <v>0.35999999999998522</v>
      </c>
      <c r="O133">
        <f t="shared" ca="1" si="46"/>
        <v>0.35999999999998522</v>
      </c>
      <c r="P133">
        <f t="shared" ca="1" si="47"/>
        <v>0</v>
      </c>
      <c r="Q133">
        <f t="shared" ca="1" si="30"/>
        <v>0.50368575965823204</v>
      </c>
      <c r="R133">
        <f t="shared" ca="1" si="31"/>
        <v>0.70046237633407193</v>
      </c>
      <c r="S133">
        <f t="shared" ca="1" si="28"/>
        <v>0.71907610840472735</v>
      </c>
      <c r="T133">
        <f t="shared" ca="1" si="29"/>
        <v>41.829218897819331</v>
      </c>
      <c r="U133">
        <f>70</f>
        <v>70</v>
      </c>
      <c r="V133">
        <f>30</f>
        <v>30</v>
      </c>
      <c r="W133">
        <f t="shared" ca="1" si="27"/>
        <v>164.16445577102073</v>
      </c>
      <c r="X133">
        <f t="shared" ca="1" si="37"/>
        <v>166.36650774065703</v>
      </c>
      <c r="Y133">
        <f t="shared" ca="1" si="36"/>
        <v>-1.862198437949786</v>
      </c>
      <c r="Z133">
        <f t="shared" ca="1" si="38"/>
        <v>-2.2516974422189535</v>
      </c>
      <c r="AA133">
        <f t="shared" ca="1" si="39"/>
        <v>0.3894990042691675</v>
      </c>
      <c r="AB133">
        <f t="shared" ca="1" si="40"/>
        <v>170.4691</v>
      </c>
    </row>
    <row r="134" spans="1:28" x14ac:dyDescent="0.25">
      <c r="A134" s="20">
        <f t="shared" ca="1" si="41"/>
        <v>45481</v>
      </c>
      <c r="B134" vm="392">
        <f ca="1"/>
        <v>45485</v>
      </c>
      <c r="C134" vm="393">
        <f ca="1"/>
        <v>166.38</v>
      </c>
      <c r="D134" vm="394">
        <f ca="1"/>
        <v>6677035</v>
      </c>
      <c r="E134">
        <f t="shared" ca="1" si="42"/>
        <v>1110925083.3</v>
      </c>
      <c r="F134">
        <f ca="1">SUM($E$2:E134)/SUM($D$2:D134)</f>
        <v>169.58385368803101</v>
      </c>
      <c r="G134">
        <f ca="1">_xlfn.STDEV.P($C$2:C134)</f>
        <v>5.0102268953491285</v>
      </c>
      <c r="H134">
        <f t="shared" ca="1" si="43"/>
        <v>174.59408058338013</v>
      </c>
      <c r="I134">
        <f t="shared" ca="1" si="44"/>
        <v>164.57362679268189</v>
      </c>
      <c r="J134">
        <f t="shared" ca="1" si="32"/>
        <v>164.92399999999998</v>
      </c>
      <c r="K134">
        <f t="shared" ca="1" si="33"/>
        <v>1.9294024163482655</v>
      </c>
      <c r="L134">
        <f t="shared" ca="1" si="34"/>
        <v>168.78280483269651</v>
      </c>
      <c r="M134">
        <f t="shared" ca="1" si="35"/>
        <v>161.06519516730344</v>
      </c>
      <c r="N134">
        <f t="shared" ca="1" si="45"/>
        <v>2.4300000000000068</v>
      </c>
      <c r="O134">
        <f t="shared" ca="1" si="46"/>
        <v>2.4300000000000068</v>
      </c>
      <c r="P134">
        <f t="shared" ca="1" si="47"/>
        <v>0</v>
      </c>
      <c r="Q134">
        <f t="shared" ca="1" si="30"/>
        <v>0.64127963396835874</v>
      </c>
      <c r="R134">
        <f t="shared" ca="1" si="31"/>
        <v>0.65042934945306674</v>
      </c>
      <c r="S134">
        <f t="shared" ca="1" si="28"/>
        <v>0.98593280654939419</v>
      </c>
      <c r="T134">
        <f t="shared" ca="1" si="29"/>
        <v>49.645829068228956</v>
      </c>
      <c r="U134">
        <f>70</f>
        <v>70</v>
      </c>
      <c r="V134">
        <f>30</f>
        <v>30</v>
      </c>
      <c r="W134">
        <f t="shared" ca="1" si="27"/>
        <v>164.50530872932524</v>
      </c>
      <c r="X134">
        <f t="shared" ca="1" si="37"/>
        <v>166.36750716727502</v>
      </c>
      <c r="Y134">
        <f t="shared" ca="1" si="36"/>
        <v>-1.7757354323498475</v>
      </c>
      <c r="Z134">
        <f t="shared" ca="1" si="38"/>
        <v>-2.1565050402451327</v>
      </c>
      <c r="AA134">
        <f t="shared" ca="1" si="39"/>
        <v>0.38076960789528513</v>
      </c>
      <c r="AB134">
        <f t="shared" ca="1" si="40"/>
        <v>170.46970000000002</v>
      </c>
    </row>
    <row r="135" spans="1:28" x14ac:dyDescent="0.25">
      <c r="A135" s="20">
        <f t="shared" ca="1" si="41"/>
        <v>45488</v>
      </c>
      <c r="B135" vm="395">
        <f ca="1"/>
        <v>45488</v>
      </c>
      <c r="C135" vm="396">
        <f ca="1"/>
        <v>163.86</v>
      </c>
      <c r="D135" vm="397">
        <f ca="1"/>
        <v>4551803</v>
      </c>
      <c r="E135">
        <f t="shared" ca="1" si="42"/>
        <v>745858439.58000004</v>
      </c>
      <c r="F135">
        <f ca="1">SUM($E$2:E135)/SUM($D$2:D135)</f>
        <v>169.54866678147121</v>
      </c>
      <c r="G135">
        <f ca="1">_xlfn.STDEV.P($C$2:C135)</f>
        <v>5.0196406048822988</v>
      </c>
      <c r="H135">
        <f t="shared" ca="1" si="43"/>
        <v>174.56830738635352</v>
      </c>
      <c r="I135">
        <f t="shared" ca="1" si="44"/>
        <v>164.5290261765889</v>
      </c>
      <c r="J135">
        <f t="shared" ca="1" si="32"/>
        <v>164.95049999999998</v>
      </c>
      <c r="K135">
        <f t="shared" ca="1" si="33"/>
        <v>1.9098979719236036</v>
      </c>
      <c r="L135">
        <f t="shared" ca="1" si="34"/>
        <v>168.77029594384717</v>
      </c>
      <c r="M135">
        <f t="shared" ca="1" si="35"/>
        <v>161.13070405615278</v>
      </c>
      <c r="N135">
        <f t="shared" ca="1" si="45"/>
        <v>-2.5199999999999818</v>
      </c>
      <c r="O135">
        <f t="shared" ca="1" si="46"/>
        <v>0</v>
      </c>
      <c r="P135">
        <f t="shared" ca="1" si="47"/>
        <v>2.5199999999999818</v>
      </c>
      <c r="Q135">
        <f t="shared" ca="1" si="30"/>
        <v>0.5954739458277617</v>
      </c>
      <c r="R135">
        <f t="shared" ca="1" si="31"/>
        <v>0.78397011020641771</v>
      </c>
      <c r="S135">
        <f t="shared" ca="1" si="28"/>
        <v>0.75956205227132279</v>
      </c>
      <c r="T135">
        <f t="shared" ca="1" si="29"/>
        <v>43.167676370995011</v>
      </c>
      <c r="U135">
        <f>70</f>
        <v>70</v>
      </c>
      <c r="V135">
        <f>30</f>
        <v>30</v>
      </c>
      <c r="W135">
        <f t="shared" ca="1" si="27"/>
        <v>164.40603046327519</v>
      </c>
      <c r="X135">
        <f t="shared" ca="1" si="37"/>
        <v>166.18176589562503</v>
      </c>
      <c r="Y135">
        <f t="shared" ca="1" si="36"/>
        <v>-1.6159625882775117</v>
      </c>
      <c r="Z135">
        <f t="shared" ca="1" si="38"/>
        <v>-2.0483965498516086</v>
      </c>
      <c r="AA135">
        <f t="shared" ca="1" si="39"/>
        <v>0.43243396157409686</v>
      </c>
      <c r="AB135">
        <f t="shared" ca="1" si="40"/>
        <v>170.42179999999999</v>
      </c>
    </row>
    <row r="136" spans="1:28" x14ac:dyDescent="0.25">
      <c r="A136" s="20">
        <f t="shared" ca="1" si="41"/>
        <v>45488</v>
      </c>
      <c r="B136" vm="398">
        <f ca="1"/>
        <v>45489</v>
      </c>
      <c r="C136" vm="399">
        <f ca="1"/>
        <v>164.76</v>
      </c>
      <c r="D136" vm="400">
        <f ca="1"/>
        <v>4461676</v>
      </c>
      <c r="E136">
        <f t="shared" ca="1" si="42"/>
        <v>735105737.75999999</v>
      </c>
      <c r="F136">
        <f ca="1">SUM($E$2:E136)/SUM($D$2:D136)</f>
        <v>169.51998456692553</v>
      </c>
      <c r="G136">
        <f ca="1">_xlfn.STDEV.P($C$2:C136)</f>
        <v>5.0210166672810264</v>
      </c>
      <c r="H136">
        <f t="shared" ca="1" si="43"/>
        <v>174.54100123420656</v>
      </c>
      <c r="I136">
        <f t="shared" ca="1" si="44"/>
        <v>164.4989678996445</v>
      </c>
      <c r="J136">
        <f t="shared" ca="1" si="32"/>
        <v>164.99799999999999</v>
      </c>
      <c r="K136">
        <f t="shared" ca="1" si="33"/>
        <v>1.8917677614226054</v>
      </c>
      <c r="L136">
        <f t="shared" ca="1" si="34"/>
        <v>168.78153552284519</v>
      </c>
      <c r="M136">
        <f t="shared" ca="1" si="35"/>
        <v>161.21446447715479</v>
      </c>
      <c r="N136">
        <f t="shared" ca="1" si="45"/>
        <v>0.89999999999997726</v>
      </c>
      <c r="O136">
        <f t="shared" ca="1" si="46"/>
        <v>0.89999999999997726</v>
      </c>
      <c r="P136">
        <f t="shared" ca="1" si="47"/>
        <v>0</v>
      </c>
      <c r="Q136">
        <f t="shared" ca="1" si="30"/>
        <v>0.61722580684006279</v>
      </c>
      <c r="R136">
        <f t="shared" ca="1" si="31"/>
        <v>0.72797224519167358</v>
      </c>
      <c r="S136">
        <f t="shared" ca="1" si="28"/>
        <v>0.84786997157776056</v>
      </c>
      <c r="T136">
        <f t="shared" ca="1" si="29"/>
        <v>45.883638168210865</v>
      </c>
      <c r="U136">
        <f>70</f>
        <v>70</v>
      </c>
      <c r="V136">
        <f>30</f>
        <v>30</v>
      </c>
      <c r="W136">
        <f t="shared" ca="1" si="27"/>
        <v>164.46048731507901</v>
      </c>
      <c r="X136">
        <f t="shared" ca="1" si="37"/>
        <v>166.07644990335652</v>
      </c>
      <c r="Y136">
        <f t="shared" ca="1" si="36"/>
        <v>-1.0631381367874724</v>
      </c>
      <c r="Z136">
        <f t="shared" ca="1" si="38"/>
        <v>-1.8513448672387816</v>
      </c>
      <c r="AA136">
        <f t="shared" ca="1" si="39"/>
        <v>0.78820673045130918</v>
      </c>
      <c r="AB136">
        <f t="shared" ca="1" si="40"/>
        <v>170.38109999999998</v>
      </c>
    </row>
    <row r="137" spans="1:28" x14ac:dyDescent="0.25">
      <c r="A137" s="20">
        <f t="shared" ca="1" si="41"/>
        <v>45488</v>
      </c>
      <c r="B137" vm="401">
        <f ca="1"/>
        <v>45490</v>
      </c>
      <c r="C137" vm="402">
        <f ca="1"/>
        <v>169.89</v>
      </c>
      <c r="D137" vm="403">
        <f ca="1"/>
        <v>7670981</v>
      </c>
      <c r="E137">
        <f t="shared" ca="1" si="42"/>
        <v>1303222962.0899999</v>
      </c>
      <c r="F137">
        <f ca="1">SUM($E$2:E137)/SUM($D$2:D137)</f>
        <v>169.52375612939241</v>
      </c>
      <c r="G137">
        <f ca="1">_xlfn.STDEV.P($C$2:C137)</f>
        <v>5.002525023649607</v>
      </c>
      <c r="H137">
        <f t="shared" ca="1" si="43"/>
        <v>174.52628115304202</v>
      </c>
      <c r="I137">
        <f t="shared" ca="1" si="44"/>
        <v>164.5212311057428</v>
      </c>
      <c r="J137">
        <f t="shared" ca="1" si="32"/>
        <v>165.18549999999999</v>
      </c>
      <c r="K137">
        <f t="shared" ca="1" si="33"/>
        <v>2.1754768987148769</v>
      </c>
      <c r="L137">
        <f t="shared" ca="1" si="34"/>
        <v>169.53645379742974</v>
      </c>
      <c r="M137">
        <f t="shared" ca="1" si="35"/>
        <v>160.83454620257024</v>
      </c>
      <c r="N137">
        <f t="shared" ca="1" si="45"/>
        <v>5.1299999999999955</v>
      </c>
      <c r="O137">
        <f t="shared" ca="1" si="46"/>
        <v>5.1299999999999955</v>
      </c>
      <c r="P137">
        <f t="shared" ca="1" si="47"/>
        <v>0</v>
      </c>
      <c r="Q137">
        <f t="shared" ca="1" si="30"/>
        <v>0.93956682063720087</v>
      </c>
      <c r="R137">
        <f t="shared" ca="1" si="31"/>
        <v>0.67597422767798254</v>
      </c>
      <c r="S137">
        <f t="shared" ca="1" si="28"/>
        <v>1.3899447377819074</v>
      </c>
      <c r="T137">
        <f t="shared" ca="1" si="29"/>
        <v>58.158028334659583</v>
      </c>
      <c r="U137">
        <f>70</f>
        <v>70</v>
      </c>
      <c r="V137">
        <f>30</f>
        <v>30</v>
      </c>
      <c r="W137">
        <f t="shared" ca="1" si="27"/>
        <v>165.295796958913</v>
      </c>
      <c r="X137">
        <f t="shared" ca="1" si="37"/>
        <v>166.35893509570047</v>
      </c>
      <c r="Y137">
        <f t="shared" ca="1" si="36"/>
        <v>-0.5796074339187669</v>
      </c>
      <c r="Z137">
        <f t="shared" ca="1" si="38"/>
        <v>-1.5969973805747788</v>
      </c>
      <c r="AA137">
        <f t="shared" ca="1" si="39"/>
        <v>1.0173899466560119</v>
      </c>
      <c r="AB137">
        <f t="shared" ca="1" si="40"/>
        <v>170.39749999999995</v>
      </c>
    </row>
    <row r="138" spans="1:28" x14ac:dyDescent="0.25">
      <c r="A138" s="20">
        <f t="shared" ca="1" si="41"/>
        <v>45488</v>
      </c>
      <c r="B138" vm="404">
        <f ca="1"/>
        <v>45491</v>
      </c>
      <c r="C138" vm="405">
        <f ca="1"/>
        <v>170.37</v>
      </c>
      <c r="D138" vm="406">
        <f ca="1"/>
        <v>6228568</v>
      </c>
      <c r="E138">
        <f t="shared" ca="1" si="42"/>
        <v>1061161130.1600001</v>
      </c>
      <c r="F138">
        <f ca="1">SUM($E$2:E138)/SUM($D$2:D138)</f>
        <v>169.53070244842633</v>
      </c>
      <c r="G138">
        <f ca="1">_xlfn.STDEV.P($C$2:C138)</f>
        <v>4.9843670823137201</v>
      </c>
      <c r="H138">
        <f t="shared" ca="1" si="43"/>
        <v>174.51506953074005</v>
      </c>
      <c r="I138">
        <f t="shared" ca="1" si="44"/>
        <v>164.5463353661126</v>
      </c>
      <c r="J138">
        <f t="shared" ca="1" si="32"/>
        <v>165.38</v>
      </c>
      <c r="K138">
        <f t="shared" ca="1" si="33"/>
        <v>2.453440119720192</v>
      </c>
      <c r="L138">
        <f t="shared" ca="1" si="34"/>
        <v>170.28688023944039</v>
      </c>
      <c r="M138">
        <f t="shared" ca="1" si="35"/>
        <v>160.4731197605596</v>
      </c>
      <c r="N138">
        <f t="shared" ca="1" si="45"/>
        <v>0.48000000000001819</v>
      </c>
      <c r="O138">
        <f t="shared" ca="1" si="46"/>
        <v>0.48000000000001819</v>
      </c>
      <c r="P138">
        <f t="shared" ca="1" si="47"/>
        <v>0</v>
      </c>
      <c r="Q138">
        <f t="shared" ca="1" si="30"/>
        <v>0.90674061916311643</v>
      </c>
      <c r="R138">
        <f t="shared" ca="1" si="31"/>
        <v>0.62769035427241238</v>
      </c>
      <c r="S138">
        <f t="shared" ca="1" si="28"/>
        <v>1.4445667565087332</v>
      </c>
      <c r="T138">
        <f t="shared" ca="1" si="29"/>
        <v>59.092955946591772</v>
      </c>
      <c r="U138">
        <f>70</f>
        <v>70</v>
      </c>
      <c r="V138">
        <f>30</f>
        <v>30</v>
      </c>
      <c r="W138">
        <f t="shared" ca="1" si="27"/>
        <v>166.0764435806187</v>
      </c>
      <c r="X138">
        <f t="shared" ca="1" si="37"/>
        <v>166.65605101453747</v>
      </c>
      <c r="Y138">
        <f t="shared" ca="1" si="36"/>
        <v>-0.27473742530176537</v>
      </c>
      <c r="Z138">
        <f t="shared" ca="1" si="38"/>
        <v>-1.3325453895201762</v>
      </c>
      <c r="AA138">
        <f t="shared" ca="1" si="39"/>
        <v>1.0578079642184108</v>
      </c>
      <c r="AB138">
        <f t="shared" ca="1" si="40"/>
        <v>170.40519999999992</v>
      </c>
    </row>
    <row r="139" spans="1:28" x14ac:dyDescent="0.25">
      <c r="A139" s="20">
        <f t="shared" ca="1" si="41"/>
        <v>45488</v>
      </c>
      <c r="B139" vm="407">
        <f ca="1"/>
        <v>45492</v>
      </c>
      <c r="C139" vm="408">
        <f ca="1"/>
        <v>169.36</v>
      </c>
      <c r="D139" vm="409">
        <f ca="1"/>
        <v>5332848</v>
      </c>
      <c r="E139">
        <f t="shared" ca="1" si="42"/>
        <v>903171137.28000009</v>
      </c>
      <c r="F139">
        <f ca="1">SUM($E$2:E139)/SUM($D$2:D139)</f>
        <v>169.52951112851591</v>
      </c>
      <c r="G139">
        <f ca="1">_xlfn.STDEV.P($C$2:C139)</f>
        <v>4.9665232679552123</v>
      </c>
      <c r="H139">
        <f t="shared" ca="1" si="43"/>
        <v>174.49603439647112</v>
      </c>
      <c r="I139">
        <f t="shared" ca="1" si="44"/>
        <v>164.5629878605607</v>
      </c>
      <c r="J139">
        <f t="shared" ca="1" si="32"/>
        <v>165.51399999999998</v>
      </c>
      <c r="K139">
        <f t="shared" ca="1" si="33"/>
        <v>2.5971571502621669</v>
      </c>
      <c r="L139">
        <f t="shared" ca="1" si="34"/>
        <v>170.70831430052431</v>
      </c>
      <c r="M139">
        <f t="shared" ca="1" si="35"/>
        <v>160.31968569947566</v>
      </c>
      <c r="N139">
        <f t="shared" ca="1" si="45"/>
        <v>-1.0099999999999909</v>
      </c>
      <c r="O139">
        <f t="shared" ca="1" si="46"/>
        <v>0</v>
      </c>
      <c r="P139">
        <f t="shared" ca="1" si="47"/>
        <v>1.0099999999999909</v>
      </c>
      <c r="Q139">
        <f t="shared" ca="1" si="30"/>
        <v>0.84197343208003672</v>
      </c>
      <c r="R139">
        <f t="shared" ca="1" si="31"/>
        <v>0.65499818611009653</v>
      </c>
      <c r="S139">
        <f t="shared" ca="1" si="28"/>
        <v>1.2854591813152167</v>
      </c>
      <c r="T139">
        <f t="shared" ca="1" si="29"/>
        <v>56.245116597333912</v>
      </c>
      <c r="U139">
        <f>70</f>
        <v>70</v>
      </c>
      <c r="V139">
        <f>30</f>
        <v>30</v>
      </c>
      <c r="W139">
        <f t="shared" ca="1" si="27"/>
        <v>166.58160610667736</v>
      </c>
      <c r="X139">
        <f t="shared" ca="1" si="37"/>
        <v>166.85634353197912</v>
      </c>
      <c r="Y139">
        <f t="shared" ca="1" si="36"/>
        <v>-0.16836078122517506</v>
      </c>
      <c r="Z139">
        <f t="shared" ca="1" si="38"/>
        <v>-1.0997084678611762</v>
      </c>
      <c r="AA139">
        <f t="shared" ca="1" si="39"/>
        <v>0.93134768663600109</v>
      </c>
      <c r="AB139">
        <f t="shared" ca="1" si="40"/>
        <v>170.41619999999995</v>
      </c>
    </row>
    <row r="140" spans="1:28" x14ac:dyDescent="0.25">
      <c r="A140" s="20">
        <f t="shared" ca="1" si="41"/>
        <v>45495</v>
      </c>
      <c r="B140" vm="410">
        <f ca="1"/>
        <v>45495</v>
      </c>
      <c r="C140" vm="411">
        <f ca="1"/>
        <v>167.66</v>
      </c>
      <c r="D140" vm="412">
        <f ca="1"/>
        <v>5308367</v>
      </c>
      <c r="E140">
        <f t="shared" ca="1" si="42"/>
        <v>890000811.22000003</v>
      </c>
      <c r="F140">
        <f ca="1">SUM($E$2:E140)/SUM($D$2:D140)</f>
        <v>169.5166134402717</v>
      </c>
      <c r="G140">
        <f ca="1">_xlfn.STDEV.P($C$2:C140)</f>
        <v>4.9523801946812593</v>
      </c>
      <c r="H140">
        <f t="shared" ca="1" si="43"/>
        <v>174.46899363495297</v>
      </c>
      <c r="I140">
        <f t="shared" ca="1" si="44"/>
        <v>164.56423324559043</v>
      </c>
      <c r="J140">
        <f t="shared" ca="1" si="32"/>
        <v>165.53299999999999</v>
      </c>
      <c r="K140">
        <f t="shared" ca="1" si="33"/>
        <v>2.6121036088099374</v>
      </c>
      <c r="L140">
        <f t="shared" ca="1" si="34"/>
        <v>170.75720721761985</v>
      </c>
      <c r="M140">
        <f t="shared" ca="1" si="35"/>
        <v>160.30879278238012</v>
      </c>
      <c r="N140">
        <f t="shared" ca="1" si="45"/>
        <v>-1.7000000000000171</v>
      </c>
      <c r="O140">
        <f t="shared" ca="1" si="46"/>
        <v>0</v>
      </c>
      <c r="P140">
        <f t="shared" ca="1" si="47"/>
        <v>1.7000000000000171</v>
      </c>
      <c r="Q140">
        <f t="shared" ca="1" si="30"/>
        <v>0.78183247264574829</v>
      </c>
      <c r="R140">
        <f t="shared" ca="1" si="31"/>
        <v>0.72964117281651941</v>
      </c>
      <c r="S140">
        <f t="shared" ca="1" si="28"/>
        <v>1.0715300914664163</v>
      </c>
      <c r="T140">
        <f t="shared" ca="1" si="29"/>
        <v>51.726503799319197</v>
      </c>
      <c r="U140">
        <f>70</f>
        <v>70</v>
      </c>
      <c r="V140">
        <f>30</f>
        <v>30</v>
      </c>
      <c r="W140">
        <f t="shared" ca="1" si="27"/>
        <v>166.74751285949623</v>
      </c>
      <c r="X140">
        <f t="shared" ca="1" si="37"/>
        <v>166.9158736407214</v>
      </c>
      <c r="Y140">
        <f t="shared" ca="1" si="36"/>
        <v>-0.19318408536773291</v>
      </c>
      <c r="Z140">
        <f t="shared" ca="1" si="38"/>
        <v>-0.91840359136248761</v>
      </c>
      <c r="AA140">
        <f t="shared" ca="1" si="39"/>
        <v>0.72521950599475471</v>
      </c>
      <c r="AB140">
        <f t="shared" ca="1" si="40"/>
        <v>170.41119999999998</v>
      </c>
    </row>
    <row r="141" spans="1:28" x14ac:dyDescent="0.25">
      <c r="A141" s="20">
        <f t="shared" ca="1" si="41"/>
        <v>45495</v>
      </c>
      <c r="B141" vm="413">
        <f ca="1"/>
        <v>45496</v>
      </c>
      <c r="C141" vm="414">
        <f ca="1"/>
        <v>166.28</v>
      </c>
      <c r="D141" vm="415">
        <f ca="1"/>
        <v>3344293</v>
      </c>
      <c r="E141">
        <f t="shared" ca="1" si="42"/>
        <v>556089040.03999996</v>
      </c>
      <c r="F141">
        <f ca="1">SUM($E$2:E141)/SUM($D$2:D141)</f>
        <v>169.50260678253522</v>
      </c>
      <c r="G141">
        <f ca="1">_xlfn.STDEV.P($C$2:C141)</f>
        <v>4.9441986329888676</v>
      </c>
      <c r="H141">
        <f t="shared" ca="1" si="43"/>
        <v>174.4468054155241</v>
      </c>
      <c r="I141">
        <f t="shared" ca="1" si="44"/>
        <v>164.55840814954635</v>
      </c>
      <c r="J141">
        <f t="shared" ca="1" si="32"/>
        <v>165.44300000000001</v>
      </c>
      <c r="K141">
        <f t="shared" ca="1" si="33"/>
        <v>2.5499991744064712</v>
      </c>
      <c r="L141">
        <f t="shared" ca="1" si="34"/>
        <v>170.54299834881294</v>
      </c>
      <c r="M141">
        <f t="shared" ca="1" si="35"/>
        <v>160.34300165118708</v>
      </c>
      <c r="N141">
        <f t="shared" ca="1" si="45"/>
        <v>-1.3799999999999955</v>
      </c>
      <c r="O141">
        <f t="shared" ca="1" si="46"/>
        <v>0</v>
      </c>
      <c r="P141">
        <f t="shared" ca="1" si="47"/>
        <v>1.3799999999999955</v>
      </c>
      <c r="Q141">
        <f t="shared" ca="1" si="30"/>
        <v>0.72598729602819478</v>
      </c>
      <c r="R141">
        <f t="shared" ca="1" si="31"/>
        <v>0.77609537475819634</v>
      </c>
      <c r="S141">
        <f t="shared" ca="1" si="28"/>
        <v>0.93543566891425756</v>
      </c>
      <c r="T141">
        <f t="shared" ca="1" si="29"/>
        <v>48.33204657424853</v>
      </c>
      <c r="U141">
        <f>70</f>
        <v>70</v>
      </c>
      <c r="V141">
        <f>30</f>
        <v>30</v>
      </c>
      <c r="W141">
        <f t="shared" ca="1" si="27"/>
        <v>166.67558780418912</v>
      </c>
      <c r="X141">
        <f t="shared" ca="1" si="37"/>
        <v>166.86877188955685</v>
      </c>
      <c r="Y141">
        <f t="shared" ca="1" si="36"/>
        <v>-5.9661784221674452E-2</v>
      </c>
      <c r="Z141">
        <f t="shared" ca="1" si="38"/>
        <v>-0.74665522993432509</v>
      </c>
      <c r="AA141">
        <f t="shared" ca="1" si="39"/>
        <v>0.68699344571265064</v>
      </c>
      <c r="AB141">
        <f t="shared" ca="1" si="40"/>
        <v>170.40369999999999</v>
      </c>
    </row>
    <row r="142" spans="1:28" x14ac:dyDescent="0.25">
      <c r="A142" s="20">
        <f t="shared" ca="1" si="41"/>
        <v>45495</v>
      </c>
      <c r="B142" vm="416">
        <f ca="1"/>
        <v>45497</v>
      </c>
      <c r="C142" vm="417">
        <f ca="1"/>
        <v>168.17</v>
      </c>
      <c r="D142" vm="418">
        <f ca="1"/>
        <v>5867046</v>
      </c>
      <c r="E142">
        <f t="shared" ca="1" si="42"/>
        <v>986661125.81999993</v>
      </c>
      <c r="F142">
        <f ca="1">SUM($E$2:E142)/SUM($D$2:D142)</f>
        <v>169.49256580153377</v>
      </c>
      <c r="G142">
        <f ca="1">_xlfn.STDEV.P($C$2:C142)</f>
        <v>4.9287704837989477</v>
      </c>
      <c r="H142">
        <f t="shared" ca="1" si="43"/>
        <v>174.42133628533273</v>
      </c>
      <c r="I142">
        <f t="shared" ca="1" si="44"/>
        <v>164.56379531773482</v>
      </c>
      <c r="J142">
        <f t="shared" ca="1" si="32"/>
        <v>165.48399999999998</v>
      </c>
      <c r="K142">
        <f t="shared" ca="1" si="33"/>
        <v>2.5885748975063474</v>
      </c>
      <c r="L142">
        <f t="shared" ca="1" si="34"/>
        <v>170.66114979501268</v>
      </c>
      <c r="M142">
        <f t="shared" ca="1" si="35"/>
        <v>160.30685020498728</v>
      </c>
      <c r="N142">
        <f t="shared" ca="1" si="45"/>
        <v>1.8899999999999864</v>
      </c>
      <c r="O142">
        <f t="shared" ca="1" si="46"/>
        <v>1.8899999999999864</v>
      </c>
      <c r="P142">
        <f t="shared" ca="1" si="47"/>
        <v>0</v>
      </c>
      <c r="Q142">
        <f t="shared" ca="1" si="30"/>
        <v>0.80913106059760842</v>
      </c>
      <c r="R142">
        <f t="shared" ca="1" si="31"/>
        <v>0.72065999084689658</v>
      </c>
      <c r="S142">
        <f t="shared" ca="1" si="28"/>
        <v>1.1227639537013057</v>
      </c>
      <c r="T142">
        <f t="shared" ca="1" si="29"/>
        <v>52.891606329739375</v>
      </c>
      <c r="U142">
        <f>70</f>
        <v>70</v>
      </c>
      <c r="V142">
        <f>30</f>
        <v>30</v>
      </c>
      <c r="W142">
        <f t="shared" ca="1" si="27"/>
        <v>166.90549737277541</v>
      </c>
      <c r="X142">
        <f t="shared" ca="1" si="37"/>
        <v>166.96515915699709</v>
      </c>
      <c r="Y142">
        <f t="shared" ca="1" si="36"/>
        <v>0.27298003900352796</v>
      </c>
      <c r="Z142">
        <f t="shared" ca="1" si="38"/>
        <v>-0.5427281761467545</v>
      </c>
      <c r="AA142">
        <f t="shared" ca="1" si="39"/>
        <v>0.81570821515028247</v>
      </c>
      <c r="AB142">
        <f t="shared" ca="1" si="40"/>
        <v>170.43199999999996</v>
      </c>
    </row>
    <row r="143" spans="1:28" x14ac:dyDescent="0.25">
      <c r="A143" s="20">
        <f t="shared" ca="1" si="41"/>
        <v>45495</v>
      </c>
      <c r="B143" vm="419">
        <f ca="1"/>
        <v>45498</v>
      </c>
      <c r="C143" vm="420">
        <f ca="1"/>
        <v>171.02</v>
      </c>
      <c r="D143" vm="421">
        <f ca="1"/>
        <v>6270889</v>
      </c>
      <c r="E143">
        <f t="shared" ca="1" si="42"/>
        <v>1072447436.7800001</v>
      </c>
      <c r="F143">
        <f ca="1">SUM($E$2:E143)/SUM($D$2:D143)</f>
        <v>169.50476869111853</v>
      </c>
      <c r="G143">
        <f ca="1">_xlfn.STDEV.P($C$2:C143)</f>
        <v>4.9122993989418315</v>
      </c>
      <c r="H143">
        <f t="shared" ca="1" si="43"/>
        <v>174.41706809006035</v>
      </c>
      <c r="I143">
        <f t="shared" ca="1" si="44"/>
        <v>164.5924692921767</v>
      </c>
      <c r="J143">
        <f t="shared" ca="1" si="32"/>
        <v>165.69800000000001</v>
      </c>
      <c r="K143">
        <f t="shared" ca="1" si="33"/>
        <v>2.8605071320714415</v>
      </c>
      <c r="L143">
        <f t="shared" ca="1" si="34"/>
        <v>171.4190142641429</v>
      </c>
      <c r="M143">
        <f t="shared" ca="1" si="35"/>
        <v>159.97698573585711</v>
      </c>
      <c r="N143">
        <f t="shared" ca="1" si="45"/>
        <v>2.8500000000000227</v>
      </c>
      <c r="O143">
        <f t="shared" ca="1" si="46"/>
        <v>2.8500000000000227</v>
      </c>
      <c r="P143">
        <f t="shared" ca="1" si="47"/>
        <v>0</v>
      </c>
      <c r="Q143">
        <f t="shared" ca="1" si="30"/>
        <v>0.95490741341206664</v>
      </c>
      <c r="R143">
        <f t="shared" ca="1" si="31"/>
        <v>0.66918427721497531</v>
      </c>
      <c r="S143">
        <f t="shared" ca="1" si="28"/>
        <v>1.4269722794238677</v>
      </c>
      <c r="T143">
        <f t="shared" ca="1" si="29"/>
        <v>58.79639794495769</v>
      </c>
      <c r="U143">
        <f>70</f>
        <v>70</v>
      </c>
      <c r="V143">
        <f>30</f>
        <v>30</v>
      </c>
      <c r="W143">
        <f t="shared" ref="W143:W206" ca="1" si="48">C143*(2/(12+1)) + W142*(1-(2/(12+1)))</f>
        <v>167.53849777696382</v>
      </c>
      <c r="X143">
        <f t="shared" ca="1" si="37"/>
        <v>167.26551773796029</v>
      </c>
      <c r="Y143">
        <f t="shared" ca="1" si="36"/>
        <v>0.66849166644203706</v>
      </c>
      <c r="Z143">
        <f t="shared" ca="1" si="38"/>
        <v>-0.30048420762899619</v>
      </c>
      <c r="AA143">
        <f t="shared" ca="1" si="39"/>
        <v>0.96897587407103325</v>
      </c>
      <c r="AB143">
        <f t="shared" ca="1" si="40"/>
        <v>170.49629999999996</v>
      </c>
    </row>
    <row r="144" spans="1:28" x14ac:dyDescent="0.25">
      <c r="A144" s="20">
        <f t="shared" ca="1" si="41"/>
        <v>45495</v>
      </c>
      <c r="B144" vm="422">
        <f ca="1"/>
        <v>45499</v>
      </c>
      <c r="C144" vm="423">
        <f ca="1"/>
        <v>172.75</v>
      </c>
      <c r="D144" vm="424">
        <f ca="1"/>
        <v>5746255</v>
      </c>
      <c r="E144">
        <f t="shared" ca="1" si="42"/>
        <v>992665551.25</v>
      </c>
      <c r="F144">
        <f ca="1">SUM($E$2:E144)/SUM($D$2:D144)</f>
        <v>169.52835357960689</v>
      </c>
      <c r="G144">
        <f ca="1">_xlfn.STDEV.P($C$2:C144)</f>
        <v>4.9008731528699352</v>
      </c>
      <c r="H144">
        <f t="shared" ca="1" si="43"/>
        <v>174.42922673247682</v>
      </c>
      <c r="I144">
        <f t="shared" ca="1" si="44"/>
        <v>164.62748042673695</v>
      </c>
      <c r="J144">
        <f t="shared" ca="1" si="32"/>
        <v>166.02250000000001</v>
      </c>
      <c r="K144">
        <f t="shared" ca="1" si="33"/>
        <v>3.2668701825254227</v>
      </c>
      <c r="L144">
        <f t="shared" ca="1" si="34"/>
        <v>172.55624036505085</v>
      </c>
      <c r="M144">
        <f t="shared" ca="1" si="35"/>
        <v>159.48875963494916</v>
      </c>
      <c r="N144">
        <f t="shared" ca="1" si="45"/>
        <v>1.7299999999999898</v>
      </c>
      <c r="O144">
        <f t="shared" ca="1" si="46"/>
        <v>1.7299999999999898</v>
      </c>
      <c r="P144">
        <f t="shared" ca="1" si="47"/>
        <v>0</v>
      </c>
      <c r="Q144">
        <f t="shared" ca="1" si="30"/>
        <v>1.0102711695969184</v>
      </c>
      <c r="R144">
        <f t="shared" ca="1" si="31"/>
        <v>0.62138540027104849</v>
      </c>
      <c r="S144">
        <f t="shared" ref="S144:S207" ca="1" si="49">IF(R144=0,NA(),Q144/R144)</f>
        <v>1.6258366694103819</v>
      </c>
      <c r="T144">
        <f t="shared" ref="T144:T207" ca="1" si="50">100-(100/(1+S144))</f>
        <v>61.916900177018825</v>
      </c>
      <c r="U144">
        <f>70</f>
        <v>70</v>
      </c>
      <c r="V144">
        <f>30</f>
        <v>30</v>
      </c>
      <c r="W144">
        <f t="shared" ca="1" si="48"/>
        <v>168.34026734973861</v>
      </c>
      <c r="X144">
        <f t="shared" ca="1" si="37"/>
        <v>167.67177568329657</v>
      </c>
      <c r="Y144">
        <f t="shared" ca="1" si="36"/>
        <v>1.0074424666694881</v>
      </c>
      <c r="Z144">
        <f t="shared" ca="1" si="38"/>
        <v>-3.8898872769299347E-2</v>
      </c>
      <c r="AA144">
        <f t="shared" ca="1" si="39"/>
        <v>1.0463413394387875</v>
      </c>
      <c r="AB144">
        <f t="shared" ca="1" si="40"/>
        <v>170.5701</v>
      </c>
    </row>
    <row r="145" spans="1:28" x14ac:dyDescent="0.25">
      <c r="A145" s="20">
        <f t="shared" ca="1" si="41"/>
        <v>45502</v>
      </c>
      <c r="B145" vm="425">
        <f ca="1"/>
        <v>45502</v>
      </c>
      <c r="C145" vm="426">
        <f ca="1"/>
        <v>173.21</v>
      </c>
      <c r="D145" vm="427">
        <f ca="1"/>
        <v>4152662</v>
      </c>
      <c r="E145">
        <f t="shared" ca="1" si="42"/>
        <v>719282585.01999998</v>
      </c>
      <c r="F145">
        <f ca="1">SUM($E$2:E145)/SUM($D$2:D145)</f>
        <v>169.54758879100245</v>
      </c>
      <c r="G145">
        <f ca="1">_xlfn.STDEV.P($C$2:C145)</f>
        <v>4.891488035711709</v>
      </c>
      <c r="H145">
        <f t="shared" ca="1" si="43"/>
        <v>174.43907682671417</v>
      </c>
      <c r="I145">
        <f t="shared" ca="1" si="44"/>
        <v>164.65610075529074</v>
      </c>
      <c r="J145">
        <f t="shared" ca="1" si="32"/>
        <v>166.43650000000002</v>
      </c>
      <c r="K145">
        <f t="shared" ca="1" si="33"/>
        <v>3.6260392702608302</v>
      </c>
      <c r="L145">
        <f t="shared" ca="1" si="34"/>
        <v>173.68857854052169</v>
      </c>
      <c r="M145">
        <f t="shared" ca="1" si="35"/>
        <v>159.18442145947836</v>
      </c>
      <c r="N145">
        <f t="shared" ca="1" si="45"/>
        <v>0.46000000000000796</v>
      </c>
      <c r="O145">
        <f t="shared" ca="1" si="46"/>
        <v>0.46000000000000796</v>
      </c>
      <c r="P145">
        <f t="shared" ca="1" si="47"/>
        <v>0</v>
      </c>
      <c r="Q145">
        <f t="shared" ref="Q145:Q208" ca="1" si="51">(Q144*13+O145)/14</f>
        <v>0.97096608605428192</v>
      </c>
      <c r="R145">
        <f t="shared" ref="R145:R208" ca="1" si="52">(R144*13+P145)/14</f>
        <v>0.57700072882311648</v>
      </c>
      <c r="S145">
        <f t="shared" ca="1" si="49"/>
        <v>1.6827813857960277</v>
      </c>
      <c r="T145">
        <f t="shared" ca="1" si="50"/>
        <v>62.725252035275965</v>
      </c>
      <c r="U145">
        <f>70</f>
        <v>70</v>
      </c>
      <c r="V145">
        <f>30</f>
        <v>30</v>
      </c>
      <c r="W145">
        <f t="shared" ca="1" si="48"/>
        <v>169.08945698824039</v>
      </c>
      <c r="X145">
        <f t="shared" ca="1" si="37"/>
        <v>168.0820145215709</v>
      </c>
      <c r="Y145">
        <f t="shared" ca="1" si="36"/>
        <v>1.2591282222132634</v>
      </c>
      <c r="Z145">
        <f t="shared" ca="1" si="38"/>
        <v>0.22070654622721322</v>
      </c>
      <c r="AA145">
        <f t="shared" ca="1" si="39"/>
        <v>1.0384216759860501</v>
      </c>
      <c r="AB145">
        <f t="shared" ca="1" si="40"/>
        <v>170.68180000000001</v>
      </c>
    </row>
    <row r="146" spans="1:28" x14ac:dyDescent="0.25">
      <c r="A146" s="20">
        <f t="shared" ca="1" si="41"/>
        <v>45502</v>
      </c>
      <c r="B146" vm="428">
        <f ca="1"/>
        <v>45503</v>
      </c>
      <c r="C146" vm="429">
        <f ca="1"/>
        <v>173.18</v>
      </c>
      <c r="D146" vm="430">
        <f ca="1"/>
        <v>4994644</v>
      </c>
      <c r="E146">
        <f t="shared" ca="1" si="42"/>
        <v>864972447.92000008</v>
      </c>
      <c r="F146">
        <f ca="1">SUM($E$2:E146)/SUM($D$2:D146)</f>
        <v>169.57027214664294</v>
      </c>
      <c r="G146">
        <f ca="1">_xlfn.STDEV.P($C$2:C146)</f>
        <v>4.8819725336448556</v>
      </c>
      <c r="H146">
        <f t="shared" ca="1" si="43"/>
        <v>174.45224468028778</v>
      </c>
      <c r="I146">
        <f t="shared" ca="1" si="44"/>
        <v>164.68829961299809</v>
      </c>
      <c r="J146">
        <f t="shared" ca="1" si="32"/>
        <v>166.95100000000002</v>
      </c>
      <c r="K146">
        <f t="shared" ca="1" si="33"/>
        <v>3.8211184639826969</v>
      </c>
      <c r="L146">
        <f t="shared" ca="1" si="34"/>
        <v>174.59323692796542</v>
      </c>
      <c r="M146">
        <f t="shared" ca="1" si="35"/>
        <v>159.30876307203462</v>
      </c>
      <c r="N146">
        <f t="shared" ca="1" si="45"/>
        <v>-3.0000000000001137E-2</v>
      </c>
      <c r="O146">
        <f t="shared" ca="1" si="46"/>
        <v>0</v>
      </c>
      <c r="P146">
        <f t="shared" ca="1" si="47"/>
        <v>3.0000000000001137E-2</v>
      </c>
      <c r="Q146">
        <f t="shared" ca="1" si="51"/>
        <v>0.90161136562183319</v>
      </c>
      <c r="R146">
        <f t="shared" ca="1" si="52"/>
        <v>0.53792924819289401</v>
      </c>
      <c r="S146">
        <f t="shared" ca="1" si="49"/>
        <v>1.6760779761477624</v>
      </c>
      <c r="T146">
        <f t="shared" ca="1" si="50"/>
        <v>62.63188109938752</v>
      </c>
      <c r="U146">
        <f>70</f>
        <v>70</v>
      </c>
      <c r="V146">
        <f>30</f>
        <v>30</v>
      </c>
      <c r="W146">
        <f t="shared" ca="1" si="48"/>
        <v>169.71877129774188</v>
      </c>
      <c r="X146">
        <f t="shared" ca="1" si="37"/>
        <v>168.45964307552862</v>
      </c>
      <c r="Y146">
        <f t="shared" ca="1" si="36"/>
        <v>1.4012851164744973</v>
      </c>
      <c r="Z146">
        <f t="shared" ca="1" si="38"/>
        <v>0.45682226027667006</v>
      </c>
      <c r="AA146">
        <f t="shared" ca="1" si="39"/>
        <v>0.94446285619782722</v>
      </c>
      <c r="AB146">
        <f t="shared" ca="1" si="40"/>
        <v>170.78359999999998</v>
      </c>
    </row>
    <row r="147" spans="1:28" x14ac:dyDescent="0.25">
      <c r="A147" s="20">
        <f t="shared" ca="1" si="41"/>
        <v>45502</v>
      </c>
      <c r="B147" vm="431">
        <f ca="1"/>
        <v>45504</v>
      </c>
      <c r="C147" vm="432">
        <f ca="1"/>
        <v>172.67</v>
      </c>
      <c r="D147" vm="433">
        <f ca="1"/>
        <v>6245571</v>
      </c>
      <c r="E147">
        <f t="shared" ca="1" si="42"/>
        <v>1078422744.5699999</v>
      </c>
      <c r="F147">
        <f ca="1">SUM($E$2:E147)/SUM($D$2:D147)</f>
        <v>169.59428951170833</v>
      </c>
      <c r="G147">
        <f ca="1">_xlfn.STDEV.P($C$2:C147)</f>
        <v>4.8703569427567901</v>
      </c>
      <c r="H147">
        <f t="shared" ca="1" si="43"/>
        <v>174.46464645446511</v>
      </c>
      <c r="I147">
        <f t="shared" ca="1" si="44"/>
        <v>164.72393256895154</v>
      </c>
      <c r="J147">
        <f t="shared" ca="1" si="32"/>
        <v>167.40550000000002</v>
      </c>
      <c r="K147">
        <f t="shared" ca="1" si="33"/>
        <v>3.9378720876823028</v>
      </c>
      <c r="L147">
        <f t="shared" ca="1" si="34"/>
        <v>175.28124417536463</v>
      </c>
      <c r="M147">
        <f t="shared" ca="1" si="35"/>
        <v>159.5297558246354</v>
      </c>
      <c r="N147">
        <f t="shared" ca="1" si="45"/>
        <v>-0.51000000000001933</v>
      </c>
      <c r="O147">
        <f t="shared" ca="1" si="46"/>
        <v>0</v>
      </c>
      <c r="P147">
        <f t="shared" ca="1" si="47"/>
        <v>0.51000000000001933</v>
      </c>
      <c r="Q147">
        <f t="shared" ca="1" si="51"/>
        <v>0.83721055379170217</v>
      </c>
      <c r="R147">
        <f t="shared" ca="1" si="52"/>
        <v>0.53593430189340296</v>
      </c>
      <c r="S147">
        <f t="shared" ca="1" si="49"/>
        <v>1.5621514630317932</v>
      </c>
      <c r="T147">
        <f t="shared" ca="1" si="50"/>
        <v>60.970301153987975</v>
      </c>
      <c r="U147">
        <f>70</f>
        <v>70</v>
      </c>
      <c r="V147">
        <f>30</f>
        <v>30</v>
      </c>
      <c r="W147">
        <f t="shared" ca="1" si="48"/>
        <v>170.17280648270469</v>
      </c>
      <c r="X147">
        <f t="shared" ca="1" si="37"/>
        <v>168.77152136623019</v>
      </c>
      <c r="Y147">
        <f t="shared" ca="1" si="36"/>
        <v>1.6793706021038872</v>
      </c>
      <c r="Z147">
        <f t="shared" ca="1" si="38"/>
        <v>0.70133192864211358</v>
      </c>
      <c r="AA147">
        <f t="shared" ca="1" si="39"/>
        <v>0.97803867346177364</v>
      </c>
      <c r="AB147">
        <f t="shared" ca="1" si="40"/>
        <v>170.87919999999994</v>
      </c>
    </row>
    <row r="148" spans="1:28" x14ac:dyDescent="0.25">
      <c r="A148" s="20">
        <f t="shared" ca="1" si="41"/>
        <v>45502</v>
      </c>
      <c r="B148" vm="434">
        <f ca="1"/>
        <v>45505</v>
      </c>
      <c r="C148" vm="435">
        <f ca="1"/>
        <v>174.96</v>
      </c>
      <c r="D148" vm="436">
        <f ca="1"/>
        <v>5994458</v>
      </c>
      <c r="E148">
        <f t="shared" ca="1" si="42"/>
        <v>1048790371.6800001</v>
      </c>
      <c r="F148">
        <f ca="1">SUM($E$2:E148)/SUM($D$2:D148)</f>
        <v>169.63389807038897</v>
      </c>
      <c r="G148">
        <f ca="1">_xlfn.STDEV.P($C$2:C148)</f>
        <v>4.8710047010003867</v>
      </c>
      <c r="H148">
        <f t="shared" ca="1" si="43"/>
        <v>174.50490277138934</v>
      </c>
      <c r="I148">
        <f t="shared" ca="1" si="44"/>
        <v>164.76289336938859</v>
      </c>
      <c r="J148">
        <f t="shared" ca="1" si="32"/>
        <v>168.02350000000001</v>
      </c>
      <c r="K148">
        <f t="shared" ca="1" si="33"/>
        <v>4.1101226451159274</v>
      </c>
      <c r="L148">
        <f t="shared" ca="1" si="34"/>
        <v>176.24374529023186</v>
      </c>
      <c r="M148">
        <f t="shared" ca="1" si="35"/>
        <v>159.80325470976817</v>
      </c>
      <c r="N148">
        <f t="shared" ca="1" si="45"/>
        <v>2.2900000000000205</v>
      </c>
      <c r="O148">
        <f t="shared" ca="1" si="46"/>
        <v>2.2900000000000205</v>
      </c>
      <c r="P148">
        <f t="shared" ca="1" si="47"/>
        <v>0</v>
      </c>
      <c r="Q148">
        <f t="shared" ca="1" si="51"/>
        <v>0.94098122852086774</v>
      </c>
      <c r="R148">
        <f t="shared" ca="1" si="52"/>
        <v>0.4976532803295885</v>
      </c>
      <c r="S148">
        <f t="shared" ca="1" si="49"/>
        <v>1.8908369857376799</v>
      </c>
      <c r="T148">
        <f t="shared" ca="1" si="50"/>
        <v>65.407942234943377</v>
      </c>
      <c r="U148">
        <f>70</f>
        <v>70</v>
      </c>
      <c r="V148">
        <f>30</f>
        <v>30</v>
      </c>
      <c r="W148">
        <f t="shared" ca="1" si="48"/>
        <v>170.90929779305779</v>
      </c>
      <c r="X148">
        <f t="shared" ca="1" si="37"/>
        <v>169.2299271909539</v>
      </c>
      <c r="Y148">
        <f t="shared" ca="1" si="36"/>
        <v>2.1238037250089405</v>
      </c>
      <c r="Z148">
        <f t="shared" ca="1" si="38"/>
        <v>0.9858262879154791</v>
      </c>
      <c r="AA148">
        <f t="shared" ca="1" si="39"/>
        <v>1.1379774370934614</v>
      </c>
      <c r="AB148">
        <f t="shared" ca="1" si="40"/>
        <v>170.99829999999994</v>
      </c>
    </row>
    <row r="149" spans="1:28" x14ac:dyDescent="0.25">
      <c r="A149" s="20">
        <f t="shared" ca="1" si="41"/>
        <v>45502</v>
      </c>
      <c r="B149" vm="437">
        <f ca="1"/>
        <v>45506</v>
      </c>
      <c r="C149" vm="438">
        <f ca="1"/>
        <v>178.04</v>
      </c>
      <c r="D149" vm="439">
        <f ca="1"/>
        <v>6856083</v>
      </c>
      <c r="E149">
        <f t="shared" ca="1" si="42"/>
        <v>1220657017.3199999</v>
      </c>
      <c r="F149">
        <f ca="1">SUM($E$2:E149)/SUM($D$2:D149)</f>
        <v>169.70427516241622</v>
      </c>
      <c r="G149">
        <f ca="1">_xlfn.STDEV.P($C$2:C149)</f>
        <v>4.898863887163281</v>
      </c>
      <c r="H149">
        <f t="shared" ca="1" si="43"/>
        <v>174.60313904957951</v>
      </c>
      <c r="I149">
        <f t="shared" ca="1" si="44"/>
        <v>164.80541127525294</v>
      </c>
      <c r="J149">
        <f t="shared" ca="1" si="32"/>
        <v>168.70599999999999</v>
      </c>
      <c r="K149">
        <f t="shared" ca="1" si="33"/>
        <v>4.5813172088844771</v>
      </c>
      <c r="L149">
        <f t="shared" ca="1" si="34"/>
        <v>177.86863441776893</v>
      </c>
      <c r="M149">
        <f t="shared" ca="1" si="35"/>
        <v>159.54336558223105</v>
      </c>
      <c r="N149">
        <f t="shared" ca="1" si="45"/>
        <v>3.0799999999999841</v>
      </c>
      <c r="O149">
        <f t="shared" ca="1" si="46"/>
        <v>3.0799999999999841</v>
      </c>
      <c r="P149">
        <f t="shared" ca="1" si="47"/>
        <v>0</v>
      </c>
      <c r="Q149">
        <f t="shared" ca="1" si="51"/>
        <v>1.093768283626519</v>
      </c>
      <c r="R149">
        <f t="shared" ca="1" si="52"/>
        <v>0.46210661744890358</v>
      </c>
      <c r="S149">
        <f t="shared" ca="1" si="49"/>
        <v>2.3669175950449572</v>
      </c>
      <c r="T149">
        <f t="shared" ca="1" si="50"/>
        <v>70.299243394858095</v>
      </c>
      <c r="U149">
        <f>70</f>
        <v>70</v>
      </c>
      <c r="V149">
        <f>30</f>
        <v>30</v>
      </c>
      <c r="W149">
        <f t="shared" ca="1" si="48"/>
        <v>172.00632890181811</v>
      </c>
      <c r="X149">
        <f t="shared" ca="1" si="37"/>
        <v>169.88252517680917</v>
      </c>
      <c r="Y149">
        <f t="shared" ca="1" si="36"/>
        <v>2.1287151036381715</v>
      </c>
      <c r="Z149">
        <f t="shared" ca="1" si="38"/>
        <v>1.2144040510600176</v>
      </c>
      <c r="AA149">
        <f t="shared" ca="1" si="39"/>
        <v>0.91431105257815393</v>
      </c>
      <c r="AB149">
        <f t="shared" ca="1" si="40"/>
        <v>171.13139999999996</v>
      </c>
    </row>
    <row r="150" spans="1:28" x14ac:dyDescent="0.25">
      <c r="A150" s="20">
        <f t="shared" ca="1" si="41"/>
        <v>45509</v>
      </c>
      <c r="B150" vm="440">
        <f ca="1"/>
        <v>45509</v>
      </c>
      <c r="C150" vm="441">
        <f ca="1"/>
        <v>174.04</v>
      </c>
      <c r="D150" vm="442">
        <f ca="1"/>
        <v>7502535</v>
      </c>
      <c r="E150">
        <f t="shared" ca="1" si="42"/>
        <v>1305741191.3999999</v>
      </c>
      <c r="F150">
        <f ca="1">SUM($E$2:E150)/SUM($D$2:D150)</f>
        <v>169.74363648201361</v>
      </c>
      <c r="G150">
        <f ca="1">_xlfn.STDEV.P($C$2:C150)</f>
        <v>4.8931641246405047</v>
      </c>
      <c r="H150">
        <f t="shared" ca="1" si="43"/>
        <v>174.63680060665411</v>
      </c>
      <c r="I150">
        <f t="shared" ca="1" si="44"/>
        <v>164.85047235737312</v>
      </c>
      <c r="J150">
        <f t="shared" ref="J150:J213" ca="1" si="53">AVERAGE(C131:C150)</f>
        <v>169.30199999999999</v>
      </c>
      <c r="K150">
        <f t="shared" ref="K150:K213" ca="1" si="54">_xlfn.STDEV.S(C131:C150)</f>
        <v>4.4529866972983188</v>
      </c>
      <c r="L150">
        <f t="shared" ref="L150:L213" ca="1" si="55">J150 + 2*K150</f>
        <v>178.20797339459662</v>
      </c>
      <c r="M150">
        <f t="shared" ref="M150:M213" ca="1" si="56">J150-2*K150</f>
        <v>160.39602660540336</v>
      </c>
      <c r="N150">
        <f t="shared" ca="1" si="45"/>
        <v>-4</v>
      </c>
      <c r="O150">
        <f t="shared" ca="1" si="46"/>
        <v>0</v>
      </c>
      <c r="P150">
        <f t="shared" ca="1" si="47"/>
        <v>4</v>
      </c>
      <c r="Q150">
        <f t="shared" ca="1" si="51"/>
        <v>1.0156419776531962</v>
      </c>
      <c r="R150">
        <f t="shared" ca="1" si="52"/>
        <v>0.71481328763112473</v>
      </c>
      <c r="S150">
        <f t="shared" ca="1" si="49"/>
        <v>1.4208493255896391</v>
      </c>
      <c r="T150">
        <f t="shared" ca="1" si="50"/>
        <v>58.69218338252287</v>
      </c>
      <c r="U150">
        <f>70</f>
        <v>70</v>
      </c>
      <c r="V150">
        <f>30</f>
        <v>30</v>
      </c>
      <c r="W150">
        <f t="shared" ca="1" si="48"/>
        <v>172.31920137846146</v>
      </c>
      <c r="X150">
        <f t="shared" ca="1" si="37"/>
        <v>170.19048627482329</v>
      </c>
      <c r="Y150">
        <f t="shared" ca="1" si="36"/>
        <v>1.9846574646309989</v>
      </c>
      <c r="Z150">
        <f t="shared" ca="1" si="38"/>
        <v>1.3684547337742139</v>
      </c>
      <c r="AA150">
        <f t="shared" ca="1" si="39"/>
        <v>0.61620273085678501</v>
      </c>
      <c r="AB150">
        <f t="shared" ca="1" si="40"/>
        <v>171.22639999999996</v>
      </c>
    </row>
    <row r="151" spans="1:28" x14ac:dyDescent="0.25">
      <c r="A151" s="20">
        <f t="shared" ca="1" si="41"/>
        <v>45509</v>
      </c>
      <c r="B151" vm="443">
        <f ca="1"/>
        <v>45510</v>
      </c>
      <c r="C151" vm="444">
        <f ca="1"/>
        <v>172.49</v>
      </c>
      <c r="D151" vm="445">
        <f ca="1"/>
        <v>7287051</v>
      </c>
      <c r="E151">
        <f t="shared" ca="1" si="42"/>
        <v>1256943426.99</v>
      </c>
      <c r="F151">
        <f ca="1">SUM($E$2:E151)/SUM($D$2:D151)</f>
        <v>169.76764122585098</v>
      </c>
      <c r="G151">
        <f ca="1">_xlfn.STDEV.P($C$2:C151)</f>
        <v>4.8807252106856245</v>
      </c>
      <c r="H151">
        <f t="shared" ca="1" si="43"/>
        <v>174.64836643653661</v>
      </c>
      <c r="I151">
        <f t="shared" ca="1" si="44"/>
        <v>164.88691601516535</v>
      </c>
      <c r="J151">
        <f t="shared" ca="1" si="53"/>
        <v>169.83150000000001</v>
      </c>
      <c r="K151">
        <f t="shared" ca="1" si="54"/>
        <v>4.1455052069744927</v>
      </c>
      <c r="L151">
        <f t="shared" ca="1" si="55"/>
        <v>178.12251041394899</v>
      </c>
      <c r="M151">
        <f t="shared" ca="1" si="56"/>
        <v>161.54048958605102</v>
      </c>
      <c r="N151">
        <f t="shared" ca="1" si="45"/>
        <v>-1.5499999999999829</v>
      </c>
      <c r="O151">
        <f t="shared" ca="1" si="46"/>
        <v>0</v>
      </c>
      <c r="P151">
        <f t="shared" ca="1" si="47"/>
        <v>1.5499999999999829</v>
      </c>
      <c r="Q151">
        <f t="shared" ca="1" si="51"/>
        <v>0.94309612210653937</v>
      </c>
      <c r="R151">
        <f t="shared" ca="1" si="52"/>
        <v>0.77446948137175742</v>
      </c>
      <c r="S151">
        <f t="shared" ca="1" si="49"/>
        <v>1.217731808406584</v>
      </c>
      <c r="T151">
        <f t="shared" ca="1" si="50"/>
        <v>54.908885005419613</v>
      </c>
      <c r="U151">
        <f>70</f>
        <v>70</v>
      </c>
      <c r="V151">
        <f>30</f>
        <v>30</v>
      </c>
      <c r="W151">
        <f t="shared" ca="1" si="48"/>
        <v>172.34547808946738</v>
      </c>
      <c r="X151">
        <f t="shared" ca="1" si="37"/>
        <v>170.36082062483638</v>
      </c>
      <c r="Y151">
        <f t="shared" ca="1" si="36"/>
        <v>1.7933341581196203</v>
      </c>
      <c r="Z151">
        <f t="shared" ca="1" si="38"/>
        <v>1.4534306186432953</v>
      </c>
      <c r="AA151">
        <f t="shared" ca="1" si="39"/>
        <v>0.33990353947632501</v>
      </c>
      <c r="AB151">
        <f t="shared" ca="1" si="40"/>
        <v>171.29830000000001</v>
      </c>
    </row>
    <row r="152" spans="1:28" x14ac:dyDescent="0.25">
      <c r="A152" s="20">
        <f t="shared" ca="1" si="41"/>
        <v>45509</v>
      </c>
      <c r="B152" vm="446">
        <f ca="1"/>
        <v>45511</v>
      </c>
      <c r="C152" vm="447">
        <f ca="1"/>
        <v>171.79</v>
      </c>
      <c r="D152" vm="448">
        <f ca="1"/>
        <v>5429077</v>
      </c>
      <c r="E152">
        <f t="shared" ca="1" si="42"/>
        <v>932661137.82999992</v>
      </c>
      <c r="F152">
        <f ca="1">SUM($E$2:E152)/SUM($D$2:D152)</f>
        <v>169.7807255863292</v>
      </c>
      <c r="G152">
        <f ca="1">_xlfn.STDEV.P($C$2:C152)</f>
        <v>4.8664470833037781</v>
      </c>
      <c r="H152">
        <f t="shared" ca="1" si="43"/>
        <v>174.64717266963297</v>
      </c>
      <c r="I152">
        <f t="shared" ca="1" si="44"/>
        <v>164.91427850302543</v>
      </c>
      <c r="J152">
        <f t="shared" ca="1" si="53"/>
        <v>170.2415</v>
      </c>
      <c r="K152">
        <f t="shared" ca="1" si="54"/>
        <v>3.8935605069207071</v>
      </c>
      <c r="L152">
        <f t="shared" ca="1" si="55"/>
        <v>178.02862101384142</v>
      </c>
      <c r="M152">
        <f t="shared" ca="1" si="56"/>
        <v>162.45437898615859</v>
      </c>
      <c r="N152">
        <f t="shared" ca="1" si="45"/>
        <v>-0.70000000000001705</v>
      </c>
      <c r="O152">
        <f t="shared" ca="1" si="46"/>
        <v>0</v>
      </c>
      <c r="P152">
        <f t="shared" ca="1" si="47"/>
        <v>0.70000000000001705</v>
      </c>
      <c r="Q152">
        <f t="shared" ca="1" si="51"/>
        <v>0.87573211338464374</v>
      </c>
      <c r="R152">
        <f t="shared" ca="1" si="52"/>
        <v>0.76915023270234728</v>
      </c>
      <c r="S152">
        <f t="shared" ca="1" si="49"/>
        <v>1.1385709529175199</v>
      </c>
      <c r="T152">
        <f t="shared" ca="1" si="50"/>
        <v>53.239802559005021</v>
      </c>
      <c r="U152">
        <f>70</f>
        <v>70</v>
      </c>
      <c r="V152">
        <f>30</f>
        <v>30</v>
      </c>
      <c r="W152">
        <f t="shared" ca="1" si="48"/>
        <v>172.26001992185701</v>
      </c>
      <c r="X152">
        <f t="shared" ca="1" si="37"/>
        <v>170.46668576373739</v>
      </c>
      <c r="Y152">
        <f t="shared" ca="1" si="36"/>
        <v>1.6692679304184423</v>
      </c>
      <c r="Z152">
        <f t="shared" ca="1" si="38"/>
        <v>1.4965980809983246</v>
      </c>
      <c r="AA152">
        <f t="shared" ca="1" si="39"/>
        <v>0.17266984942011776</v>
      </c>
      <c r="AB152">
        <f t="shared" ca="1" si="40"/>
        <v>171.36840000000001</v>
      </c>
    </row>
    <row r="153" spans="1:28" x14ac:dyDescent="0.25">
      <c r="A153" s="20">
        <f t="shared" ca="1" si="41"/>
        <v>45509</v>
      </c>
      <c r="B153" vm="449">
        <f ca="1"/>
        <v>45512</v>
      </c>
      <c r="C153" vm="450">
        <f ca="1"/>
        <v>172.37</v>
      </c>
      <c r="D153" vm="451">
        <f ca="1"/>
        <v>5112483</v>
      </c>
      <c r="E153">
        <f t="shared" ca="1" si="42"/>
        <v>881238694.71000004</v>
      </c>
      <c r="F153">
        <f ca="1">SUM($E$2:E153)/SUM($D$2:D153)</f>
        <v>169.79640537889173</v>
      </c>
      <c r="G153">
        <f ca="1">_xlfn.STDEV.P($C$2:C153)</f>
        <v>4.8538213373196104</v>
      </c>
      <c r="H153">
        <f t="shared" ca="1" si="43"/>
        <v>174.65022671621134</v>
      </c>
      <c r="I153">
        <f t="shared" ca="1" si="44"/>
        <v>164.94258404157213</v>
      </c>
      <c r="J153">
        <f t="shared" ca="1" si="53"/>
        <v>170.66249999999999</v>
      </c>
      <c r="K153">
        <f t="shared" ca="1" si="54"/>
        <v>3.6233103140055429</v>
      </c>
      <c r="L153">
        <f t="shared" ca="1" si="55"/>
        <v>177.90912062801107</v>
      </c>
      <c r="M153">
        <f t="shared" ca="1" si="56"/>
        <v>163.41587937198892</v>
      </c>
      <c r="N153">
        <f t="shared" ca="1" si="45"/>
        <v>0.58000000000001251</v>
      </c>
      <c r="O153">
        <f t="shared" ca="1" si="46"/>
        <v>0.58000000000001251</v>
      </c>
      <c r="P153">
        <f t="shared" ca="1" si="47"/>
        <v>0</v>
      </c>
      <c r="Q153">
        <f t="shared" ca="1" si="51"/>
        <v>0.85460839100002717</v>
      </c>
      <c r="R153">
        <f t="shared" ca="1" si="52"/>
        <v>0.71421093036646532</v>
      </c>
      <c r="S153">
        <f t="shared" ca="1" si="49"/>
        <v>1.1965770260076014</v>
      </c>
      <c r="T153">
        <f t="shared" ca="1" si="50"/>
        <v>54.474621733727474</v>
      </c>
      <c r="U153">
        <f>70</f>
        <v>70</v>
      </c>
      <c r="V153">
        <f>30</f>
        <v>30</v>
      </c>
      <c r="W153">
        <f t="shared" ca="1" si="48"/>
        <v>172.27693993387899</v>
      </c>
      <c r="X153">
        <f t="shared" ca="1" si="37"/>
        <v>170.60767200346055</v>
      </c>
      <c r="Y153">
        <f t="shared" ca="1" si="36"/>
        <v>1.5546374907047777</v>
      </c>
      <c r="Z153">
        <f t="shared" ca="1" si="38"/>
        <v>1.5082059629396152</v>
      </c>
      <c r="AA153">
        <f t="shared" ca="1" si="39"/>
        <v>4.6431527765162572E-2</v>
      </c>
      <c r="AB153">
        <f t="shared" ca="1" si="40"/>
        <v>171.44549999999998</v>
      </c>
    </row>
    <row r="154" spans="1:28" x14ac:dyDescent="0.25">
      <c r="A154" s="20">
        <f t="shared" ca="1" si="41"/>
        <v>45509</v>
      </c>
      <c r="B154" vm="452">
        <f ca="1"/>
        <v>45513</v>
      </c>
      <c r="C154" vm="453">
        <f ca="1"/>
        <v>172.39</v>
      </c>
      <c r="D154" vm="454">
        <f ca="1"/>
        <v>3223163</v>
      </c>
      <c r="E154">
        <f t="shared" ca="1" si="42"/>
        <v>555641069.56999993</v>
      </c>
      <c r="F154">
        <f ca="1">SUM($E$2:E154)/SUM($D$2:D154)</f>
        <v>169.80626953261165</v>
      </c>
      <c r="G154">
        <f ca="1">_xlfn.STDEV.P($C$2:C154)</f>
        <v>4.8413442024961881</v>
      </c>
      <c r="H154">
        <f t="shared" ca="1" si="43"/>
        <v>174.64761373510783</v>
      </c>
      <c r="I154">
        <f t="shared" ca="1" si="44"/>
        <v>164.96492533011548</v>
      </c>
      <c r="J154">
        <f t="shared" ca="1" si="53"/>
        <v>170.96299999999999</v>
      </c>
      <c r="K154">
        <f t="shared" ca="1" si="54"/>
        <v>3.4964464667340236</v>
      </c>
      <c r="L154">
        <f t="shared" ca="1" si="55"/>
        <v>177.95589293346805</v>
      </c>
      <c r="M154">
        <f t="shared" ca="1" si="56"/>
        <v>163.97010706653194</v>
      </c>
      <c r="N154">
        <f t="shared" ca="1" si="45"/>
        <v>1.999999999998181E-2</v>
      </c>
      <c r="O154">
        <f t="shared" ca="1" si="46"/>
        <v>1.999999999998181E-2</v>
      </c>
      <c r="P154">
        <f t="shared" ca="1" si="47"/>
        <v>0</v>
      </c>
      <c r="Q154">
        <f t="shared" ca="1" si="51"/>
        <v>0.79499350592859541</v>
      </c>
      <c r="R154">
        <f t="shared" ca="1" si="52"/>
        <v>0.66319586391171781</v>
      </c>
      <c r="S154">
        <f t="shared" ca="1" si="49"/>
        <v>1.1987310976873373</v>
      </c>
      <c r="T154">
        <f t="shared" ca="1" si="50"/>
        <v>54.519222425524568</v>
      </c>
      <c r="U154">
        <f>70</f>
        <v>70</v>
      </c>
      <c r="V154">
        <f>30</f>
        <v>30</v>
      </c>
      <c r="W154">
        <f t="shared" ca="1" si="48"/>
        <v>172.29433379020529</v>
      </c>
      <c r="X154">
        <f t="shared" ca="1" si="37"/>
        <v>170.73969629950051</v>
      </c>
      <c r="Y154">
        <f t="shared" ca="1" si="36"/>
        <v>1.3697317332002683</v>
      </c>
      <c r="Z154">
        <f t="shared" ca="1" si="38"/>
        <v>1.480511116991746</v>
      </c>
      <c r="AA154">
        <f t="shared" ca="1" si="39"/>
        <v>-0.11077938379147767</v>
      </c>
      <c r="AB154">
        <f t="shared" ca="1" si="40"/>
        <v>171.45680000000002</v>
      </c>
    </row>
    <row r="155" spans="1:28" x14ac:dyDescent="0.25">
      <c r="A155" s="20">
        <f t="shared" ca="1" si="41"/>
        <v>45516</v>
      </c>
      <c r="B155" vm="455">
        <f ca="1"/>
        <v>45516</v>
      </c>
      <c r="C155" vm="73">
        <f ca="1"/>
        <v>171.42</v>
      </c>
      <c r="D155" vm="456">
        <f ca="1"/>
        <v>3802411</v>
      </c>
      <c r="E155">
        <f t="shared" ca="1" si="42"/>
        <v>651809293.62</v>
      </c>
      <c r="F155">
        <f ca="1">SUM($E$2:E155)/SUM($D$2:D155)</f>
        <v>169.81347764082162</v>
      </c>
      <c r="G155">
        <f ca="1">_xlfn.STDEV.P($C$2:C155)</f>
        <v>4.8266783068504653</v>
      </c>
      <c r="H155">
        <f t="shared" ca="1" si="43"/>
        <v>174.64015594767207</v>
      </c>
      <c r="I155">
        <f t="shared" ca="1" si="44"/>
        <v>164.98679933397116</v>
      </c>
      <c r="J155">
        <f t="shared" ca="1" si="53"/>
        <v>171.34100000000001</v>
      </c>
      <c r="K155">
        <f t="shared" ca="1" si="54"/>
        <v>3.0708834662288802</v>
      </c>
      <c r="L155">
        <f t="shared" ca="1" si="55"/>
        <v>177.48276693245776</v>
      </c>
      <c r="M155">
        <f t="shared" ca="1" si="56"/>
        <v>165.19923306754225</v>
      </c>
      <c r="N155">
        <f t="shared" ca="1" si="45"/>
        <v>-0.96999999999999886</v>
      </c>
      <c r="O155">
        <f t="shared" ca="1" si="46"/>
        <v>0</v>
      </c>
      <c r="P155">
        <f t="shared" ca="1" si="47"/>
        <v>0.96999999999999886</v>
      </c>
      <c r="Q155">
        <f t="shared" ca="1" si="51"/>
        <v>0.73820825550512426</v>
      </c>
      <c r="R155">
        <f t="shared" ca="1" si="52"/>
        <v>0.6851104450608807</v>
      </c>
      <c r="S155">
        <f t="shared" ca="1" si="49"/>
        <v>1.077502555722275</v>
      </c>
      <c r="T155">
        <f t="shared" ca="1" si="50"/>
        <v>51.865281838253388</v>
      </c>
      <c r="U155">
        <f>70</f>
        <v>70</v>
      </c>
      <c r="V155">
        <f>30</f>
        <v>30</v>
      </c>
      <c r="W155">
        <f t="shared" ca="1" si="48"/>
        <v>172.15982089940445</v>
      </c>
      <c r="X155">
        <f t="shared" ca="1" si="37"/>
        <v>170.79008916620418</v>
      </c>
      <c r="Y155">
        <f t="shared" ca="1" si="36"/>
        <v>1.2850365473126999</v>
      </c>
      <c r="Z155">
        <f t="shared" ca="1" si="38"/>
        <v>1.4414162030559368</v>
      </c>
      <c r="AA155">
        <f t="shared" ca="1" si="39"/>
        <v>-0.15637965574323687</v>
      </c>
      <c r="AB155">
        <f t="shared" ca="1" si="40"/>
        <v>171.453</v>
      </c>
    </row>
    <row r="156" spans="1:28" x14ac:dyDescent="0.25">
      <c r="A156" s="20">
        <f t="shared" ca="1" si="41"/>
        <v>45516</v>
      </c>
      <c r="B156" vm="457">
        <f ca="1"/>
        <v>45517</v>
      </c>
      <c r="C156" vm="450">
        <f ca="1"/>
        <v>172.37</v>
      </c>
      <c r="D156" vm="458">
        <f ca="1"/>
        <v>3894698</v>
      </c>
      <c r="E156">
        <f t="shared" ca="1" si="42"/>
        <v>671329094.25999999</v>
      </c>
      <c r="F156">
        <f ca="1">SUM($E$2:E156)/SUM($D$2:D156)</f>
        <v>169.82512083646179</v>
      </c>
      <c r="G156">
        <f ca="1">_xlfn.STDEV.P($C$2:C156)</f>
        <v>4.8143414542258229</v>
      </c>
      <c r="H156">
        <f t="shared" ca="1" si="43"/>
        <v>174.63946229068762</v>
      </c>
      <c r="I156">
        <f t="shared" ca="1" si="44"/>
        <v>165.01077938223597</v>
      </c>
      <c r="J156">
        <f t="shared" ca="1" si="53"/>
        <v>171.72149999999999</v>
      </c>
      <c r="K156">
        <f t="shared" ca="1" si="54"/>
        <v>2.65597494241509</v>
      </c>
      <c r="L156">
        <f t="shared" ca="1" si="55"/>
        <v>177.03344988483016</v>
      </c>
      <c r="M156">
        <f t="shared" ca="1" si="56"/>
        <v>166.40955011516982</v>
      </c>
      <c r="N156">
        <f t="shared" ca="1" si="45"/>
        <v>0.95000000000001705</v>
      </c>
      <c r="O156">
        <f t="shared" ca="1" si="46"/>
        <v>0.95000000000001705</v>
      </c>
      <c r="P156">
        <f t="shared" ca="1" si="47"/>
        <v>0</v>
      </c>
      <c r="Q156">
        <f t="shared" ca="1" si="51"/>
        <v>0.75333623725475951</v>
      </c>
      <c r="R156">
        <f t="shared" ca="1" si="52"/>
        <v>0.63617398469938924</v>
      </c>
      <c r="S156">
        <f t="shared" ca="1" si="49"/>
        <v>1.1841669973517275</v>
      </c>
      <c r="T156">
        <f t="shared" ca="1" si="50"/>
        <v>54.215955043158964</v>
      </c>
      <c r="U156">
        <f>70</f>
        <v>70</v>
      </c>
      <c r="V156">
        <f>30</f>
        <v>30</v>
      </c>
      <c r="W156">
        <f t="shared" ca="1" si="48"/>
        <v>172.1921561456499</v>
      </c>
      <c r="X156">
        <f t="shared" ca="1" si="37"/>
        <v>170.9071195983372</v>
      </c>
      <c r="Y156">
        <f t="shared" ref="Y156:Y219" ca="1" si="57">W157-X157</f>
        <v>1.3109302159499805</v>
      </c>
      <c r="Z156">
        <f t="shared" ca="1" si="38"/>
        <v>1.4153190056347456</v>
      </c>
      <c r="AA156">
        <f t="shared" ca="1" si="39"/>
        <v>-0.10438878968476506</v>
      </c>
      <c r="AB156">
        <f t="shared" ca="1" si="40"/>
        <v>171.45809999999994</v>
      </c>
    </row>
    <row r="157" spans="1:28" x14ac:dyDescent="0.25">
      <c r="A157" s="20">
        <f t="shared" ca="1" si="41"/>
        <v>45516</v>
      </c>
      <c r="B157" vm="459">
        <f ca="1"/>
        <v>45518</v>
      </c>
      <c r="C157" vm="460">
        <f ca="1"/>
        <v>173.71</v>
      </c>
      <c r="D157" vm="461">
        <f ca="1"/>
        <v>3555959</v>
      </c>
      <c r="E157">
        <f t="shared" ca="1" si="42"/>
        <v>617705637.88999999</v>
      </c>
      <c r="F157">
        <f ca="1">SUM($E$2:E157)/SUM($D$2:D157)</f>
        <v>169.84120805390606</v>
      </c>
      <c r="G157">
        <f ca="1">_xlfn.STDEV.P($C$2:C157)</f>
        <v>4.8071840603146851</v>
      </c>
      <c r="H157">
        <f t="shared" ca="1" si="43"/>
        <v>174.64839211422074</v>
      </c>
      <c r="I157">
        <f t="shared" ca="1" si="44"/>
        <v>165.03402399359138</v>
      </c>
      <c r="J157">
        <f t="shared" ca="1" si="53"/>
        <v>171.91249999999997</v>
      </c>
      <c r="K157">
        <f t="shared" ca="1" si="54"/>
        <v>2.6546877604085863</v>
      </c>
      <c r="L157">
        <f t="shared" ca="1" si="55"/>
        <v>177.22187552081715</v>
      </c>
      <c r="M157">
        <f t="shared" ca="1" si="56"/>
        <v>166.60312447918278</v>
      </c>
      <c r="N157">
        <f t="shared" ca="1" si="45"/>
        <v>1.3400000000000034</v>
      </c>
      <c r="O157">
        <f t="shared" ca="1" si="46"/>
        <v>1.3400000000000034</v>
      </c>
      <c r="P157">
        <f t="shared" ca="1" si="47"/>
        <v>0</v>
      </c>
      <c r="Q157">
        <f t="shared" ca="1" si="51"/>
        <v>0.79524079173656259</v>
      </c>
      <c r="R157">
        <f t="shared" ca="1" si="52"/>
        <v>0.59073298579228994</v>
      </c>
      <c r="S157">
        <f t="shared" ca="1" si="49"/>
        <v>1.3461933070657754</v>
      </c>
      <c r="T157">
        <f t="shared" ca="1" si="50"/>
        <v>57.377766060946101</v>
      </c>
      <c r="U157">
        <f>70</f>
        <v>70</v>
      </c>
      <c r="V157">
        <f>30</f>
        <v>30</v>
      </c>
      <c r="W157">
        <f t="shared" ca="1" si="48"/>
        <v>172.4256705847807</v>
      </c>
      <c r="X157">
        <f t="shared" ref="X157:X220" ca="1" si="58">C157*(2/(26+1)) + X156*(1-(2/(26+1)))</f>
        <v>171.11474036883072</v>
      </c>
      <c r="Y157">
        <f t="shared" ca="1" si="57"/>
        <v>1.2213491276635011</v>
      </c>
      <c r="Z157">
        <f t="shared" ca="1" si="38"/>
        <v>1.3765250300404968</v>
      </c>
      <c r="AA157">
        <f t="shared" ca="1" si="39"/>
        <v>-0.15517590237699563</v>
      </c>
      <c r="AB157">
        <f t="shared" ca="1" si="40"/>
        <v>171.47069999999997</v>
      </c>
    </row>
    <row r="158" spans="1:28" x14ac:dyDescent="0.25">
      <c r="A158" s="20">
        <f t="shared" ca="1" si="41"/>
        <v>45516</v>
      </c>
      <c r="B158" vm="462">
        <f ca="1"/>
        <v>45519</v>
      </c>
      <c r="C158" vm="463">
        <f ca="1"/>
        <v>172.52</v>
      </c>
      <c r="D158" vm="464">
        <f ca="1"/>
        <v>4472137</v>
      </c>
      <c r="E158">
        <f t="shared" ca="1" si="42"/>
        <v>771533075.24000001</v>
      </c>
      <c r="F158">
        <f ca="1">SUM($E$2:E158)/SUM($D$2:D158)</f>
        <v>169.85508662861039</v>
      </c>
      <c r="G158">
        <f ca="1">_xlfn.STDEV.P($C$2:C158)</f>
        <v>4.7954185236526072</v>
      </c>
      <c r="H158">
        <f t="shared" ca="1" si="43"/>
        <v>174.65050515226301</v>
      </c>
      <c r="I158">
        <f t="shared" ca="1" si="44"/>
        <v>165.05966810495778</v>
      </c>
      <c r="J158">
        <f t="shared" ca="1" si="53"/>
        <v>172.01999999999998</v>
      </c>
      <c r="K158">
        <f t="shared" ca="1" si="54"/>
        <v>2.6323753531743908</v>
      </c>
      <c r="L158">
        <f t="shared" ca="1" si="55"/>
        <v>177.28475070634877</v>
      </c>
      <c r="M158">
        <f t="shared" ca="1" si="56"/>
        <v>166.75524929365119</v>
      </c>
      <c r="N158">
        <f t="shared" ca="1" si="45"/>
        <v>-1.1899999999999977</v>
      </c>
      <c r="O158">
        <f t="shared" ca="1" si="46"/>
        <v>0</v>
      </c>
      <c r="P158">
        <f t="shared" ca="1" si="47"/>
        <v>1.1899999999999977</v>
      </c>
      <c r="Q158">
        <f t="shared" ca="1" si="51"/>
        <v>0.73843787804109373</v>
      </c>
      <c r="R158">
        <f t="shared" ca="1" si="52"/>
        <v>0.63353777252141186</v>
      </c>
      <c r="S158">
        <f t="shared" ca="1" si="49"/>
        <v>1.1655782970953583</v>
      </c>
      <c r="T158">
        <f t="shared" ca="1" si="50"/>
        <v>53.822957990423262</v>
      </c>
      <c r="U158">
        <f>70</f>
        <v>70</v>
      </c>
      <c r="V158">
        <f>30</f>
        <v>30</v>
      </c>
      <c r="W158">
        <f t="shared" ca="1" si="48"/>
        <v>172.44018280250674</v>
      </c>
      <c r="X158">
        <f t="shared" ca="1" si="58"/>
        <v>171.21883367484324</v>
      </c>
      <c r="Y158">
        <f t="shared" ca="1" si="57"/>
        <v>1.1452232137334875</v>
      </c>
      <c r="Z158">
        <f t="shared" ca="1" si="38"/>
        <v>1.3302646667790949</v>
      </c>
      <c r="AA158">
        <f t="shared" ca="1" si="39"/>
        <v>-0.18504145304560748</v>
      </c>
      <c r="AB158">
        <f t="shared" ca="1" si="40"/>
        <v>171.47569999999999</v>
      </c>
    </row>
    <row r="159" spans="1:28" x14ac:dyDescent="0.25">
      <c r="A159" s="20">
        <f t="shared" ca="1" si="41"/>
        <v>45516</v>
      </c>
      <c r="B159" vm="465">
        <f ca="1"/>
        <v>45520</v>
      </c>
      <c r="C159" vm="466">
        <f ca="1"/>
        <v>172.62</v>
      </c>
      <c r="D159" vm="467">
        <f ca="1"/>
        <v>4614804</v>
      </c>
      <c r="E159">
        <f t="shared" ca="1" si="42"/>
        <v>796607466.48000002</v>
      </c>
      <c r="F159">
        <f ca="1">SUM($E$2:E159)/SUM($D$2:D159)</f>
        <v>169.86978976338642</v>
      </c>
      <c r="G159">
        <f ca="1">_xlfn.STDEV.P($C$2:C159)</f>
        <v>4.784038830072328</v>
      </c>
      <c r="H159">
        <f t="shared" ca="1" si="43"/>
        <v>174.65382859345874</v>
      </c>
      <c r="I159">
        <f t="shared" ca="1" si="44"/>
        <v>165.0857509333141</v>
      </c>
      <c r="J159">
        <f t="shared" ca="1" si="53"/>
        <v>172.18299999999999</v>
      </c>
      <c r="K159">
        <f t="shared" ca="1" si="54"/>
        <v>2.5589021083269299</v>
      </c>
      <c r="L159">
        <f t="shared" ca="1" si="55"/>
        <v>177.30080421665386</v>
      </c>
      <c r="M159">
        <f t="shared" ca="1" si="56"/>
        <v>167.06519578334613</v>
      </c>
      <c r="N159">
        <f t="shared" ca="1" si="45"/>
        <v>9.9999999999994316E-2</v>
      </c>
      <c r="O159">
        <f t="shared" ca="1" si="46"/>
        <v>9.9999999999994316E-2</v>
      </c>
      <c r="P159">
        <f t="shared" ca="1" si="47"/>
        <v>0</v>
      </c>
      <c r="Q159">
        <f t="shared" ca="1" si="51"/>
        <v>0.69283517246672943</v>
      </c>
      <c r="R159">
        <f t="shared" ca="1" si="52"/>
        <v>0.58828507448416811</v>
      </c>
      <c r="S159">
        <f t="shared" ca="1" si="49"/>
        <v>1.1777201267161759</v>
      </c>
      <c r="T159">
        <f t="shared" ca="1" si="50"/>
        <v>54.080417050288354</v>
      </c>
      <c r="U159">
        <f>70</f>
        <v>70</v>
      </c>
      <c r="V159">
        <f>30</f>
        <v>30</v>
      </c>
      <c r="W159">
        <f t="shared" ca="1" si="48"/>
        <v>172.46784698673648</v>
      </c>
      <c r="X159">
        <f t="shared" ca="1" si="58"/>
        <v>171.32262377300299</v>
      </c>
      <c r="Y159">
        <f t="shared" ca="1" si="57"/>
        <v>1.1682559226061358</v>
      </c>
      <c r="Z159">
        <f t="shared" ca="1" si="38"/>
        <v>1.2978629179445031</v>
      </c>
      <c r="AA159">
        <f t="shared" ca="1" si="39"/>
        <v>-0.12960699533836739</v>
      </c>
      <c r="AB159">
        <f t="shared" ca="1" si="40"/>
        <v>171.47589999999997</v>
      </c>
    </row>
    <row r="160" spans="1:28" x14ac:dyDescent="0.25">
      <c r="A160" s="20">
        <f t="shared" ca="1" si="41"/>
        <v>45523</v>
      </c>
      <c r="B160" vm="468">
        <f ca="1"/>
        <v>45523</v>
      </c>
      <c r="C160" vm="469">
        <f ca="1"/>
        <v>173.82</v>
      </c>
      <c r="D160" vm="470">
        <f ca="1"/>
        <v>3521653</v>
      </c>
      <c r="E160">
        <f t="shared" ca="1" si="42"/>
        <v>612133724.45999992</v>
      </c>
      <c r="F160">
        <f ca="1">SUM($E$2:E160)/SUM($D$2:D160)</f>
        <v>169.88575528384047</v>
      </c>
      <c r="G160">
        <f ca="1">_xlfn.STDEV.P($C$2:C160)</f>
        <v>4.7774316400585102</v>
      </c>
      <c r="H160">
        <f t="shared" ca="1" si="43"/>
        <v>174.66318692389899</v>
      </c>
      <c r="I160">
        <f t="shared" ca="1" si="44"/>
        <v>165.10832364378194</v>
      </c>
      <c r="J160">
        <f t="shared" ca="1" si="53"/>
        <v>172.49100000000001</v>
      </c>
      <c r="K160">
        <f t="shared" ca="1" si="54"/>
        <v>2.3478610646602092</v>
      </c>
      <c r="L160">
        <f t="shared" ca="1" si="55"/>
        <v>177.18672212932043</v>
      </c>
      <c r="M160">
        <f t="shared" ca="1" si="56"/>
        <v>167.7952778706796</v>
      </c>
      <c r="N160">
        <f t="shared" ca="1" si="45"/>
        <v>1.1999999999999886</v>
      </c>
      <c r="O160">
        <f t="shared" ca="1" si="46"/>
        <v>1.1999999999999886</v>
      </c>
      <c r="P160">
        <f t="shared" ca="1" si="47"/>
        <v>0</v>
      </c>
      <c r="Q160">
        <f t="shared" ca="1" si="51"/>
        <v>0.72906123157624791</v>
      </c>
      <c r="R160">
        <f t="shared" ca="1" si="52"/>
        <v>0.54626471202101323</v>
      </c>
      <c r="S160">
        <f t="shared" ca="1" si="49"/>
        <v>1.3346299248929026</v>
      </c>
      <c r="T160">
        <f t="shared" ca="1" si="50"/>
        <v>57.166658863679494</v>
      </c>
      <c r="U160">
        <f>70</f>
        <v>70</v>
      </c>
      <c r="V160">
        <f>30</f>
        <v>30</v>
      </c>
      <c r="W160">
        <f t="shared" ca="1" si="48"/>
        <v>172.67587052723854</v>
      </c>
      <c r="X160">
        <f t="shared" ca="1" si="58"/>
        <v>171.50761460463241</v>
      </c>
      <c r="Y160">
        <f t="shared" ca="1" si="57"/>
        <v>1.3349253563655736</v>
      </c>
      <c r="Z160">
        <f t="shared" ca="1" si="38"/>
        <v>1.3052754056287172</v>
      </c>
      <c r="AA160">
        <f t="shared" ca="1" si="39"/>
        <v>2.964995073685639E-2</v>
      </c>
      <c r="AB160">
        <f t="shared" ca="1" si="40"/>
        <v>171.48680000000002</v>
      </c>
    </row>
    <row r="161" spans="1:28" x14ac:dyDescent="0.25">
      <c r="A161" s="20">
        <f t="shared" ca="1" si="41"/>
        <v>45523</v>
      </c>
      <c r="B161" vm="471">
        <f ca="1"/>
        <v>45524</v>
      </c>
      <c r="C161" vm="472">
        <f ca="1"/>
        <v>175.85</v>
      </c>
      <c r="D161" vm="473">
        <f ca="1"/>
        <v>5330053</v>
      </c>
      <c r="E161">
        <f t="shared" ca="1" si="42"/>
        <v>937289820.04999995</v>
      </c>
      <c r="F161">
        <f ca="1">SUM($E$2:E161)/SUM($D$2:D161)</f>
        <v>169.92201753378632</v>
      </c>
      <c r="G161">
        <f ca="1">_xlfn.STDEV.P($C$2:C161)</f>
        <v>4.7829008877817811</v>
      </c>
      <c r="H161">
        <f t="shared" ca="1" si="43"/>
        <v>174.7049184215681</v>
      </c>
      <c r="I161">
        <f t="shared" ca="1" si="44"/>
        <v>165.13911664600454</v>
      </c>
      <c r="J161">
        <f t="shared" ca="1" si="53"/>
        <v>172.96949999999998</v>
      </c>
      <c r="K161">
        <f t="shared" ca="1" si="54"/>
        <v>1.9582980661251432</v>
      </c>
      <c r="L161">
        <f t="shared" ca="1" si="55"/>
        <v>176.88609613225026</v>
      </c>
      <c r="M161">
        <f t="shared" ca="1" si="56"/>
        <v>169.05290386774971</v>
      </c>
      <c r="N161">
        <f t="shared" ca="1" si="45"/>
        <v>2.0300000000000011</v>
      </c>
      <c r="O161">
        <f t="shared" ca="1" si="46"/>
        <v>2.0300000000000011</v>
      </c>
      <c r="P161">
        <f t="shared" ca="1" si="47"/>
        <v>0</v>
      </c>
      <c r="Q161">
        <f t="shared" ca="1" si="51"/>
        <v>0.82198542932080176</v>
      </c>
      <c r="R161">
        <f t="shared" ca="1" si="52"/>
        <v>0.50724580401951225</v>
      </c>
      <c r="S161">
        <f t="shared" ca="1" si="49"/>
        <v>1.6204873905456345</v>
      </c>
      <c r="T161">
        <f t="shared" ca="1" si="50"/>
        <v>61.839160012451686</v>
      </c>
      <c r="U161">
        <f>70</f>
        <v>70</v>
      </c>
      <c r="V161">
        <f>30</f>
        <v>30</v>
      </c>
      <c r="W161">
        <f t="shared" ca="1" si="48"/>
        <v>173.16419813843262</v>
      </c>
      <c r="X161">
        <f t="shared" ca="1" si="58"/>
        <v>171.82927278206705</v>
      </c>
      <c r="Y161">
        <f t="shared" ca="1" si="57"/>
        <v>1.3992398659335947</v>
      </c>
      <c r="Z161">
        <f t="shared" ca="1" si="38"/>
        <v>1.3240682976896927</v>
      </c>
      <c r="AA161">
        <f t="shared" ca="1" si="39"/>
        <v>7.5171568243902032E-2</v>
      </c>
      <c r="AB161">
        <f t="shared" ca="1" si="40"/>
        <v>171.50959999999998</v>
      </c>
    </row>
    <row r="162" spans="1:28" x14ac:dyDescent="0.25">
      <c r="A162" s="20">
        <f t="shared" ca="1" si="41"/>
        <v>45523</v>
      </c>
      <c r="B162" vm="474">
        <f ca="1"/>
        <v>45525</v>
      </c>
      <c r="C162" vm="475">
        <f ca="1"/>
        <v>175.21</v>
      </c>
      <c r="D162" vm="476">
        <f ca="1"/>
        <v>4020749</v>
      </c>
      <c r="E162">
        <f t="shared" ca="1" si="42"/>
        <v>704475432.29000008</v>
      </c>
      <c r="F162">
        <f ca="1">SUM($E$2:E162)/SUM($D$2:D162)</f>
        <v>169.94615976622356</v>
      </c>
      <c r="G162">
        <f ca="1">_xlfn.STDEV.P($C$2:C162)</f>
        <v>4.783713411978944</v>
      </c>
      <c r="H162">
        <f t="shared" ca="1" si="43"/>
        <v>174.7298731782025</v>
      </c>
      <c r="I162">
        <f t="shared" ca="1" si="44"/>
        <v>165.16244635424462</v>
      </c>
      <c r="J162">
        <f t="shared" ca="1" si="53"/>
        <v>173.32149999999999</v>
      </c>
      <c r="K162">
        <f t="shared" ca="1" si="54"/>
        <v>1.6602196271958456</v>
      </c>
      <c r="L162">
        <f t="shared" ca="1" si="55"/>
        <v>176.64193925439167</v>
      </c>
      <c r="M162">
        <f t="shared" ca="1" si="56"/>
        <v>170.0010607456083</v>
      </c>
      <c r="N162">
        <f t="shared" ca="1" si="45"/>
        <v>-0.63999999999998636</v>
      </c>
      <c r="O162">
        <f t="shared" ca="1" si="46"/>
        <v>0</v>
      </c>
      <c r="P162">
        <f t="shared" ca="1" si="47"/>
        <v>0.63999999999998636</v>
      </c>
      <c r="Q162">
        <f t="shared" ca="1" si="51"/>
        <v>0.76327218436931588</v>
      </c>
      <c r="R162">
        <f t="shared" ca="1" si="52"/>
        <v>0.51672824658954608</v>
      </c>
      <c r="S162">
        <f t="shared" ca="1" si="49"/>
        <v>1.4771249479914876</v>
      </c>
      <c r="T162">
        <f t="shared" ca="1" si="50"/>
        <v>59.630619327021677</v>
      </c>
      <c r="U162">
        <f>70</f>
        <v>70</v>
      </c>
      <c r="V162">
        <f>30</f>
        <v>30</v>
      </c>
      <c r="W162">
        <f t="shared" ca="1" si="48"/>
        <v>173.47893688636606</v>
      </c>
      <c r="X162">
        <f t="shared" ca="1" si="58"/>
        <v>172.07969702043246</v>
      </c>
      <c r="Y162">
        <f t="shared" ca="1" si="57"/>
        <v>1.4759621755275418</v>
      </c>
      <c r="Z162">
        <f t="shared" ca="1" si="38"/>
        <v>1.3544470732572627</v>
      </c>
      <c r="AA162">
        <f t="shared" ca="1" si="39"/>
        <v>0.12151510227027917</v>
      </c>
      <c r="AB162">
        <f t="shared" ca="1" si="40"/>
        <v>171.51159999999996</v>
      </c>
    </row>
    <row r="163" spans="1:28" x14ac:dyDescent="0.25">
      <c r="A163" s="20">
        <f t="shared" ca="1" si="41"/>
        <v>45523</v>
      </c>
      <c r="B163" vm="477">
        <f ca="1"/>
        <v>45526</v>
      </c>
      <c r="C163" vm="478">
        <f ca="1"/>
        <v>175.74</v>
      </c>
      <c r="D163" vm="479">
        <f ca="1"/>
        <v>5265989</v>
      </c>
      <c r="E163">
        <f t="shared" ca="1" si="42"/>
        <v>925444906.86000001</v>
      </c>
      <c r="F163">
        <f ca="1">SUM($E$2:E163)/SUM($D$2:D163)</f>
        <v>169.98059775788752</v>
      </c>
      <c r="G163">
        <f ca="1">_xlfn.STDEV.P($C$2:C163)</f>
        <v>4.7878302070723349</v>
      </c>
      <c r="H163">
        <f t="shared" ca="1" si="43"/>
        <v>174.76842796495987</v>
      </c>
      <c r="I163">
        <f t="shared" ca="1" si="44"/>
        <v>165.19276755081518</v>
      </c>
      <c r="J163">
        <f t="shared" ca="1" si="53"/>
        <v>173.55749999999998</v>
      </c>
      <c r="K163">
        <f t="shared" ca="1" si="54"/>
        <v>1.6512925559279794</v>
      </c>
      <c r="L163">
        <f t="shared" ca="1" si="55"/>
        <v>176.86008511185594</v>
      </c>
      <c r="M163">
        <f t="shared" ca="1" si="56"/>
        <v>170.25491488814401</v>
      </c>
      <c r="N163">
        <f t="shared" ca="1" si="45"/>
        <v>0.53000000000000114</v>
      </c>
      <c r="O163">
        <f t="shared" ca="1" si="46"/>
        <v>0.53000000000000114</v>
      </c>
      <c r="P163">
        <f t="shared" ca="1" si="47"/>
        <v>0</v>
      </c>
      <c r="Q163">
        <f t="shared" ca="1" si="51"/>
        <v>0.74660988548579343</v>
      </c>
      <c r="R163">
        <f t="shared" ca="1" si="52"/>
        <v>0.4798190861188642</v>
      </c>
      <c r="S163">
        <f t="shared" ca="1" si="49"/>
        <v>1.5560237328717639</v>
      </c>
      <c r="T163">
        <f t="shared" ca="1" si="50"/>
        <v>60.876732592914067</v>
      </c>
      <c r="U163">
        <f>70</f>
        <v>70</v>
      </c>
      <c r="V163">
        <f>30</f>
        <v>30</v>
      </c>
      <c r="W163">
        <f t="shared" ca="1" si="48"/>
        <v>173.82679275000206</v>
      </c>
      <c r="X163">
        <f t="shared" ca="1" si="58"/>
        <v>172.35083057447451</v>
      </c>
      <c r="Y163">
        <f t="shared" ca="1" si="57"/>
        <v>1.5296225357447497</v>
      </c>
      <c r="Z163">
        <f t="shared" ca="1" si="38"/>
        <v>1.3894821657547602</v>
      </c>
      <c r="AA163">
        <f t="shared" ca="1" si="39"/>
        <v>0.14014036998998947</v>
      </c>
      <c r="AB163">
        <f t="shared" ca="1" si="40"/>
        <v>171.53920000000002</v>
      </c>
    </row>
    <row r="164" spans="1:28" x14ac:dyDescent="0.25">
      <c r="A164" s="20">
        <f t="shared" ca="1" si="41"/>
        <v>45523</v>
      </c>
      <c r="B164" vm="480">
        <f ca="1"/>
        <v>45527</v>
      </c>
      <c r="C164" vm="481">
        <f ca="1"/>
        <v>175.87</v>
      </c>
      <c r="D164" vm="482">
        <f ca="1"/>
        <v>5283617</v>
      </c>
      <c r="E164">
        <f t="shared" ca="1" si="42"/>
        <v>929229721.79000008</v>
      </c>
      <c r="F164">
        <f ca="1">SUM($E$2:E164)/SUM($D$2:D164)</f>
        <v>170.01551271793784</v>
      </c>
      <c r="G164">
        <f ca="1">_xlfn.STDEV.P($C$2:C164)</f>
        <v>4.7925659621581902</v>
      </c>
      <c r="H164">
        <f t="shared" ca="1" si="43"/>
        <v>174.80807868009603</v>
      </c>
      <c r="I164">
        <f t="shared" ca="1" si="44"/>
        <v>165.22294675577965</v>
      </c>
      <c r="J164">
        <f t="shared" ca="1" si="53"/>
        <v>173.71349999999998</v>
      </c>
      <c r="K164">
        <f t="shared" ca="1" si="54"/>
        <v>1.7170576883911504</v>
      </c>
      <c r="L164">
        <f t="shared" ca="1" si="55"/>
        <v>177.14761537678228</v>
      </c>
      <c r="M164">
        <f t="shared" ca="1" si="56"/>
        <v>170.27938462321768</v>
      </c>
      <c r="N164">
        <f t="shared" ca="1" si="45"/>
        <v>0.12999999999999545</v>
      </c>
      <c r="O164">
        <f t="shared" ca="1" si="46"/>
        <v>0.12999999999999545</v>
      </c>
      <c r="P164">
        <f t="shared" ca="1" si="47"/>
        <v>0</v>
      </c>
      <c r="Q164">
        <f t="shared" ca="1" si="51"/>
        <v>0.70256632223680782</v>
      </c>
      <c r="R164">
        <f t="shared" ca="1" si="52"/>
        <v>0.445546294253231</v>
      </c>
      <c r="S164">
        <f t="shared" ca="1" si="49"/>
        <v>1.576864921330704</v>
      </c>
      <c r="T164">
        <f t="shared" ca="1" si="50"/>
        <v>61.193154063985787</v>
      </c>
      <c r="U164">
        <f>70</f>
        <v>70</v>
      </c>
      <c r="V164">
        <f>30</f>
        <v>30</v>
      </c>
      <c r="W164">
        <f t="shared" ca="1" si="48"/>
        <v>174.14113232692483</v>
      </c>
      <c r="X164">
        <f t="shared" ca="1" si="58"/>
        <v>172.61150979118008</v>
      </c>
      <c r="Y164">
        <f t="shared" ca="1" si="57"/>
        <v>1.5622097406357511</v>
      </c>
      <c r="Z164">
        <f t="shared" ca="1" si="38"/>
        <v>1.4240276807309586</v>
      </c>
      <c r="AA164">
        <f t="shared" ca="1" si="39"/>
        <v>0.13818205990479249</v>
      </c>
      <c r="AB164">
        <f t="shared" ca="1" si="40"/>
        <v>171.58350000000002</v>
      </c>
    </row>
    <row r="165" spans="1:28" x14ac:dyDescent="0.25">
      <c r="A165" s="20">
        <f t="shared" ca="1" si="41"/>
        <v>45530</v>
      </c>
      <c r="B165" vm="483">
        <f ca="1"/>
        <v>45530</v>
      </c>
      <c r="C165" vm="484">
        <f ca="1"/>
        <v>175.97</v>
      </c>
      <c r="D165" vm="485">
        <f ca="1"/>
        <v>4146861</v>
      </c>
      <c r="E165">
        <f t="shared" ca="1" si="42"/>
        <v>729723130.16999996</v>
      </c>
      <c r="F165">
        <f ca="1">SUM($E$2:E165)/SUM($D$2:D165)</f>
        <v>170.04309033833928</v>
      </c>
      <c r="G165">
        <f ca="1">_xlfn.STDEV.P($C$2:C165)</f>
        <v>4.7977041576585417</v>
      </c>
      <c r="H165">
        <f t="shared" ca="1" si="43"/>
        <v>174.84079449599781</v>
      </c>
      <c r="I165">
        <f t="shared" ca="1" si="44"/>
        <v>165.24538618068075</v>
      </c>
      <c r="J165">
        <f t="shared" ca="1" si="53"/>
        <v>173.85149999999996</v>
      </c>
      <c r="K165">
        <f t="shared" ca="1" si="54"/>
        <v>1.7840647704786845</v>
      </c>
      <c r="L165">
        <f t="shared" ca="1" si="55"/>
        <v>177.41962954095732</v>
      </c>
      <c r="M165">
        <f t="shared" ca="1" si="56"/>
        <v>170.2833704590426</v>
      </c>
      <c r="N165">
        <f t="shared" ca="1" si="45"/>
        <v>9.9999999999994316E-2</v>
      </c>
      <c r="O165">
        <f t="shared" ca="1" si="46"/>
        <v>9.9999999999994316E-2</v>
      </c>
      <c r="P165">
        <f t="shared" ca="1" si="47"/>
        <v>0</v>
      </c>
      <c r="Q165">
        <f t="shared" ca="1" si="51"/>
        <v>0.65952587064846402</v>
      </c>
      <c r="R165">
        <f t="shared" ca="1" si="52"/>
        <v>0.4137215589494288</v>
      </c>
      <c r="S165">
        <f t="shared" ca="1" si="49"/>
        <v>1.5941298111783464</v>
      </c>
      <c r="T165">
        <f t="shared" ca="1" si="50"/>
        <v>61.451427924273219</v>
      </c>
      <c r="U165">
        <f>70</f>
        <v>70</v>
      </c>
      <c r="V165">
        <f>30</f>
        <v>30</v>
      </c>
      <c r="W165">
        <f t="shared" ca="1" si="48"/>
        <v>174.42249658432101</v>
      </c>
      <c r="X165">
        <f t="shared" ca="1" si="58"/>
        <v>172.86028684368526</v>
      </c>
      <c r="Y165">
        <f t="shared" ca="1" si="57"/>
        <v>1.5164907730644757</v>
      </c>
      <c r="Z165">
        <f t="shared" ca="1" si="38"/>
        <v>1.4425202991976622</v>
      </c>
      <c r="AA165">
        <f t="shared" ca="1" si="39"/>
        <v>7.3970473866813435E-2</v>
      </c>
      <c r="AB165">
        <f t="shared" ca="1" si="40"/>
        <v>171.64640000000003</v>
      </c>
    </row>
    <row r="166" spans="1:28" x14ac:dyDescent="0.25">
      <c r="A166" s="20">
        <f t="shared" ca="1" si="41"/>
        <v>45530</v>
      </c>
      <c r="B166" vm="486">
        <f ca="1"/>
        <v>45531</v>
      </c>
      <c r="C166" vm="487">
        <f ca="1"/>
        <v>175.3</v>
      </c>
      <c r="D166" vm="488">
        <f ca="1"/>
        <v>3520562</v>
      </c>
      <c r="E166">
        <f t="shared" ca="1" si="42"/>
        <v>617154518.60000002</v>
      </c>
      <c r="F166">
        <f ca="1">SUM($E$2:E166)/SUM($D$2:D166)</f>
        <v>170.06367914550358</v>
      </c>
      <c r="G166">
        <f ca="1">_xlfn.STDEV.P($C$2:C166)</f>
        <v>4.7981481643611774</v>
      </c>
      <c r="H166">
        <f t="shared" ca="1" si="43"/>
        <v>174.86182730986476</v>
      </c>
      <c r="I166">
        <f t="shared" ca="1" si="44"/>
        <v>165.2655309811424</v>
      </c>
      <c r="J166">
        <f t="shared" ca="1" si="53"/>
        <v>173.95750000000001</v>
      </c>
      <c r="K166">
        <f t="shared" ca="1" si="54"/>
        <v>1.8049256436062329</v>
      </c>
      <c r="L166">
        <f t="shared" ca="1" si="55"/>
        <v>177.56735128721249</v>
      </c>
      <c r="M166">
        <f t="shared" ca="1" si="56"/>
        <v>170.34764871278753</v>
      </c>
      <c r="N166">
        <f t="shared" ca="1" si="45"/>
        <v>-0.66999999999998749</v>
      </c>
      <c r="O166">
        <f t="shared" ca="1" si="46"/>
        <v>0</v>
      </c>
      <c r="P166">
        <f t="shared" ca="1" si="47"/>
        <v>0.66999999999998749</v>
      </c>
      <c r="Q166">
        <f t="shared" ca="1" si="51"/>
        <v>0.61241687988785942</v>
      </c>
      <c r="R166">
        <f t="shared" ca="1" si="52"/>
        <v>0.43202716188161155</v>
      </c>
      <c r="S166">
        <f t="shared" ca="1" si="49"/>
        <v>1.4175425388084282</v>
      </c>
      <c r="T166">
        <f t="shared" ca="1" si="50"/>
        <v>58.63568131906024</v>
      </c>
      <c r="U166">
        <f>70</f>
        <v>70</v>
      </c>
      <c r="V166">
        <f>30</f>
        <v>30</v>
      </c>
      <c r="W166">
        <f t="shared" ca="1" si="48"/>
        <v>174.55749710981007</v>
      </c>
      <c r="X166">
        <f t="shared" ca="1" si="58"/>
        <v>173.0410063367456</v>
      </c>
      <c r="Y166">
        <f t="shared" ca="1" si="57"/>
        <v>1.3533036529096307</v>
      </c>
      <c r="Z166">
        <f t="shared" ref="Z166:Z229" ca="1" si="59">Y166*(2/(9+1)) + Z165*(1-(2/(9+1)))</f>
        <v>1.4246769699400561</v>
      </c>
      <c r="AA166">
        <f t="shared" ref="AA166:AA229" ca="1" si="60">Y166-Z166</f>
        <v>-7.1373317030425376E-2</v>
      </c>
      <c r="AB166">
        <f t="shared" ref="AB166:AB229" ca="1" si="61">AVERAGE(C67:C166)</f>
        <v>171.70290000000006</v>
      </c>
    </row>
    <row r="167" spans="1:28" x14ac:dyDescent="0.25">
      <c r="A167" s="20">
        <f t="shared" ca="1" si="41"/>
        <v>45530</v>
      </c>
      <c r="B167" vm="489">
        <f ca="1"/>
        <v>45532</v>
      </c>
      <c r="C167" vm="490">
        <f ca="1"/>
        <v>173.92</v>
      </c>
      <c r="D167" vm="491">
        <f ca="1"/>
        <v>3915499</v>
      </c>
      <c r="E167">
        <f t="shared" ca="1" si="42"/>
        <v>680983586.07999992</v>
      </c>
      <c r="F167">
        <f ca="1">SUM($E$2:E167)/SUM($D$2:D167)</f>
        <v>170.08040396069509</v>
      </c>
      <c r="G167">
        <f ca="1">_xlfn.STDEV.P($C$2:C167)</f>
        <v>4.7912285159871262</v>
      </c>
      <c r="H167">
        <f t="shared" ca="1" si="43"/>
        <v>174.87163247668221</v>
      </c>
      <c r="I167">
        <f t="shared" ca="1" si="44"/>
        <v>165.28917544470798</v>
      </c>
      <c r="J167">
        <f t="shared" ca="1" si="53"/>
        <v>174.02</v>
      </c>
      <c r="K167">
        <f t="shared" ca="1" si="54"/>
        <v>1.7794588177899846</v>
      </c>
      <c r="L167">
        <f t="shared" ca="1" si="55"/>
        <v>177.57891763557998</v>
      </c>
      <c r="M167">
        <f t="shared" ca="1" si="56"/>
        <v>170.46108236442004</v>
      </c>
      <c r="N167">
        <f t="shared" ca="1" si="45"/>
        <v>-1.3800000000000239</v>
      </c>
      <c r="O167">
        <f t="shared" ca="1" si="46"/>
        <v>0</v>
      </c>
      <c r="P167">
        <f t="shared" ca="1" si="47"/>
        <v>1.3800000000000239</v>
      </c>
      <c r="Q167">
        <f t="shared" ca="1" si="51"/>
        <v>0.56867281703872663</v>
      </c>
      <c r="R167">
        <f t="shared" ca="1" si="52"/>
        <v>0.49973950746149814</v>
      </c>
      <c r="S167">
        <f t="shared" ca="1" si="49"/>
        <v>1.1379384830456682</v>
      </c>
      <c r="T167">
        <f t="shared" ca="1" si="50"/>
        <v>53.225969412580191</v>
      </c>
      <c r="U167">
        <f>70</f>
        <v>70</v>
      </c>
      <c r="V167">
        <f>30</f>
        <v>30</v>
      </c>
      <c r="W167">
        <f t="shared" ca="1" si="48"/>
        <v>174.45942063137775</v>
      </c>
      <c r="X167">
        <f t="shared" ca="1" si="58"/>
        <v>173.10611697846812</v>
      </c>
      <c r="Y167">
        <f t="shared" ca="1" si="57"/>
        <v>1.0640453262594178</v>
      </c>
      <c r="Z167">
        <f t="shared" ca="1" si="59"/>
        <v>1.3525506412039285</v>
      </c>
      <c r="AA167">
        <f t="shared" ca="1" si="60"/>
        <v>-0.2885053149445107</v>
      </c>
      <c r="AB167">
        <f t="shared" ca="1" si="61"/>
        <v>171.75069999999999</v>
      </c>
    </row>
    <row r="168" spans="1:28" x14ac:dyDescent="0.25">
      <c r="A168" s="20">
        <f t="shared" ca="1" si="41"/>
        <v>45530</v>
      </c>
      <c r="B168" vm="492">
        <f ca="1"/>
        <v>45533</v>
      </c>
      <c r="C168" vm="493">
        <f ca="1"/>
        <v>172.09</v>
      </c>
      <c r="D168" vm="494">
        <f ca="1"/>
        <v>4654540</v>
      </c>
      <c r="E168">
        <f t="shared" ca="1" si="42"/>
        <v>800999788.60000002</v>
      </c>
      <c r="F168">
        <f ca="1">SUM($E$2:E168)/SUM($D$2:D168)</f>
        <v>170.09071145949082</v>
      </c>
      <c r="G168">
        <f ca="1">_xlfn.STDEV.P($C$2:C168)</f>
        <v>4.7785062524905859</v>
      </c>
      <c r="H168">
        <f t="shared" ca="1" si="43"/>
        <v>174.86921771198141</v>
      </c>
      <c r="I168">
        <f t="shared" ca="1" si="44"/>
        <v>165.31220520700023</v>
      </c>
      <c r="J168">
        <f t="shared" ca="1" si="53"/>
        <v>173.87650000000002</v>
      </c>
      <c r="K168">
        <f t="shared" ca="1" si="54"/>
        <v>1.8150316076702653</v>
      </c>
      <c r="L168">
        <f t="shared" ca="1" si="55"/>
        <v>177.50656321534055</v>
      </c>
      <c r="M168">
        <f t="shared" ca="1" si="56"/>
        <v>170.24643678465949</v>
      </c>
      <c r="N168">
        <f t="shared" ca="1" si="45"/>
        <v>-1.8299999999999841</v>
      </c>
      <c r="O168">
        <f t="shared" ca="1" si="46"/>
        <v>0</v>
      </c>
      <c r="P168">
        <f t="shared" ca="1" si="47"/>
        <v>1.8299999999999841</v>
      </c>
      <c r="Q168">
        <f t="shared" ca="1" si="51"/>
        <v>0.52805333010738897</v>
      </c>
      <c r="R168">
        <f t="shared" ca="1" si="52"/>
        <v>0.59475811407139001</v>
      </c>
      <c r="S168">
        <f t="shared" ca="1" si="49"/>
        <v>0.88784552512049575</v>
      </c>
      <c r="T168">
        <f t="shared" ca="1" si="50"/>
        <v>47.029564299961841</v>
      </c>
      <c r="U168">
        <f>70</f>
        <v>70</v>
      </c>
      <c r="V168">
        <f>30</f>
        <v>30</v>
      </c>
      <c r="W168">
        <f t="shared" ca="1" si="48"/>
        <v>174.09489438039657</v>
      </c>
      <c r="X168">
        <f t="shared" ca="1" si="58"/>
        <v>173.03084905413715</v>
      </c>
      <c r="Y168">
        <f t="shared" ca="1" si="57"/>
        <v>0.88831250251627125</v>
      </c>
      <c r="Z168">
        <f t="shared" ca="1" si="59"/>
        <v>1.2597030134663973</v>
      </c>
      <c r="AA168">
        <f t="shared" ca="1" si="60"/>
        <v>-0.3713905109501261</v>
      </c>
      <c r="AB168">
        <f t="shared" ca="1" si="61"/>
        <v>171.77579999999998</v>
      </c>
    </row>
    <row r="169" spans="1:28" x14ac:dyDescent="0.25">
      <c r="A169" s="20">
        <f t="shared" ca="1" si="41"/>
        <v>45530</v>
      </c>
      <c r="B169" vm="495">
        <f ca="1"/>
        <v>45534</v>
      </c>
      <c r="C169" vm="496">
        <f ca="1"/>
        <v>172.88</v>
      </c>
      <c r="D169" vm="497">
        <f ca="1"/>
        <v>8677312</v>
      </c>
      <c r="E169">
        <f t="shared" ca="1" si="42"/>
        <v>1500133698.5599999</v>
      </c>
      <c r="F169">
        <f ca="1">SUM($E$2:E169)/SUM($D$2:D169)</f>
        <v>170.11713027731065</v>
      </c>
      <c r="G169">
        <f ca="1">_xlfn.STDEV.P($C$2:C169)</f>
        <v>4.767853557679528</v>
      </c>
      <c r="H169">
        <f t="shared" ca="1" si="43"/>
        <v>174.88498383499018</v>
      </c>
      <c r="I169">
        <f t="shared" ca="1" si="44"/>
        <v>165.34927671963112</v>
      </c>
      <c r="J169">
        <f t="shared" ca="1" si="53"/>
        <v>173.61850000000001</v>
      </c>
      <c r="K169">
        <f t="shared" ca="1" si="54"/>
        <v>1.5375896208368698</v>
      </c>
      <c r="L169">
        <f t="shared" ca="1" si="55"/>
        <v>176.69367924167375</v>
      </c>
      <c r="M169">
        <f t="shared" ca="1" si="56"/>
        <v>170.54332075832627</v>
      </c>
      <c r="N169">
        <f t="shared" ca="1" si="45"/>
        <v>0.78999999999999204</v>
      </c>
      <c r="O169">
        <f t="shared" ca="1" si="46"/>
        <v>0.78999999999999204</v>
      </c>
      <c r="P169">
        <f t="shared" ca="1" si="47"/>
        <v>0</v>
      </c>
      <c r="Q169">
        <f t="shared" ca="1" si="51"/>
        <v>0.54676380652828915</v>
      </c>
      <c r="R169">
        <f t="shared" ca="1" si="52"/>
        <v>0.55227539163771933</v>
      </c>
      <c r="S169">
        <f t="shared" ca="1" si="49"/>
        <v>0.99002022325657835</v>
      </c>
      <c r="T169">
        <f t="shared" ca="1" si="50"/>
        <v>49.7492543888049</v>
      </c>
      <c r="U169">
        <f>70</f>
        <v>70</v>
      </c>
      <c r="V169">
        <f>30</f>
        <v>30</v>
      </c>
      <c r="W169">
        <f t="shared" ca="1" si="48"/>
        <v>173.90798755264325</v>
      </c>
      <c r="X169">
        <f t="shared" ca="1" si="58"/>
        <v>173.01967505012698</v>
      </c>
      <c r="Y169">
        <f t="shared" ca="1" si="57"/>
        <v>1.1122447630876877</v>
      </c>
      <c r="Z169">
        <f t="shared" ca="1" si="59"/>
        <v>1.2302113633906555</v>
      </c>
      <c r="AA169">
        <f t="shared" ca="1" si="60"/>
        <v>-0.11796660030296779</v>
      </c>
      <c r="AB169">
        <f t="shared" ca="1" si="61"/>
        <v>171.79850000000002</v>
      </c>
    </row>
    <row r="170" spans="1:28" x14ac:dyDescent="0.25">
      <c r="A170" s="20">
        <f t="shared" ca="1" si="41"/>
        <v>45537</v>
      </c>
      <c r="B170" vm="498">
        <f ca="1"/>
        <v>45538</v>
      </c>
      <c r="C170" vm="499">
        <f ca="1"/>
        <v>177.54</v>
      </c>
      <c r="D170" vm="500">
        <f ca="1"/>
        <v>7032051</v>
      </c>
      <c r="E170">
        <f t="shared" ca="1" si="42"/>
        <v>1248470334.54</v>
      </c>
      <c r="F170">
        <f ca="1">SUM($E$2:E170)/SUM($D$2:D170)</f>
        <v>170.17367183883761</v>
      </c>
      <c r="G170">
        <f ca="1">_xlfn.STDEV.P($C$2:C170)</f>
        <v>4.784383749206242</v>
      </c>
      <c r="H170">
        <f t="shared" ca="1" si="43"/>
        <v>174.95805558804386</v>
      </c>
      <c r="I170">
        <f t="shared" ca="1" si="44"/>
        <v>165.38928808963135</v>
      </c>
      <c r="J170">
        <f t="shared" ca="1" si="53"/>
        <v>173.79349999999997</v>
      </c>
      <c r="K170">
        <f t="shared" ca="1" si="54"/>
        <v>1.7697376403833074</v>
      </c>
      <c r="L170">
        <f t="shared" ca="1" si="55"/>
        <v>177.33297528076659</v>
      </c>
      <c r="M170">
        <f t="shared" ca="1" si="56"/>
        <v>170.25402471923334</v>
      </c>
      <c r="N170">
        <f t="shared" ca="1" si="45"/>
        <v>4.6599999999999966</v>
      </c>
      <c r="O170">
        <f t="shared" ca="1" si="46"/>
        <v>4.6599999999999966</v>
      </c>
      <c r="P170">
        <f t="shared" ca="1" si="47"/>
        <v>0</v>
      </c>
      <c r="Q170">
        <f t="shared" ca="1" si="51"/>
        <v>0.84056639177626824</v>
      </c>
      <c r="R170">
        <f t="shared" ca="1" si="52"/>
        <v>0.51282714937788221</v>
      </c>
      <c r="S170">
        <f t="shared" ca="1" si="49"/>
        <v>1.639083252117153</v>
      </c>
      <c r="T170">
        <f t="shared" ca="1" si="50"/>
        <v>62.108054029831401</v>
      </c>
      <c r="U170">
        <f>70</f>
        <v>70</v>
      </c>
      <c r="V170">
        <f>30</f>
        <v>30</v>
      </c>
      <c r="W170">
        <f t="shared" ca="1" si="48"/>
        <v>174.46675869839044</v>
      </c>
      <c r="X170">
        <f t="shared" ca="1" si="58"/>
        <v>173.35451393530275</v>
      </c>
      <c r="Y170">
        <f t="shared" ca="1" si="57"/>
        <v>1.3531917505657418</v>
      </c>
      <c r="Z170">
        <f t="shared" ca="1" si="59"/>
        <v>1.2548074408256729</v>
      </c>
      <c r="AA170">
        <f t="shared" ca="1" si="60"/>
        <v>9.8384309740068954E-2</v>
      </c>
      <c r="AB170">
        <f t="shared" ca="1" si="61"/>
        <v>171.88440000000006</v>
      </c>
    </row>
    <row r="171" spans="1:28" x14ac:dyDescent="0.25">
      <c r="A171" s="20">
        <f t="shared" ca="1" si="41"/>
        <v>45537</v>
      </c>
      <c r="B171" vm="501">
        <f ca="1"/>
        <v>45539</v>
      </c>
      <c r="C171" vm="502">
        <f ca="1"/>
        <v>178.52</v>
      </c>
      <c r="D171" vm="503">
        <f ca="1"/>
        <v>6188454</v>
      </c>
      <c r="E171">
        <f t="shared" ca="1" si="42"/>
        <v>1104762808.0800002</v>
      </c>
      <c r="F171">
        <f ca="1">SUM($E$2:E171)/SUM($D$2:D171)</f>
        <v>170.22924818995847</v>
      </c>
      <c r="G171">
        <f ca="1">_xlfn.STDEV.P($C$2:C171)</f>
        <v>4.8092515373476754</v>
      </c>
      <c r="H171">
        <f t="shared" ca="1" si="43"/>
        <v>175.03849972730615</v>
      </c>
      <c r="I171">
        <f t="shared" ca="1" si="44"/>
        <v>165.41999665261079</v>
      </c>
      <c r="J171">
        <f t="shared" ca="1" si="53"/>
        <v>174.095</v>
      </c>
      <c r="K171">
        <f t="shared" ca="1" si="54"/>
        <v>2.0304277485557747</v>
      </c>
      <c r="L171">
        <f t="shared" ca="1" si="55"/>
        <v>178.15585549711156</v>
      </c>
      <c r="M171">
        <f t="shared" ca="1" si="56"/>
        <v>170.03414450288844</v>
      </c>
      <c r="N171">
        <f t="shared" ca="1" si="45"/>
        <v>0.98000000000001819</v>
      </c>
      <c r="O171">
        <f t="shared" ca="1" si="46"/>
        <v>0.98000000000001819</v>
      </c>
      <c r="P171">
        <f t="shared" ca="1" si="47"/>
        <v>0</v>
      </c>
      <c r="Q171">
        <f t="shared" ca="1" si="51"/>
        <v>0.85052593522082176</v>
      </c>
      <c r="R171">
        <f t="shared" ca="1" si="52"/>
        <v>0.47619663870803347</v>
      </c>
      <c r="S171">
        <f t="shared" ca="1" si="49"/>
        <v>1.7860813497726047</v>
      </c>
      <c r="T171">
        <f t="shared" ca="1" si="50"/>
        <v>64.107293561919207</v>
      </c>
      <c r="U171">
        <f>70</f>
        <v>70</v>
      </c>
      <c r="V171">
        <f>30</f>
        <v>30</v>
      </c>
      <c r="W171">
        <f t="shared" ca="1" si="48"/>
        <v>175.09033428325347</v>
      </c>
      <c r="X171">
        <f t="shared" ca="1" si="58"/>
        <v>173.73714253268773</v>
      </c>
      <c r="Y171">
        <f t="shared" ca="1" si="57"/>
        <v>1.5887691139680271</v>
      </c>
      <c r="Z171">
        <f t="shared" ca="1" si="59"/>
        <v>1.3215997754541438</v>
      </c>
      <c r="AA171">
        <f t="shared" ca="1" si="60"/>
        <v>0.26716933851388336</v>
      </c>
      <c r="AB171">
        <f t="shared" ca="1" si="61"/>
        <v>171.98600000000002</v>
      </c>
    </row>
    <row r="172" spans="1:28" x14ac:dyDescent="0.25">
      <c r="A172" s="20">
        <f t="shared" ca="1" si="41"/>
        <v>45537</v>
      </c>
      <c r="B172" vm="504">
        <f ca="1"/>
        <v>45540</v>
      </c>
      <c r="C172" vm="505">
        <f ca="1"/>
        <v>179.3</v>
      </c>
      <c r="D172" vm="506">
        <f ca="1"/>
        <v>5743141</v>
      </c>
      <c r="E172">
        <f t="shared" ca="1" si="42"/>
        <v>1029745181.3000001</v>
      </c>
      <c r="F172">
        <f ca="1">SUM($E$2:E172)/SUM($D$2:D172)</f>
        <v>170.28495774015605</v>
      </c>
      <c r="G172">
        <f ca="1">_xlfn.STDEV.P($C$2:C172)</f>
        <v>4.8410648690177061</v>
      </c>
      <c r="H172">
        <f t="shared" ca="1" si="43"/>
        <v>175.12602260917376</v>
      </c>
      <c r="I172">
        <f t="shared" ca="1" si="44"/>
        <v>165.44389287113833</v>
      </c>
      <c r="J172">
        <f t="shared" ca="1" si="53"/>
        <v>174.47050000000002</v>
      </c>
      <c r="K172">
        <f t="shared" ca="1" si="54"/>
        <v>2.262847472590793</v>
      </c>
      <c r="L172">
        <f t="shared" ca="1" si="55"/>
        <v>178.9961949451816</v>
      </c>
      <c r="M172">
        <f t="shared" ca="1" si="56"/>
        <v>169.94480505481843</v>
      </c>
      <c r="N172">
        <f t="shared" ca="1" si="45"/>
        <v>0.78000000000000114</v>
      </c>
      <c r="O172">
        <f t="shared" ca="1" si="46"/>
        <v>0.78000000000000114</v>
      </c>
      <c r="P172">
        <f t="shared" ca="1" si="47"/>
        <v>0</v>
      </c>
      <c r="Q172">
        <f t="shared" ca="1" si="51"/>
        <v>0.84548836841933461</v>
      </c>
      <c r="R172">
        <f t="shared" ca="1" si="52"/>
        <v>0.44218259308603108</v>
      </c>
      <c r="S172">
        <f t="shared" ca="1" si="49"/>
        <v>1.9120797191915611</v>
      </c>
      <c r="T172">
        <f t="shared" ca="1" si="50"/>
        <v>65.660280746791642</v>
      </c>
      <c r="U172">
        <f>70</f>
        <v>70</v>
      </c>
      <c r="V172">
        <f>30</f>
        <v>30</v>
      </c>
      <c r="W172">
        <f t="shared" ca="1" si="48"/>
        <v>175.73797516275295</v>
      </c>
      <c r="X172">
        <f t="shared" ca="1" si="58"/>
        <v>174.14920604878492</v>
      </c>
      <c r="Y172">
        <f t="shared" ca="1" si="57"/>
        <v>1.5988793660470719</v>
      </c>
      <c r="Z172">
        <f t="shared" ca="1" si="59"/>
        <v>1.3770556935727296</v>
      </c>
      <c r="AA172">
        <f t="shared" ca="1" si="60"/>
        <v>0.22182367247434231</v>
      </c>
      <c r="AB172">
        <f t="shared" ca="1" si="61"/>
        <v>172.09800000000004</v>
      </c>
    </row>
    <row r="173" spans="1:28" x14ac:dyDescent="0.25">
      <c r="A173" s="20">
        <f t="shared" ca="1" si="41"/>
        <v>45537</v>
      </c>
      <c r="B173" vm="507">
        <f ca="1"/>
        <v>45541</v>
      </c>
      <c r="C173" vm="508">
        <f ca="1"/>
        <v>177.34</v>
      </c>
      <c r="D173" vm="509">
        <f ca="1"/>
        <v>6395276</v>
      </c>
      <c r="E173">
        <f t="shared" ca="1" si="42"/>
        <v>1134138245.8399999</v>
      </c>
      <c r="F173">
        <f ca="1">SUM($E$2:E173)/SUM($D$2:D173)</f>
        <v>170.33287982973559</v>
      </c>
      <c r="G173">
        <f ca="1">_xlfn.STDEV.P($C$2:C173)</f>
        <v>4.8538616051291479</v>
      </c>
      <c r="H173">
        <f t="shared" ca="1" si="43"/>
        <v>175.18674143486473</v>
      </c>
      <c r="I173">
        <f t="shared" ca="1" si="44"/>
        <v>165.47901822460645</v>
      </c>
      <c r="J173">
        <f t="shared" ca="1" si="53"/>
        <v>174.71900000000002</v>
      </c>
      <c r="K173">
        <f t="shared" ca="1" si="54"/>
        <v>2.2927342903868744</v>
      </c>
      <c r="L173">
        <f t="shared" ca="1" si="55"/>
        <v>179.30446858077377</v>
      </c>
      <c r="M173">
        <f t="shared" ca="1" si="56"/>
        <v>170.13353141922627</v>
      </c>
      <c r="N173">
        <f t="shared" ca="1" si="45"/>
        <v>-1.960000000000008</v>
      </c>
      <c r="O173">
        <f t="shared" ca="1" si="46"/>
        <v>0</v>
      </c>
      <c r="P173">
        <f t="shared" ca="1" si="47"/>
        <v>1.960000000000008</v>
      </c>
      <c r="Q173">
        <f t="shared" ca="1" si="51"/>
        <v>0.78509634210366797</v>
      </c>
      <c r="R173">
        <f t="shared" ca="1" si="52"/>
        <v>0.55059812215131509</v>
      </c>
      <c r="S173">
        <f t="shared" ca="1" si="49"/>
        <v>1.4258972388719993</v>
      </c>
      <c r="T173">
        <f t="shared" ca="1" si="50"/>
        <v>58.778138497532453</v>
      </c>
      <c r="U173">
        <f>70</f>
        <v>70</v>
      </c>
      <c r="V173">
        <f>30</f>
        <v>30</v>
      </c>
      <c r="W173">
        <f t="shared" ca="1" si="48"/>
        <v>175.98444052232941</v>
      </c>
      <c r="X173">
        <f t="shared" ca="1" si="58"/>
        <v>174.38556115628234</v>
      </c>
      <c r="Y173">
        <f t="shared" ca="1" si="57"/>
        <v>1.656385924045793</v>
      </c>
      <c r="Z173">
        <f t="shared" ca="1" si="59"/>
        <v>1.4329217396673424</v>
      </c>
      <c r="AA173">
        <f t="shared" ca="1" si="60"/>
        <v>0.22346418437845061</v>
      </c>
      <c r="AB173">
        <f t="shared" ca="1" si="61"/>
        <v>172.20190000000002</v>
      </c>
    </row>
    <row r="174" spans="1:28" x14ac:dyDescent="0.25">
      <c r="A174" s="20">
        <f t="shared" ca="1" si="41"/>
        <v>45544</v>
      </c>
      <c r="B174" vm="510">
        <f ca="1"/>
        <v>45544</v>
      </c>
      <c r="C174" vm="511">
        <f ca="1"/>
        <v>178.19</v>
      </c>
      <c r="D174" vm="512">
        <f ca="1"/>
        <v>4666169</v>
      </c>
      <c r="E174">
        <f t="shared" ca="1" si="42"/>
        <v>831464654.11000001</v>
      </c>
      <c r="F174">
        <f ca="1">SUM($E$2:E174)/SUM($D$2:D174)</f>
        <v>170.37162821575527</v>
      </c>
      <c r="G174">
        <f ca="1">_xlfn.STDEV.P($C$2:C174)</f>
        <v>4.8732889266981996</v>
      </c>
      <c r="H174">
        <f t="shared" ca="1" si="43"/>
        <v>175.24491714245346</v>
      </c>
      <c r="I174">
        <f t="shared" ca="1" si="44"/>
        <v>165.49833928905707</v>
      </c>
      <c r="J174">
        <f t="shared" ca="1" si="53"/>
        <v>175.00900000000004</v>
      </c>
      <c r="K174">
        <f t="shared" ca="1" si="54"/>
        <v>2.3487687704076179</v>
      </c>
      <c r="L174">
        <f t="shared" ca="1" si="55"/>
        <v>179.70653754081528</v>
      </c>
      <c r="M174">
        <f t="shared" ca="1" si="56"/>
        <v>170.31146245918481</v>
      </c>
      <c r="N174">
        <f t="shared" ca="1" si="45"/>
        <v>0.84999999999999432</v>
      </c>
      <c r="O174">
        <f t="shared" ca="1" si="46"/>
        <v>0.84999999999999432</v>
      </c>
      <c r="P174">
        <f t="shared" ca="1" si="47"/>
        <v>0</v>
      </c>
      <c r="Q174">
        <f t="shared" ca="1" si="51"/>
        <v>0.78973231766769125</v>
      </c>
      <c r="R174">
        <f t="shared" ca="1" si="52"/>
        <v>0.51126968485479263</v>
      </c>
      <c r="S174">
        <f t="shared" ca="1" si="49"/>
        <v>1.5446492155934997</v>
      </c>
      <c r="T174">
        <f t="shared" ca="1" si="50"/>
        <v>60.701852582586099</v>
      </c>
      <c r="U174">
        <f>70</f>
        <v>70</v>
      </c>
      <c r="V174">
        <f>30</f>
        <v>30</v>
      </c>
      <c r="W174">
        <f t="shared" ca="1" si="48"/>
        <v>176.32375736504795</v>
      </c>
      <c r="X174">
        <f t="shared" ca="1" si="58"/>
        <v>174.66737144100216</v>
      </c>
      <c r="Y174">
        <f t="shared" ca="1" si="57"/>
        <v>1.6522513364488418</v>
      </c>
      <c r="Z174">
        <f t="shared" ca="1" si="59"/>
        <v>1.4767876590236424</v>
      </c>
      <c r="AA174">
        <f t="shared" ca="1" si="60"/>
        <v>0.17546367742519942</v>
      </c>
      <c r="AB174">
        <f t="shared" ca="1" si="61"/>
        <v>172.30880000000002</v>
      </c>
    </row>
    <row r="175" spans="1:28" x14ac:dyDescent="0.25">
      <c r="A175" s="20">
        <f t="shared" ca="1" si="41"/>
        <v>45544</v>
      </c>
      <c r="B175" vm="513">
        <f ca="1"/>
        <v>45545</v>
      </c>
      <c r="C175" vm="514">
        <f ca="1"/>
        <v>177.81</v>
      </c>
      <c r="D175" vm="515">
        <f ca="1"/>
        <v>4315764</v>
      </c>
      <c r="E175">
        <f t="shared" ca="1" si="42"/>
        <v>767385996.84000003</v>
      </c>
      <c r="F175">
        <f ca="1">SUM($E$2:E175)/SUM($D$2:D175)</f>
        <v>170.40540271274165</v>
      </c>
      <c r="G175">
        <f ca="1">_xlfn.STDEV.P($C$2:C175)</f>
        <v>4.8888012621787693</v>
      </c>
      <c r="H175">
        <f t="shared" ca="1" si="43"/>
        <v>175.29420397492041</v>
      </c>
      <c r="I175">
        <f t="shared" ca="1" si="44"/>
        <v>165.51660145056289</v>
      </c>
      <c r="J175">
        <f t="shared" ca="1" si="53"/>
        <v>175.32850000000002</v>
      </c>
      <c r="K175">
        <f t="shared" ca="1" si="54"/>
        <v>2.2680928111521368</v>
      </c>
      <c r="L175">
        <f t="shared" ca="1" si="55"/>
        <v>179.86468562230431</v>
      </c>
      <c r="M175">
        <f t="shared" ca="1" si="56"/>
        <v>170.79231437769573</v>
      </c>
      <c r="N175">
        <f t="shared" ca="1" si="45"/>
        <v>-0.37999999999999545</v>
      </c>
      <c r="O175">
        <f t="shared" ca="1" si="46"/>
        <v>0</v>
      </c>
      <c r="P175">
        <f t="shared" ca="1" si="47"/>
        <v>0.37999999999999545</v>
      </c>
      <c r="Q175">
        <f t="shared" ca="1" si="51"/>
        <v>0.73332286640571331</v>
      </c>
      <c r="R175">
        <f t="shared" ca="1" si="52"/>
        <v>0.50189327879373569</v>
      </c>
      <c r="S175">
        <f t="shared" ca="1" si="49"/>
        <v>1.4611131437508029</v>
      </c>
      <c r="T175">
        <f t="shared" ca="1" si="50"/>
        <v>59.367979382046087</v>
      </c>
      <c r="U175">
        <f>70</f>
        <v>70</v>
      </c>
      <c r="V175">
        <f>30</f>
        <v>30</v>
      </c>
      <c r="W175">
        <f t="shared" ca="1" si="48"/>
        <v>176.5524100781175</v>
      </c>
      <c r="X175">
        <f t="shared" ca="1" si="58"/>
        <v>174.90015874166866</v>
      </c>
      <c r="Y175">
        <f t="shared" ca="1" si="57"/>
        <v>1.4682455901954086</v>
      </c>
      <c r="Z175">
        <f t="shared" ca="1" si="59"/>
        <v>1.4750792452579957</v>
      </c>
      <c r="AA175">
        <f t="shared" ca="1" si="60"/>
        <v>-6.8336550625871517E-3</v>
      </c>
      <c r="AB175">
        <f t="shared" ca="1" si="61"/>
        <v>172.39210000000003</v>
      </c>
    </row>
    <row r="176" spans="1:28" x14ac:dyDescent="0.25">
      <c r="A176" s="20">
        <f t="shared" ca="1" si="41"/>
        <v>45544</v>
      </c>
      <c r="B176" vm="516">
        <f ca="1"/>
        <v>45546</v>
      </c>
      <c r="C176" vm="517">
        <f ca="1"/>
        <v>175.78</v>
      </c>
      <c r="D176" vm="518">
        <f ca="1"/>
        <v>4035975</v>
      </c>
      <c r="E176">
        <f t="shared" ca="1" si="42"/>
        <v>709443685.5</v>
      </c>
      <c r="F176">
        <f ca="1">SUM($E$2:E176)/SUM($D$2:D176)</f>
        <v>170.42812790224613</v>
      </c>
      <c r="G176">
        <f ca="1">_xlfn.STDEV.P($C$2:C176)</f>
        <v>4.8895214453033784</v>
      </c>
      <c r="H176">
        <f t="shared" ca="1" si="43"/>
        <v>175.31764934754952</v>
      </c>
      <c r="I176">
        <f t="shared" ca="1" si="44"/>
        <v>165.53860645694274</v>
      </c>
      <c r="J176">
        <f t="shared" ca="1" si="53"/>
        <v>175.49900000000005</v>
      </c>
      <c r="K176">
        <f t="shared" ca="1" si="54"/>
        <v>2.1595611152561349</v>
      </c>
      <c r="L176">
        <f t="shared" ca="1" si="55"/>
        <v>179.81812223051233</v>
      </c>
      <c r="M176">
        <f t="shared" ca="1" si="56"/>
        <v>171.17987776948777</v>
      </c>
      <c r="N176">
        <f t="shared" ca="1" si="45"/>
        <v>-2.0300000000000011</v>
      </c>
      <c r="O176">
        <f t="shared" ca="1" si="46"/>
        <v>0</v>
      </c>
      <c r="P176">
        <f t="shared" ca="1" si="47"/>
        <v>2.0300000000000011</v>
      </c>
      <c r="Q176">
        <f t="shared" ca="1" si="51"/>
        <v>0.6809426616624481</v>
      </c>
      <c r="R176">
        <f t="shared" ca="1" si="52"/>
        <v>0.61104375887989748</v>
      </c>
      <c r="S176">
        <f t="shared" ca="1" si="49"/>
        <v>1.1143926302605269</v>
      </c>
      <c r="T176">
        <f t="shared" ca="1" si="50"/>
        <v>52.705094328824629</v>
      </c>
      <c r="U176">
        <f>70</f>
        <v>70</v>
      </c>
      <c r="V176">
        <f>30</f>
        <v>30</v>
      </c>
      <c r="W176">
        <f t="shared" ca="1" si="48"/>
        <v>176.43357775840713</v>
      </c>
      <c r="X176">
        <f t="shared" ca="1" si="58"/>
        <v>174.96533216821172</v>
      </c>
      <c r="Y176">
        <f t="shared" ca="1" si="57"/>
        <v>1.4246143577724126</v>
      </c>
      <c r="Z176">
        <f t="shared" ca="1" si="59"/>
        <v>1.4649862677608791</v>
      </c>
      <c r="AA176">
        <f t="shared" ca="1" si="60"/>
        <v>-4.0371909988466514E-2</v>
      </c>
      <c r="AB176">
        <f t="shared" ca="1" si="61"/>
        <v>172.4272</v>
      </c>
    </row>
    <row r="177" spans="1:28" x14ac:dyDescent="0.25">
      <c r="A177" s="20">
        <f t="shared" ca="1" si="41"/>
        <v>45544</v>
      </c>
      <c r="B177" vm="519">
        <f ca="1"/>
        <v>45547</v>
      </c>
      <c r="C177" vm="520">
        <f ca="1"/>
        <v>177.25</v>
      </c>
      <c r="D177" vm="521">
        <f ca="1"/>
        <v>4224894</v>
      </c>
      <c r="E177">
        <f t="shared" ca="1" si="42"/>
        <v>748862461.5</v>
      </c>
      <c r="F177">
        <f ca="1">SUM($E$2:E177)/SUM($D$2:D177)</f>
        <v>170.45818966783548</v>
      </c>
      <c r="G177">
        <f ca="1">_xlfn.STDEV.P($C$2:C177)</f>
        <v>4.8997956703370527</v>
      </c>
      <c r="H177">
        <f t="shared" ca="1" si="43"/>
        <v>175.35798533817254</v>
      </c>
      <c r="I177">
        <f t="shared" ca="1" si="44"/>
        <v>165.55839399749843</v>
      </c>
      <c r="J177">
        <f t="shared" ca="1" si="53"/>
        <v>175.67600000000002</v>
      </c>
      <c r="K177">
        <f t="shared" ca="1" si="54"/>
        <v>2.1502665685420213</v>
      </c>
      <c r="L177">
        <f t="shared" ca="1" si="55"/>
        <v>179.97653313708406</v>
      </c>
      <c r="M177">
        <f t="shared" ca="1" si="56"/>
        <v>171.37546686291597</v>
      </c>
      <c r="N177">
        <f t="shared" ca="1" si="45"/>
        <v>1.4699999999999989</v>
      </c>
      <c r="O177">
        <f t="shared" ca="1" si="46"/>
        <v>1.4699999999999989</v>
      </c>
      <c r="P177">
        <f t="shared" ca="1" si="47"/>
        <v>0</v>
      </c>
      <c r="Q177">
        <f t="shared" ca="1" si="51"/>
        <v>0.73730390011513036</v>
      </c>
      <c r="R177">
        <f t="shared" ca="1" si="52"/>
        <v>0.56739777610276199</v>
      </c>
      <c r="S177">
        <f t="shared" ca="1" si="49"/>
        <v>1.2994479907541909</v>
      </c>
      <c r="T177">
        <f t="shared" ca="1" si="50"/>
        <v>56.511301668014148</v>
      </c>
      <c r="U177">
        <f>70</f>
        <v>70</v>
      </c>
      <c r="V177">
        <f>30</f>
        <v>30</v>
      </c>
      <c r="W177">
        <f t="shared" ca="1" si="48"/>
        <v>176.55918118019065</v>
      </c>
      <c r="X177">
        <f t="shared" ca="1" si="58"/>
        <v>175.13456682241824</v>
      </c>
      <c r="Y177">
        <f t="shared" ca="1" si="57"/>
        <v>1.3829703510845945</v>
      </c>
      <c r="Z177">
        <f t="shared" ca="1" si="59"/>
        <v>1.4485830844256222</v>
      </c>
      <c r="AA177">
        <f t="shared" ca="1" si="60"/>
        <v>-6.5612733341027685E-2</v>
      </c>
      <c r="AB177">
        <f t="shared" ca="1" si="61"/>
        <v>172.45840000000001</v>
      </c>
    </row>
    <row r="178" spans="1:28" x14ac:dyDescent="0.25">
      <c r="A178" s="20">
        <f t="shared" ca="1" si="41"/>
        <v>45544</v>
      </c>
      <c r="B178" vm="522">
        <f ca="1"/>
        <v>45548</v>
      </c>
      <c r="C178" vm="523">
        <f ca="1"/>
        <v>177.36</v>
      </c>
      <c r="D178" vm="524">
        <f ca="1"/>
        <v>3290404</v>
      </c>
      <c r="E178">
        <f t="shared" ca="1" si="42"/>
        <v>583586053.44000006</v>
      </c>
      <c r="F178">
        <f ca="1">SUM($E$2:E178)/SUM($D$2:D178)</f>
        <v>170.48179550474197</v>
      </c>
      <c r="G178">
        <f ca="1">_xlfn.STDEV.P($C$2:C178)</f>
        <v>4.9104786021468207</v>
      </c>
      <c r="H178">
        <f t="shared" ca="1" si="43"/>
        <v>175.39227410688878</v>
      </c>
      <c r="I178">
        <f t="shared" ca="1" si="44"/>
        <v>165.57131690259516</v>
      </c>
      <c r="J178">
        <f t="shared" ca="1" si="53"/>
        <v>175.91800000000003</v>
      </c>
      <c r="K178">
        <f t="shared" ca="1" si="54"/>
        <v>2.0462227074346191</v>
      </c>
      <c r="L178">
        <f t="shared" ca="1" si="55"/>
        <v>180.01044541486928</v>
      </c>
      <c r="M178">
        <f t="shared" ca="1" si="56"/>
        <v>171.82555458513079</v>
      </c>
      <c r="N178">
        <f t="shared" ca="1" si="45"/>
        <v>0.11000000000001364</v>
      </c>
      <c r="O178">
        <f t="shared" ca="1" si="46"/>
        <v>0.11000000000001364</v>
      </c>
      <c r="P178">
        <f t="shared" ca="1" si="47"/>
        <v>0</v>
      </c>
      <c r="Q178">
        <f t="shared" ca="1" si="51"/>
        <v>0.6924964786783363</v>
      </c>
      <c r="R178">
        <f t="shared" ca="1" si="52"/>
        <v>0.52686936352399327</v>
      </c>
      <c r="S178">
        <f t="shared" ca="1" si="49"/>
        <v>1.3143608769478214</v>
      </c>
      <c r="T178">
        <f t="shared" ca="1" si="50"/>
        <v>56.791526768340482</v>
      </c>
      <c r="U178">
        <f>70</f>
        <v>70</v>
      </c>
      <c r="V178">
        <f>30</f>
        <v>30</v>
      </c>
      <c r="W178">
        <f t="shared" ca="1" si="48"/>
        <v>176.68238407554594</v>
      </c>
      <c r="X178">
        <f t="shared" ca="1" si="58"/>
        <v>175.29941372446135</v>
      </c>
      <c r="Y178">
        <f t="shared" ca="1" si="57"/>
        <v>1.3226171224706889</v>
      </c>
      <c r="Z178">
        <f t="shared" ca="1" si="59"/>
        <v>1.4233898920346357</v>
      </c>
      <c r="AA178">
        <f t="shared" ca="1" si="60"/>
        <v>-0.10077276956394687</v>
      </c>
      <c r="AB178">
        <f t="shared" ca="1" si="61"/>
        <v>172.46740000000003</v>
      </c>
    </row>
    <row r="179" spans="1:28" x14ac:dyDescent="0.25">
      <c r="A179" s="20">
        <f t="shared" ca="1" si="41"/>
        <v>45551</v>
      </c>
      <c r="B179" vm="525">
        <f ca="1"/>
        <v>45551</v>
      </c>
      <c r="C179" vm="526">
        <f ca="1"/>
        <v>177.21</v>
      </c>
      <c r="D179" vm="527">
        <f ca="1"/>
        <v>4940100</v>
      </c>
      <c r="E179">
        <f t="shared" ca="1" si="42"/>
        <v>875435121</v>
      </c>
      <c r="F179">
        <f ca="1">SUM($E$2:E179)/SUM($D$2:D179)</f>
        <v>170.51616852326455</v>
      </c>
      <c r="G179">
        <f ca="1">_xlfn.STDEV.P($C$2:C179)</f>
        <v>4.9196506079091664</v>
      </c>
      <c r="H179">
        <f t="shared" ca="1" si="43"/>
        <v>175.43581913117373</v>
      </c>
      <c r="I179">
        <f t="shared" ca="1" si="44"/>
        <v>165.59651791535538</v>
      </c>
      <c r="J179">
        <f t="shared" ca="1" si="53"/>
        <v>176.14750000000004</v>
      </c>
      <c r="K179">
        <f t="shared" ca="1" si="54"/>
        <v>1.909706163675176</v>
      </c>
      <c r="L179">
        <f t="shared" ca="1" si="55"/>
        <v>179.9669123273504</v>
      </c>
      <c r="M179">
        <f t="shared" ca="1" si="56"/>
        <v>172.32808767264967</v>
      </c>
      <c r="N179">
        <f t="shared" ca="1" si="45"/>
        <v>-0.15000000000000568</v>
      </c>
      <c r="O179">
        <f t="shared" ca="1" si="46"/>
        <v>0</v>
      </c>
      <c r="P179">
        <f t="shared" ca="1" si="47"/>
        <v>0.15000000000000568</v>
      </c>
      <c r="Q179">
        <f t="shared" ca="1" si="51"/>
        <v>0.64303244448702657</v>
      </c>
      <c r="R179">
        <f t="shared" ca="1" si="52"/>
        <v>0.49995012327227989</v>
      </c>
      <c r="S179">
        <f t="shared" ca="1" si="49"/>
        <v>1.2861931911892379</v>
      </c>
      <c r="T179">
        <f t="shared" ca="1" si="50"/>
        <v>56.259164629922743</v>
      </c>
      <c r="U179">
        <f>70</f>
        <v>70</v>
      </c>
      <c r="V179">
        <f>30</f>
        <v>30</v>
      </c>
      <c r="W179">
        <f t="shared" ca="1" si="48"/>
        <v>176.7635557562312</v>
      </c>
      <c r="X179">
        <f t="shared" ca="1" si="58"/>
        <v>175.44093863376051</v>
      </c>
      <c r="Y179">
        <f t="shared" ca="1" si="57"/>
        <v>1.2331367624743734</v>
      </c>
      <c r="Z179">
        <f t="shared" ca="1" si="59"/>
        <v>1.3853392661225834</v>
      </c>
      <c r="AA179">
        <f t="shared" ca="1" si="60"/>
        <v>-0.15220250364820997</v>
      </c>
      <c r="AB179">
        <f t="shared" ca="1" si="61"/>
        <v>172.52730000000003</v>
      </c>
    </row>
    <row r="180" spans="1:28" x14ac:dyDescent="0.25">
      <c r="A180" s="20">
        <f t="shared" ca="1" si="41"/>
        <v>45551</v>
      </c>
      <c r="B180" vm="528">
        <f ca="1"/>
        <v>45552</v>
      </c>
      <c r="C180" vm="529">
        <f ca="1"/>
        <v>176.87</v>
      </c>
      <c r="D180" vm="530">
        <f ca="1"/>
        <v>6305100</v>
      </c>
      <c r="E180">
        <f t="shared" ca="1" si="42"/>
        <v>1115183037</v>
      </c>
      <c r="F180">
        <f ca="1">SUM($E$2:E180)/SUM($D$2:D180)</f>
        <v>170.55732970502552</v>
      </c>
      <c r="G180">
        <f ca="1">_xlfn.STDEV.P($C$2:C180)</f>
        <v>4.9260916678947284</v>
      </c>
      <c r="H180">
        <f t="shared" ca="1" si="43"/>
        <v>175.48342137292025</v>
      </c>
      <c r="I180">
        <f t="shared" ca="1" si="44"/>
        <v>165.6312380371308</v>
      </c>
      <c r="J180">
        <f t="shared" ca="1" si="53"/>
        <v>176.3</v>
      </c>
      <c r="K180">
        <f t="shared" ca="1" si="54"/>
        <v>1.8343534641881196</v>
      </c>
      <c r="L180">
        <f t="shared" ca="1" si="55"/>
        <v>179.96870692837626</v>
      </c>
      <c r="M180">
        <f t="shared" ca="1" si="56"/>
        <v>172.63129307162376</v>
      </c>
      <c r="N180">
        <f t="shared" ca="1" si="45"/>
        <v>-0.34000000000000341</v>
      </c>
      <c r="O180">
        <f t="shared" ca="1" si="46"/>
        <v>0</v>
      </c>
      <c r="P180">
        <f t="shared" ca="1" si="47"/>
        <v>0.34000000000000341</v>
      </c>
      <c r="Q180">
        <f t="shared" ca="1" si="51"/>
        <v>0.59710155559509615</v>
      </c>
      <c r="R180">
        <f t="shared" ca="1" si="52"/>
        <v>0.48852511446711727</v>
      </c>
      <c r="S180">
        <f t="shared" ca="1" si="49"/>
        <v>1.2222535503551624</v>
      </c>
      <c r="T180">
        <f t="shared" ca="1" si="50"/>
        <v>55.00063438574869</v>
      </c>
      <c r="U180">
        <f>70</f>
        <v>70</v>
      </c>
      <c r="V180">
        <f>30</f>
        <v>30</v>
      </c>
      <c r="W180">
        <f t="shared" ca="1" si="48"/>
        <v>176.77993179373411</v>
      </c>
      <c r="X180">
        <f t="shared" ca="1" si="58"/>
        <v>175.54679503125973</v>
      </c>
      <c r="Y180">
        <f t="shared" ca="1" si="57"/>
        <v>1.0165565743009211</v>
      </c>
      <c r="Z180">
        <f t="shared" ca="1" si="59"/>
        <v>1.311582727758251</v>
      </c>
      <c r="AA180">
        <f t="shared" ca="1" si="60"/>
        <v>-0.29502615345732996</v>
      </c>
      <c r="AB180">
        <f t="shared" ca="1" si="61"/>
        <v>172.52190000000002</v>
      </c>
    </row>
    <row r="181" spans="1:28" x14ac:dyDescent="0.25">
      <c r="A181" s="20">
        <f t="shared" ca="1" si="41"/>
        <v>45551</v>
      </c>
      <c r="B181" vm="531">
        <f ca="1"/>
        <v>45553</v>
      </c>
      <c r="C181" vm="475">
        <f ca="1"/>
        <v>175.21</v>
      </c>
      <c r="D181" vm="532">
        <f ca="1"/>
        <v>5307852</v>
      </c>
      <c r="E181">
        <f t="shared" ca="1" si="42"/>
        <v>929988748.92000008</v>
      </c>
      <c r="F181">
        <f ca="1">SUM($E$2:E181)/SUM($D$2:D181)</f>
        <v>170.58256563055158</v>
      </c>
      <c r="G181">
        <f ca="1">_xlfn.STDEV.P($C$2:C181)</f>
        <v>4.9227083591764993</v>
      </c>
      <c r="H181">
        <f t="shared" ca="1" si="43"/>
        <v>175.5052739897281</v>
      </c>
      <c r="I181">
        <f t="shared" ca="1" si="44"/>
        <v>165.65985727137507</v>
      </c>
      <c r="J181">
        <f t="shared" ca="1" si="53"/>
        <v>176.268</v>
      </c>
      <c r="K181">
        <f t="shared" ca="1" si="54"/>
        <v>1.8481472941983381</v>
      </c>
      <c r="L181">
        <f t="shared" ca="1" si="55"/>
        <v>179.96429458839668</v>
      </c>
      <c r="M181">
        <f t="shared" ca="1" si="56"/>
        <v>172.57170541160332</v>
      </c>
      <c r="N181">
        <f t="shared" ca="1" si="45"/>
        <v>-1.6599999999999966</v>
      </c>
      <c r="O181">
        <f t="shared" ca="1" si="46"/>
        <v>0</v>
      </c>
      <c r="P181">
        <f t="shared" ca="1" si="47"/>
        <v>1.6599999999999966</v>
      </c>
      <c r="Q181">
        <f t="shared" ca="1" si="51"/>
        <v>0.55445144448116068</v>
      </c>
      <c r="R181">
        <f t="shared" ca="1" si="52"/>
        <v>0.57220189200518001</v>
      </c>
      <c r="S181">
        <f t="shared" ca="1" si="49"/>
        <v>0.96897869830206951</v>
      </c>
      <c r="T181">
        <f t="shared" ca="1" si="50"/>
        <v>49.21224892568209</v>
      </c>
      <c r="U181">
        <f>70</f>
        <v>70</v>
      </c>
      <c r="V181">
        <f>30</f>
        <v>30</v>
      </c>
      <c r="W181">
        <f t="shared" ca="1" si="48"/>
        <v>176.53840382546733</v>
      </c>
      <c r="X181">
        <f t="shared" ca="1" si="58"/>
        <v>175.52184725116641</v>
      </c>
      <c r="Y181">
        <f t="shared" ca="1" si="57"/>
        <v>0.79141190750632973</v>
      </c>
      <c r="Z181">
        <f t="shared" ca="1" si="59"/>
        <v>1.2075485637078669</v>
      </c>
      <c r="AA181">
        <f t="shared" ca="1" si="60"/>
        <v>-0.41613665620153717</v>
      </c>
      <c r="AB181">
        <f t="shared" ca="1" si="61"/>
        <v>172.50720000000004</v>
      </c>
    </row>
    <row r="182" spans="1:28" x14ac:dyDescent="0.25">
      <c r="A182" s="20">
        <f t="shared" ca="1" si="41"/>
        <v>45551</v>
      </c>
      <c r="B182" vm="533">
        <f ca="1"/>
        <v>45554</v>
      </c>
      <c r="C182" vm="534">
        <f ca="1"/>
        <v>174.66</v>
      </c>
      <c r="D182" vm="535">
        <f ca="1"/>
        <v>5504038</v>
      </c>
      <c r="E182">
        <f t="shared" ca="1" si="42"/>
        <v>961335277.07999992</v>
      </c>
      <c r="F182">
        <f ca="1">SUM($E$2:E182)/SUM($D$2:D182)</f>
        <v>170.60537066518077</v>
      </c>
      <c r="G182">
        <f ca="1">_xlfn.STDEV.P($C$2:C182)</f>
        <v>4.9167968024908468</v>
      </c>
      <c r="H182">
        <f t="shared" ca="1" si="43"/>
        <v>175.52216746767161</v>
      </c>
      <c r="I182">
        <f t="shared" ca="1" si="44"/>
        <v>165.68857386268994</v>
      </c>
      <c r="J182">
        <f t="shared" ca="1" si="53"/>
        <v>176.2405</v>
      </c>
      <c r="K182">
        <f t="shared" ca="1" si="54"/>
        <v>1.8686963511045842</v>
      </c>
      <c r="L182">
        <f t="shared" ca="1" si="55"/>
        <v>179.97789270220918</v>
      </c>
      <c r="M182">
        <f t="shared" ca="1" si="56"/>
        <v>172.50310729779082</v>
      </c>
      <c r="N182">
        <f t="shared" ca="1" si="45"/>
        <v>-0.55000000000001137</v>
      </c>
      <c r="O182">
        <f t="shared" ca="1" si="46"/>
        <v>0</v>
      </c>
      <c r="P182">
        <f t="shared" ca="1" si="47"/>
        <v>0.55000000000001137</v>
      </c>
      <c r="Q182">
        <f t="shared" ca="1" si="51"/>
        <v>0.51484776987536351</v>
      </c>
      <c r="R182">
        <f t="shared" ca="1" si="52"/>
        <v>0.57061604257623944</v>
      </c>
      <c r="S182">
        <f t="shared" ca="1" si="49"/>
        <v>0.90226655309393133</v>
      </c>
      <c r="T182">
        <f t="shared" ca="1" si="50"/>
        <v>47.431131648004047</v>
      </c>
      <c r="U182">
        <f>70</f>
        <v>70</v>
      </c>
      <c r="V182">
        <f>30</f>
        <v>30</v>
      </c>
      <c r="W182">
        <f t="shared" ca="1" si="48"/>
        <v>176.2494186215493</v>
      </c>
      <c r="X182">
        <f t="shared" ca="1" si="58"/>
        <v>175.45800671404297</v>
      </c>
      <c r="Y182">
        <f t="shared" ca="1" si="57"/>
        <v>0.32839073657029871</v>
      </c>
      <c r="Z182">
        <f t="shared" ca="1" si="59"/>
        <v>1.0317169982803533</v>
      </c>
      <c r="AA182">
        <f t="shared" ca="1" si="60"/>
        <v>-0.70332626171005463</v>
      </c>
      <c r="AB182">
        <f t="shared" ca="1" si="61"/>
        <v>172.49800000000002</v>
      </c>
    </row>
    <row r="183" spans="1:28" x14ac:dyDescent="0.25">
      <c r="A183" s="20">
        <f t="shared" ca="1" si="41"/>
        <v>45551</v>
      </c>
      <c r="B183" vm="536">
        <f ca="1"/>
        <v>45555</v>
      </c>
      <c r="C183" vm="537">
        <f ca="1"/>
        <v>171.18</v>
      </c>
      <c r="D183" vm="538">
        <f ca="1"/>
        <v>12198430</v>
      </c>
      <c r="E183">
        <f t="shared" ca="1" si="42"/>
        <v>2088127247.4000001</v>
      </c>
      <c r="F183">
        <f ca="1">SUM($E$2:E183)/SUM($D$2:D183)</f>
        <v>170.61240630877316</v>
      </c>
      <c r="G183">
        <f ca="1">_xlfn.STDEV.P($C$2:C183)</f>
        <v>4.9032955017582927</v>
      </c>
      <c r="H183">
        <f t="shared" ca="1" si="43"/>
        <v>175.51570181053145</v>
      </c>
      <c r="I183">
        <f t="shared" ca="1" si="44"/>
        <v>165.70911080701487</v>
      </c>
      <c r="J183">
        <f t="shared" ca="1" si="53"/>
        <v>176.01249999999999</v>
      </c>
      <c r="K183">
        <f t="shared" ca="1" si="54"/>
        <v>2.184478439497993</v>
      </c>
      <c r="L183">
        <f t="shared" ca="1" si="55"/>
        <v>180.38145687899598</v>
      </c>
      <c r="M183">
        <f t="shared" ca="1" si="56"/>
        <v>171.643543121004</v>
      </c>
      <c r="N183">
        <f t="shared" ca="1" si="45"/>
        <v>-3.4799999999999898</v>
      </c>
      <c r="O183">
        <f t="shared" ca="1" si="46"/>
        <v>0</v>
      </c>
      <c r="P183">
        <f t="shared" ca="1" si="47"/>
        <v>3.4799999999999898</v>
      </c>
      <c r="Q183">
        <f t="shared" ca="1" si="51"/>
        <v>0.4780729291699804</v>
      </c>
      <c r="R183">
        <f t="shared" ca="1" si="52"/>
        <v>0.77842918239222159</v>
      </c>
      <c r="S183">
        <f t="shared" ca="1" si="49"/>
        <v>0.61415083090897948</v>
      </c>
      <c r="T183">
        <f t="shared" ca="1" si="50"/>
        <v>38.047920872619542</v>
      </c>
      <c r="U183">
        <f>70</f>
        <v>70</v>
      </c>
      <c r="V183">
        <f>30</f>
        <v>30</v>
      </c>
      <c r="W183">
        <f t="shared" ca="1" si="48"/>
        <v>175.46950806438787</v>
      </c>
      <c r="X183">
        <f t="shared" ca="1" si="58"/>
        <v>175.14111732781757</v>
      </c>
      <c r="Y183">
        <f t="shared" ca="1" si="57"/>
        <v>3.6070551517070726E-2</v>
      </c>
      <c r="Z183">
        <f t="shared" ca="1" si="59"/>
        <v>0.83258770892769685</v>
      </c>
      <c r="AA183">
        <f t="shared" ca="1" si="60"/>
        <v>-0.79651715741062612</v>
      </c>
      <c r="AB183">
        <f t="shared" ca="1" si="61"/>
        <v>172.44840000000005</v>
      </c>
    </row>
    <row r="184" spans="1:28" x14ac:dyDescent="0.25">
      <c r="A184" s="20">
        <f t="shared" ca="1" si="41"/>
        <v>45558</v>
      </c>
      <c r="B184" vm="539">
        <f ca="1"/>
        <v>45558</v>
      </c>
      <c r="C184" vm="540">
        <f ca="1"/>
        <v>172.11</v>
      </c>
      <c r="D184" vm="541">
        <f ca="1"/>
        <v>5350483</v>
      </c>
      <c r="E184">
        <f t="shared" ca="1" si="42"/>
        <v>920871629.13000011</v>
      </c>
      <c r="F184">
        <f ca="1">SUM($E$2:E184)/SUM($D$2:D184)</f>
        <v>170.62040599593772</v>
      </c>
      <c r="G184">
        <f ca="1">_xlfn.STDEV.P($C$2:C184)</f>
        <v>4.8906030687008339</v>
      </c>
      <c r="H184">
        <f t="shared" ca="1" si="43"/>
        <v>175.51100906463856</v>
      </c>
      <c r="I184">
        <f t="shared" ca="1" si="44"/>
        <v>165.72980292723688</v>
      </c>
      <c r="J184">
        <f t="shared" ca="1" si="53"/>
        <v>175.8245</v>
      </c>
      <c r="K184">
        <f t="shared" ca="1" si="54"/>
        <v>2.3527061126778208</v>
      </c>
      <c r="L184">
        <f t="shared" ca="1" si="55"/>
        <v>180.52991222535564</v>
      </c>
      <c r="M184">
        <f t="shared" ca="1" si="56"/>
        <v>171.11908777464436</v>
      </c>
      <c r="N184">
        <f t="shared" ca="1" si="45"/>
        <v>0.93000000000000682</v>
      </c>
      <c r="O184">
        <f t="shared" ca="1" si="46"/>
        <v>0.93000000000000682</v>
      </c>
      <c r="P184">
        <f t="shared" ca="1" si="47"/>
        <v>0</v>
      </c>
      <c r="Q184">
        <f t="shared" ca="1" si="51"/>
        <v>0.51035343422926804</v>
      </c>
      <c r="R184">
        <f t="shared" ca="1" si="52"/>
        <v>0.72282709793563438</v>
      </c>
      <c r="S184">
        <f t="shared" ca="1" si="49"/>
        <v>0.70605188389701667</v>
      </c>
      <c r="T184">
        <f t="shared" ca="1" si="50"/>
        <v>41.385135502692393</v>
      </c>
      <c r="U184">
        <f>70</f>
        <v>70</v>
      </c>
      <c r="V184">
        <f>30</f>
        <v>30</v>
      </c>
      <c r="W184">
        <f t="shared" ca="1" si="48"/>
        <v>174.95266066986667</v>
      </c>
      <c r="X184">
        <f t="shared" ca="1" si="58"/>
        <v>174.9165901183496</v>
      </c>
      <c r="Y184">
        <f t="shared" ca="1" si="57"/>
        <v>-0.36806714961034004</v>
      </c>
      <c r="Z184">
        <f t="shared" ca="1" si="59"/>
        <v>0.59245673722008951</v>
      </c>
      <c r="AA184">
        <f t="shared" ca="1" si="60"/>
        <v>-0.96052388683042955</v>
      </c>
      <c r="AB184">
        <f t="shared" ca="1" si="61"/>
        <v>172.41040000000004</v>
      </c>
    </row>
    <row r="185" spans="1:28" x14ac:dyDescent="0.25">
      <c r="A185" s="20">
        <f t="shared" ca="1" si="41"/>
        <v>45558</v>
      </c>
      <c r="B185" vm="542">
        <f ca="1"/>
        <v>45559</v>
      </c>
      <c r="C185" vm="543">
        <f ca="1"/>
        <v>169.92</v>
      </c>
      <c r="D185" vm="544">
        <f ca="1"/>
        <v>7837853</v>
      </c>
      <c r="E185">
        <f t="shared" ca="1" si="42"/>
        <v>1331807981.76</v>
      </c>
      <c r="F185">
        <f ca="1">SUM($E$2:E185)/SUM($D$2:D185)</f>
        <v>170.61496788748013</v>
      </c>
      <c r="G185">
        <f ca="1">_xlfn.STDEV.P($C$2:C185)</f>
        <v>4.8779127295269342</v>
      </c>
      <c r="H185">
        <f t="shared" ca="1" si="43"/>
        <v>175.49288061700707</v>
      </c>
      <c r="I185">
        <f t="shared" ca="1" si="44"/>
        <v>165.73705515795319</v>
      </c>
      <c r="J185">
        <f t="shared" ca="1" si="53"/>
        <v>175.52199999999999</v>
      </c>
      <c r="K185">
        <f t="shared" ca="1" si="54"/>
        <v>2.6967926368773334</v>
      </c>
      <c r="L185">
        <f t="shared" ca="1" si="55"/>
        <v>180.91558527375466</v>
      </c>
      <c r="M185">
        <f t="shared" ca="1" si="56"/>
        <v>170.12841472624532</v>
      </c>
      <c r="N185">
        <f t="shared" ca="1" si="45"/>
        <v>-2.1900000000000261</v>
      </c>
      <c r="O185">
        <f t="shared" ca="1" si="46"/>
        <v>0</v>
      </c>
      <c r="P185">
        <f t="shared" ca="1" si="47"/>
        <v>2.1900000000000261</v>
      </c>
      <c r="Q185">
        <f t="shared" ca="1" si="51"/>
        <v>0.47389961749860604</v>
      </c>
      <c r="R185">
        <f t="shared" ca="1" si="52"/>
        <v>0.82762516236880523</v>
      </c>
      <c r="S185">
        <f t="shared" ca="1" si="49"/>
        <v>0.57260175142841718</v>
      </c>
      <c r="T185">
        <f t="shared" ca="1" si="50"/>
        <v>36.411109863531223</v>
      </c>
      <c r="U185">
        <f>70</f>
        <v>70</v>
      </c>
      <c r="V185">
        <f>30</f>
        <v>30</v>
      </c>
      <c r="W185">
        <f t="shared" ca="1" si="48"/>
        <v>174.17840518219487</v>
      </c>
      <c r="X185">
        <f t="shared" ca="1" si="58"/>
        <v>174.54647233180521</v>
      </c>
      <c r="Y185">
        <f t="shared" ca="1" si="57"/>
        <v>-0.72198623568323228</v>
      </c>
      <c r="Z185">
        <f t="shared" ca="1" si="59"/>
        <v>0.32956814263942513</v>
      </c>
      <c r="AA185">
        <f t="shared" ca="1" si="60"/>
        <v>-1.0515543783226575</v>
      </c>
      <c r="AB185">
        <f t="shared" ca="1" si="61"/>
        <v>172.35810000000004</v>
      </c>
    </row>
    <row r="186" spans="1:28" x14ac:dyDescent="0.25">
      <c r="A186" s="20">
        <f t="shared" ca="1" si="41"/>
        <v>45558</v>
      </c>
      <c r="B186" vm="545">
        <f ca="1"/>
        <v>45560</v>
      </c>
      <c r="C186" vm="546">
        <f ca="1"/>
        <v>169.4</v>
      </c>
      <c r="D186" vm="547">
        <f ca="1"/>
        <v>4505130</v>
      </c>
      <c r="E186">
        <f t="shared" ca="1" si="42"/>
        <v>763169022</v>
      </c>
      <c r="F186">
        <f ca="1">SUM($E$2:E186)/SUM($D$2:D186)</f>
        <v>170.60956980940662</v>
      </c>
      <c r="G186">
        <f ca="1">_xlfn.STDEV.P($C$2:C186)</f>
        <v>4.866072968312718</v>
      </c>
      <c r="H186">
        <f t="shared" ca="1" si="43"/>
        <v>175.47564277771934</v>
      </c>
      <c r="I186">
        <f t="shared" ca="1" si="44"/>
        <v>165.7434968410939</v>
      </c>
      <c r="J186">
        <f t="shared" ca="1" si="53"/>
        <v>175.227</v>
      </c>
      <c r="K186">
        <f t="shared" ca="1" si="54"/>
        <v>3.025072595910109</v>
      </c>
      <c r="L186">
        <f t="shared" ca="1" si="55"/>
        <v>181.27714519182021</v>
      </c>
      <c r="M186">
        <f t="shared" ca="1" si="56"/>
        <v>169.1768548081798</v>
      </c>
      <c r="N186">
        <f t="shared" ca="1" si="45"/>
        <v>-0.51999999999998181</v>
      </c>
      <c r="O186">
        <f t="shared" ca="1" si="46"/>
        <v>0</v>
      </c>
      <c r="P186">
        <f t="shared" ca="1" si="47"/>
        <v>0.51999999999998181</v>
      </c>
      <c r="Q186">
        <f t="shared" ca="1" si="51"/>
        <v>0.4400496448201342</v>
      </c>
      <c r="R186">
        <f t="shared" ca="1" si="52"/>
        <v>0.80565193648531785</v>
      </c>
      <c r="S186">
        <f t="shared" ca="1" si="49"/>
        <v>0.54620317396599916</v>
      </c>
      <c r="T186">
        <f t="shared" ca="1" si="50"/>
        <v>35.325446433083712</v>
      </c>
      <c r="U186">
        <f>70</f>
        <v>70</v>
      </c>
      <c r="V186">
        <f>30</f>
        <v>30</v>
      </c>
      <c r="W186">
        <f t="shared" ca="1" si="48"/>
        <v>173.44326592339567</v>
      </c>
      <c r="X186">
        <f t="shared" ca="1" si="58"/>
        <v>174.1652521590789</v>
      </c>
      <c r="Y186">
        <f t="shared" ca="1" si="57"/>
        <v>-0.96791160242770502</v>
      </c>
      <c r="Z186">
        <f t="shared" ca="1" si="59"/>
        <v>7.0072193625999091E-2</v>
      </c>
      <c r="AA186">
        <f t="shared" ca="1" si="60"/>
        <v>-1.0379837960537042</v>
      </c>
      <c r="AB186">
        <f t="shared" ca="1" si="61"/>
        <v>172.29760000000005</v>
      </c>
    </row>
    <row r="187" spans="1:28" x14ac:dyDescent="0.25">
      <c r="A187" s="20">
        <f t="shared" ca="1" si="41"/>
        <v>45558</v>
      </c>
      <c r="B187" vm="548">
        <f ca="1"/>
        <v>45561</v>
      </c>
      <c r="C187" vm="549">
        <f ca="1"/>
        <v>169.69</v>
      </c>
      <c r="D187" vm="550">
        <f ca="1"/>
        <v>5673635</v>
      </c>
      <c r="E187">
        <f t="shared" ca="1" si="42"/>
        <v>962759123.14999998</v>
      </c>
      <c r="F187">
        <f ca="1">SUM($E$2:E187)/SUM($D$2:D187)</f>
        <v>170.60445311040993</v>
      </c>
      <c r="G187">
        <f ca="1">_xlfn.STDEV.P($C$2:C187)</f>
        <v>4.8538650022604486</v>
      </c>
      <c r="H187">
        <f t="shared" ca="1" si="43"/>
        <v>175.45831811267038</v>
      </c>
      <c r="I187">
        <f t="shared" ca="1" si="44"/>
        <v>165.75058810814949</v>
      </c>
      <c r="J187">
        <f t="shared" ca="1" si="53"/>
        <v>175.0155</v>
      </c>
      <c r="K187">
        <f t="shared" ca="1" si="54"/>
        <v>3.2600104536480785</v>
      </c>
      <c r="L187">
        <f t="shared" ca="1" si="55"/>
        <v>181.53552090729616</v>
      </c>
      <c r="M187">
        <f t="shared" ca="1" si="56"/>
        <v>168.49547909270385</v>
      </c>
      <c r="N187">
        <f t="shared" ca="1" si="45"/>
        <v>0.28999999999999204</v>
      </c>
      <c r="O187">
        <f t="shared" ca="1" si="46"/>
        <v>0.28999999999999204</v>
      </c>
      <c r="P187">
        <f t="shared" ca="1" si="47"/>
        <v>0</v>
      </c>
      <c r="Q187">
        <f t="shared" ca="1" si="51"/>
        <v>0.42933181304726686</v>
      </c>
      <c r="R187">
        <f t="shared" ca="1" si="52"/>
        <v>0.74810536959350948</v>
      </c>
      <c r="S187">
        <f t="shared" ca="1" si="49"/>
        <v>0.57389216880043059</v>
      </c>
      <c r="T187">
        <f t="shared" ca="1" si="50"/>
        <v>36.463245715100832</v>
      </c>
      <c r="U187">
        <f>70</f>
        <v>70</v>
      </c>
      <c r="V187">
        <f>30</f>
        <v>30</v>
      </c>
      <c r="W187">
        <f t="shared" ca="1" si="48"/>
        <v>172.86584039671942</v>
      </c>
      <c r="X187">
        <f t="shared" ca="1" si="58"/>
        <v>173.83375199914713</v>
      </c>
      <c r="Y187">
        <f t="shared" ca="1" si="57"/>
        <v>-1.1248284954334622</v>
      </c>
      <c r="Z187">
        <f t="shared" ca="1" si="59"/>
        <v>-0.16890794418589317</v>
      </c>
      <c r="AA187">
        <f t="shared" ca="1" si="60"/>
        <v>-0.95592055124756903</v>
      </c>
      <c r="AB187">
        <f t="shared" ca="1" si="61"/>
        <v>172.23300000000003</v>
      </c>
    </row>
    <row r="188" spans="1:28" x14ac:dyDescent="0.25">
      <c r="A188" s="20">
        <f t="shared" ca="1" si="41"/>
        <v>45558</v>
      </c>
      <c r="B188" vm="551">
        <f ca="1"/>
        <v>45562</v>
      </c>
      <c r="C188" vm="552">
        <f ca="1"/>
        <v>170</v>
      </c>
      <c r="D188" vm="553">
        <f ca="1"/>
        <v>7545935</v>
      </c>
      <c r="E188">
        <f t="shared" ca="1" si="42"/>
        <v>1282808950</v>
      </c>
      <c r="F188">
        <f ca="1">SUM($E$2:E188)/SUM($D$2:D188)</f>
        <v>170.60001275924745</v>
      </c>
      <c r="G188">
        <f ca="1">_xlfn.STDEV.P($C$2:C188)</f>
        <v>4.8413699317070078</v>
      </c>
      <c r="H188">
        <f t="shared" ca="1" si="43"/>
        <v>175.44138269095447</v>
      </c>
      <c r="I188">
        <f t="shared" ca="1" si="44"/>
        <v>165.75864282754043</v>
      </c>
      <c r="J188">
        <f t="shared" ca="1" si="53"/>
        <v>174.911</v>
      </c>
      <c r="K188">
        <f t="shared" ca="1" si="54"/>
        <v>3.389643514869189</v>
      </c>
      <c r="L188">
        <f t="shared" ca="1" si="55"/>
        <v>181.69028702973839</v>
      </c>
      <c r="M188">
        <f t="shared" ca="1" si="56"/>
        <v>168.13171297026162</v>
      </c>
      <c r="N188">
        <f t="shared" ca="1" si="45"/>
        <v>0.31000000000000227</v>
      </c>
      <c r="O188">
        <f t="shared" ca="1" si="46"/>
        <v>0.31000000000000227</v>
      </c>
      <c r="P188">
        <f t="shared" ca="1" si="47"/>
        <v>0</v>
      </c>
      <c r="Q188">
        <f t="shared" ca="1" si="51"/>
        <v>0.42080811211531938</v>
      </c>
      <c r="R188">
        <f t="shared" ca="1" si="52"/>
        <v>0.69466927176540161</v>
      </c>
      <c r="S188">
        <f t="shared" ca="1" si="49"/>
        <v>0.6057675633843661</v>
      </c>
      <c r="T188">
        <f t="shared" ca="1" si="50"/>
        <v>37.724486233090381</v>
      </c>
      <c r="U188">
        <f>70</f>
        <v>70</v>
      </c>
      <c r="V188">
        <f>30</f>
        <v>30</v>
      </c>
      <c r="W188">
        <f t="shared" ca="1" si="48"/>
        <v>172.42494187414721</v>
      </c>
      <c r="X188">
        <f t="shared" ca="1" si="58"/>
        <v>173.54977036958067</v>
      </c>
      <c r="Y188">
        <f t="shared" ca="1" si="57"/>
        <v>-1.230961918780622</v>
      </c>
      <c r="Z188">
        <f t="shared" ca="1" si="59"/>
        <v>-0.38131873910483893</v>
      </c>
      <c r="AA188">
        <f t="shared" ca="1" si="60"/>
        <v>-0.84964317967578307</v>
      </c>
      <c r="AB188">
        <f t="shared" ca="1" si="61"/>
        <v>172.17480000000003</v>
      </c>
    </row>
    <row r="189" spans="1:28" x14ac:dyDescent="0.25">
      <c r="A189" s="20">
        <f t="shared" ca="1" si="41"/>
        <v>45565</v>
      </c>
      <c r="B189" vm="554">
        <f ca="1"/>
        <v>45565</v>
      </c>
      <c r="C189" vm="555">
        <f ca="1"/>
        <v>170.05</v>
      </c>
      <c r="D189" vm="556">
        <f ca="1"/>
        <v>5054615</v>
      </c>
      <c r="E189">
        <f t="shared" ca="1" si="42"/>
        <v>859537280.75</v>
      </c>
      <c r="F189">
        <f ca="1">SUM($E$2:E189)/SUM($D$2:D189)</f>
        <v>170.5973195463788</v>
      </c>
      <c r="G189">
        <f ca="1">_xlfn.STDEV.P($C$2:C189)</f>
        <v>4.8289200154035719</v>
      </c>
      <c r="H189">
        <f t="shared" ca="1" si="43"/>
        <v>175.42623956178238</v>
      </c>
      <c r="I189">
        <f t="shared" ca="1" si="44"/>
        <v>165.76839953097522</v>
      </c>
      <c r="J189">
        <f t="shared" ca="1" si="53"/>
        <v>174.76950000000002</v>
      </c>
      <c r="K189">
        <f t="shared" ca="1" si="54"/>
        <v>3.5348482808207007</v>
      </c>
      <c r="L189">
        <f t="shared" ca="1" si="55"/>
        <v>181.83919656164142</v>
      </c>
      <c r="M189">
        <f t="shared" ca="1" si="56"/>
        <v>167.69980343835863</v>
      </c>
      <c r="N189">
        <f t="shared" ca="1" si="45"/>
        <v>5.0000000000011369E-2</v>
      </c>
      <c r="O189">
        <f t="shared" ca="1" si="46"/>
        <v>5.0000000000011369E-2</v>
      </c>
      <c r="P189">
        <f t="shared" ca="1" si="47"/>
        <v>0</v>
      </c>
      <c r="Q189">
        <f t="shared" ca="1" si="51"/>
        <v>0.39432181839279734</v>
      </c>
      <c r="R189">
        <f t="shared" ca="1" si="52"/>
        <v>0.64505003806787287</v>
      </c>
      <c r="S189">
        <f t="shared" ca="1" si="49"/>
        <v>0.61130423241879783</v>
      </c>
      <c r="T189">
        <f t="shared" ca="1" si="50"/>
        <v>37.938473698486028</v>
      </c>
      <c r="U189">
        <f>70</f>
        <v>70</v>
      </c>
      <c r="V189">
        <f>30</f>
        <v>30</v>
      </c>
      <c r="W189">
        <f t="shared" ca="1" si="48"/>
        <v>172.05956620120148</v>
      </c>
      <c r="X189">
        <f t="shared" ca="1" si="58"/>
        <v>173.2905281199821</v>
      </c>
      <c r="Y189">
        <f t="shared" ca="1" si="57"/>
        <v>-1.1939899636391544</v>
      </c>
      <c r="Z189">
        <f t="shared" ca="1" si="59"/>
        <v>-0.54385298401170201</v>
      </c>
      <c r="AA189">
        <f t="shared" ca="1" si="60"/>
        <v>-0.65013697962745243</v>
      </c>
      <c r="AB189">
        <f t="shared" ca="1" si="61"/>
        <v>172.09510000000006</v>
      </c>
    </row>
    <row r="190" spans="1:28" x14ac:dyDescent="0.25">
      <c r="A190" s="20">
        <f t="shared" ca="1" si="41"/>
        <v>45565</v>
      </c>
      <c r="B190" vm="557">
        <f ca="1"/>
        <v>45566</v>
      </c>
      <c r="C190" vm="558">
        <f ca="1"/>
        <v>171.38</v>
      </c>
      <c r="D190" vm="559">
        <f ca="1"/>
        <v>7095860</v>
      </c>
      <c r="E190">
        <f t="shared" ca="1" si="42"/>
        <v>1216088486.8</v>
      </c>
      <c r="F190">
        <f ca="1">SUM($E$2:E190)/SUM($D$2:D190)</f>
        <v>170.60266302650109</v>
      </c>
      <c r="G190">
        <f ca="1">_xlfn.STDEV.P($C$2:C190)</f>
        <v>4.8162316939602059</v>
      </c>
      <c r="H190">
        <f t="shared" ca="1" si="43"/>
        <v>175.41889472046131</v>
      </c>
      <c r="I190">
        <f t="shared" ca="1" si="44"/>
        <v>165.78643133254087</v>
      </c>
      <c r="J190">
        <f t="shared" ca="1" si="53"/>
        <v>174.46150000000003</v>
      </c>
      <c r="K190">
        <f t="shared" ca="1" si="54"/>
        <v>3.5490818308550276</v>
      </c>
      <c r="L190">
        <f t="shared" ca="1" si="55"/>
        <v>181.55966366171009</v>
      </c>
      <c r="M190">
        <f t="shared" ca="1" si="56"/>
        <v>167.36333633828997</v>
      </c>
      <c r="N190">
        <f t="shared" ca="1" si="45"/>
        <v>1.3299999999999841</v>
      </c>
      <c r="O190">
        <f t="shared" ca="1" si="46"/>
        <v>1.3299999999999841</v>
      </c>
      <c r="P190">
        <f t="shared" ca="1" si="47"/>
        <v>0</v>
      </c>
      <c r="Q190">
        <f t="shared" ca="1" si="51"/>
        <v>0.46115597422188209</v>
      </c>
      <c r="R190">
        <f t="shared" ca="1" si="52"/>
        <v>0.59897503534873908</v>
      </c>
      <c r="S190">
        <f t="shared" ca="1" si="49"/>
        <v>0.76990850537432653</v>
      </c>
      <c r="T190">
        <f t="shared" ca="1" si="50"/>
        <v>43.499904262649714</v>
      </c>
      <c r="U190">
        <f>70</f>
        <v>70</v>
      </c>
      <c r="V190">
        <f>30</f>
        <v>30</v>
      </c>
      <c r="W190">
        <f t="shared" ca="1" si="48"/>
        <v>171.95501755486279</v>
      </c>
      <c r="X190">
        <f t="shared" ca="1" si="58"/>
        <v>173.14900751850195</v>
      </c>
      <c r="Y190">
        <f t="shared" ca="1" si="57"/>
        <v>-1.2973995148686015</v>
      </c>
      <c r="Z190">
        <f t="shared" ca="1" si="59"/>
        <v>-0.69456229018308191</v>
      </c>
      <c r="AA190">
        <f t="shared" ca="1" si="60"/>
        <v>-0.60283722468551959</v>
      </c>
      <c r="AB190">
        <f t="shared" ca="1" si="61"/>
        <v>172.03480000000002</v>
      </c>
    </row>
    <row r="191" spans="1:28" x14ac:dyDescent="0.25">
      <c r="A191" s="20">
        <f t="shared" ca="1" si="41"/>
        <v>45565</v>
      </c>
      <c r="B191" vm="560">
        <f ca="1"/>
        <v>45567</v>
      </c>
      <c r="C191" vm="561">
        <f ca="1"/>
        <v>169.55</v>
      </c>
      <c r="D191" vm="562">
        <f ca="1"/>
        <v>5785972</v>
      </c>
      <c r="E191">
        <f t="shared" ca="1" si="42"/>
        <v>981011552.60000002</v>
      </c>
      <c r="F191">
        <f ca="1">SUM($E$2:E191)/SUM($D$2:D191)</f>
        <v>170.59683543082238</v>
      </c>
      <c r="G191">
        <f ca="1">_xlfn.STDEV.P($C$2:C191)</f>
        <v>4.8046040826046967</v>
      </c>
      <c r="H191">
        <f t="shared" ca="1" si="43"/>
        <v>175.40143951342708</v>
      </c>
      <c r="I191">
        <f t="shared" ca="1" si="44"/>
        <v>165.79223134821768</v>
      </c>
      <c r="J191">
        <f t="shared" ca="1" si="53"/>
        <v>174.01300000000003</v>
      </c>
      <c r="K191">
        <f t="shared" ca="1" si="54"/>
        <v>3.5758842851877408</v>
      </c>
      <c r="L191">
        <f t="shared" ca="1" si="55"/>
        <v>181.16476857037551</v>
      </c>
      <c r="M191">
        <f t="shared" ca="1" si="56"/>
        <v>166.86123142962455</v>
      </c>
      <c r="N191">
        <f t="shared" ca="1" si="45"/>
        <v>-1.8299999999999841</v>
      </c>
      <c r="O191">
        <f t="shared" ca="1" si="46"/>
        <v>0</v>
      </c>
      <c r="P191">
        <f t="shared" ca="1" si="47"/>
        <v>1.8299999999999841</v>
      </c>
      <c r="Q191">
        <f t="shared" ca="1" si="51"/>
        <v>0.42821626177746192</v>
      </c>
      <c r="R191">
        <f t="shared" ca="1" si="52"/>
        <v>0.68690538996668515</v>
      </c>
      <c r="S191">
        <f t="shared" ca="1" si="49"/>
        <v>0.62339918718388621</v>
      </c>
      <c r="T191">
        <f t="shared" ca="1" si="50"/>
        <v>38.400856185304491</v>
      </c>
      <c r="U191">
        <f>70</f>
        <v>70</v>
      </c>
      <c r="V191">
        <f>30</f>
        <v>30</v>
      </c>
      <c r="W191">
        <f t="shared" ca="1" si="48"/>
        <v>171.58501485411466</v>
      </c>
      <c r="X191">
        <f t="shared" ca="1" si="58"/>
        <v>172.88241436898326</v>
      </c>
      <c r="Y191">
        <f t="shared" ca="1" si="57"/>
        <v>-1.4450007357478967</v>
      </c>
      <c r="Z191">
        <f t="shared" ca="1" si="59"/>
        <v>-0.84464997929604491</v>
      </c>
      <c r="AA191">
        <f t="shared" ca="1" si="60"/>
        <v>-0.60035075645185176</v>
      </c>
      <c r="AB191">
        <f t="shared" ca="1" si="61"/>
        <v>171.94970000000004</v>
      </c>
    </row>
    <row r="192" spans="1:28" x14ac:dyDescent="0.25">
      <c r="A192" s="20">
        <f t="shared" ca="1" si="41"/>
        <v>45565</v>
      </c>
      <c r="B192" vm="563">
        <f ca="1"/>
        <v>45568</v>
      </c>
      <c r="C192" vm="61">
        <f ca="1"/>
        <v>168.53</v>
      </c>
      <c r="D192" vm="564">
        <f ca="1"/>
        <v>5090330</v>
      </c>
      <c r="E192">
        <f t="shared" ca="1" si="42"/>
        <v>857873314.89999998</v>
      </c>
      <c r="F192">
        <f ca="1">SUM($E$2:E192)/SUM($D$2:D192)</f>
        <v>170.58681778959547</v>
      </c>
      <c r="G192">
        <f ca="1">_xlfn.STDEV.P($C$2:C192)</f>
        <v>4.7951643393775498</v>
      </c>
      <c r="H192">
        <f t="shared" ca="1" si="43"/>
        <v>175.38198212897302</v>
      </c>
      <c r="I192">
        <f t="shared" ca="1" si="44"/>
        <v>165.79165345021792</v>
      </c>
      <c r="J192">
        <f t="shared" ca="1" si="53"/>
        <v>173.47450000000006</v>
      </c>
      <c r="K192">
        <f t="shared" ca="1" si="54"/>
        <v>3.5486342443255552</v>
      </c>
      <c r="L192">
        <f t="shared" ca="1" si="55"/>
        <v>180.57176848865117</v>
      </c>
      <c r="M192">
        <f t="shared" ca="1" si="56"/>
        <v>166.37723151134895</v>
      </c>
      <c r="N192">
        <f t="shared" ca="1" si="45"/>
        <v>-1.0200000000000102</v>
      </c>
      <c r="O192">
        <f t="shared" ca="1" si="46"/>
        <v>0</v>
      </c>
      <c r="P192">
        <f t="shared" ca="1" si="47"/>
        <v>1.0200000000000102</v>
      </c>
      <c r="Q192">
        <f t="shared" ca="1" si="51"/>
        <v>0.39762938593621466</v>
      </c>
      <c r="R192">
        <f t="shared" ca="1" si="52"/>
        <v>0.71069786211192265</v>
      </c>
      <c r="S192">
        <f t="shared" ca="1" si="49"/>
        <v>0.55949146203227906</v>
      </c>
      <c r="T192">
        <f t="shared" ca="1" si="50"/>
        <v>35.876532552680203</v>
      </c>
      <c r="U192">
        <f>70</f>
        <v>70</v>
      </c>
      <c r="V192">
        <f>30</f>
        <v>30</v>
      </c>
      <c r="W192">
        <f t="shared" ca="1" si="48"/>
        <v>171.11501256886623</v>
      </c>
      <c r="X192">
        <f t="shared" ca="1" si="58"/>
        <v>172.56001330461413</v>
      </c>
      <c r="Y192">
        <f t="shared" ca="1" si="57"/>
        <v>-1.5888478377387969</v>
      </c>
      <c r="Z192">
        <f t="shared" ca="1" si="59"/>
        <v>-0.99348955098459535</v>
      </c>
      <c r="AA192">
        <f t="shared" ca="1" si="60"/>
        <v>-0.59535828675420155</v>
      </c>
      <c r="AB192">
        <f t="shared" ca="1" si="61"/>
        <v>171.83710000000002</v>
      </c>
    </row>
    <row r="193" spans="1:28" x14ac:dyDescent="0.25">
      <c r="A193" s="20">
        <f t="shared" ca="1" si="41"/>
        <v>45565</v>
      </c>
      <c r="B193" vm="565">
        <f ca="1"/>
        <v>45569</v>
      </c>
      <c r="C193" vm="566">
        <f ca="1"/>
        <v>167.97</v>
      </c>
      <c r="D193" vm="567">
        <f ca="1"/>
        <v>4391321</v>
      </c>
      <c r="E193">
        <f t="shared" ca="1" si="42"/>
        <v>737610188.37</v>
      </c>
      <c r="F193">
        <f ca="1">SUM($E$2:E193)/SUM($D$2:D193)</f>
        <v>170.57592171201298</v>
      </c>
      <c r="G193">
        <f ca="1">_xlfn.STDEV.P($C$2:C193)</f>
        <v>4.7873945808014762</v>
      </c>
      <c r="H193">
        <f t="shared" ca="1" si="43"/>
        <v>175.36331629281446</v>
      </c>
      <c r="I193">
        <f t="shared" ca="1" si="44"/>
        <v>165.78852713121151</v>
      </c>
      <c r="J193">
        <f t="shared" ca="1" si="53"/>
        <v>173.00600000000003</v>
      </c>
      <c r="K193">
        <f t="shared" ca="1" si="54"/>
        <v>3.6290558435754994</v>
      </c>
      <c r="L193">
        <f t="shared" ca="1" si="55"/>
        <v>180.26411168715103</v>
      </c>
      <c r="M193">
        <f t="shared" ca="1" si="56"/>
        <v>165.74788831284903</v>
      </c>
      <c r="N193">
        <f t="shared" ca="1" si="45"/>
        <v>-0.56000000000000227</v>
      </c>
      <c r="O193">
        <f t="shared" ca="1" si="46"/>
        <v>0</v>
      </c>
      <c r="P193">
        <f t="shared" ca="1" si="47"/>
        <v>0.56000000000000227</v>
      </c>
      <c r="Q193">
        <f t="shared" ca="1" si="51"/>
        <v>0.36922728694077073</v>
      </c>
      <c r="R193">
        <f t="shared" ca="1" si="52"/>
        <v>0.69993372910392826</v>
      </c>
      <c r="S193">
        <f t="shared" ca="1" si="49"/>
        <v>0.52751749428258621</v>
      </c>
      <c r="T193">
        <f t="shared" ca="1" si="50"/>
        <v>34.534301325978603</v>
      </c>
      <c r="U193">
        <f>70</f>
        <v>70</v>
      </c>
      <c r="V193">
        <f>30</f>
        <v>30</v>
      </c>
      <c r="W193">
        <f t="shared" ca="1" si="48"/>
        <v>170.63116448134838</v>
      </c>
      <c r="X193">
        <f t="shared" ca="1" si="58"/>
        <v>172.22001231908718</v>
      </c>
      <c r="Y193">
        <f t="shared" ca="1" si="57"/>
        <v>-1.7440688112332339</v>
      </c>
      <c r="Z193">
        <f t="shared" ca="1" si="59"/>
        <v>-1.143605403034323</v>
      </c>
      <c r="AA193">
        <f t="shared" ca="1" si="60"/>
        <v>-0.60046340819891086</v>
      </c>
      <c r="AB193">
        <f t="shared" ca="1" si="61"/>
        <v>171.70780000000002</v>
      </c>
    </row>
    <row r="194" spans="1:28" x14ac:dyDescent="0.25">
      <c r="A194" s="20">
        <f t="shared" ca="1" si="41"/>
        <v>45572</v>
      </c>
      <c r="B194" vm="568">
        <f ca="1"/>
        <v>45572</v>
      </c>
      <c r="C194" vm="569">
        <f ca="1"/>
        <v>167.21</v>
      </c>
      <c r="D194" vm="570">
        <f ca="1"/>
        <v>5459506</v>
      </c>
      <c r="E194">
        <f t="shared" ca="1" si="42"/>
        <v>912883998.25999999</v>
      </c>
      <c r="F194">
        <f ca="1">SUM($E$2:E194)/SUM($D$2:D194)</f>
        <v>170.55858700706116</v>
      </c>
      <c r="G194">
        <f ca="1">_xlfn.STDEV.P($C$2:C194)</f>
        <v>4.7823656835063701</v>
      </c>
      <c r="H194">
        <f t="shared" ca="1" si="43"/>
        <v>175.34095269056752</v>
      </c>
      <c r="I194">
        <f t="shared" ca="1" si="44"/>
        <v>165.77622132355481</v>
      </c>
      <c r="J194">
        <f t="shared" ca="1" si="53"/>
        <v>172.45700000000005</v>
      </c>
      <c r="K194">
        <f t="shared" ca="1" si="54"/>
        <v>3.6340684754432644</v>
      </c>
      <c r="L194">
        <f t="shared" ca="1" si="55"/>
        <v>179.72513695088657</v>
      </c>
      <c r="M194">
        <f t="shared" ca="1" si="56"/>
        <v>165.18886304911354</v>
      </c>
      <c r="N194">
        <f t="shared" ca="1" si="45"/>
        <v>-0.75999999999999091</v>
      </c>
      <c r="O194">
        <f t="shared" ca="1" si="46"/>
        <v>0</v>
      </c>
      <c r="P194">
        <f t="shared" ca="1" si="47"/>
        <v>0.75999999999999091</v>
      </c>
      <c r="Q194">
        <f t="shared" ca="1" si="51"/>
        <v>0.34285390930214421</v>
      </c>
      <c r="R194">
        <f t="shared" ca="1" si="52"/>
        <v>0.70422417702507556</v>
      </c>
      <c r="S194">
        <f t="shared" ca="1" si="49"/>
        <v>0.48685336358444292</v>
      </c>
      <c r="T194">
        <f t="shared" ca="1" si="50"/>
        <v>32.743872093126754</v>
      </c>
      <c r="U194">
        <f>70</f>
        <v>70</v>
      </c>
      <c r="V194">
        <f>30</f>
        <v>30</v>
      </c>
      <c r="W194">
        <f t="shared" ca="1" si="48"/>
        <v>170.10483148421787</v>
      </c>
      <c r="X194">
        <f t="shared" ca="1" si="58"/>
        <v>171.8489002954511</v>
      </c>
      <c r="Y194">
        <f t="shared" ca="1" si="57"/>
        <v>-1.5897368809370676</v>
      </c>
      <c r="Z194">
        <f t="shared" ca="1" si="59"/>
        <v>-1.232831698614872</v>
      </c>
      <c r="AA194">
        <f t="shared" ca="1" si="60"/>
        <v>-0.35690518232219559</v>
      </c>
      <c r="AB194">
        <f t="shared" ca="1" si="61"/>
        <v>171.5812</v>
      </c>
    </row>
    <row r="195" spans="1:28" x14ac:dyDescent="0.25">
      <c r="A195" s="20">
        <f t="shared" ref="A195:A258" ca="1" si="62">B195 - WEEKDAY(B195, 2) + 1</f>
        <v>45572</v>
      </c>
      <c r="B195" vm="571">
        <f ca="1"/>
        <v>45573</v>
      </c>
      <c r="C195" vm="572">
        <f ca="1"/>
        <v>170.42</v>
      </c>
      <c r="D195" vm="573">
        <f ca="1"/>
        <v>8297792</v>
      </c>
      <c r="E195">
        <f t="shared" ref="E195:E258" ca="1" si="63">C195*D195</f>
        <v>1414109712.6399999</v>
      </c>
      <c r="F195">
        <f ca="1">SUM($E$2:E195)/SUM($D$2:D195)</f>
        <v>170.55751064603862</v>
      </c>
      <c r="G195">
        <f ca="1">_xlfn.STDEV.P($C$2:C195)</f>
        <v>4.7701440467562533</v>
      </c>
      <c r="H195">
        <f t="shared" ref="H195:H258" ca="1" si="64">F195 + G195</f>
        <v>175.32765469279488</v>
      </c>
      <c r="I195">
        <f t="shared" ref="I195:I258" ca="1" si="65">F195 - G195</f>
        <v>165.78736659928236</v>
      </c>
      <c r="J195">
        <f t="shared" ca="1" si="53"/>
        <v>172.08750000000003</v>
      </c>
      <c r="K195">
        <f t="shared" ca="1" si="54"/>
        <v>3.4311788291919076</v>
      </c>
      <c r="L195">
        <f t="shared" ca="1" si="55"/>
        <v>178.94985765838385</v>
      </c>
      <c r="M195">
        <f t="shared" ca="1" si="56"/>
        <v>165.22514234161622</v>
      </c>
      <c r="N195">
        <f t="shared" ca="1" si="45"/>
        <v>3.2099999999999795</v>
      </c>
      <c r="O195">
        <f t="shared" ca="1" si="46"/>
        <v>3.2099999999999795</v>
      </c>
      <c r="P195">
        <f t="shared" ca="1" si="47"/>
        <v>0</v>
      </c>
      <c r="Q195">
        <f t="shared" ca="1" si="51"/>
        <v>0.54765005863770388</v>
      </c>
      <c r="R195">
        <f t="shared" ca="1" si="52"/>
        <v>0.65392245009471306</v>
      </c>
      <c r="S195">
        <f t="shared" ca="1" si="49"/>
        <v>0.83748471788724055</v>
      </c>
      <c r="T195">
        <f t="shared" ca="1" si="50"/>
        <v>45.577778674001131</v>
      </c>
      <c r="U195">
        <f>70</f>
        <v>70</v>
      </c>
      <c r="V195">
        <f>30</f>
        <v>30</v>
      </c>
      <c r="W195">
        <f t="shared" ca="1" si="48"/>
        <v>170.15331894818434</v>
      </c>
      <c r="X195">
        <f t="shared" ca="1" si="58"/>
        <v>171.7430558291214</v>
      </c>
      <c r="Y195">
        <f t="shared" ca="1" si="57"/>
        <v>-1.28158808220428</v>
      </c>
      <c r="Z195">
        <f t="shared" ca="1" si="59"/>
        <v>-1.2425829753327535</v>
      </c>
      <c r="AA195">
        <f t="shared" ca="1" si="60"/>
        <v>-3.9005106871526474E-2</v>
      </c>
      <c r="AB195">
        <f t="shared" ca="1" si="61"/>
        <v>171.49079999999998</v>
      </c>
    </row>
    <row r="196" spans="1:28" x14ac:dyDescent="0.25">
      <c r="A196" s="20">
        <f t="shared" ca="1" si="62"/>
        <v>45572</v>
      </c>
      <c r="B196" vm="574">
        <f ca="1"/>
        <v>45574</v>
      </c>
      <c r="C196" vm="575">
        <f ca="1"/>
        <v>172.54</v>
      </c>
      <c r="D196" vm="576">
        <f ca="1"/>
        <v>7177529</v>
      </c>
      <c r="E196">
        <f t="shared" ca="1" si="63"/>
        <v>1238410853.6599998</v>
      </c>
      <c r="F196">
        <f ca="1">SUM($E$2:E196)/SUM($D$2:D196)</f>
        <v>170.57074037162448</v>
      </c>
      <c r="G196">
        <f ca="1">_xlfn.STDEV.P($C$2:C196)</f>
        <v>4.759356635287384</v>
      </c>
      <c r="H196">
        <f t="shared" ca="1" si="64"/>
        <v>175.33009700691187</v>
      </c>
      <c r="I196">
        <f t="shared" ca="1" si="65"/>
        <v>165.81138373633709</v>
      </c>
      <c r="J196">
        <f t="shared" ca="1" si="53"/>
        <v>171.92550000000006</v>
      </c>
      <c r="K196">
        <f t="shared" ca="1" si="54"/>
        <v>3.3224285268143072</v>
      </c>
      <c r="L196">
        <f t="shared" ca="1" si="55"/>
        <v>178.57035705362867</v>
      </c>
      <c r="M196">
        <f t="shared" ca="1" si="56"/>
        <v>165.28064294637144</v>
      </c>
      <c r="N196">
        <f t="shared" ref="N196:N259" ca="1" si="66">C196-C195</f>
        <v>2.1200000000000045</v>
      </c>
      <c r="O196">
        <f t="shared" ref="O196:O259" ca="1" si="67">MAX(N196,0)</f>
        <v>2.1200000000000045</v>
      </c>
      <c r="P196">
        <f t="shared" ref="P196:P259" ca="1" si="68">MAX(-N196,0)</f>
        <v>0</v>
      </c>
      <c r="Q196">
        <f t="shared" ca="1" si="51"/>
        <v>0.65996076873501097</v>
      </c>
      <c r="R196">
        <f t="shared" ca="1" si="52"/>
        <v>0.60721370365937644</v>
      </c>
      <c r="S196">
        <f t="shared" ca="1" si="49"/>
        <v>1.0868673825339483</v>
      </c>
      <c r="T196">
        <f t="shared" ca="1" si="50"/>
        <v>52.081286603571108</v>
      </c>
      <c r="U196">
        <f>70</f>
        <v>70</v>
      </c>
      <c r="V196">
        <f>30</f>
        <v>30</v>
      </c>
      <c r="W196">
        <f t="shared" ca="1" si="48"/>
        <v>170.52050064846367</v>
      </c>
      <c r="X196">
        <f t="shared" ca="1" si="58"/>
        <v>171.80208873066795</v>
      </c>
      <c r="Y196">
        <f t="shared" ca="1" si="57"/>
        <v>-0.98965853240275692</v>
      </c>
      <c r="Z196">
        <f t="shared" ca="1" si="59"/>
        <v>-1.1919980867467543</v>
      </c>
      <c r="AA196">
        <f t="shared" ca="1" si="60"/>
        <v>0.20233955434399742</v>
      </c>
      <c r="AB196">
        <f t="shared" ca="1" si="61"/>
        <v>171.38509999999999</v>
      </c>
    </row>
    <row r="197" spans="1:28" x14ac:dyDescent="0.25">
      <c r="A197" s="20">
        <f t="shared" ca="1" si="62"/>
        <v>45572</v>
      </c>
      <c r="B197" vm="577">
        <f ca="1"/>
        <v>45575</v>
      </c>
      <c r="C197" vm="578">
        <f ca="1"/>
        <v>172.99</v>
      </c>
      <c r="D197" vm="579">
        <f ca="1"/>
        <v>5292404</v>
      </c>
      <c r="E197">
        <f t="shared" ca="1" si="63"/>
        <v>915532967.96000004</v>
      </c>
      <c r="F197">
        <f ca="1">SUM($E$2:E197)/SUM($D$2:D197)</f>
        <v>170.58258628997285</v>
      </c>
      <c r="G197">
        <f ca="1">_xlfn.STDEV.P($C$2:C197)</f>
        <v>4.7495380830993801</v>
      </c>
      <c r="H197">
        <f t="shared" ca="1" si="64"/>
        <v>175.33212437307222</v>
      </c>
      <c r="I197">
        <f t="shared" ca="1" si="65"/>
        <v>165.83304820687349</v>
      </c>
      <c r="J197">
        <f t="shared" ca="1" si="53"/>
        <v>171.71250000000003</v>
      </c>
      <c r="K197">
        <f t="shared" ca="1" si="54"/>
        <v>3.09164898089234</v>
      </c>
      <c r="L197">
        <f t="shared" ca="1" si="55"/>
        <v>177.89579796178472</v>
      </c>
      <c r="M197">
        <f t="shared" ca="1" si="56"/>
        <v>165.52920203821535</v>
      </c>
      <c r="N197">
        <f t="shared" ca="1" si="66"/>
        <v>0.45000000000001705</v>
      </c>
      <c r="O197">
        <f t="shared" ca="1" si="67"/>
        <v>0.45000000000001705</v>
      </c>
      <c r="P197">
        <f t="shared" ca="1" si="68"/>
        <v>0</v>
      </c>
      <c r="Q197">
        <f t="shared" ca="1" si="51"/>
        <v>0.64496357096822565</v>
      </c>
      <c r="R197">
        <f t="shared" ca="1" si="52"/>
        <v>0.56384129625513524</v>
      </c>
      <c r="S197">
        <f t="shared" ca="1" si="49"/>
        <v>1.1438743051491267</v>
      </c>
      <c r="T197">
        <f t="shared" ca="1" si="50"/>
        <v>53.355474357884965</v>
      </c>
      <c r="U197">
        <f>70</f>
        <v>70</v>
      </c>
      <c r="V197">
        <f>30</f>
        <v>30</v>
      </c>
      <c r="W197">
        <f t="shared" ca="1" si="48"/>
        <v>170.90042362562312</v>
      </c>
      <c r="X197">
        <f t="shared" ca="1" si="58"/>
        <v>171.89008215802588</v>
      </c>
      <c r="Y197">
        <f t="shared" ca="1" si="57"/>
        <v>-0.60447545455369323</v>
      </c>
      <c r="Z197">
        <f t="shared" ca="1" si="59"/>
        <v>-1.0744935603081422</v>
      </c>
      <c r="AA197">
        <f t="shared" ca="1" si="60"/>
        <v>0.47001810575444902</v>
      </c>
      <c r="AB197">
        <f t="shared" ca="1" si="61"/>
        <v>171.29310000000001</v>
      </c>
    </row>
    <row r="198" spans="1:28" x14ac:dyDescent="0.25">
      <c r="A198" s="20">
        <f t="shared" ca="1" si="62"/>
        <v>45572</v>
      </c>
      <c r="B198" vm="580">
        <f ca="1"/>
        <v>45576</v>
      </c>
      <c r="C198" vm="581">
        <f ca="1"/>
        <v>174.81</v>
      </c>
      <c r="D198" vm="582">
        <f ca="1"/>
        <v>4720299</v>
      </c>
      <c r="E198">
        <f t="shared" ca="1" si="63"/>
        <v>825155468.19000006</v>
      </c>
      <c r="F198">
        <f ca="1">SUM($E$2:E198)/SUM($D$2:D198)</f>
        <v>170.60096796180412</v>
      </c>
      <c r="G198">
        <f ca="1">_xlfn.STDEV.P($C$2:C198)</f>
        <v>4.7455720617871648</v>
      </c>
      <c r="H198">
        <f t="shared" ca="1" si="64"/>
        <v>175.34654002359127</v>
      </c>
      <c r="I198">
        <f t="shared" ca="1" si="65"/>
        <v>165.85539590001696</v>
      </c>
      <c r="J198">
        <f t="shared" ca="1" si="53"/>
        <v>171.58500000000001</v>
      </c>
      <c r="K198">
        <f t="shared" ca="1" si="54"/>
        <v>2.8926649523088215</v>
      </c>
      <c r="L198">
        <f t="shared" ca="1" si="55"/>
        <v>177.37032990461765</v>
      </c>
      <c r="M198">
        <f t="shared" ca="1" si="56"/>
        <v>165.79967009538237</v>
      </c>
      <c r="N198">
        <f t="shared" ca="1" si="66"/>
        <v>1.8199999999999932</v>
      </c>
      <c r="O198">
        <f t="shared" ca="1" si="67"/>
        <v>1.8199999999999932</v>
      </c>
      <c r="P198">
        <f t="shared" ca="1" si="68"/>
        <v>0</v>
      </c>
      <c r="Q198">
        <f t="shared" ca="1" si="51"/>
        <v>0.72889474447049474</v>
      </c>
      <c r="R198">
        <f t="shared" ca="1" si="52"/>
        <v>0.52356691795119703</v>
      </c>
      <c r="S198">
        <f t="shared" ca="1" si="49"/>
        <v>1.3921711236507819</v>
      </c>
      <c r="T198">
        <f t="shared" ca="1" si="50"/>
        <v>58.196970521328652</v>
      </c>
      <c r="U198">
        <f>70</f>
        <v>70</v>
      </c>
      <c r="V198">
        <f>30</f>
        <v>30</v>
      </c>
      <c r="W198">
        <f t="shared" ca="1" si="48"/>
        <v>171.50189691398879</v>
      </c>
      <c r="X198">
        <f t="shared" ca="1" si="58"/>
        <v>172.10637236854248</v>
      </c>
      <c r="Y198">
        <f t="shared" ca="1" si="57"/>
        <v>-0.19289924877961084</v>
      </c>
      <c r="Z198">
        <f t="shared" ca="1" si="59"/>
        <v>-0.8981746980024361</v>
      </c>
      <c r="AA198">
        <f t="shared" ca="1" si="60"/>
        <v>0.70527544922282526</v>
      </c>
      <c r="AB198">
        <f t="shared" ca="1" si="61"/>
        <v>171.23810000000006</v>
      </c>
    </row>
    <row r="199" spans="1:28" x14ac:dyDescent="0.25">
      <c r="A199" s="20">
        <f t="shared" ca="1" si="62"/>
        <v>45579</v>
      </c>
      <c r="B199" vm="583">
        <f ca="1"/>
        <v>45579</v>
      </c>
      <c r="C199" vm="584">
        <f ca="1"/>
        <v>176.1</v>
      </c>
      <c r="D199" vm="585">
        <f ca="1"/>
        <v>4536048</v>
      </c>
      <c r="E199">
        <f t="shared" ca="1" si="63"/>
        <v>798798052.79999995</v>
      </c>
      <c r="F199">
        <f ca="1">SUM($E$2:E199)/SUM($D$2:D199)</f>
        <v>170.62384994850555</v>
      </c>
      <c r="G199">
        <f ca="1">_xlfn.STDEV.P($C$2:C199)</f>
        <v>4.7477449987553886</v>
      </c>
      <c r="H199">
        <f t="shared" ca="1" si="64"/>
        <v>175.37159494726095</v>
      </c>
      <c r="I199">
        <f t="shared" ca="1" si="65"/>
        <v>165.87610494975016</v>
      </c>
      <c r="J199">
        <f t="shared" ca="1" si="53"/>
        <v>171.52950000000001</v>
      </c>
      <c r="K199">
        <f t="shared" ca="1" si="54"/>
        <v>2.787808939689111</v>
      </c>
      <c r="L199">
        <f t="shared" ca="1" si="55"/>
        <v>177.10511787937824</v>
      </c>
      <c r="M199">
        <f t="shared" ca="1" si="56"/>
        <v>165.95388212062178</v>
      </c>
      <c r="N199">
        <f t="shared" ca="1" si="66"/>
        <v>1.289999999999992</v>
      </c>
      <c r="O199">
        <f t="shared" ca="1" si="67"/>
        <v>1.289999999999992</v>
      </c>
      <c r="P199">
        <f t="shared" ca="1" si="68"/>
        <v>0</v>
      </c>
      <c r="Q199">
        <f t="shared" ca="1" si="51"/>
        <v>0.76897369129403026</v>
      </c>
      <c r="R199">
        <f t="shared" ca="1" si="52"/>
        <v>0.48616928095468293</v>
      </c>
      <c r="S199">
        <f t="shared" ca="1" si="49"/>
        <v>1.581699464400566</v>
      </c>
      <c r="T199">
        <f t="shared" ca="1" si="50"/>
        <v>61.265824555137137</v>
      </c>
      <c r="U199">
        <f>70</f>
        <v>70</v>
      </c>
      <c r="V199">
        <f>30</f>
        <v>30</v>
      </c>
      <c r="W199">
        <f t="shared" ca="1" si="48"/>
        <v>172.20929738875972</v>
      </c>
      <c r="X199">
        <f t="shared" ca="1" si="58"/>
        <v>172.40219663753933</v>
      </c>
      <c r="Y199">
        <f t="shared" ca="1" si="57"/>
        <v>0.11580460758221989</v>
      </c>
      <c r="Z199">
        <f t="shared" ca="1" si="59"/>
        <v>-0.69537883688550495</v>
      </c>
      <c r="AA199">
        <f t="shared" ca="1" si="60"/>
        <v>0.81118344446772483</v>
      </c>
      <c r="AB199">
        <f t="shared" ca="1" si="61"/>
        <v>171.18830000000003</v>
      </c>
    </row>
    <row r="200" spans="1:28" x14ac:dyDescent="0.25">
      <c r="A200" s="20">
        <f t="shared" ca="1" si="62"/>
        <v>45579</v>
      </c>
      <c r="B200" vm="586">
        <f ca="1"/>
        <v>45580</v>
      </c>
      <c r="C200" vm="587">
        <f ca="1"/>
        <v>175.9</v>
      </c>
      <c r="D200" vm="588">
        <f ca="1"/>
        <v>5802290</v>
      </c>
      <c r="E200">
        <f t="shared" ca="1" si="63"/>
        <v>1020622811</v>
      </c>
      <c r="F200">
        <f ca="1">SUM($E$2:E200)/SUM($D$2:D200)</f>
        <v>170.65178445042434</v>
      </c>
      <c r="G200">
        <f ca="1">_xlfn.STDEV.P($C$2:C200)</f>
        <v>4.7486914346647167</v>
      </c>
      <c r="H200">
        <f t="shared" ca="1" si="64"/>
        <v>175.40047588508907</v>
      </c>
      <c r="I200">
        <f t="shared" ca="1" si="65"/>
        <v>165.90309301575962</v>
      </c>
      <c r="J200">
        <f t="shared" ca="1" si="53"/>
        <v>171.48099999999997</v>
      </c>
      <c r="K200">
        <f t="shared" ca="1" si="54"/>
        <v>2.6969669123509448</v>
      </c>
      <c r="L200">
        <f t="shared" ca="1" si="55"/>
        <v>176.87493382470186</v>
      </c>
      <c r="M200">
        <f t="shared" ca="1" si="56"/>
        <v>166.08706617529808</v>
      </c>
      <c r="N200">
        <f t="shared" ca="1" si="66"/>
        <v>-0.19999999999998863</v>
      </c>
      <c r="O200">
        <f t="shared" ca="1" si="67"/>
        <v>0</v>
      </c>
      <c r="P200">
        <f t="shared" ca="1" si="68"/>
        <v>0.19999999999998863</v>
      </c>
      <c r="Q200">
        <f t="shared" ca="1" si="51"/>
        <v>0.71404699905874236</v>
      </c>
      <c r="R200">
        <f t="shared" ca="1" si="52"/>
        <v>0.46572861802934762</v>
      </c>
      <c r="S200">
        <f t="shared" ca="1" si="49"/>
        <v>1.5331825690250951</v>
      </c>
      <c r="T200">
        <f t="shared" ca="1" si="50"/>
        <v>60.523966482808468</v>
      </c>
      <c r="U200">
        <f>70</f>
        <v>70</v>
      </c>
      <c r="V200">
        <f>30</f>
        <v>30</v>
      </c>
      <c r="W200">
        <f t="shared" ca="1" si="48"/>
        <v>172.77709779048899</v>
      </c>
      <c r="X200">
        <f t="shared" ca="1" si="58"/>
        <v>172.66129318290677</v>
      </c>
      <c r="Y200">
        <f t="shared" ca="1" si="57"/>
        <v>0.24307053940319179</v>
      </c>
      <c r="Z200">
        <f t="shared" ca="1" si="59"/>
        <v>-0.50768896162776567</v>
      </c>
      <c r="AA200">
        <f t="shared" ca="1" si="60"/>
        <v>0.75075950103095745</v>
      </c>
      <c r="AB200">
        <f t="shared" ca="1" si="61"/>
        <v>171.12640000000002</v>
      </c>
    </row>
    <row r="201" spans="1:28" x14ac:dyDescent="0.25">
      <c r="A201" s="20">
        <f t="shared" ca="1" si="62"/>
        <v>45579</v>
      </c>
      <c r="B201" vm="589">
        <f ca="1"/>
        <v>45581</v>
      </c>
      <c r="C201" vm="590">
        <f ca="1"/>
        <v>174.48</v>
      </c>
      <c r="D201" vm="591">
        <f ca="1"/>
        <v>4400852</v>
      </c>
      <c r="E201">
        <f t="shared" ca="1" si="63"/>
        <v>767860656.95999992</v>
      </c>
      <c r="F201">
        <f ca="1">SUM($E$2:E201)/SUM($D$2:D201)</f>
        <v>170.66709592458614</v>
      </c>
      <c r="G201">
        <f ca="1">_xlfn.STDEV.P($C$2:C201)</f>
        <v>4.7432338377946328</v>
      </c>
      <c r="H201">
        <f t="shared" ca="1" si="64"/>
        <v>175.41032976238077</v>
      </c>
      <c r="I201">
        <f t="shared" ca="1" si="65"/>
        <v>165.9238620867915</v>
      </c>
      <c r="J201">
        <f t="shared" ca="1" si="53"/>
        <v>171.44449999999998</v>
      </c>
      <c r="K201">
        <f t="shared" ca="1" si="54"/>
        <v>2.6483450144929126</v>
      </c>
      <c r="L201">
        <f t="shared" ca="1" si="55"/>
        <v>176.74119002898581</v>
      </c>
      <c r="M201">
        <f t="shared" ca="1" si="56"/>
        <v>166.14780997101414</v>
      </c>
      <c r="N201">
        <f t="shared" ca="1" si="66"/>
        <v>-1.4200000000000159</v>
      </c>
      <c r="O201">
        <f t="shared" ca="1" si="67"/>
        <v>0</v>
      </c>
      <c r="P201">
        <f t="shared" ca="1" si="68"/>
        <v>1.4200000000000159</v>
      </c>
      <c r="Q201">
        <f t="shared" ca="1" si="51"/>
        <v>0.66304364198311794</v>
      </c>
      <c r="R201">
        <f t="shared" ca="1" si="52"/>
        <v>0.53389085959868099</v>
      </c>
      <c r="S201">
        <f t="shared" ca="1" si="49"/>
        <v>1.2419085849896727</v>
      </c>
      <c r="T201">
        <f t="shared" ca="1" si="50"/>
        <v>55.395148281453835</v>
      </c>
      <c r="U201">
        <f>70</f>
        <v>70</v>
      </c>
      <c r="V201">
        <f>30</f>
        <v>30</v>
      </c>
      <c r="W201">
        <f t="shared" ca="1" si="48"/>
        <v>173.03908274579837</v>
      </c>
      <c r="X201">
        <f t="shared" ca="1" si="58"/>
        <v>172.79601220639518</v>
      </c>
      <c r="Y201">
        <f t="shared" ca="1" si="57"/>
        <v>0.35516697556604981</v>
      </c>
      <c r="Z201">
        <f t="shared" ca="1" si="59"/>
        <v>-0.33511777418900257</v>
      </c>
      <c r="AA201">
        <f t="shared" ca="1" si="60"/>
        <v>0.69028474975505238</v>
      </c>
      <c r="AB201">
        <f t="shared" ca="1" si="61"/>
        <v>171.07850000000002</v>
      </c>
    </row>
    <row r="202" spans="1:28" x14ac:dyDescent="0.25">
      <c r="A202" s="20">
        <f t="shared" ca="1" si="62"/>
        <v>45579</v>
      </c>
      <c r="B202" vm="592">
        <f ca="1"/>
        <v>45582</v>
      </c>
      <c r="C202" vm="593">
        <f ca="1"/>
        <v>174.67</v>
      </c>
      <c r="D202" vm="594">
        <f ca="1"/>
        <v>4125910</v>
      </c>
      <c r="E202">
        <f t="shared" ca="1" si="63"/>
        <v>720672699.69999993</v>
      </c>
      <c r="F202">
        <f ca="1">SUM($E$2:E202)/SUM($D$2:D202)</f>
        <v>170.68204978552146</v>
      </c>
      <c r="G202">
        <f ca="1">_xlfn.STDEV.P($C$2:C202)</f>
        <v>4.7384708652620322</v>
      </c>
      <c r="H202">
        <f t="shared" ca="1" si="64"/>
        <v>175.42052065078349</v>
      </c>
      <c r="I202">
        <f t="shared" ca="1" si="65"/>
        <v>165.94357892025943</v>
      </c>
      <c r="J202">
        <f t="shared" ca="1" si="53"/>
        <v>171.44499999999999</v>
      </c>
      <c r="K202">
        <f t="shared" ca="1" si="54"/>
        <v>2.6489849098535023</v>
      </c>
      <c r="L202">
        <f t="shared" ca="1" si="55"/>
        <v>176.74296981970699</v>
      </c>
      <c r="M202">
        <f t="shared" ca="1" si="56"/>
        <v>166.147030180293</v>
      </c>
      <c r="N202">
        <f t="shared" ca="1" si="66"/>
        <v>0.18999999999999773</v>
      </c>
      <c r="O202">
        <f t="shared" ca="1" si="67"/>
        <v>0.18999999999999773</v>
      </c>
      <c r="P202">
        <f t="shared" ca="1" si="68"/>
        <v>0</v>
      </c>
      <c r="Q202">
        <f t="shared" ca="1" si="51"/>
        <v>0.6292548104128951</v>
      </c>
      <c r="R202">
        <f t="shared" ca="1" si="52"/>
        <v>0.49575579819877519</v>
      </c>
      <c r="S202">
        <f t="shared" ca="1" si="49"/>
        <v>1.2692838141261495</v>
      </c>
      <c r="T202">
        <f t="shared" ca="1" si="50"/>
        <v>55.933233482076467</v>
      </c>
      <c r="U202">
        <f>70</f>
        <v>70</v>
      </c>
      <c r="V202">
        <f>30</f>
        <v>30</v>
      </c>
      <c r="W202">
        <f t="shared" ca="1" si="48"/>
        <v>173.28999309259862</v>
      </c>
      <c r="X202">
        <f t="shared" ca="1" si="58"/>
        <v>172.93482611703257</v>
      </c>
      <c r="Y202">
        <f t="shared" ca="1" si="57"/>
        <v>0.4700554429236945</v>
      </c>
      <c r="Z202">
        <f t="shared" ca="1" si="59"/>
        <v>-0.1740831307664632</v>
      </c>
      <c r="AA202">
        <f t="shared" ca="1" si="60"/>
        <v>0.6441385736901577</v>
      </c>
      <c r="AB202">
        <f t="shared" ca="1" si="61"/>
        <v>171.0453</v>
      </c>
    </row>
    <row r="203" spans="1:28" x14ac:dyDescent="0.25">
      <c r="A203" s="20">
        <f t="shared" ca="1" si="62"/>
        <v>45579</v>
      </c>
      <c r="B203" vm="595">
        <f ca="1"/>
        <v>45583</v>
      </c>
      <c r="C203" vm="596">
        <f ca="1"/>
        <v>175.06</v>
      </c>
      <c r="D203" vm="597">
        <f ca="1"/>
        <v>5097170</v>
      </c>
      <c r="E203">
        <f t="shared" ca="1" si="63"/>
        <v>892310580.20000005</v>
      </c>
      <c r="F203">
        <f ca="1">SUM($E$2:E203)/SUM($D$2:D203)</f>
        <v>170.70216194065222</v>
      </c>
      <c r="G203">
        <f ca="1">_xlfn.STDEV.P($C$2:C203)</f>
        <v>4.735242815279376</v>
      </c>
      <c r="H203">
        <f t="shared" ca="1" si="64"/>
        <v>175.4374047559316</v>
      </c>
      <c r="I203">
        <f t="shared" ca="1" si="65"/>
        <v>165.96691912537284</v>
      </c>
      <c r="J203">
        <f t="shared" ca="1" si="53"/>
        <v>171.63900000000001</v>
      </c>
      <c r="K203">
        <f t="shared" ca="1" si="54"/>
        <v>2.7679612485878846</v>
      </c>
      <c r="L203">
        <f t="shared" ca="1" si="55"/>
        <v>177.17492249717577</v>
      </c>
      <c r="M203">
        <f t="shared" ca="1" si="56"/>
        <v>166.10307750282425</v>
      </c>
      <c r="N203">
        <f t="shared" ca="1" si="66"/>
        <v>0.39000000000001478</v>
      </c>
      <c r="O203">
        <f t="shared" ca="1" si="67"/>
        <v>0.39000000000001478</v>
      </c>
      <c r="P203">
        <f t="shared" ca="1" si="68"/>
        <v>0</v>
      </c>
      <c r="Q203">
        <f t="shared" ca="1" si="51"/>
        <v>0.61216518109768947</v>
      </c>
      <c r="R203">
        <f t="shared" ca="1" si="52"/>
        <v>0.46034466975600552</v>
      </c>
      <c r="S203">
        <f t="shared" ca="1" si="49"/>
        <v>1.3297974785331015</v>
      </c>
      <c r="T203">
        <f t="shared" ca="1" si="50"/>
        <v>57.077814307292279</v>
      </c>
      <c r="U203">
        <f>70</f>
        <v>70</v>
      </c>
      <c r="V203">
        <f>30</f>
        <v>30</v>
      </c>
      <c r="W203">
        <f t="shared" ca="1" si="48"/>
        <v>173.56230184758346</v>
      </c>
      <c r="X203">
        <f t="shared" ca="1" si="58"/>
        <v>173.09224640465976</v>
      </c>
      <c r="Y203">
        <f t="shared" ca="1" si="57"/>
        <v>0.55072241372607778</v>
      </c>
      <c r="Z203">
        <f t="shared" ca="1" si="59"/>
        <v>-2.9122021867954997E-2</v>
      </c>
      <c r="AA203">
        <f t="shared" ca="1" si="60"/>
        <v>0.57984443559403276</v>
      </c>
      <c r="AB203">
        <f t="shared" ca="1" si="61"/>
        <v>171.06209999999999</v>
      </c>
    </row>
    <row r="204" spans="1:28" x14ac:dyDescent="0.25">
      <c r="A204" s="20">
        <f t="shared" ca="1" si="62"/>
        <v>45586</v>
      </c>
      <c r="B204" vm="598">
        <f ca="1"/>
        <v>45586</v>
      </c>
      <c r="C204" vm="179">
        <f ca="1"/>
        <v>175.01</v>
      </c>
      <c r="D204" vm="599">
        <f ca="1"/>
        <v>6436516</v>
      </c>
      <c r="E204">
        <f t="shared" ca="1" si="63"/>
        <v>1126454665.1599998</v>
      </c>
      <c r="F204">
        <f ca="1">SUM($E$2:E204)/SUM($D$2:D204)</f>
        <v>170.72700795855934</v>
      </c>
      <c r="G204">
        <f ca="1">_xlfn.STDEV.P($C$2:C204)</f>
        <v>4.731753786083015</v>
      </c>
      <c r="H204">
        <f t="shared" ca="1" si="64"/>
        <v>175.45876174464235</v>
      </c>
      <c r="I204">
        <f t="shared" ca="1" si="65"/>
        <v>165.99525417247634</v>
      </c>
      <c r="J204">
        <f t="shared" ca="1" si="53"/>
        <v>171.78400000000002</v>
      </c>
      <c r="K204">
        <f t="shared" ca="1" si="54"/>
        <v>2.8680809648705208</v>
      </c>
      <c r="L204">
        <f t="shared" ca="1" si="55"/>
        <v>177.52016192974105</v>
      </c>
      <c r="M204">
        <f t="shared" ca="1" si="56"/>
        <v>166.04783807025899</v>
      </c>
      <c r="N204">
        <f t="shared" ca="1" si="66"/>
        <v>-5.0000000000011369E-2</v>
      </c>
      <c r="O204">
        <f t="shared" ca="1" si="67"/>
        <v>0</v>
      </c>
      <c r="P204">
        <f t="shared" ca="1" si="68"/>
        <v>5.0000000000011369E-2</v>
      </c>
      <c r="Q204">
        <f t="shared" ca="1" si="51"/>
        <v>0.56843909673356874</v>
      </c>
      <c r="R204">
        <f t="shared" ca="1" si="52"/>
        <v>0.43103433620200599</v>
      </c>
      <c r="S204">
        <f t="shared" ca="1" si="49"/>
        <v>1.3187791528217545</v>
      </c>
      <c r="T204">
        <f t="shared" ca="1" si="50"/>
        <v>56.873857573581937</v>
      </c>
      <c r="U204">
        <f>70</f>
        <v>70</v>
      </c>
      <c r="V204">
        <f>30</f>
        <v>30</v>
      </c>
      <c r="W204">
        <f t="shared" ca="1" si="48"/>
        <v>173.78502464026292</v>
      </c>
      <c r="X204">
        <f t="shared" ca="1" si="58"/>
        <v>173.23430222653684</v>
      </c>
      <c r="Y204">
        <f t="shared" ca="1" si="57"/>
        <v>0.55659286191914248</v>
      </c>
      <c r="Z204">
        <f t="shared" ca="1" si="59"/>
        <v>8.8020954889464501E-2</v>
      </c>
      <c r="AA204">
        <f t="shared" ca="1" si="60"/>
        <v>0.46857190702967799</v>
      </c>
      <c r="AB204">
        <f t="shared" ca="1" si="61"/>
        <v>171.10069999999996</v>
      </c>
    </row>
    <row r="205" spans="1:28" x14ac:dyDescent="0.25">
      <c r="A205" s="20">
        <f t="shared" ca="1" si="62"/>
        <v>45586</v>
      </c>
      <c r="B205" vm="600">
        <f ca="1"/>
        <v>45587</v>
      </c>
      <c r="C205" vm="601">
        <f ca="1"/>
        <v>174.37</v>
      </c>
      <c r="D205" vm="602">
        <f ca="1"/>
        <v>3790452</v>
      </c>
      <c r="E205">
        <f t="shared" ca="1" si="63"/>
        <v>660941115.24000001</v>
      </c>
      <c r="F205">
        <f ca="1">SUM($E$2:E205)/SUM($D$2:D205)</f>
        <v>170.73933966545485</v>
      </c>
      <c r="G205">
        <f ca="1">_xlfn.STDEV.P($C$2:C205)</f>
        <v>4.725816056161559</v>
      </c>
      <c r="H205">
        <f t="shared" ca="1" si="64"/>
        <v>175.46515572161641</v>
      </c>
      <c r="I205">
        <f t="shared" ca="1" si="65"/>
        <v>166.01352360929329</v>
      </c>
      <c r="J205">
        <f t="shared" ca="1" si="53"/>
        <v>172.00650000000002</v>
      </c>
      <c r="K205">
        <f t="shared" ca="1" si="54"/>
        <v>2.888403811614185</v>
      </c>
      <c r="L205">
        <f t="shared" ca="1" si="55"/>
        <v>177.78330762322838</v>
      </c>
      <c r="M205">
        <f t="shared" ca="1" si="56"/>
        <v>166.22969237677165</v>
      </c>
      <c r="N205">
        <f t="shared" ca="1" si="66"/>
        <v>-0.63999999999998636</v>
      </c>
      <c r="O205">
        <f t="shared" ca="1" si="67"/>
        <v>0</v>
      </c>
      <c r="P205">
        <f t="shared" ca="1" si="68"/>
        <v>0.63999999999998636</v>
      </c>
      <c r="Q205">
        <f t="shared" ca="1" si="51"/>
        <v>0.52783630410974236</v>
      </c>
      <c r="R205">
        <f t="shared" ca="1" si="52"/>
        <v>0.44596045504471887</v>
      </c>
      <c r="S205">
        <f t="shared" ca="1" si="49"/>
        <v>1.1835944154663072</v>
      </c>
      <c r="T205">
        <f t="shared" ca="1" si="50"/>
        <v>54.203949555968713</v>
      </c>
      <c r="U205">
        <f>70</f>
        <v>70</v>
      </c>
      <c r="V205">
        <f>30</f>
        <v>30</v>
      </c>
      <c r="W205">
        <f t="shared" ca="1" si="48"/>
        <v>173.87502084945325</v>
      </c>
      <c r="X205">
        <f t="shared" ca="1" si="58"/>
        <v>173.31842798753411</v>
      </c>
      <c r="Y205">
        <f t="shared" ca="1" si="57"/>
        <v>0.44157292404281634</v>
      </c>
      <c r="Z205">
        <f t="shared" ca="1" si="59"/>
        <v>0.15873134872013489</v>
      </c>
      <c r="AA205">
        <f t="shared" ca="1" si="60"/>
        <v>0.28284157532268145</v>
      </c>
      <c r="AB205">
        <f t="shared" ca="1" si="61"/>
        <v>171.13959999999994</v>
      </c>
    </row>
    <row r="206" spans="1:28" x14ac:dyDescent="0.25">
      <c r="A206" s="20">
        <f t="shared" ca="1" si="62"/>
        <v>45586</v>
      </c>
      <c r="B206" vm="603">
        <f ca="1"/>
        <v>45588</v>
      </c>
      <c r="C206" vm="5">
        <f ca="1"/>
        <v>172.95</v>
      </c>
      <c r="D206" vm="604">
        <f ca="1"/>
        <v>3800654</v>
      </c>
      <c r="E206">
        <f t="shared" ca="1" si="63"/>
        <v>657323109.29999995</v>
      </c>
      <c r="F206">
        <f ca="1">SUM($E$2:E206)/SUM($D$2:D206)</f>
        <v>170.74681761885205</v>
      </c>
      <c r="G206">
        <f ca="1">_xlfn.STDEV.P($C$2:C206)</f>
        <v>4.7160919664537886</v>
      </c>
      <c r="H206">
        <f t="shared" ca="1" si="64"/>
        <v>175.46290958530585</v>
      </c>
      <c r="I206">
        <f t="shared" ca="1" si="65"/>
        <v>166.03072565239825</v>
      </c>
      <c r="J206">
        <f t="shared" ca="1" si="53"/>
        <v>172.18400000000003</v>
      </c>
      <c r="K206">
        <f t="shared" ca="1" si="54"/>
        <v>2.8282492259718754</v>
      </c>
      <c r="L206">
        <f t="shared" ca="1" si="55"/>
        <v>177.84049845194377</v>
      </c>
      <c r="M206">
        <f t="shared" ca="1" si="56"/>
        <v>166.52750154805628</v>
      </c>
      <c r="N206">
        <f t="shared" ca="1" si="66"/>
        <v>-1.4200000000000159</v>
      </c>
      <c r="O206">
        <f t="shared" ca="1" si="67"/>
        <v>0</v>
      </c>
      <c r="P206">
        <f t="shared" ca="1" si="68"/>
        <v>1.4200000000000159</v>
      </c>
      <c r="Q206">
        <f t="shared" ca="1" si="51"/>
        <v>0.49013371095904645</v>
      </c>
      <c r="R206">
        <f t="shared" ca="1" si="52"/>
        <v>0.51553470825581149</v>
      </c>
      <c r="S206">
        <f t="shared" ca="1" si="49"/>
        <v>0.95072883185168411</v>
      </c>
      <c r="T206">
        <f t="shared" ca="1" si="50"/>
        <v>48.737108732289911</v>
      </c>
      <c r="U206">
        <f>70</f>
        <v>70</v>
      </c>
      <c r="V206">
        <f>30</f>
        <v>30</v>
      </c>
      <c r="W206">
        <f t="shared" ca="1" si="48"/>
        <v>173.73270994953737</v>
      </c>
      <c r="X206">
        <f t="shared" ca="1" si="58"/>
        <v>173.29113702549455</v>
      </c>
      <c r="Y206">
        <f t="shared" ca="1" si="57"/>
        <v>0.28340547500530988</v>
      </c>
      <c r="Z206">
        <f t="shared" ca="1" si="59"/>
        <v>0.18366617397716989</v>
      </c>
      <c r="AA206">
        <f t="shared" ca="1" si="60"/>
        <v>9.9739301028139993E-2</v>
      </c>
      <c r="AB206">
        <f t="shared" ca="1" si="61"/>
        <v>171.14009999999996</v>
      </c>
    </row>
    <row r="207" spans="1:28" x14ac:dyDescent="0.25">
      <c r="A207" s="20">
        <f t="shared" ca="1" si="62"/>
        <v>45586</v>
      </c>
      <c r="B207" vm="605">
        <f ca="1"/>
        <v>45589</v>
      </c>
      <c r="C207" vm="606">
        <f ca="1"/>
        <v>172.16</v>
      </c>
      <c r="D207" vm="607">
        <f ca="1"/>
        <v>4244903</v>
      </c>
      <c r="E207">
        <f t="shared" ca="1" si="63"/>
        <v>730802500.48000002</v>
      </c>
      <c r="F207">
        <f ca="1">SUM($E$2:E207)/SUM($D$2:D207)</f>
        <v>170.75213662732236</v>
      </c>
      <c r="G207">
        <f ca="1">_xlfn.STDEV.P($C$2:C207)</f>
        <v>4.7052292613361981</v>
      </c>
      <c r="H207">
        <f t="shared" ca="1" si="64"/>
        <v>175.45736588865856</v>
      </c>
      <c r="I207">
        <f t="shared" ca="1" si="65"/>
        <v>166.04690736598616</v>
      </c>
      <c r="J207">
        <f t="shared" ca="1" si="53"/>
        <v>172.30749999999998</v>
      </c>
      <c r="K207">
        <f t="shared" ca="1" si="54"/>
        <v>2.7668752563515602</v>
      </c>
      <c r="L207">
        <f t="shared" ca="1" si="55"/>
        <v>177.84125051270308</v>
      </c>
      <c r="M207">
        <f t="shared" ca="1" si="56"/>
        <v>166.77374948729687</v>
      </c>
      <c r="N207">
        <f t="shared" ca="1" si="66"/>
        <v>-0.78999999999999204</v>
      </c>
      <c r="O207">
        <f t="shared" ca="1" si="67"/>
        <v>0</v>
      </c>
      <c r="P207">
        <f t="shared" ca="1" si="68"/>
        <v>0.78999999999999204</v>
      </c>
      <c r="Q207">
        <f t="shared" ca="1" si="51"/>
        <v>0.4551241601762574</v>
      </c>
      <c r="R207">
        <f t="shared" ca="1" si="52"/>
        <v>0.53513937195182437</v>
      </c>
      <c r="S207">
        <f t="shared" ca="1" si="49"/>
        <v>0.85047780826941233</v>
      </c>
      <c r="T207">
        <f t="shared" ca="1" si="50"/>
        <v>45.95990313792462</v>
      </c>
      <c r="U207">
        <f>70</f>
        <v>70</v>
      </c>
      <c r="V207">
        <f>30</f>
        <v>30</v>
      </c>
      <c r="W207">
        <f t="shared" ref="W207:W270" ca="1" si="69">C207*(2/(12+1)) + W206*(1-(2/(12+1)))</f>
        <v>173.49075457268546</v>
      </c>
      <c r="X207">
        <f t="shared" ca="1" si="58"/>
        <v>173.20734909768015</v>
      </c>
      <c r="Y207">
        <f t="shared" ca="1" si="57"/>
        <v>0.12673974741178995</v>
      </c>
      <c r="Z207">
        <f t="shared" ca="1" si="59"/>
        <v>0.17228088866409391</v>
      </c>
      <c r="AA207">
        <f t="shared" ca="1" si="60"/>
        <v>-4.5541141252303963E-2</v>
      </c>
      <c r="AB207">
        <f t="shared" ca="1" si="61"/>
        <v>171.14939999999996</v>
      </c>
    </row>
    <row r="208" spans="1:28" x14ac:dyDescent="0.25">
      <c r="A208" s="20">
        <f t="shared" ca="1" si="62"/>
        <v>45586</v>
      </c>
      <c r="B208" vm="608">
        <f ca="1"/>
        <v>45590</v>
      </c>
      <c r="C208" vm="447">
        <f ca="1"/>
        <v>171.79</v>
      </c>
      <c r="D208" vm="609">
        <f ca="1"/>
        <v>4442863</v>
      </c>
      <c r="E208">
        <f t="shared" ca="1" si="63"/>
        <v>763239434.76999998</v>
      </c>
      <c r="F208">
        <f ca="1">SUM($E$2:E208)/SUM($D$2:D208)</f>
        <v>170.7562091200281</v>
      </c>
      <c r="G208">
        <f ca="1">_xlfn.STDEV.P($C$2:C208)</f>
        <v>4.6941040752362726</v>
      </c>
      <c r="H208">
        <f t="shared" ca="1" si="64"/>
        <v>175.45031319526439</v>
      </c>
      <c r="I208">
        <f t="shared" ca="1" si="65"/>
        <v>166.06210504479182</v>
      </c>
      <c r="J208">
        <f t="shared" ca="1" si="53"/>
        <v>172.39699999999999</v>
      </c>
      <c r="K208">
        <f t="shared" ca="1" si="54"/>
        <v>2.7168036560015056</v>
      </c>
      <c r="L208">
        <f t="shared" ca="1" si="55"/>
        <v>177.830607312003</v>
      </c>
      <c r="M208">
        <f t="shared" ca="1" si="56"/>
        <v>166.96339268799699</v>
      </c>
      <c r="N208">
        <f t="shared" ca="1" si="66"/>
        <v>-0.37000000000000455</v>
      </c>
      <c r="O208">
        <f t="shared" ca="1" si="67"/>
        <v>0</v>
      </c>
      <c r="P208">
        <f t="shared" ca="1" si="68"/>
        <v>0.37000000000000455</v>
      </c>
      <c r="Q208">
        <f t="shared" ca="1" si="51"/>
        <v>0.42261529159223904</v>
      </c>
      <c r="R208">
        <f t="shared" ca="1" si="52"/>
        <v>0.52334370252669438</v>
      </c>
      <c r="S208">
        <f t="shared" ref="S208:S271" ca="1" si="70">IF(R208=0,NA(),Q208/R208)</f>
        <v>0.80752914299314138</v>
      </c>
      <c r="T208">
        <f t="shared" ref="T208:T271" ca="1" si="71">100-(100/(1+S208))</f>
        <v>44.67585743353105</v>
      </c>
      <c r="U208">
        <f>70</f>
        <v>70</v>
      </c>
      <c r="V208">
        <f>30</f>
        <v>30</v>
      </c>
      <c r="W208">
        <f t="shared" ca="1" si="69"/>
        <v>173.22910002304155</v>
      </c>
      <c r="X208">
        <f t="shared" ca="1" si="58"/>
        <v>173.10236027562976</v>
      </c>
      <c r="Y208">
        <f t="shared" ca="1" si="57"/>
        <v>-0.15300393941976154</v>
      </c>
      <c r="Z208">
        <f t="shared" ca="1" si="59"/>
        <v>0.10722392304732282</v>
      </c>
      <c r="AA208">
        <f t="shared" ca="1" si="60"/>
        <v>-0.26022786246708435</v>
      </c>
      <c r="AB208">
        <f t="shared" ca="1" si="61"/>
        <v>171.12839999999997</v>
      </c>
    </row>
    <row r="209" spans="1:28" x14ac:dyDescent="0.25">
      <c r="A209" s="20">
        <f t="shared" ca="1" si="62"/>
        <v>45593</v>
      </c>
      <c r="B209" vm="610">
        <f ca="1"/>
        <v>45593</v>
      </c>
      <c r="C209" vm="611">
        <f ca="1"/>
        <v>169.84</v>
      </c>
      <c r="D209" vm="612">
        <f ca="1"/>
        <v>5186635</v>
      </c>
      <c r="E209">
        <f t="shared" ca="1" si="63"/>
        <v>880898088.39999998</v>
      </c>
      <c r="F209">
        <f ca="1">SUM($E$2:E209)/SUM($D$2:D209)</f>
        <v>170.75203127213351</v>
      </c>
      <c r="G209">
        <f ca="1">_xlfn.STDEV.P($C$2:C209)</f>
        <v>4.6836038736713936</v>
      </c>
      <c r="H209">
        <f t="shared" ca="1" si="64"/>
        <v>175.43563514580489</v>
      </c>
      <c r="I209">
        <f t="shared" ca="1" si="65"/>
        <v>166.06842739846212</v>
      </c>
      <c r="J209">
        <f t="shared" ca="1" si="53"/>
        <v>172.38649999999998</v>
      </c>
      <c r="K209">
        <f t="shared" ca="1" si="54"/>
        <v>2.7267394737845279</v>
      </c>
      <c r="L209">
        <f t="shared" ca="1" si="55"/>
        <v>177.83997894756905</v>
      </c>
      <c r="M209">
        <f t="shared" ca="1" si="56"/>
        <v>166.93302105243092</v>
      </c>
      <c r="N209">
        <f t="shared" ca="1" si="66"/>
        <v>-1.9499999999999886</v>
      </c>
      <c r="O209">
        <f t="shared" ca="1" si="67"/>
        <v>0</v>
      </c>
      <c r="P209">
        <f t="shared" ca="1" si="68"/>
        <v>1.9499999999999886</v>
      </c>
      <c r="Q209">
        <f t="shared" ref="Q209:Q272" ca="1" si="72">(Q208*13+O209)/14</f>
        <v>0.39242848504993627</v>
      </c>
      <c r="R209">
        <f t="shared" ref="R209:R272" ca="1" si="73">(R208*13+P209)/14</f>
        <v>0.62524772377478677</v>
      </c>
      <c r="S209">
        <f t="shared" ca="1" si="70"/>
        <v>0.62763680718538428</v>
      </c>
      <c r="T209">
        <f t="shared" ca="1" si="71"/>
        <v>38.56123211361475</v>
      </c>
      <c r="U209">
        <f>70</f>
        <v>70</v>
      </c>
      <c r="V209">
        <f>30</f>
        <v>30</v>
      </c>
      <c r="W209">
        <f t="shared" ca="1" si="69"/>
        <v>172.70770001949668</v>
      </c>
      <c r="X209">
        <f t="shared" ca="1" si="58"/>
        <v>172.86070395891645</v>
      </c>
      <c r="Y209">
        <f t="shared" ca="1" si="57"/>
        <v>-0.55709937566192025</v>
      </c>
      <c r="Z209">
        <f t="shared" ca="1" si="59"/>
        <v>-2.5640736694525781E-2</v>
      </c>
      <c r="AA209">
        <f t="shared" ca="1" si="60"/>
        <v>-0.53145863896739443</v>
      </c>
      <c r="AB209">
        <f t="shared" ca="1" si="61"/>
        <v>171.09189999999998</v>
      </c>
    </row>
    <row r="210" spans="1:28" x14ac:dyDescent="0.25">
      <c r="A210" s="20">
        <f t="shared" ca="1" si="62"/>
        <v>45593</v>
      </c>
      <c r="B210" vm="613">
        <f ca="1"/>
        <v>45594</v>
      </c>
      <c r="C210" vm="214">
        <f ca="1"/>
        <v>167.5</v>
      </c>
      <c r="D210" vm="614">
        <f ca="1"/>
        <v>5127890</v>
      </c>
      <c r="E210">
        <f t="shared" ca="1" si="63"/>
        <v>858921575</v>
      </c>
      <c r="F210">
        <f ca="1">SUM($E$2:E210)/SUM($D$2:D210)</f>
        <v>170.73743599924231</v>
      </c>
      <c r="G210">
        <f ca="1">_xlfn.STDEV.P($C$2:C210)</f>
        <v>4.6789240051456735</v>
      </c>
      <c r="H210">
        <f t="shared" ca="1" si="64"/>
        <v>175.41636000438797</v>
      </c>
      <c r="I210">
        <f t="shared" ca="1" si="65"/>
        <v>166.05851199409665</v>
      </c>
      <c r="J210">
        <f t="shared" ca="1" si="53"/>
        <v>172.19249999999997</v>
      </c>
      <c r="K210">
        <f t="shared" ca="1" si="54"/>
        <v>2.932388778345806</v>
      </c>
      <c r="L210">
        <f t="shared" ca="1" si="55"/>
        <v>178.05727755669159</v>
      </c>
      <c r="M210">
        <f t="shared" ca="1" si="56"/>
        <v>166.32772244330835</v>
      </c>
      <c r="N210">
        <f t="shared" ca="1" si="66"/>
        <v>-2.3400000000000034</v>
      </c>
      <c r="O210">
        <f t="shared" ca="1" si="67"/>
        <v>0</v>
      </c>
      <c r="P210">
        <f t="shared" ca="1" si="68"/>
        <v>2.3400000000000034</v>
      </c>
      <c r="Q210">
        <f t="shared" ca="1" si="72"/>
        <v>0.3643978789749408</v>
      </c>
      <c r="R210">
        <f t="shared" ca="1" si="73"/>
        <v>0.74773002921944509</v>
      </c>
      <c r="S210">
        <f t="shared" ca="1" si="70"/>
        <v>0.48733883184461047</v>
      </c>
      <c r="T210">
        <f t="shared" ca="1" si="71"/>
        <v>32.765824532410591</v>
      </c>
      <c r="U210">
        <f>70</f>
        <v>70</v>
      </c>
      <c r="V210">
        <f>30</f>
        <v>30</v>
      </c>
      <c r="W210">
        <f t="shared" ca="1" si="69"/>
        <v>171.90651540111259</v>
      </c>
      <c r="X210">
        <f t="shared" ca="1" si="58"/>
        <v>172.46361477677451</v>
      </c>
      <c r="Y210">
        <f t="shared" ca="1" si="57"/>
        <v>-0.97025563624296751</v>
      </c>
      <c r="Z210">
        <f t="shared" ca="1" si="59"/>
        <v>-0.21456371660421414</v>
      </c>
      <c r="AA210">
        <f t="shared" ca="1" si="60"/>
        <v>-0.75569191963875337</v>
      </c>
      <c r="AB210">
        <f t="shared" ca="1" si="61"/>
        <v>171.03489999999999</v>
      </c>
    </row>
    <row r="211" spans="1:28" x14ac:dyDescent="0.25">
      <c r="A211" s="20">
        <f t="shared" ca="1" si="62"/>
        <v>45593</v>
      </c>
      <c r="B211" vm="615">
        <f ca="1"/>
        <v>45595</v>
      </c>
      <c r="C211" vm="616">
        <f ca="1"/>
        <v>166.21</v>
      </c>
      <c r="D211" vm="617">
        <f ca="1"/>
        <v>4801541</v>
      </c>
      <c r="E211">
        <f t="shared" ca="1" si="63"/>
        <v>798064129.61000001</v>
      </c>
      <c r="F211">
        <f ca="1">SUM($E$2:E211)/SUM($D$2:D211)</f>
        <v>170.71848943339043</v>
      </c>
      <c r="G211">
        <f ca="1">_xlfn.STDEV.P($C$2:C211)</f>
        <v>4.6797268181989544</v>
      </c>
      <c r="H211">
        <f t="shared" ca="1" si="64"/>
        <v>175.39821625158939</v>
      </c>
      <c r="I211">
        <f t="shared" ca="1" si="65"/>
        <v>166.03876261519147</v>
      </c>
      <c r="J211">
        <f t="shared" ca="1" si="53"/>
        <v>172.02550000000002</v>
      </c>
      <c r="K211">
        <f t="shared" ca="1" si="54"/>
        <v>3.1758040424102778</v>
      </c>
      <c r="L211">
        <f t="shared" ca="1" si="55"/>
        <v>178.37710808482058</v>
      </c>
      <c r="M211">
        <f t="shared" ca="1" si="56"/>
        <v>165.67389191517947</v>
      </c>
      <c r="N211">
        <f t="shared" ca="1" si="66"/>
        <v>-1.289999999999992</v>
      </c>
      <c r="O211">
        <f t="shared" ca="1" si="67"/>
        <v>0</v>
      </c>
      <c r="P211">
        <f t="shared" ca="1" si="68"/>
        <v>1.289999999999992</v>
      </c>
      <c r="Q211">
        <f t="shared" ca="1" si="72"/>
        <v>0.33836945904815929</v>
      </c>
      <c r="R211">
        <f t="shared" ca="1" si="73"/>
        <v>0.78646359856091264</v>
      </c>
      <c r="S211">
        <f t="shared" ca="1" si="70"/>
        <v>0.43024172977276348</v>
      </c>
      <c r="T211">
        <f t="shared" ca="1" si="71"/>
        <v>30.081749176841612</v>
      </c>
      <c r="U211">
        <f>70</f>
        <v>70</v>
      </c>
      <c r="V211">
        <f>30</f>
        <v>30</v>
      </c>
      <c r="W211">
        <f t="shared" ca="1" si="69"/>
        <v>171.03012841632602</v>
      </c>
      <c r="X211">
        <f t="shared" ca="1" si="58"/>
        <v>172.00038405256899</v>
      </c>
      <c r="Y211">
        <f t="shared" ca="1" si="57"/>
        <v>-1.2932668872823285</v>
      </c>
      <c r="Z211">
        <f t="shared" ca="1" si="59"/>
        <v>-0.43030435073983703</v>
      </c>
      <c r="AA211">
        <f t="shared" ca="1" si="60"/>
        <v>-0.86296253654249155</v>
      </c>
      <c r="AB211">
        <f t="shared" ca="1" si="61"/>
        <v>170.98660000000001</v>
      </c>
    </row>
    <row r="212" spans="1:28" x14ac:dyDescent="0.25">
      <c r="A212" s="20">
        <f t="shared" ca="1" si="62"/>
        <v>45593</v>
      </c>
      <c r="B212" vm="618">
        <f ca="1"/>
        <v>45596</v>
      </c>
      <c r="C212" vm="619">
        <f ca="1"/>
        <v>166.08</v>
      </c>
      <c r="D212" vm="620">
        <f ca="1"/>
        <v>5582423</v>
      </c>
      <c r="E212">
        <f t="shared" ca="1" si="63"/>
        <v>927128811.84000003</v>
      </c>
      <c r="F212">
        <f ca="1">SUM($E$2:E212)/SUM($D$2:D212)</f>
        <v>170.69603050893733</v>
      </c>
      <c r="G212">
        <f ca="1">_xlfn.STDEV.P($C$2:C212)</f>
        <v>4.6810509172704844</v>
      </c>
      <c r="H212">
        <f t="shared" ca="1" si="64"/>
        <v>175.37708142620781</v>
      </c>
      <c r="I212">
        <f t="shared" ca="1" si="65"/>
        <v>166.01497959166684</v>
      </c>
      <c r="J212">
        <f t="shared" ca="1" si="53"/>
        <v>171.90299999999996</v>
      </c>
      <c r="K212">
        <f t="shared" ca="1" si="54"/>
        <v>3.3596617937555902</v>
      </c>
      <c r="L212">
        <f t="shared" ca="1" si="55"/>
        <v>178.62232358751115</v>
      </c>
      <c r="M212">
        <f t="shared" ca="1" si="56"/>
        <v>165.18367641248878</v>
      </c>
      <c r="N212">
        <f t="shared" ca="1" si="66"/>
        <v>-0.12999999999999545</v>
      </c>
      <c r="O212">
        <f t="shared" ca="1" si="67"/>
        <v>0</v>
      </c>
      <c r="P212">
        <f t="shared" ca="1" si="68"/>
        <v>0.12999999999999545</v>
      </c>
      <c r="Q212">
        <f t="shared" ca="1" si="72"/>
        <v>0.31420021197329079</v>
      </c>
      <c r="R212">
        <f t="shared" ca="1" si="73"/>
        <v>0.73957334152084708</v>
      </c>
      <c r="S212">
        <f t="shared" ca="1" si="70"/>
        <v>0.42483982903869194</v>
      </c>
      <c r="T212">
        <f t="shared" ca="1" si="71"/>
        <v>29.816672750180061</v>
      </c>
      <c r="U212">
        <f>70</f>
        <v>70</v>
      </c>
      <c r="V212">
        <f>30</f>
        <v>30</v>
      </c>
      <c r="W212">
        <f t="shared" ca="1" si="69"/>
        <v>170.2685701984297</v>
      </c>
      <c r="X212">
        <f t="shared" ca="1" si="58"/>
        <v>171.56183708571203</v>
      </c>
      <c r="Y212">
        <f t="shared" ca="1" si="57"/>
        <v>-1.5706886151646131</v>
      </c>
      <c r="Z212">
        <f t="shared" ca="1" si="59"/>
        <v>-0.65838120362479224</v>
      </c>
      <c r="AA212">
        <f t="shared" ca="1" si="60"/>
        <v>-0.91230741153982087</v>
      </c>
      <c r="AB212">
        <f t="shared" ca="1" si="61"/>
        <v>170.98839999999996</v>
      </c>
    </row>
    <row r="213" spans="1:28" x14ac:dyDescent="0.25">
      <c r="A213" s="20">
        <f t="shared" ca="1" si="62"/>
        <v>45593</v>
      </c>
      <c r="B213" vm="621">
        <f ca="1"/>
        <v>45597</v>
      </c>
      <c r="C213" vm="622">
        <f ca="1"/>
        <v>165.59</v>
      </c>
      <c r="D213" vm="623">
        <f ca="1"/>
        <v>6339121</v>
      </c>
      <c r="E213">
        <f t="shared" ca="1" si="63"/>
        <v>1049695046.39</v>
      </c>
      <c r="F213">
        <f ca="1">SUM($E$2:E213)/SUM($D$2:D213)</f>
        <v>170.66811016261889</v>
      </c>
      <c r="G213">
        <f ca="1">_xlfn.STDEV.P($C$2:C213)</f>
        <v>4.6847921615120365</v>
      </c>
      <c r="H213">
        <f t="shared" ca="1" si="64"/>
        <v>175.35290232413092</v>
      </c>
      <c r="I213">
        <f t="shared" ca="1" si="65"/>
        <v>165.98331800110685</v>
      </c>
      <c r="J213">
        <f t="shared" ca="1" si="53"/>
        <v>171.78399999999999</v>
      </c>
      <c r="K213">
        <f t="shared" ca="1" si="54"/>
        <v>3.5434259366354794</v>
      </c>
      <c r="L213">
        <f t="shared" ca="1" si="55"/>
        <v>178.87085187327096</v>
      </c>
      <c r="M213">
        <f t="shared" ca="1" si="56"/>
        <v>164.69714812672902</v>
      </c>
      <c r="N213">
        <f t="shared" ca="1" si="66"/>
        <v>-0.49000000000000909</v>
      </c>
      <c r="O213">
        <f t="shared" ca="1" si="67"/>
        <v>0</v>
      </c>
      <c r="P213">
        <f t="shared" ca="1" si="68"/>
        <v>0.49000000000000909</v>
      </c>
      <c r="Q213">
        <f t="shared" ca="1" si="72"/>
        <v>0.29175733968948431</v>
      </c>
      <c r="R213">
        <f t="shared" ca="1" si="73"/>
        <v>0.72174667426935868</v>
      </c>
      <c r="S213">
        <f t="shared" ca="1" si="70"/>
        <v>0.40423787194424859</v>
      </c>
      <c r="T213">
        <f t="shared" ca="1" si="71"/>
        <v>28.78699400013744</v>
      </c>
      <c r="U213">
        <f>70</f>
        <v>70</v>
      </c>
      <c r="V213">
        <f>30</f>
        <v>30</v>
      </c>
      <c r="W213">
        <f t="shared" ca="1" si="69"/>
        <v>169.54879016790207</v>
      </c>
      <c r="X213">
        <f t="shared" ca="1" si="58"/>
        <v>171.11947878306668</v>
      </c>
      <c r="Y213">
        <f t="shared" ca="1" si="57"/>
        <v>-1.7103131755833374</v>
      </c>
      <c r="Z213">
        <f t="shared" ca="1" si="59"/>
        <v>-0.86876759801650127</v>
      </c>
      <c r="AA213">
        <f t="shared" ca="1" si="60"/>
        <v>-0.84154557756683612</v>
      </c>
      <c r="AB213">
        <f t="shared" ca="1" si="61"/>
        <v>170.99360000000001</v>
      </c>
    </row>
    <row r="214" spans="1:28" x14ac:dyDescent="0.25">
      <c r="A214" s="20">
        <f t="shared" ca="1" si="62"/>
        <v>45600</v>
      </c>
      <c r="B214" vm="624">
        <f ca="1"/>
        <v>45600</v>
      </c>
      <c r="C214" vm="625">
        <f ca="1"/>
        <v>166.34</v>
      </c>
      <c r="D214" vm="626">
        <f ca="1"/>
        <v>4885472</v>
      </c>
      <c r="E214">
        <f t="shared" ca="1" si="63"/>
        <v>812649412.48000002</v>
      </c>
      <c r="F214">
        <f ca="1">SUM($E$2:E214)/SUM($D$2:D214)</f>
        <v>170.64994719404078</v>
      </c>
      <c r="G214">
        <f ca="1">_xlfn.STDEV.P($C$2:C214)</f>
        <v>4.6845967208495578</v>
      </c>
      <c r="H214">
        <f t="shared" ca="1" si="64"/>
        <v>175.33454391489033</v>
      </c>
      <c r="I214">
        <f t="shared" ca="1" si="65"/>
        <v>165.96535047319122</v>
      </c>
      <c r="J214">
        <f t="shared" ref="J214:J277" ca="1" si="74">AVERAGE(C195:C214)</f>
        <v>171.7405</v>
      </c>
      <c r="K214">
        <f t="shared" ref="K214:K277" ca="1" si="75">_xlfn.STDEV.S(C195:C214)</f>
        <v>3.6072973919104854</v>
      </c>
      <c r="L214">
        <f t="shared" ref="L214:L277" ca="1" si="76">J214 + 2*K214</f>
        <v>178.95509478382098</v>
      </c>
      <c r="M214">
        <f t="shared" ref="M214:M277" ca="1" si="77">J214-2*K214</f>
        <v>164.52590521617901</v>
      </c>
      <c r="N214">
        <f t="shared" ca="1" si="66"/>
        <v>0.75</v>
      </c>
      <c r="O214">
        <f t="shared" ca="1" si="67"/>
        <v>0.75</v>
      </c>
      <c r="P214">
        <f t="shared" ca="1" si="68"/>
        <v>0</v>
      </c>
      <c r="Q214">
        <f t="shared" ca="1" si="72"/>
        <v>0.32448895828309254</v>
      </c>
      <c r="R214">
        <f t="shared" ca="1" si="73"/>
        <v>0.67019334039297596</v>
      </c>
      <c r="S214">
        <f t="shared" ca="1" si="70"/>
        <v>0.4841721615628477</v>
      </c>
      <c r="T214">
        <f t="shared" ca="1" si="71"/>
        <v>32.622371858330084</v>
      </c>
      <c r="U214">
        <f>70</f>
        <v>70</v>
      </c>
      <c r="V214">
        <f>30</f>
        <v>30</v>
      </c>
      <c r="W214">
        <f t="shared" ca="1" si="69"/>
        <v>169.05513014207099</v>
      </c>
      <c r="X214">
        <f t="shared" ca="1" si="58"/>
        <v>170.76544331765433</v>
      </c>
      <c r="Y214">
        <f t="shared" ca="1" si="57"/>
        <v>-1.6797590485543594</v>
      </c>
      <c r="Z214">
        <f t="shared" ca="1" si="59"/>
        <v>-1.0309658881240731</v>
      </c>
      <c r="AA214">
        <f t="shared" ca="1" si="60"/>
        <v>-0.64879316043028634</v>
      </c>
      <c r="AB214">
        <f t="shared" ca="1" si="61"/>
        <v>171.01870000000002</v>
      </c>
    </row>
    <row r="215" spans="1:28" x14ac:dyDescent="0.25">
      <c r="A215" s="20">
        <f t="shared" ca="1" si="62"/>
        <v>45600</v>
      </c>
      <c r="B215" vm="627">
        <f ca="1"/>
        <v>45601</v>
      </c>
      <c r="C215" vm="628">
        <f ca="1"/>
        <v>167.85</v>
      </c>
      <c r="D215" vm="629">
        <f ca="1"/>
        <v>3678708</v>
      </c>
      <c r="E215">
        <f t="shared" ca="1" si="63"/>
        <v>617471137.79999995</v>
      </c>
      <c r="F215">
        <f ca="1">SUM($E$2:E215)/SUM($D$2:D215)</f>
        <v>170.64112742975743</v>
      </c>
      <c r="G215">
        <f ca="1">_xlfn.STDEV.P($C$2:C215)</f>
        <v>4.6784861744979125</v>
      </c>
      <c r="H215">
        <f t="shared" ca="1" si="64"/>
        <v>175.31961360425535</v>
      </c>
      <c r="I215">
        <f t="shared" ca="1" si="65"/>
        <v>165.96264125525951</v>
      </c>
      <c r="J215">
        <f t="shared" ca="1" si="74"/>
        <v>171.61200000000002</v>
      </c>
      <c r="K215">
        <f t="shared" ca="1" si="75"/>
        <v>3.7013604895611274</v>
      </c>
      <c r="L215">
        <f t="shared" ca="1" si="76"/>
        <v>179.01472097912227</v>
      </c>
      <c r="M215">
        <f t="shared" ca="1" si="77"/>
        <v>164.20927902087777</v>
      </c>
      <c r="N215">
        <f t="shared" ca="1" si="66"/>
        <v>1.5099999999999909</v>
      </c>
      <c r="O215">
        <f t="shared" ca="1" si="67"/>
        <v>1.5099999999999909</v>
      </c>
      <c r="P215">
        <f t="shared" ca="1" si="68"/>
        <v>0</v>
      </c>
      <c r="Q215">
        <f t="shared" ca="1" si="72"/>
        <v>0.40916831840572815</v>
      </c>
      <c r="R215">
        <f t="shared" ca="1" si="73"/>
        <v>0.62232238750776336</v>
      </c>
      <c r="S215">
        <f t="shared" ca="1" si="70"/>
        <v>0.65748609823332738</v>
      </c>
      <c r="T215">
        <f t="shared" ca="1" si="71"/>
        <v>39.667668943596276</v>
      </c>
      <c r="U215">
        <f>70</f>
        <v>70</v>
      </c>
      <c r="V215">
        <f>30</f>
        <v>30</v>
      </c>
      <c r="W215">
        <f t="shared" ca="1" si="69"/>
        <v>168.86972550482929</v>
      </c>
      <c r="X215">
        <f t="shared" ca="1" si="58"/>
        <v>170.54948455338365</v>
      </c>
      <c r="Y215">
        <f t="shared" ca="1" si="57"/>
        <v>-1.8871624071663291</v>
      </c>
      <c r="Z215">
        <f t="shared" ca="1" si="59"/>
        <v>-1.2022051919325243</v>
      </c>
      <c r="AA215">
        <f t="shared" ca="1" si="60"/>
        <v>-0.68495721523380482</v>
      </c>
      <c r="AB215">
        <f t="shared" ca="1" si="61"/>
        <v>171.06389999999999</v>
      </c>
    </row>
    <row r="216" spans="1:28" x14ac:dyDescent="0.25">
      <c r="A216" s="20">
        <f t="shared" ca="1" si="62"/>
        <v>45600</v>
      </c>
      <c r="B216" vm="630">
        <f ca="1"/>
        <v>45602</v>
      </c>
      <c r="C216" vm="631">
        <f ca="1"/>
        <v>164.71</v>
      </c>
      <c r="D216" vm="632">
        <f ca="1"/>
        <v>7849309</v>
      </c>
      <c r="E216">
        <f t="shared" ca="1" si="63"/>
        <v>1292859685.3900001</v>
      </c>
      <c r="F216">
        <f ca="1">SUM($E$2:E216)/SUM($D$2:D216)</f>
        <v>170.60152960663797</v>
      </c>
      <c r="G216">
        <f ca="1">_xlfn.STDEV.P($C$2:C216)</f>
        <v>4.6869096588638817</v>
      </c>
      <c r="H216">
        <f t="shared" ca="1" si="64"/>
        <v>175.28843926550184</v>
      </c>
      <c r="I216">
        <f t="shared" ca="1" si="65"/>
        <v>165.9146199477741</v>
      </c>
      <c r="J216">
        <f t="shared" ca="1" si="74"/>
        <v>171.22050000000002</v>
      </c>
      <c r="K216">
        <f t="shared" ca="1" si="75"/>
        <v>4.0000808873400464</v>
      </c>
      <c r="L216">
        <f t="shared" ca="1" si="76"/>
        <v>179.22066177468011</v>
      </c>
      <c r="M216">
        <f t="shared" ca="1" si="77"/>
        <v>163.22033822531992</v>
      </c>
      <c r="N216">
        <f t="shared" ca="1" si="66"/>
        <v>-3.1399999999999864</v>
      </c>
      <c r="O216">
        <f t="shared" ca="1" si="67"/>
        <v>0</v>
      </c>
      <c r="P216">
        <f t="shared" ca="1" si="68"/>
        <v>3.1399999999999864</v>
      </c>
      <c r="Q216">
        <f t="shared" ca="1" si="72"/>
        <v>0.37994200994817617</v>
      </c>
      <c r="R216">
        <f t="shared" ca="1" si="73"/>
        <v>0.80215650268577932</v>
      </c>
      <c r="S216">
        <f t="shared" ca="1" si="70"/>
        <v>0.47365072610650771</v>
      </c>
      <c r="T216">
        <f t="shared" ca="1" si="71"/>
        <v>32.141315286962694</v>
      </c>
      <c r="U216">
        <f>70</f>
        <v>70</v>
      </c>
      <c r="V216">
        <f>30</f>
        <v>30</v>
      </c>
      <c r="W216">
        <f t="shared" ca="1" si="69"/>
        <v>168.22976773485556</v>
      </c>
      <c r="X216">
        <f t="shared" ca="1" si="58"/>
        <v>170.11693014202189</v>
      </c>
      <c r="Y216">
        <f t="shared" ca="1" si="57"/>
        <v>-2.0847899683903677</v>
      </c>
      <c r="Z216">
        <f t="shared" ca="1" si="59"/>
        <v>-1.3787221472240931</v>
      </c>
      <c r="AA216">
        <f t="shared" ca="1" si="60"/>
        <v>-0.70606782116627453</v>
      </c>
      <c r="AB216">
        <f t="shared" ca="1" si="61"/>
        <v>171.07289999999998</v>
      </c>
    </row>
    <row r="217" spans="1:28" x14ac:dyDescent="0.25">
      <c r="A217" s="20">
        <f t="shared" ca="1" si="62"/>
        <v>45600</v>
      </c>
      <c r="B217" vm="633">
        <f ca="1"/>
        <v>45603</v>
      </c>
      <c r="C217" vm="634">
        <f ca="1"/>
        <v>164</v>
      </c>
      <c r="D217" vm="635">
        <f ca="1"/>
        <v>5333532</v>
      </c>
      <c r="E217">
        <f t="shared" ca="1" si="63"/>
        <v>874699248</v>
      </c>
      <c r="F217">
        <f ca="1">SUM($E$2:E217)/SUM($D$2:D217)</f>
        <v>170.57171724336931</v>
      </c>
      <c r="G217">
        <f ca="1">_xlfn.STDEV.P($C$2:C217)</f>
        <v>4.6996414415279215</v>
      </c>
      <c r="H217">
        <f t="shared" ca="1" si="64"/>
        <v>175.27135868489722</v>
      </c>
      <c r="I217">
        <f t="shared" ca="1" si="65"/>
        <v>165.87207580184139</v>
      </c>
      <c r="J217">
        <f t="shared" ca="1" si="74"/>
        <v>170.77100000000002</v>
      </c>
      <c r="K217">
        <f t="shared" ca="1" si="75"/>
        <v>4.2856908796353297</v>
      </c>
      <c r="L217">
        <f t="shared" ca="1" si="76"/>
        <v>179.34238175927067</v>
      </c>
      <c r="M217">
        <f t="shared" ca="1" si="77"/>
        <v>162.19961824072936</v>
      </c>
      <c r="N217">
        <f t="shared" ca="1" si="66"/>
        <v>-0.71000000000000796</v>
      </c>
      <c r="O217">
        <f t="shared" ca="1" si="67"/>
        <v>0</v>
      </c>
      <c r="P217">
        <f t="shared" ca="1" si="68"/>
        <v>0.71000000000000796</v>
      </c>
      <c r="Q217">
        <f t="shared" ca="1" si="72"/>
        <v>0.35280329495187784</v>
      </c>
      <c r="R217">
        <f t="shared" ca="1" si="73"/>
        <v>0.79557389535108136</v>
      </c>
      <c r="S217">
        <f t="shared" ca="1" si="70"/>
        <v>0.4434576059037082</v>
      </c>
      <c r="T217">
        <f t="shared" ca="1" si="71"/>
        <v>30.721900254636978</v>
      </c>
      <c r="U217">
        <f>70</f>
        <v>70</v>
      </c>
      <c r="V217">
        <f>30</f>
        <v>30</v>
      </c>
      <c r="W217">
        <f t="shared" ca="1" si="69"/>
        <v>167.57903423718545</v>
      </c>
      <c r="X217">
        <f t="shared" ca="1" si="58"/>
        <v>169.66382420557582</v>
      </c>
      <c r="Y217">
        <f t="shared" ca="1" si="57"/>
        <v>-2.1273210779716862</v>
      </c>
      <c r="Z217">
        <f t="shared" ca="1" si="59"/>
        <v>-1.5284419333736119</v>
      </c>
      <c r="AA217">
        <f t="shared" ca="1" si="60"/>
        <v>-0.59887914459807434</v>
      </c>
      <c r="AB217">
        <f t="shared" ca="1" si="61"/>
        <v>171.05149999999998</v>
      </c>
    </row>
    <row r="218" spans="1:28" x14ac:dyDescent="0.25">
      <c r="A218" s="20">
        <f t="shared" ca="1" si="62"/>
        <v>45600</v>
      </c>
      <c r="B218" vm="636">
        <f ca="1"/>
        <v>45604</v>
      </c>
      <c r="C218" vm="40">
        <f ca="1"/>
        <v>165.11</v>
      </c>
      <c r="D218" vm="637">
        <f ca="1"/>
        <v>4618265</v>
      </c>
      <c r="E218">
        <f t="shared" ca="1" si="63"/>
        <v>762521734.1500001</v>
      </c>
      <c r="F218">
        <f ca="1">SUM($E$2:E218)/SUM($D$2:D218)</f>
        <v>170.55044319932696</v>
      </c>
      <c r="G218">
        <f ca="1">_xlfn.STDEV.P($C$2:C218)</f>
        <v>4.7051493888629912</v>
      </c>
      <c r="H218">
        <f t="shared" ca="1" si="64"/>
        <v>175.25559258818996</v>
      </c>
      <c r="I218">
        <f t="shared" ca="1" si="65"/>
        <v>165.84529381046397</v>
      </c>
      <c r="J218">
        <f t="shared" ca="1" si="74"/>
        <v>170.286</v>
      </c>
      <c r="K218">
        <f t="shared" ca="1" si="75"/>
        <v>4.3528857941418666</v>
      </c>
      <c r="L218">
        <f t="shared" ca="1" si="76"/>
        <v>178.99177158828374</v>
      </c>
      <c r="M218">
        <f t="shared" ca="1" si="77"/>
        <v>161.58022841171626</v>
      </c>
      <c r="N218">
        <f t="shared" ca="1" si="66"/>
        <v>1.1100000000000136</v>
      </c>
      <c r="O218">
        <f t="shared" ca="1" si="67"/>
        <v>1.1100000000000136</v>
      </c>
      <c r="P218">
        <f t="shared" ca="1" si="68"/>
        <v>0</v>
      </c>
      <c r="Q218">
        <f t="shared" ca="1" si="72"/>
        <v>0.40688877388388756</v>
      </c>
      <c r="R218">
        <f t="shared" ca="1" si="73"/>
        <v>0.73874718854028987</v>
      </c>
      <c r="S218">
        <f t="shared" ca="1" si="70"/>
        <v>0.55078216228188948</v>
      </c>
      <c r="T218">
        <f t="shared" ca="1" si="71"/>
        <v>35.516410729888989</v>
      </c>
      <c r="U218">
        <f>70</f>
        <v>70</v>
      </c>
      <c r="V218">
        <f>30</f>
        <v>30</v>
      </c>
      <c r="W218">
        <f t="shared" ca="1" si="69"/>
        <v>167.19918281608</v>
      </c>
      <c r="X218">
        <f t="shared" ca="1" si="58"/>
        <v>169.32650389405168</v>
      </c>
      <c r="Y218">
        <f t="shared" ca="1" si="57"/>
        <v>-2.2042064649317297</v>
      </c>
      <c r="Z218">
        <f t="shared" ca="1" si="59"/>
        <v>-1.6635948396852356</v>
      </c>
      <c r="AA218">
        <f t="shared" ca="1" si="60"/>
        <v>-0.54061162524649409</v>
      </c>
      <c r="AB218">
        <f t="shared" ca="1" si="61"/>
        <v>171.03779999999998</v>
      </c>
    </row>
    <row r="219" spans="1:28" x14ac:dyDescent="0.25">
      <c r="A219" s="20">
        <f t="shared" ca="1" si="62"/>
        <v>45607</v>
      </c>
      <c r="B219" vm="638">
        <f ca="1"/>
        <v>45607</v>
      </c>
      <c r="C219" vm="639">
        <f ca="1"/>
        <v>164.26</v>
      </c>
      <c r="D219" vm="640">
        <f ca="1"/>
        <v>3761969</v>
      </c>
      <c r="E219">
        <f t="shared" ca="1" si="63"/>
        <v>617941027.93999994</v>
      </c>
      <c r="F219">
        <f ca="1">SUM($E$2:E219)/SUM($D$2:D219)</f>
        <v>170.53054734211676</v>
      </c>
      <c r="G219">
        <f ca="1">_xlfn.STDEV.P($C$2:C219)</f>
        <v>4.7155447164561926</v>
      </c>
      <c r="H219">
        <f t="shared" ca="1" si="64"/>
        <v>175.24609205857294</v>
      </c>
      <c r="I219">
        <f t="shared" ca="1" si="65"/>
        <v>165.81500262566058</v>
      </c>
      <c r="J219">
        <f t="shared" ca="1" si="74"/>
        <v>169.69400000000002</v>
      </c>
      <c r="K219">
        <f t="shared" ca="1" si="75"/>
        <v>4.3255999279686135</v>
      </c>
      <c r="L219">
        <f t="shared" ca="1" si="76"/>
        <v>178.34519985593724</v>
      </c>
      <c r="M219">
        <f t="shared" ca="1" si="77"/>
        <v>161.0428001440628</v>
      </c>
      <c r="N219">
        <f t="shared" ca="1" si="66"/>
        <v>-0.85000000000002274</v>
      </c>
      <c r="O219">
        <f t="shared" ca="1" si="67"/>
        <v>0</v>
      </c>
      <c r="P219">
        <f t="shared" ca="1" si="68"/>
        <v>0.85000000000002274</v>
      </c>
      <c r="Q219">
        <f t="shared" ca="1" si="72"/>
        <v>0.3778252900350384</v>
      </c>
      <c r="R219">
        <f t="shared" ca="1" si="73"/>
        <v>0.74669381793027079</v>
      </c>
      <c r="S219">
        <f t="shared" ca="1" si="70"/>
        <v>0.50599761369702567</v>
      </c>
      <c r="T219">
        <f t="shared" ca="1" si="71"/>
        <v>33.598832368324153</v>
      </c>
      <c r="U219">
        <f>70</f>
        <v>70</v>
      </c>
      <c r="V219">
        <f>30</f>
        <v>30</v>
      </c>
      <c r="W219">
        <f t="shared" ca="1" si="69"/>
        <v>166.74700084437538</v>
      </c>
      <c r="X219">
        <f t="shared" ca="1" si="58"/>
        <v>168.95120730930711</v>
      </c>
      <c r="Y219">
        <f t="shared" ca="1" si="57"/>
        <v>-2.2329433753428134</v>
      </c>
      <c r="Z219">
        <f t="shared" ca="1" si="59"/>
        <v>-1.7774645468167511</v>
      </c>
      <c r="AA219">
        <f t="shared" ca="1" si="60"/>
        <v>-0.45547882852606225</v>
      </c>
      <c r="AB219">
        <f t="shared" ca="1" si="61"/>
        <v>171.01359999999997</v>
      </c>
    </row>
    <row r="220" spans="1:28" x14ac:dyDescent="0.25">
      <c r="A220" s="20">
        <f t="shared" ca="1" si="62"/>
        <v>45607</v>
      </c>
      <c r="B220" vm="641">
        <f ca="1"/>
        <v>45608</v>
      </c>
      <c r="C220" vm="642">
        <f ca="1"/>
        <v>164.34</v>
      </c>
      <c r="D220" vm="643">
        <f ca="1"/>
        <v>5386925</v>
      </c>
      <c r="E220">
        <f t="shared" ca="1" si="63"/>
        <v>885287254.5</v>
      </c>
      <c r="F220">
        <f ca="1">SUM($E$2:E220)/SUM($D$2:D220)</f>
        <v>170.50263645274623</v>
      </c>
      <c r="G220">
        <f ca="1">_xlfn.STDEV.P($C$2:C220)</f>
        <v>4.725127466873138</v>
      </c>
      <c r="H220">
        <f t="shared" ca="1" si="64"/>
        <v>175.22776391961938</v>
      </c>
      <c r="I220">
        <f t="shared" ca="1" si="65"/>
        <v>165.77750898587308</v>
      </c>
      <c r="J220">
        <f t="shared" ca="1" si="74"/>
        <v>169.11600000000004</v>
      </c>
      <c r="K220">
        <f t="shared" ca="1" si="75"/>
        <v>4.2238338783123224</v>
      </c>
      <c r="L220">
        <f t="shared" ca="1" si="76"/>
        <v>177.56366775662468</v>
      </c>
      <c r="M220">
        <f t="shared" ca="1" si="77"/>
        <v>160.6683322433754</v>
      </c>
      <c r="N220">
        <f t="shared" ca="1" si="66"/>
        <v>8.0000000000012506E-2</v>
      </c>
      <c r="O220">
        <f t="shared" ca="1" si="67"/>
        <v>8.0000000000012506E-2</v>
      </c>
      <c r="P220">
        <f t="shared" ca="1" si="68"/>
        <v>0</v>
      </c>
      <c r="Q220">
        <f t="shared" ca="1" si="72"/>
        <v>0.35655205503253656</v>
      </c>
      <c r="R220">
        <f t="shared" ca="1" si="73"/>
        <v>0.69335854522096574</v>
      </c>
      <c r="S220">
        <f t="shared" ca="1" si="70"/>
        <v>0.5142390722521597</v>
      </c>
      <c r="T220">
        <f t="shared" ca="1" si="71"/>
        <v>33.960230037342853</v>
      </c>
      <c r="U220">
        <f>70</f>
        <v>70</v>
      </c>
      <c r="V220">
        <f>30</f>
        <v>30</v>
      </c>
      <c r="W220">
        <f t="shared" ca="1" si="69"/>
        <v>166.37669302216378</v>
      </c>
      <c r="X220">
        <f t="shared" ca="1" si="58"/>
        <v>168.60963639750659</v>
      </c>
      <c r="Y220">
        <f t="shared" ref="Y220:Y283" ca="1" si="78">W221-X221</f>
        <v>-2.1981025686808948</v>
      </c>
      <c r="Z220">
        <f t="shared" ca="1" si="59"/>
        <v>-1.8615921511895801</v>
      </c>
      <c r="AA220">
        <f t="shared" ca="1" si="60"/>
        <v>-0.33651041749131472</v>
      </c>
      <c r="AB220">
        <f t="shared" ca="1" si="61"/>
        <v>170.98420000000002</v>
      </c>
    </row>
    <row r="221" spans="1:28" x14ac:dyDescent="0.25">
      <c r="A221" s="20">
        <f t="shared" ca="1" si="62"/>
        <v>45607</v>
      </c>
      <c r="B221" vm="644">
        <f ca="1"/>
        <v>45609</v>
      </c>
      <c r="C221" vm="645">
        <f ca="1"/>
        <v>164.74</v>
      </c>
      <c r="D221" vm="646">
        <f ca="1"/>
        <v>4145443</v>
      </c>
      <c r="E221">
        <f t="shared" ca="1" si="63"/>
        <v>682920279.82000005</v>
      </c>
      <c r="F221">
        <f ca="1">SUM($E$2:E221)/SUM($D$2:D221)</f>
        <v>170.48271175859966</v>
      </c>
      <c r="G221">
        <f ca="1">_xlfn.STDEV.P($C$2:C221)</f>
        <v>4.7320230337283391</v>
      </c>
      <c r="H221">
        <f t="shared" ca="1" si="64"/>
        <v>175.21473479232799</v>
      </c>
      <c r="I221">
        <f t="shared" ca="1" si="65"/>
        <v>165.75068872487134</v>
      </c>
      <c r="J221">
        <f t="shared" ca="1" si="74"/>
        <v>168.62899999999999</v>
      </c>
      <c r="K221">
        <f t="shared" ca="1" si="75"/>
        <v>4.1333571165133494</v>
      </c>
      <c r="L221">
        <f t="shared" ca="1" si="76"/>
        <v>176.89571423302669</v>
      </c>
      <c r="M221">
        <f t="shared" ca="1" si="77"/>
        <v>160.36228576697329</v>
      </c>
      <c r="N221">
        <f t="shared" ca="1" si="66"/>
        <v>0.40000000000000568</v>
      </c>
      <c r="O221">
        <f t="shared" ca="1" si="67"/>
        <v>0.40000000000000568</v>
      </c>
      <c r="P221">
        <f t="shared" ca="1" si="68"/>
        <v>0</v>
      </c>
      <c r="Q221">
        <f t="shared" ca="1" si="72"/>
        <v>0.3596554796730701</v>
      </c>
      <c r="R221">
        <f t="shared" ca="1" si="73"/>
        <v>0.64383293484803961</v>
      </c>
      <c r="S221">
        <f t="shared" ca="1" si="70"/>
        <v>0.55861615677979826</v>
      </c>
      <c r="T221">
        <f t="shared" ca="1" si="71"/>
        <v>35.840521372108412</v>
      </c>
      <c r="U221">
        <f>70</f>
        <v>70</v>
      </c>
      <c r="V221">
        <f>30</f>
        <v>30</v>
      </c>
      <c r="W221">
        <f t="shared" ca="1" si="69"/>
        <v>166.12489409567706</v>
      </c>
      <c r="X221">
        <f t="shared" ref="X221:X284" ca="1" si="79">C221*(2/(26+1)) + X220*(1-(2/(26+1)))</f>
        <v>168.32299666435796</v>
      </c>
      <c r="Y221">
        <f t="shared" ca="1" si="78"/>
        <v>-2.1130494857556812</v>
      </c>
      <c r="Z221">
        <f t="shared" ca="1" si="59"/>
        <v>-1.9118836181028005</v>
      </c>
      <c r="AA221">
        <f t="shared" ca="1" si="60"/>
        <v>-0.20116586765288069</v>
      </c>
      <c r="AB221">
        <f t="shared" ca="1" si="61"/>
        <v>170.95080000000002</v>
      </c>
    </row>
    <row r="222" spans="1:28" x14ac:dyDescent="0.25">
      <c r="A222" s="20">
        <f t="shared" ca="1" si="62"/>
        <v>45607</v>
      </c>
      <c r="B222" vm="647">
        <f ca="1"/>
        <v>45610</v>
      </c>
      <c r="C222" vm="648">
        <f ca="1"/>
        <v>165.15</v>
      </c>
      <c r="D222" vm="649">
        <f ca="1"/>
        <v>5422685</v>
      </c>
      <c r="E222">
        <f t="shared" ca="1" si="63"/>
        <v>895556427.75</v>
      </c>
      <c r="F222">
        <f ca="1">SUM($E$2:E222)/SUM($D$2:D222)</f>
        <v>170.45870120613256</v>
      </c>
      <c r="G222">
        <f ca="1">_xlfn.STDEV.P($C$2:C222)</f>
        <v>4.7364124092171407</v>
      </c>
      <c r="H222">
        <f t="shared" ca="1" si="64"/>
        <v>175.1951136153497</v>
      </c>
      <c r="I222">
        <f t="shared" ca="1" si="65"/>
        <v>165.72228879691542</v>
      </c>
      <c r="J222">
        <f t="shared" ca="1" si="74"/>
        <v>168.15299999999999</v>
      </c>
      <c r="K222">
        <f t="shared" ca="1" si="75"/>
        <v>3.9449262550641819</v>
      </c>
      <c r="L222">
        <f t="shared" ca="1" si="76"/>
        <v>176.04285251012834</v>
      </c>
      <c r="M222">
        <f t="shared" ca="1" si="77"/>
        <v>160.26314748987164</v>
      </c>
      <c r="N222">
        <f t="shared" ca="1" si="66"/>
        <v>0.40999999999999659</v>
      </c>
      <c r="O222">
        <f t="shared" ca="1" si="67"/>
        <v>0.40999999999999659</v>
      </c>
      <c r="P222">
        <f t="shared" ca="1" si="68"/>
        <v>0</v>
      </c>
      <c r="Q222">
        <f t="shared" ca="1" si="72"/>
        <v>0.36325151683927909</v>
      </c>
      <c r="R222">
        <f t="shared" ca="1" si="73"/>
        <v>0.5978448680731796</v>
      </c>
      <c r="S222">
        <f t="shared" ca="1" si="70"/>
        <v>0.60760163085453645</v>
      </c>
      <c r="T222">
        <f t="shared" ca="1" si="71"/>
        <v>37.795534614602239</v>
      </c>
      <c r="U222">
        <f>70</f>
        <v>70</v>
      </c>
      <c r="V222">
        <f>30</f>
        <v>30</v>
      </c>
      <c r="W222">
        <f t="shared" ca="1" si="69"/>
        <v>165.97491038864982</v>
      </c>
      <c r="X222">
        <f t="shared" ca="1" si="79"/>
        <v>168.0879598744055</v>
      </c>
      <c r="Y222">
        <f t="shared" ca="1" si="78"/>
        <v>-2.5432437998655075</v>
      </c>
      <c r="Z222">
        <f t="shared" ca="1" si="59"/>
        <v>-2.0381556544553421</v>
      </c>
      <c r="AA222">
        <f t="shared" ca="1" si="60"/>
        <v>-0.50508814541016545</v>
      </c>
      <c r="AB222">
        <f t="shared" ca="1" si="61"/>
        <v>170.92880000000002</v>
      </c>
    </row>
    <row r="223" spans="1:28" x14ac:dyDescent="0.25">
      <c r="A223" s="20">
        <f t="shared" ca="1" si="62"/>
        <v>45607</v>
      </c>
      <c r="B223" vm="650">
        <f ca="1"/>
        <v>45611</v>
      </c>
      <c r="C223" vm="651">
        <f ca="1"/>
        <v>158.62</v>
      </c>
      <c r="D223" vm="652">
        <f ca="1"/>
        <v>9108948</v>
      </c>
      <c r="E223">
        <f t="shared" ca="1" si="63"/>
        <v>1444861331.76</v>
      </c>
      <c r="F223">
        <f ca="1">SUM($E$2:E223)/SUM($D$2:D223)</f>
        <v>170.36983438733392</v>
      </c>
      <c r="G223">
        <f ca="1">_xlfn.STDEV.P($C$2:C223)</f>
        <v>4.7951081806870137</v>
      </c>
      <c r="H223">
        <f t="shared" ca="1" si="64"/>
        <v>175.16494256802093</v>
      </c>
      <c r="I223">
        <f t="shared" ca="1" si="65"/>
        <v>165.57472620664691</v>
      </c>
      <c r="J223">
        <f t="shared" ca="1" si="74"/>
        <v>167.33099999999996</v>
      </c>
      <c r="K223">
        <f t="shared" ca="1" si="75"/>
        <v>4.1380403447449385</v>
      </c>
      <c r="L223">
        <f t="shared" ca="1" si="76"/>
        <v>175.60708068948983</v>
      </c>
      <c r="M223">
        <f t="shared" ca="1" si="77"/>
        <v>159.05491931051009</v>
      </c>
      <c r="N223">
        <f t="shared" ca="1" si="66"/>
        <v>-6.5300000000000011</v>
      </c>
      <c r="O223">
        <f t="shared" ca="1" si="67"/>
        <v>0</v>
      </c>
      <c r="P223">
        <f t="shared" ca="1" si="68"/>
        <v>6.5300000000000011</v>
      </c>
      <c r="Q223">
        <f t="shared" ca="1" si="72"/>
        <v>0.33730497992218772</v>
      </c>
      <c r="R223">
        <f t="shared" ca="1" si="73"/>
        <v>1.0215702346393811</v>
      </c>
      <c r="S223">
        <f t="shared" ca="1" si="70"/>
        <v>0.3301828581969774</v>
      </c>
      <c r="T223">
        <f t="shared" ca="1" si="71"/>
        <v>24.822366050073015</v>
      </c>
      <c r="U223">
        <f>70</f>
        <v>70</v>
      </c>
      <c r="V223">
        <f>30</f>
        <v>30</v>
      </c>
      <c r="W223">
        <f t="shared" ca="1" si="69"/>
        <v>164.84338571347291</v>
      </c>
      <c r="X223">
        <f t="shared" ca="1" si="79"/>
        <v>167.38662951333842</v>
      </c>
      <c r="Y223">
        <f t="shared" ca="1" si="78"/>
        <v>-2.8744416949673166</v>
      </c>
      <c r="Z223">
        <f t="shared" ca="1" si="59"/>
        <v>-2.2054128625577372</v>
      </c>
      <c r="AA223">
        <f t="shared" ca="1" si="60"/>
        <v>-0.66902883240957944</v>
      </c>
      <c r="AB223">
        <f t="shared" ca="1" si="61"/>
        <v>170.84760000000003</v>
      </c>
    </row>
    <row r="224" spans="1:28" x14ac:dyDescent="0.25">
      <c r="A224" s="20">
        <f t="shared" ca="1" si="62"/>
        <v>45614</v>
      </c>
      <c r="B224" vm="653">
        <f ca="1"/>
        <v>45614</v>
      </c>
      <c r="C224" vm="654">
        <f ca="1"/>
        <v>158.33000000000001</v>
      </c>
      <c r="D224" vm="655">
        <f ca="1"/>
        <v>6992040</v>
      </c>
      <c r="E224">
        <f t="shared" ca="1" si="63"/>
        <v>1107049693.2</v>
      </c>
      <c r="F224">
        <f ca="1">SUM($E$2:E224)/SUM($D$2:D224)</f>
        <v>170.30085861738235</v>
      </c>
      <c r="G224">
        <f ca="1">_xlfn.STDEV.P($C$2:C224)</f>
        <v>4.8552307798203795</v>
      </c>
      <c r="H224">
        <f t="shared" ca="1" si="64"/>
        <v>175.15608939720272</v>
      </c>
      <c r="I224">
        <f t="shared" ca="1" si="65"/>
        <v>165.44562783756197</v>
      </c>
      <c r="J224">
        <f t="shared" ca="1" si="74"/>
        <v>166.49700000000001</v>
      </c>
      <c r="K224">
        <f t="shared" ca="1" si="75"/>
        <v>4.1894857114347293</v>
      </c>
      <c r="L224">
        <f t="shared" ca="1" si="76"/>
        <v>174.87597142286947</v>
      </c>
      <c r="M224">
        <f t="shared" ca="1" si="77"/>
        <v>158.11802857713056</v>
      </c>
      <c r="N224">
        <f t="shared" ca="1" si="66"/>
        <v>-0.28999999999999204</v>
      </c>
      <c r="O224">
        <f t="shared" ca="1" si="67"/>
        <v>0</v>
      </c>
      <c r="P224">
        <f t="shared" ca="1" si="68"/>
        <v>0.28999999999999204</v>
      </c>
      <c r="Q224">
        <f t="shared" ca="1" si="72"/>
        <v>0.31321176707060289</v>
      </c>
      <c r="R224">
        <f t="shared" ca="1" si="73"/>
        <v>0.96931521787942476</v>
      </c>
      <c r="S224">
        <f t="shared" ca="1" si="70"/>
        <v>0.32312684387212826</v>
      </c>
      <c r="T224">
        <f t="shared" ca="1" si="71"/>
        <v>24.421456292618032</v>
      </c>
      <c r="U224">
        <f>70</f>
        <v>70</v>
      </c>
      <c r="V224">
        <f>30</f>
        <v>30</v>
      </c>
      <c r="W224">
        <f t="shared" ca="1" si="69"/>
        <v>163.84132637293862</v>
      </c>
      <c r="X224">
        <f t="shared" ca="1" si="79"/>
        <v>166.71576806790594</v>
      </c>
      <c r="Y224">
        <f t="shared" ca="1" si="78"/>
        <v>-3.2296031034377677</v>
      </c>
      <c r="Z224">
        <f t="shared" ca="1" si="59"/>
        <v>-2.4102509107337435</v>
      </c>
      <c r="AA224">
        <f t="shared" ca="1" si="60"/>
        <v>-0.81935219270402415</v>
      </c>
      <c r="AB224">
        <f t="shared" ca="1" si="61"/>
        <v>170.76830000000007</v>
      </c>
    </row>
    <row r="225" spans="1:28" x14ac:dyDescent="0.25">
      <c r="A225" s="20">
        <f t="shared" ca="1" si="62"/>
        <v>45614</v>
      </c>
      <c r="B225" vm="656">
        <f ca="1"/>
        <v>45615</v>
      </c>
      <c r="C225" vm="657">
        <f ca="1"/>
        <v>156.72</v>
      </c>
      <c r="D225" vm="658">
        <f ca="1"/>
        <v>8248864</v>
      </c>
      <c r="E225">
        <f t="shared" ca="1" si="63"/>
        <v>1292761966.0799999</v>
      </c>
      <c r="F225">
        <f ca="1">SUM($E$2:E225)/SUM($D$2:D225)</f>
        <v>170.20968522820272</v>
      </c>
      <c r="G225">
        <f ca="1">_xlfn.STDEV.P($C$2:C225)</f>
        <v>4.9325443872967902</v>
      </c>
      <c r="H225">
        <f t="shared" ca="1" si="64"/>
        <v>175.1422296154995</v>
      </c>
      <c r="I225">
        <f t="shared" ca="1" si="65"/>
        <v>165.27714084090593</v>
      </c>
      <c r="J225">
        <f t="shared" ca="1" si="74"/>
        <v>165.61449999999996</v>
      </c>
      <c r="K225">
        <f t="shared" ca="1" si="75"/>
        <v>4.3012451991438327</v>
      </c>
      <c r="L225">
        <f t="shared" ca="1" si="76"/>
        <v>174.21699039828763</v>
      </c>
      <c r="M225">
        <f t="shared" ca="1" si="77"/>
        <v>157.01200960171229</v>
      </c>
      <c r="N225">
        <f t="shared" ca="1" si="66"/>
        <v>-1.6100000000000136</v>
      </c>
      <c r="O225">
        <f t="shared" ca="1" si="67"/>
        <v>0</v>
      </c>
      <c r="P225">
        <f t="shared" ca="1" si="68"/>
        <v>1.6100000000000136</v>
      </c>
      <c r="Q225">
        <f t="shared" ca="1" si="72"/>
        <v>0.29083949799413128</v>
      </c>
      <c r="R225">
        <f t="shared" ca="1" si="73"/>
        <v>1.0150784166023239</v>
      </c>
      <c r="S225">
        <f t="shared" ca="1" si="70"/>
        <v>0.28651924150612013</v>
      </c>
      <c r="T225">
        <f t="shared" ca="1" si="71"/>
        <v>22.27088661112397</v>
      </c>
      <c r="U225">
        <f>70</f>
        <v>70</v>
      </c>
      <c r="V225">
        <f>30</f>
        <v>30</v>
      </c>
      <c r="W225">
        <f t="shared" ca="1" si="69"/>
        <v>162.74573770017884</v>
      </c>
      <c r="X225">
        <f t="shared" ca="1" si="79"/>
        <v>165.9753408036166</v>
      </c>
      <c r="Y225">
        <f t="shared" ca="1" si="78"/>
        <v>-3.3099192712885497</v>
      </c>
      <c r="Z225">
        <f t="shared" ca="1" si="59"/>
        <v>-2.5901845828447048</v>
      </c>
      <c r="AA225">
        <f t="shared" ca="1" si="60"/>
        <v>-0.71973468844384492</v>
      </c>
      <c r="AB225">
        <f t="shared" ca="1" si="61"/>
        <v>170.68620000000007</v>
      </c>
    </row>
    <row r="226" spans="1:28" x14ac:dyDescent="0.25">
      <c r="A226" s="20">
        <f t="shared" ca="1" si="62"/>
        <v>45614</v>
      </c>
      <c r="B226" vm="659">
        <f ca="1"/>
        <v>45616</v>
      </c>
      <c r="C226" vm="660">
        <f ca="1"/>
        <v>158.74</v>
      </c>
      <c r="D226" vm="661">
        <f ca="1"/>
        <v>5067255</v>
      </c>
      <c r="E226">
        <f t="shared" ca="1" si="63"/>
        <v>804376058.70000005</v>
      </c>
      <c r="F226">
        <f ca="1">SUM($E$2:E226)/SUM($D$2:D226)</f>
        <v>170.16257842465191</v>
      </c>
      <c r="G226">
        <f ca="1">_xlfn.STDEV.P($C$2:C226)</f>
        <v>4.984233939380168</v>
      </c>
      <c r="H226">
        <f t="shared" ca="1" si="64"/>
        <v>175.14681236403209</v>
      </c>
      <c r="I226">
        <f t="shared" ca="1" si="65"/>
        <v>165.17834448527174</v>
      </c>
      <c r="J226">
        <f t="shared" ca="1" si="74"/>
        <v>164.90399999999994</v>
      </c>
      <c r="K226">
        <f t="shared" ca="1" si="75"/>
        <v>4.198160499426784</v>
      </c>
      <c r="L226">
        <f t="shared" ca="1" si="76"/>
        <v>173.30032099885352</v>
      </c>
      <c r="M226">
        <f t="shared" ca="1" si="77"/>
        <v>156.50767900114636</v>
      </c>
      <c r="N226">
        <f t="shared" ca="1" si="66"/>
        <v>2.0200000000000102</v>
      </c>
      <c r="O226">
        <f t="shared" ca="1" si="67"/>
        <v>2.0200000000000102</v>
      </c>
      <c r="P226">
        <f t="shared" ca="1" si="68"/>
        <v>0</v>
      </c>
      <c r="Q226">
        <f t="shared" ca="1" si="72"/>
        <v>0.41435096242312264</v>
      </c>
      <c r="R226">
        <f t="shared" ca="1" si="73"/>
        <v>0.94257281541644367</v>
      </c>
      <c r="S226">
        <f t="shared" ca="1" si="70"/>
        <v>0.43959570618430766</v>
      </c>
      <c r="T226">
        <f t="shared" ca="1" si="71"/>
        <v>30.536052885950141</v>
      </c>
      <c r="U226">
        <f>70</f>
        <v>70</v>
      </c>
      <c r="V226">
        <f>30</f>
        <v>30</v>
      </c>
      <c r="W226">
        <f t="shared" ca="1" si="69"/>
        <v>162.12947036168978</v>
      </c>
      <c r="X226">
        <f t="shared" ca="1" si="79"/>
        <v>165.43938963297833</v>
      </c>
      <c r="Y226">
        <f t="shared" ca="1" si="78"/>
        <v>-3.2074898384504138</v>
      </c>
      <c r="Z226">
        <f t="shared" ca="1" si="59"/>
        <v>-2.713645633965847</v>
      </c>
      <c r="AA226">
        <f t="shared" ca="1" si="60"/>
        <v>-0.49384420448456678</v>
      </c>
      <c r="AB226">
        <f t="shared" ca="1" si="61"/>
        <v>170.64470000000006</v>
      </c>
    </row>
    <row r="227" spans="1:28" x14ac:dyDescent="0.25">
      <c r="A227" s="20">
        <f t="shared" ca="1" si="62"/>
        <v>45614</v>
      </c>
      <c r="B227" vm="662">
        <f ca="1"/>
        <v>45617</v>
      </c>
      <c r="C227" vm="663">
        <f ca="1"/>
        <v>160.34</v>
      </c>
      <c r="D227" vm="664">
        <f ca="1"/>
        <v>5976987</v>
      </c>
      <c r="E227">
        <f t="shared" ca="1" si="63"/>
        <v>958350095.58000004</v>
      </c>
      <c r="F227">
        <f ca="1">SUM($E$2:E227)/SUM($D$2:D227)</f>
        <v>170.11522314907373</v>
      </c>
      <c r="G227">
        <f ca="1">_xlfn.STDEV.P($C$2:C227)</f>
        <v>5.0189870941426813</v>
      </c>
      <c r="H227">
        <f t="shared" ca="1" si="64"/>
        <v>175.13421024321642</v>
      </c>
      <c r="I227">
        <f t="shared" ca="1" si="65"/>
        <v>165.09623605493104</v>
      </c>
      <c r="J227">
        <f t="shared" ca="1" si="74"/>
        <v>164.31299999999996</v>
      </c>
      <c r="K227">
        <f t="shared" ca="1" si="75"/>
        <v>3.9474270100915083</v>
      </c>
      <c r="L227">
        <f t="shared" ca="1" si="76"/>
        <v>172.20785402018296</v>
      </c>
      <c r="M227">
        <f t="shared" ca="1" si="77"/>
        <v>156.41814597981696</v>
      </c>
      <c r="N227">
        <f t="shared" ca="1" si="66"/>
        <v>1.5999999999999943</v>
      </c>
      <c r="O227">
        <f t="shared" ca="1" si="67"/>
        <v>1.5999999999999943</v>
      </c>
      <c r="P227">
        <f t="shared" ca="1" si="68"/>
        <v>0</v>
      </c>
      <c r="Q227">
        <f t="shared" ca="1" si="72"/>
        <v>0.49904017939289919</v>
      </c>
      <c r="R227">
        <f t="shared" ca="1" si="73"/>
        <v>0.8752461857438405</v>
      </c>
      <c r="S227">
        <f t="shared" ca="1" si="70"/>
        <v>0.57017121299281381</v>
      </c>
      <c r="T227">
        <f t="shared" ca="1" si="71"/>
        <v>36.312677768817515</v>
      </c>
      <c r="U227">
        <f>70</f>
        <v>70</v>
      </c>
      <c r="V227">
        <f>30</f>
        <v>30</v>
      </c>
      <c r="W227">
        <f t="shared" ca="1" si="69"/>
        <v>161.85416722912211</v>
      </c>
      <c r="X227">
        <f t="shared" ca="1" si="79"/>
        <v>165.06165706757253</v>
      </c>
      <c r="Y227">
        <f t="shared" ca="1" si="78"/>
        <v>-2.9582646151333165</v>
      </c>
      <c r="Z227">
        <f t="shared" ca="1" si="59"/>
        <v>-2.7625694301993411</v>
      </c>
      <c r="AA227">
        <f t="shared" ca="1" si="60"/>
        <v>-0.19569518493397542</v>
      </c>
      <c r="AB227">
        <f t="shared" ca="1" si="61"/>
        <v>170.61230000000006</v>
      </c>
    </row>
    <row r="228" spans="1:28" x14ac:dyDescent="0.25">
      <c r="A228" s="20">
        <f t="shared" ca="1" si="62"/>
        <v>45614</v>
      </c>
      <c r="B228" vm="665">
        <f ca="1"/>
        <v>45618</v>
      </c>
      <c r="C228" vm="666">
        <f ca="1"/>
        <v>162</v>
      </c>
      <c r="D228" vm="667">
        <f ca="1"/>
        <v>5846256</v>
      </c>
      <c r="E228">
        <f t="shared" ca="1" si="63"/>
        <v>947093472</v>
      </c>
      <c r="F228">
        <f ca="1">SUM($E$2:E228)/SUM($D$2:D228)</f>
        <v>170.07713448899239</v>
      </c>
      <c r="G228">
        <f ca="1">_xlfn.STDEV.P($C$2:C228)</f>
        <v>5.0393589817555871</v>
      </c>
      <c r="H228">
        <f t="shared" ca="1" si="64"/>
        <v>175.11649347074797</v>
      </c>
      <c r="I228">
        <f t="shared" ca="1" si="65"/>
        <v>165.0377755072368</v>
      </c>
      <c r="J228">
        <f t="shared" ca="1" si="74"/>
        <v>163.82349999999997</v>
      </c>
      <c r="K228">
        <f t="shared" ca="1" si="75"/>
        <v>3.5593735034191196</v>
      </c>
      <c r="L228">
        <f t="shared" ca="1" si="76"/>
        <v>170.94224700683822</v>
      </c>
      <c r="M228">
        <f t="shared" ca="1" si="77"/>
        <v>156.70475299316172</v>
      </c>
      <c r="N228">
        <f t="shared" ca="1" si="66"/>
        <v>1.6599999999999966</v>
      </c>
      <c r="O228">
        <f t="shared" ca="1" si="67"/>
        <v>1.6599999999999966</v>
      </c>
      <c r="P228">
        <f t="shared" ca="1" si="68"/>
        <v>0</v>
      </c>
      <c r="Q228">
        <f t="shared" ca="1" si="72"/>
        <v>0.58196588086483469</v>
      </c>
      <c r="R228">
        <f t="shared" ca="1" si="73"/>
        <v>0.81272860104785194</v>
      </c>
      <c r="S228">
        <f t="shared" ca="1" si="70"/>
        <v>0.71606423117693341</v>
      </c>
      <c r="T228">
        <f t="shared" ca="1" si="71"/>
        <v>41.727122922772708</v>
      </c>
      <c r="U228">
        <f>70</f>
        <v>70</v>
      </c>
      <c r="V228">
        <f>30</f>
        <v>30</v>
      </c>
      <c r="W228">
        <f t="shared" ca="1" si="69"/>
        <v>161.87660304002642</v>
      </c>
      <c r="X228">
        <f t="shared" ca="1" si="79"/>
        <v>164.83486765515974</v>
      </c>
      <c r="Y228">
        <f t="shared" ca="1" si="78"/>
        <v>-2.6455295870059103</v>
      </c>
      <c r="Z228">
        <f t="shared" ca="1" si="59"/>
        <v>-2.7391614615606552</v>
      </c>
      <c r="AA228">
        <f t="shared" ca="1" si="60"/>
        <v>9.3631874554744865E-2</v>
      </c>
      <c r="AB228">
        <f t="shared" ca="1" si="61"/>
        <v>170.60630000000003</v>
      </c>
    </row>
    <row r="229" spans="1:28" x14ac:dyDescent="0.25">
      <c r="A229" s="20">
        <f t="shared" ca="1" si="62"/>
        <v>45621</v>
      </c>
      <c r="B229" vm="668">
        <f ca="1"/>
        <v>45621</v>
      </c>
      <c r="C229" vm="137">
        <f ca="1"/>
        <v>163.05000000000001</v>
      </c>
      <c r="D229" vm="669">
        <f ca="1"/>
        <v>8580393</v>
      </c>
      <c r="E229">
        <f t="shared" ca="1" si="63"/>
        <v>1399033078.6500001</v>
      </c>
      <c r="F229">
        <f ca="1">SUM($E$2:E229)/SUM($D$2:D229)</f>
        <v>170.02905924854002</v>
      </c>
      <c r="G229">
        <f ca="1">_xlfn.STDEV.P($C$2:C229)</f>
        <v>5.0520119463119508</v>
      </c>
      <c r="H229">
        <f t="shared" ca="1" si="64"/>
        <v>175.08107119485197</v>
      </c>
      <c r="I229">
        <f t="shared" ca="1" si="65"/>
        <v>164.97704730222807</v>
      </c>
      <c r="J229">
        <f t="shared" ca="1" si="74"/>
        <v>163.48400000000001</v>
      </c>
      <c r="K229">
        <f t="shared" ca="1" si="75"/>
        <v>3.2671287893677814</v>
      </c>
      <c r="L229">
        <f t="shared" ca="1" si="76"/>
        <v>170.01825757873559</v>
      </c>
      <c r="M229">
        <f t="shared" ca="1" si="77"/>
        <v>156.94974242126443</v>
      </c>
      <c r="N229">
        <f t="shared" ca="1" si="66"/>
        <v>1.0500000000000114</v>
      </c>
      <c r="O229">
        <f t="shared" ca="1" si="67"/>
        <v>1.0500000000000114</v>
      </c>
      <c r="P229">
        <f t="shared" ca="1" si="68"/>
        <v>0</v>
      </c>
      <c r="Q229">
        <f t="shared" ca="1" si="72"/>
        <v>0.61539688937449022</v>
      </c>
      <c r="R229">
        <f t="shared" ca="1" si="73"/>
        <v>0.75467655811586254</v>
      </c>
      <c r="S229">
        <f t="shared" ca="1" si="70"/>
        <v>0.8154445540363674</v>
      </c>
      <c r="T229">
        <f t="shared" ca="1" si="71"/>
        <v>44.917072913262444</v>
      </c>
      <c r="U229">
        <f>70</f>
        <v>70</v>
      </c>
      <c r="V229">
        <f>30</f>
        <v>30</v>
      </c>
      <c r="W229">
        <f t="shared" ca="1" si="69"/>
        <v>162.05712564925312</v>
      </c>
      <c r="X229">
        <f t="shared" ca="1" si="79"/>
        <v>164.70265523625903</v>
      </c>
      <c r="Y229">
        <f t="shared" ca="1" si="78"/>
        <v>-2.4413579314986009</v>
      </c>
      <c r="Z229">
        <f t="shared" ca="1" si="59"/>
        <v>-2.6796007555482442</v>
      </c>
      <c r="AA229">
        <f t="shared" ca="1" si="60"/>
        <v>0.23824282404964325</v>
      </c>
      <c r="AB229">
        <f t="shared" ca="1" si="61"/>
        <v>170.59290000000001</v>
      </c>
    </row>
    <row r="230" spans="1:28" x14ac:dyDescent="0.25">
      <c r="A230" s="20">
        <f t="shared" ca="1" si="62"/>
        <v>45621</v>
      </c>
      <c r="B230" vm="670">
        <f ca="1"/>
        <v>45622</v>
      </c>
      <c r="C230" vm="671">
        <f ca="1"/>
        <v>162.16</v>
      </c>
      <c r="D230" vm="672">
        <f ca="1"/>
        <v>4653842</v>
      </c>
      <c r="E230">
        <f t="shared" ca="1" si="63"/>
        <v>754667018.72000003</v>
      </c>
      <c r="F230">
        <f ca="1">SUM($E$2:E230)/SUM($D$2:D230)</f>
        <v>169.99996802777363</v>
      </c>
      <c r="G230">
        <f ca="1">_xlfn.STDEV.P($C$2:C230)</f>
        <v>5.0702831465971334</v>
      </c>
      <c r="H230">
        <f t="shared" ca="1" si="64"/>
        <v>175.07025117437075</v>
      </c>
      <c r="I230">
        <f t="shared" ca="1" si="65"/>
        <v>164.92968488117651</v>
      </c>
      <c r="J230">
        <f t="shared" ca="1" si="74"/>
        <v>163.21700000000001</v>
      </c>
      <c r="K230">
        <f t="shared" ca="1" si="75"/>
        <v>3.1372752173619838</v>
      </c>
      <c r="L230">
        <f t="shared" ca="1" si="76"/>
        <v>169.49155043472399</v>
      </c>
      <c r="M230">
        <f t="shared" ca="1" si="77"/>
        <v>156.94244956527604</v>
      </c>
      <c r="N230">
        <f t="shared" ca="1" si="66"/>
        <v>-0.89000000000001478</v>
      </c>
      <c r="O230">
        <f t="shared" ca="1" si="67"/>
        <v>0</v>
      </c>
      <c r="P230">
        <f t="shared" ca="1" si="68"/>
        <v>0.89000000000001478</v>
      </c>
      <c r="Q230">
        <f t="shared" ca="1" si="72"/>
        <v>0.57143996870488378</v>
      </c>
      <c r="R230">
        <f t="shared" ca="1" si="73"/>
        <v>0.76434251825044475</v>
      </c>
      <c r="S230">
        <f t="shared" ca="1" si="70"/>
        <v>0.7476228981908416</v>
      </c>
      <c r="T230">
        <f t="shared" ca="1" si="71"/>
        <v>42.77941762864225</v>
      </c>
      <c r="U230">
        <f>70</f>
        <v>70</v>
      </c>
      <c r="V230">
        <f>30</f>
        <v>30</v>
      </c>
      <c r="W230">
        <f t="shared" ca="1" si="69"/>
        <v>162.07295247244494</v>
      </c>
      <c r="X230">
        <f t="shared" ca="1" si="79"/>
        <v>164.51431040394354</v>
      </c>
      <c r="Y230">
        <f t="shared" ca="1" si="78"/>
        <v>-2.2089002762550081</v>
      </c>
      <c r="Z230">
        <f t="shared" ref="Z230:Z293" ca="1" si="80">Y230*(2/(9+1)) + Z229*(1-(2/(9+1)))</f>
        <v>-2.585460659689597</v>
      </c>
      <c r="AA230">
        <f t="shared" ref="AA230:AA293" ca="1" si="81">Y230-Z230</f>
        <v>0.37656038343458897</v>
      </c>
      <c r="AB230">
        <f t="shared" ref="AB230:AB293" ca="1" si="82">AVERAGE(C131:C230)</f>
        <v>170.59329999999997</v>
      </c>
    </row>
    <row r="231" spans="1:28" x14ac:dyDescent="0.25">
      <c r="A231" s="20">
        <f t="shared" ca="1" si="62"/>
        <v>45621</v>
      </c>
      <c r="B231" vm="673">
        <f ca="1"/>
        <v>45623</v>
      </c>
      <c r="C231" vm="674">
        <f ca="1"/>
        <v>162.72</v>
      </c>
      <c r="D231" vm="675">
        <f ca="1"/>
        <v>3622893</v>
      </c>
      <c r="E231">
        <f t="shared" ca="1" si="63"/>
        <v>589517148.96000004</v>
      </c>
      <c r="F231">
        <f ca="1">SUM($E$2:E231)/SUM($D$2:D231)</f>
        <v>169.97907677933682</v>
      </c>
      <c r="G231">
        <f ca="1">_xlfn.STDEV.P($C$2:C231)</f>
        <v>5.0842938384340766</v>
      </c>
      <c r="H231">
        <f t="shared" ca="1" si="64"/>
        <v>175.06337061777089</v>
      </c>
      <c r="I231">
        <f t="shared" ca="1" si="65"/>
        <v>164.89478294090276</v>
      </c>
      <c r="J231">
        <f t="shared" ca="1" si="74"/>
        <v>163.04249999999999</v>
      </c>
      <c r="K231">
        <f t="shared" ca="1" si="75"/>
        <v>3.0580986094734017</v>
      </c>
      <c r="L231">
        <f t="shared" ca="1" si="76"/>
        <v>169.1586972189468</v>
      </c>
      <c r="M231">
        <f t="shared" ca="1" si="77"/>
        <v>156.92630278105318</v>
      </c>
      <c r="N231">
        <f t="shared" ca="1" si="66"/>
        <v>0.56000000000000227</v>
      </c>
      <c r="O231">
        <f t="shared" ca="1" si="67"/>
        <v>0.56000000000000227</v>
      </c>
      <c r="P231">
        <f t="shared" ca="1" si="68"/>
        <v>0</v>
      </c>
      <c r="Q231">
        <f t="shared" ca="1" si="72"/>
        <v>0.57062282808310649</v>
      </c>
      <c r="R231">
        <f t="shared" ca="1" si="73"/>
        <v>0.70974662408969869</v>
      </c>
      <c r="S231">
        <f t="shared" ca="1" si="70"/>
        <v>0.80398103874741422</v>
      </c>
      <c r="T231">
        <f t="shared" ca="1" si="71"/>
        <v>44.567044856838109</v>
      </c>
      <c r="U231">
        <f>70</f>
        <v>70</v>
      </c>
      <c r="V231">
        <f>30</f>
        <v>30</v>
      </c>
      <c r="W231">
        <f t="shared" ca="1" si="69"/>
        <v>162.17249824591494</v>
      </c>
      <c r="X231">
        <f t="shared" ca="1" si="79"/>
        <v>164.38139852216995</v>
      </c>
      <c r="Y231">
        <f t="shared" ca="1" si="78"/>
        <v>-1.9433690617335913</v>
      </c>
      <c r="Z231">
        <f t="shared" ca="1" si="80"/>
        <v>-2.4570423400983961</v>
      </c>
      <c r="AA231">
        <f t="shared" ca="1" si="81"/>
        <v>0.51367327836480481</v>
      </c>
      <c r="AB231">
        <f t="shared" ca="1" si="82"/>
        <v>170.60149999999999</v>
      </c>
    </row>
    <row r="232" spans="1:28" x14ac:dyDescent="0.25">
      <c r="A232" s="20">
        <f t="shared" ca="1" si="62"/>
        <v>45621</v>
      </c>
      <c r="B232" vm="676">
        <f ca="1"/>
        <v>45625</v>
      </c>
      <c r="C232" vm="677">
        <f ca="1"/>
        <v>163.44999999999999</v>
      </c>
      <c r="D232" vm="678">
        <f ca="1"/>
        <v>2799312</v>
      </c>
      <c r="E232">
        <f t="shared" ca="1" si="63"/>
        <v>457547546.39999998</v>
      </c>
      <c r="F232">
        <f ca="1">SUM($E$2:E232)/SUM($D$2:D232)</f>
        <v>169.9646316782044</v>
      </c>
      <c r="G232">
        <f ca="1">_xlfn.STDEV.P($C$2:C232)</f>
        <v>5.0934460662668704</v>
      </c>
      <c r="H232">
        <f t="shared" ca="1" si="64"/>
        <v>175.05807774447126</v>
      </c>
      <c r="I232">
        <f t="shared" ca="1" si="65"/>
        <v>164.87118561193753</v>
      </c>
      <c r="J232">
        <f t="shared" ca="1" si="74"/>
        <v>162.911</v>
      </c>
      <c r="K232">
        <f t="shared" ca="1" si="75"/>
        <v>2.9760551423866981</v>
      </c>
      <c r="L232">
        <f t="shared" ca="1" si="76"/>
        <v>168.8631102847734</v>
      </c>
      <c r="M232">
        <f t="shared" ca="1" si="77"/>
        <v>156.9588897152266</v>
      </c>
      <c r="N232">
        <f t="shared" ca="1" si="66"/>
        <v>0.72999999999998977</v>
      </c>
      <c r="O232">
        <f t="shared" ca="1" si="67"/>
        <v>0.72999999999998977</v>
      </c>
      <c r="P232">
        <f t="shared" ca="1" si="68"/>
        <v>0</v>
      </c>
      <c r="Q232">
        <f t="shared" ca="1" si="72"/>
        <v>0.58200691179145536</v>
      </c>
      <c r="R232">
        <f t="shared" ca="1" si="73"/>
        <v>0.65905043665472018</v>
      </c>
      <c r="S232">
        <f t="shared" ca="1" si="70"/>
        <v>0.88309919760567834</v>
      </c>
      <c r="T232">
        <f t="shared" ca="1" si="71"/>
        <v>46.896052992243888</v>
      </c>
      <c r="U232">
        <f>70</f>
        <v>70</v>
      </c>
      <c r="V232">
        <f>30</f>
        <v>30</v>
      </c>
      <c r="W232">
        <f t="shared" ca="1" si="69"/>
        <v>162.36903697731265</v>
      </c>
      <c r="X232">
        <f t="shared" ca="1" si="79"/>
        <v>164.31240603904624</v>
      </c>
      <c r="Y232">
        <f t="shared" ca="1" si="78"/>
        <v>-1.7450939613338505</v>
      </c>
      <c r="Z232">
        <f t="shared" ca="1" si="80"/>
        <v>-2.3146526643454872</v>
      </c>
      <c r="AA232">
        <f t="shared" ca="1" si="81"/>
        <v>0.56955870301163669</v>
      </c>
      <c r="AB232">
        <f t="shared" ca="1" si="82"/>
        <v>170.6001</v>
      </c>
    </row>
    <row r="233" spans="1:28" x14ac:dyDescent="0.25">
      <c r="A233" s="20">
        <f t="shared" ca="1" si="62"/>
        <v>45628</v>
      </c>
      <c r="B233" vm="679">
        <f ca="1"/>
        <v>45628</v>
      </c>
      <c r="C233" vm="137">
        <f ca="1"/>
        <v>163.05000000000001</v>
      </c>
      <c r="D233" vm="680">
        <f ca="1"/>
        <v>4967612</v>
      </c>
      <c r="E233">
        <f t="shared" ca="1" si="63"/>
        <v>809969136.60000002</v>
      </c>
      <c r="F233">
        <f ca="1">SUM($E$2:E233)/SUM($D$2:D233)</f>
        <v>169.93759007324442</v>
      </c>
      <c r="G233">
        <f ca="1">_xlfn.STDEV.P($C$2:C233)</f>
        <v>5.1047080558285396</v>
      </c>
      <c r="H233">
        <f t="shared" ca="1" si="64"/>
        <v>175.04229812907298</v>
      </c>
      <c r="I233">
        <f t="shared" ca="1" si="65"/>
        <v>164.83288201741587</v>
      </c>
      <c r="J233">
        <f t="shared" ca="1" si="74"/>
        <v>162.78399999999999</v>
      </c>
      <c r="K233">
        <f t="shared" ca="1" si="75"/>
        <v>2.90915867744032</v>
      </c>
      <c r="L233">
        <f t="shared" ca="1" si="76"/>
        <v>168.60231735488063</v>
      </c>
      <c r="M233">
        <f t="shared" ca="1" si="77"/>
        <v>156.96568264511936</v>
      </c>
      <c r="N233">
        <f t="shared" ca="1" si="66"/>
        <v>-0.39999999999997726</v>
      </c>
      <c r="O233">
        <f t="shared" ca="1" si="67"/>
        <v>0</v>
      </c>
      <c r="P233">
        <f t="shared" ca="1" si="68"/>
        <v>0.39999999999997726</v>
      </c>
      <c r="Q233">
        <f t="shared" ca="1" si="72"/>
        <v>0.54043498952063707</v>
      </c>
      <c r="R233">
        <f t="shared" ca="1" si="73"/>
        <v>0.64054683403652424</v>
      </c>
      <c r="S233">
        <f t="shared" ca="1" si="70"/>
        <v>0.84370878256471293</v>
      </c>
      <c r="T233">
        <f t="shared" ca="1" si="71"/>
        <v>45.76149935083901</v>
      </c>
      <c r="U233">
        <f>70</f>
        <v>70</v>
      </c>
      <c r="V233">
        <f>30</f>
        <v>30</v>
      </c>
      <c r="W233">
        <f t="shared" ca="1" si="69"/>
        <v>162.47380051926453</v>
      </c>
      <c r="X233">
        <f t="shared" ca="1" si="79"/>
        <v>164.21889448059838</v>
      </c>
      <c r="Y233">
        <f t="shared" ca="1" si="78"/>
        <v>-1.6775554187262571</v>
      </c>
      <c r="Z233">
        <f t="shared" ca="1" si="80"/>
        <v>-2.1872332152216414</v>
      </c>
      <c r="AA233">
        <f t="shared" ca="1" si="81"/>
        <v>0.50967779649538425</v>
      </c>
      <c r="AB233">
        <f t="shared" ca="1" si="82"/>
        <v>170.59110000000001</v>
      </c>
    </row>
    <row r="234" spans="1:28" x14ac:dyDescent="0.25">
      <c r="A234" s="20">
        <f t="shared" ca="1" si="62"/>
        <v>45628</v>
      </c>
      <c r="B234" vm="681">
        <f ca="1"/>
        <v>45629</v>
      </c>
      <c r="C234" vm="682">
        <f ca="1"/>
        <v>161.69999999999999</v>
      </c>
      <c r="D234" vm="683">
        <f ca="1"/>
        <v>4277392</v>
      </c>
      <c r="E234">
        <f t="shared" ca="1" si="63"/>
        <v>691654286.39999998</v>
      </c>
      <c r="F234">
        <f ca="1">SUM($E$2:E234)/SUM($D$2:D234)</f>
        <v>169.90994390239678</v>
      </c>
      <c r="G234">
        <f ca="1">_xlfn.STDEV.P($C$2:C234)</f>
        <v>5.124573504761428</v>
      </c>
      <c r="H234">
        <f t="shared" ca="1" si="64"/>
        <v>175.03451740715821</v>
      </c>
      <c r="I234">
        <f t="shared" ca="1" si="65"/>
        <v>164.78537039763535</v>
      </c>
      <c r="J234">
        <f t="shared" ca="1" si="74"/>
        <v>162.55199999999999</v>
      </c>
      <c r="K234">
        <f t="shared" ca="1" si="75"/>
        <v>2.7933597955452165</v>
      </c>
      <c r="L234">
        <f t="shared" ca="1" si="76"/>
        <v>168.13871959109042</v>
      </c>
      <c r="M234">
        <f t="shared" ca="1" si="77"/>
        <v>156.96528040890956</v>
      </c>
      <c r="N234">
        <f t="shared" ca="1" si="66"/>
        <v>-1.3500000000000227</v>
      </c>
      <c r="O234">
        <f t="shared" ca="1" si="67"/>
        <v>0</v>
      </c>
      <c r="P234">
        <f t="shared" ca="1" si="68"/>
        <v>1.3500000000000227</v>
      </c>
      <c r="Q234">
        <f t="shared" ca="1" si="72"/>
        <v>0.50183249026916299</v>
      </c>
      <c r="R234">
        <f t="shared" ca="1" si="73"/>
        <v>0.69122206017677412</v>
      </c>
      <c r="S234">
        <f t="shared" ca="1" si="70"/>
        <v>0.72600763080510422</v>
      </c>
      <c r="T234">
        <f t="shared" ca="1" si="71"/>
        <v>42.062828567360079</v>
      </c>
      <c r="U234">
        <f>70</f>
        <v>70</v>
      </c>
      <c r="V234">
        <f>30</f>
        <v>30</v>
      </c>
      <c r="W234">
        <f t="shared" ca="1" si="69"/>
        <v>162.35475428553153</v>
      </c>
      <c r="X234">
        <f t="shared" ca="1" si="79"/>
        <v>164.03230970425778</v>
      </c>
      <c r="Y234">
        <f t="shared" ca="1" si="78"/>
        <v>-1.7267767267262855</v>
      </c>
      <c r="Z234">
        <f t="shared" ca="1" si="80"/>
        <v>-2.0951419175225703</v>
      </c>
      <c r="AA234">
        <f t="shared" ca="1" si="81"/>
        <v>0.36836519079628482</v>
      </c>
      <c r="AB234">
        <f t="shared" ca="1" si="82"/>
        <v>170.54429999999999</v>
      </c>
    </row>
    <row r="235" spans="1:28" x14ac:dyDescent="0.25">
      <c r="A235" s="20">
        <f t="shared" ca="1" si="62"/>
        <v>45628</v>
      </c>
      <c r="B235" vm="684">
        <f ca="1"/>
        <v>45630</v>
      </c>
      <c r="C235" vm="685">
        <f ca="1"/>
        <v>160.18</v>
      </c>
      <c r="D235" vm="686">
        <f ca="1"/>
        <v>6964605</v>
      </c>
      <c r="E235">
        <f t="shared" ca="1" si="63"/>
        <v>1115590428.9000001</v>
      </c>
      <c r="F235">
        <f ca="1">SUM($E$2:E235)/SUM($D$2:D235)</f>
        <v>169.85706336821954</v>
      </c>
      <c r="G235">
        <f ca="1">_xlfn.STDEV.P($C$2:C235)</f>
        <v>5.1556250358410161</v>
      </c>
      <c r="H235">
        <f t="shared" ca="1" si="64"/>
        <v>175.01268840406055</v>
      </c>
      <c r="I235">
        <f t="shared" ca="1" si="65"/>
        <v>164.70143833237853</v>
      </c>
      <c r="J235">
        <f t="shared" ca="1" si="74"/>
        <v>162.16849999999999</v>
      </c>
      <c r="K235">
        <f t="shared" ca="1" si="75"/>
        <v>2.5430033528549618</v>
      </c>
      <c r="L235">
        <f t="shared" ca="1" si="76"/>
        <v>167.25450670570993</v>
      </c>
      <c r="M235">
        <f t="shared" ca="1" si="77"/>
        <v>157.08249329429006</v>
      </c>
      <c r="N235">
        <f t="shared" ca="1" si="66"/>
        <v>-1.5199999999999818</v>
      </c>
      <c r="O235">
        <f t="shared" ca="1" si="67"/>
        <v>0</v>
      </c>
      <c r="P235">
        <f t="shared" ca="1" si="68"/>
        <v>1.5199999999999818</v>
      </c>
      <c r="Q235">
        <f t="shared" ca="1" si="72"/>
        <v>0.46598731239279417</v>
      </c>
      <c r="R235">
        <f t="shared" ca="1" si="73"/>
        <v>0.75042048444986043</v>
      </c>
      <c r="S235">
        <f t="shared" ca="1" si="70"/>
        <v>0.62096827318674996</v>
      </c>
      <c r="T235">
        <f t="shared" ca="1" si="71"/>
        <v>38.308477930043296</v>
      </c>
      <c r="U235">
        <f>70</f>
        <v>70</v>
      </c>
      <c r="V235">
        <f>30</f>
        <v>30</v>
      </c>
      <c r="W235">
        <f t="shared" ca="1" si="69"/>
        <v>162.02017670314206</v>
      </c>
      <c r="X235">
        <f t="shared" ca="1" si="79"/>
        <v>163.74695342986834</v>
      </c>
      <c r="Y235">
        <f t="shared" ca="1" si="78"/>
        <v>-1.7209327175898181</v>
      </c>
      <c r="Z235">
        <f t="shared" ca="1" si="80"/>
        <v>-2.02030007753602</v>
      </c>
      <c r="AA235">
        <f t="shared" ca="1" si="81"/>
        <v>0.29936735994620189</v>
      </c>
      <c r="AB235">
        <f t="shared" ca="1" si="82"/>
        <v>170.50749999999999</v>
      </c>
    </row>
    <row r="236" spans="1:28" x14ac:dyDescent="0.25">
      <c r="A236" s="20">
        <f t="shared" ca="1" si="62"/>
        <v>45628</v>
      </c>
      <c r="B236" vm="687">
        <f ca="1"/>
        <v>45631</v>
      </c>
      <c r="C236" vm="688">
        <f ca="1"/>
        <v>160.49</v>
      </c>
      <c r="D236" vm="689">
        <f ca="1"/>
        <v>5229646</v>
      </c>
      <c r="E236">
        <f t="shared" ca="1" si="63"/>
        <v>839305886.54000008</v>
      </c>
      <c r="F236">
        <f ca="1">SUM($E$2:E236)/SUM($D$2:D236)</f>
        <v>169.81899221523651</v>
      </c>
      <c r="G236">
        <f ca="1">_xlfn.STDEV.P($C$2:C236)</f>
        <v>5.1833753375134588</v>
      </c>
      <c r="H236">
        <f t="shared" ca="1" si="64"/>
        <v>175.00236755274997</v>
      </c>
      <c r="I236">
        <f t="shared" ca="1" si="65"/>
        <v>164.63561687772304</v>
      </c>
      <c r="J236">
        <f t="shared" ca="1" si="74"/>
        <v>161.95749999999998</v>
      </c>
      <c r="K236">
        <f t="shared" ca="1" si="75"/>
        <v>2.4956612350236957</v>
      </c>
      <c r="L236">
        <f t="shared" ca="1" si="76"/>
        <v>166.94882247004736</v>
      </c>
      <c r="M236">
        <f t="shared" ca="1" si="77"/>
        <v>156.9661775299526</v>
      </c>
      <c r="N236">
        <f t="shared" ca="1" si="66"/>
        <v>0.31000000000000227</v>
      </c>
      <c r="O236">
        <f t="shared" ca="1" si="67"/>
        <v>0.31000000000000227</v>
      </c>
      <c r="P236">
        <f t="shared" ca="1" si="68"/>
        <v>0</v>
      </c>
      <c r="Q236">
        <f t="shared" ca="1" si="72"/>
        <v>0.45484536150759475</v>
      </c>
      <c r="R236">
        <f t="shared" ca="1" si="73"/>
        <v>0.69681902127487039</v>
      </c>
      <c r="S236">
        <f t="shared" ca="1" si="70"/>
        <v>0.65274532930434226</v>
      </c>
      <c r="T236">
        <f t="shared" ca="1" si="71"/>
        <v>39.494610435782604</v>
      </c>
      <c r="U236">
        <f>70</f>
        <v>70</v>
      </c>
      <c r="V236">
        <f>30</f>
        <v>30</v>
      </c>
      <c r="W236">
        <f t="shared" ca="1" si="69"/>
        <v>161.78476490265865</v>
      </c>
      <c r="X236">
        <f t="shared" ca="1" si="79"/>
        <v>163.50569762024847</v>
      </c>
      <c r="Y236">
        <f t="shared" ca="1" si="78"/>
        <v>-1.912126924476155</v>
      </c>
      <c r="Z236">
        <f t="shared" ca="1" si="80"/>
        <v>-1.9986654469240472</v>
      </c>
      <c r="AA236">
        <f t="shared" ca="1" si="81"/>
        <v>8.6538522447892285E-2</v>
      </c>
      <c r="AB236">
        <f t="shared" ca="1" si="82"/>
        <v>170.4648</v>
      </c>
    </row>
    <row r="237" spans="1:28" x14ac:dyDescent="0.25">
      <c r="A237" s="20">
        <f t="shared" ca="1" si="62"/>
        <v>45628</v>
      </c>
      <c r="B237" vm="690">
        <f ca="1"/>
        <v>45632</v>
      </c>
      <c r="C237" vm="691">
        <f ca="1"/>
        <v>157.79</v>
      </c>
      <c r="D237" vm="692">
        <f ca="1"/>
        <v>8359166</v>
      </c>
      <c r="E237">
        <f t="shared" ca="1" si="63"/>
        <v>1318992803.1399999</v>
      </c>
      <c r="F237">
        <f ca="1">SUM($E$2:E237)/SUM($D$2:D237)</f>
        <v>169.74134959568696</v>
      </c>
      <c r="G237">
        <f ca="1">_xlfn.STDEV.P($C$2:C237)</f>
        <v>5.2344703425417514</v>
      </c>
      <c r="H237">
        <f t="shared" ca="1" si="64"/>
        <v>174.97581993822871</v>
      </c>
      <c r="I237">
        <f t="shared" ca="1" si="65"/>
        <v>164.5068792531452</v>
      </c>
      <c r="J237">
        <f t="shared" ca="1" si="74"/>
        <v>161.64699999999999</v>
      </c>
      <c r="K237">
        <f t="shared" ca="1" si="75"/>
        <v>2.6117771727312427</v>
      </c>
      <c r="L237">
        <f t="shared" ca="1" si="76"/>
        <v>166.87055434546247</v>
      </c>
      <c r="M237">
        <f t="shared" ca="1" si="77"/>
        <v>156.42344565453752</v>
      </c>
      <c r="N237">
        <f t="shared" ca="1" si="66"/>
        <v>-2.7000000000000171</v>
      </c>
      <c r="O237">
        <f t="shared" ca="1" si="67"/>
        <v>0</v>
      </c>
      <c r="P237">
        <f t="shared" ca="1" si="68"/>
        <v>2.7000000000000171</v>
      </c>
      <c r="Q237">
        <f t="shared" ca="1" si="72"/>
        <v>0.42235640711419509</v>
      </c>
      <c r="R237">
        <f t="shared" ca="1" si="73"/>
        <v>0.83990337689809513</v>
      </c>
      <c r="S237">
        <f t="shared" ca="1" si="70"/>
        <v>0.50286308964970294</v>
      </c>
      <c r="T237">
        <f t="shared" ca="1" si="71"/>
        <v>33.460339342482186</v>
      </c>
      <c r="U237">
        <f>70</f>
        <v>70</v>
      </c>
      <c r="V237">
        <f>30</f>
        <v>30</v>
      </c>
      <c r="W237">
        <f t="shared" ca="1" si="69"/>
        <v>161.17018568686501</v>
      </c>
      <c r="X237">
        <f t="shared" ca="1" si="79"/>
        <v>163.08231261134117</v>
      </c>
      <c r="Y237">
        <f t="shared" ca="1" si="78"/>
        <v>-1.9061152412733975</v>
      </c>
      <c r="Z237">
        <f t="shared" ca="1" si="80"/>
        <v>-1.9801554057939172</v>
      </c>
      <c r="AA237">
        <f t="shared" ca="1" si="81"/>
        <v>7.4040164520519758E-2</v>
      </c>
      <c r="AB237">
        <f t="shared" ca="1" si="82"/>
        <v>170.34380000000002</v>
      </c>
    </row>
    <row r="238" spans="1:28" x14ac:dyDescent="0.25">
      <c r="A238" s="20">
        <f t="shared" ca="1" si="62"/>
        <v>45635</v>
      </c>
      <c r="B238" vm="693">
        <f ca="1"/>
        <v>45635</v>
      </c>
      <c r="C238" vm="694">
        <f ca="1"/>
        <v>159.47</v>
      </c>
      <c r="D238" vm="695">
        <f ca="1"/>
        <v>8380406</v>
      </c>
      <c r="E238">
        <f t="shared" ca="1" si="63"/>
        <v>1336423344.8199999</v>
      </c>
      <c r="F238">
        <f ca="1">SUM($E$2:E238)/SUM($D$2:D238)</f>
        <v>169.67531077946822</v>
      </c>
      <c r="G238">
        <f ca="1">_xlfn.STDEV.P($C$2:C238)</f>
        <v>5.2687716761275807</v>
      </c>
      <c r="H238">
        <f t="shared" ca="1" si="64"/>
        <v>174.9440824555958</v>
      </c>
      <c r="I238">
        <f t="shared" ca="1" si="65"/>
        <v>164.40653910334063</v>
      </c>
      <c r="J238">
        <f t="shared" ca="1" si="74"/>
        <v>161.36499999999998</v>
      </c>
      <c r="K238">
        <f t="shared" ca="1" si="75"/>
        <v>2.5210972966046681</v>
      </c>
      <c r="L238">
        <f t="shared" ca="1" si="76"/>
        <v>166.40719459320931</v>
      </c>
      <c r="M238">
        <f t="shared" ca="1" si="77"/>
        <v>156.32280540679065</v>
      </c>
      <c r="N238">
        <f t="shared" ca="1" si="66"/>
        <v>1.6800000000000068</v>
      </c>
      <c r="O238">
        <f t="shared" ca="1" si="67"/>
        <v>1.6800000000000068</v>
      </c>
      <c r="P238">
        <f t="shared" ca="1" si="68"/>
        <v>0</v>
      </c>
      <c r="Q238">
        <f t="shared" ca="1" si="72"/>
        <v>0.51218809232032447</v>
      </c>
      <c r="R238">
        <f t="shared" ca="1" si="73"/>
        <v>0.77991027854823114</v>
      </c>
      <c r="S238">
        <f t="shared" ca="1" si="70"/>
        <v>0.65672694207049076</v>
      </c>
      <c r="T238">
        <f t="shared" ca="1" si="71"/>
        <v>39.640023071620227</v>
      </c>
      <c r="U238">
        <f>70</f>
        <v>70</v>
      </c>
      <c r="V238">
        <f>30</f>
        <v>30</v>
      </c>
      <c r="W238">
        <f t="shared" ca="1" si="69"/>
        <v>160.90861865811655</v>
      </c>
      <c r="X238">
        <f t="shared" ca="1" si="79"/>
        <v>162.81473389938995</v>
      </c>
      <c r="Y238">
        <f t="shared" ca="1" si="78"/>
        <v>-1.8501674525387841</v>
      </c>
      <c r="Z238">
        <f t="shared" ca="1" si="80"/>
        <v>-1.9541578151428909</v>
      </c>
      <c r="AA238">
        <f t="shared" ca="1" si="81"/>
        <v>0.10399036260410677</v>
      </c>
      <c r="AB238">
        <f t="shared" ca="1" si="82"/>
        <v>170.23480000000001</v>
      </c>
    </row>
    <row r="239" spans="1:28" x14ac:dyDescent="0.25">
      <c r="A239" s="20">
        <f t="shared" ca="1" si="62"/>
        <v>45635</v>
      </c>
      <c r="B239" vm="696">
        <f ca="1"/>
        <v>45636</v>
      </c>
      <c r="C239" vm="697">
        <f ca="1"/>
        <v>159.84</v>
      </c>
      <c r="D239" vm="698">
        <f ca="1"/>
        <v>5329401</v>
      </c>
      <c r="E239">
        <f t="shared" ca="1" si="63"/>
        <v>851851455.84000003</v>
      </c>
      <c r="F239">
        <f ca="1">SUM($E$2:E239)/SUM($D$2:D239)</f>
        <v>169.63526090888968</v>
      </c>
      <c r="G239">
        <f ca="1">_xlfn.STDEV.P($C$2:C239)</f>
        <v>5.2991490976875362</v>
      </c>
      <c r="H239">
        <f t="shared" ca="1" si="64"/>
        <v>174.93441000657722</v>
      </c>
      <c r="I239">
        <f t="shared" ca="1" si="65"/>
        <v>164.33611181120213</v>
      </c>
      <c r="J239">
        <f t="shared" ca="1" si="74"/>
        <v>161.14399999999998</v>
      </c>
      <c r="K239">
        <f t="shared" ca="1" si="75"/>
        <v>2.4465924746148686</v>
      </c>
      <c r="L239">
        <f t="shared" ca="1" si="76"/>
        <v>166.03718494922973</v>
      </c>
      <c r="M239">
        <f t="shared" ca="1" si="77"/>
        <v>156.25081505077023</v>
      </c>
      <c r="N239">
        <f t="shared" ca="1" si="66"/>
        <v>0.37000000000000455</v>
      </c>
      <c r="O239">
        <f t="shared" ca="1" si="67"/>
        <v>0.37000000000000455</v>
      </c>
      <c r="P239">
        <f t="shared" ca="1" si="68"/>
        <v>0</v>
      </c>
      <c r="Q239">
        <f t="shared" ca="1" si="72"/>
        <v>0.5020318000117302</v>
      </c>
      <c r="R239">
        <f t="shared" ca="1" si="73"/>
        <v>0.72420240150907167</v>
      </c>
      <c r="S239">
        <f t="shared" ca="1" si="70"/>
        <v>0.69322029168311383</v>
      </c>
      <c r="T239">
        <f t="shared" ca="1" si="71"/>
        <v>40.940939291132118</v>
      </c>
      <c r="U239">
        <f>70</f>
        <v>70</v>
      </c>
      <c r="V239">
        <f>30</f>
        <v>30</v>
      </c>
      <c r="W239">
        <f t="shared" ca="1" si="69"/>
        <v>160.7442157876371</v>
      </c>
      <c r="X239">
        <f t="shared" ca="1" si="79"/>
        <v>162.59438324017589</v>
      </c>
      <c r="Y239">
        <f t="shared" ca="1" si="78"/>
        <v>-2.0301494704528409</v>
      </c>
      <c r="Z239">
        <f t="shared" ca="1" si="80"/>
        <v>-1.969356146204881</v>
      </c>
      <c r="AA239">
        <f t="shared" ca="1" si="81"/>
        <v>-6.0793324247959912E-2</v>
      </c>
      <c r="AB239">
        <f t="shared" ca="1" si="82"/>
        <v>170.1396</v>
      </c>
    </row>
    <row r="240" spans="1:28" x14ac:dyDescent="0.25">
      <c r="A240" s="20">
        <f t="shared" ca="1" si="62"/>
        <v>45635</v>
      </c>
      <c r="B240" vm="699">
        <f ca="1"/>
        <v>45637</v>
      </c>
      <c r="C240" vm="700">
        <f ca="1"/>
        <v>156.77000000000001</v>
      </c>
      <c r="D240" vm="701">
        <f ca="1"/>
        <v>7925928</v>
      </c>
      <c r="E240">
        <f t="shared" ca="1" si="63"/>
        <v>1242547732.5600002</v>
      </c>
      <c r="F240">
        <f ca="1">SUM($E$2:E240)/SUM($D$2:D240)</f>
        <v>169.5578180810941</v>
      </c>
      <c r="G240">
        <f ca="1">_xlfn.STDEV.P($C$2:C240)</f>
        <v>5.3568176685455491</v>
      </c>
      <c r="H240">
        <f t="shared" ca="1" si="64"/>
        <v>174.91463574963964</v>
      </c>
      <c r="I240">
        <f t="shared" ca="1" si="65"/>
        <v>164.20100041254855</v>
      </c>
      <c r="J240">
        <f t="shared" ca="1" si="74"/>
        <v>160.76549999999997</v>
      </c>
      <c r="K240">
        <f t="shared" ca="1" si="75"/>
        <v>2.5108469424520985</v>
      </c>
      <c r="L240">
        <f t="shared" ca="1" si="76"/>
        <v>165.78719388490418</v>
      </c>
      <c r="M240">
        <f t="shared" ca="1" si="77"/>
        <v>155.74380611509577</v>
      </c>
      <c r="N240">
        <f t="shared" ca="1" si="66"/>
        <v>-3.0699999999999932</v>
      </c>
      <c r="O240">
        <f t="shared" ca="1" si="67"/>
        <v>0</v>
      </c>
      <c r="P240">
        <f t="shared" ca="1" si="68"/>
        <v>3.0699999999999932</v>
      </c>
      <c r="Q240">
        <f t="shared" ca="1" si="72"/>
        <v>0.466172385725178</v>
      </c>
      <c r="R240">
        <f t="shared" ca="1" si="73"/>
        <v>0.89175937282985174</v>
      </c>
      <c r="S240">
        <f t="shared" ca="1" si="70"/>
        <v>0.52275580154078627</v>
      </c>
      <c r="T240">
        <f t="shared" ca="1" si="71"/>
        <v>34.329588566455683</v>
      </c>
      <c r="U240">
        <f>70</f>
        <v>70</v>
      </c>
      <c r="V240">
        <f>30</f>
        <v>30</v>
      </c>
      <c r="W240">
        <f t="shared" ca="1" si="69"/>
        <v>160.13279797415447</v>
      </c>
      <c r="X240">
        <f t="shared" ca="1" si="79"/>
        <v>162.16294744460731</v>
      </c>
      <c r="Y240">
        <f t="shared" ca="1" si="78"/>
        <v>-1.9781108865342105</v>
      </c>
      <c r="Z240">
        <f t="shared" ca="1" si="80"/>
        <v>-1.9711070942707472</v>
      </c>
      <c r="AA240">
        <f t="shared" ca="1" si="81"/>
        <v>-7.0037922634633709E-3</v>
      </c>
      <c r="AB240">
        <f t="shared" ca="1" si="82"/>
        <v>170.0307</v>
      </c>
    </row>
    <row r="241" spans="1:28" x14ac:dyDescent="0.25">
      <c r="A241" s="20">
        <f t="shared" ca="1" si="62"/>
        <v>45635</v>
      </c>
      <c r="B241" vm="702">
        <f ca="1"/>
        <v>45638</v>
      </c>
      <c r="C241" vm="703">
        <f ca="1"/>
        <v>158.9</v>
      </c>
      <c r="D241" vm="704">
        <f ca="1"/>
        <v>6849507</v>
      </c>
      <c r="E241">
        <f t="shared" ca="1" si="63"/>
        <v>1088386662.3</v>
      </c>
      <c r="F241">
        <f ca="1">SUM($E$2:E241)/SUM($D$2:D241)</f>
        <v>169.50266284512162</v>
      </c>
      <c r="G241">
        <f ca="1">_xlfn.STDEV.P($C$2:C241)</f>
        <v>5.3929889979117531</v>
      </c>
      <c r="H241">
        <f t="shared" ca="1" si="64"/>
        <v>174.89565184303336</v>
      </c>
      <c r="I241">
        <f t="shared" ca="1" si="65"/>
        <v>164.10967384720988</v>
      </c>
      <c r="J241">
        <f t="shared" ca="1" si="74"/>
        <v>160.4735</v>
      </c>
      <c r="K241">
        <f t="shared" ca="1" si="75"/>
        <v>2.3593136267723458</v>
      </c>
      <c r="L241">
        <f t="shared" ca="1" si="76"/>
        <v>165.1921272535447</v>
      </c>
      <c r="M241">
        <f t="shared" ca="1" si="77"/>
        <v>155.75487274645531</v>
      </c>
      <c r="N241">
        <f t="shared" ca="1" si="66"/>
        <v>2.1299999999999955</v>
      </c>
      <c r="O241">
        <f t="shared" ca="1" si="67"/>
        <v>2.1299999999999955</v>
      </c>
      <c r="P241">
        <f t="shared" ca="1" si="68"/>
        <v>0</v>
      </c>
      <c r="Q241">
        <f t="shared" ca="1" si="72"/>
        <v>0.58501721531623641</v>
      </c>
      <c r="R241">
        <f t="shared" ca="1" si="73"/>
        <v>0.8280622747705767</v>
      </c>
      <c r="S241">
        <f t="shared" ca="1" si="70"/>
        <v>0.70648939474790295</v>
      </c>
      <c r="T241">
        <f t="shared" ca="1" si="71"/>
        <v>41.400163219430468</v>
      </c>
      <c r="U241">
        <f>70</f>
        <v>70</v>
      </c>
      <c r="V241">
        <f>30</f>
        <v>30</v>
      </c>
      <c r="W241">
        <f t="shared" ca="1" si="69"/>
        <v>159.94313674736145</v>
      </c>
      <c r="X241">
        <f t="shared" ca="1" si="79"/>
        <v>161.92124763389566</v>
      </c>
      <c r="Y241">
        <f t="shared" ca="1" si="78"/>
        <v>-1.9889853762100813</v>
      </c>
      <c r="Z241">
        <f t="shared" ca="1" si="80"/>
        <v>-1.9746827506586142</v>
      </c>
      <c r="AA241">
        <f t="shared" ca="1" si="81"/>
        <v>-1.4302625551467107E-2</v>
      </c>
      <c r="AB241">
        <f t="shared" ca="1" si="82"/>
        <v>169.95690000000002</v>
      </c>
    </row>
    <row r="242" spans="1:28" x14ac:dyDescent="0.25">
      <c r="A242" s="20">
        <f t="shared" ca="1" si="62"/>
        <v>45635</v>
      </c>
      <c r="B242" vm="705">
        <f ca="1"/>
        <v>45639</v>
      </c>
      <c r="C242" vm="706">
        <f ca="1"/>
        <v>157.97</v>
      </c>
      <c r="D242" vm="707">
        <f ca="1"/>
        <v>4353854</v>
      </c>
      <c r="E242">
        <f t="shared" ca="1" si="63"/>
        <v>687778316.38</v>
      </c>
      <c r="F242">
        <f ca="1">SUM($E$2:E242)/SUM($D$2:D242)</f>
        <v>169.46485026518431</v>
      </c>
      <c r="G242">
        <f ca="1">_xlfn.STDEV.P($C$2:C242)</f>
        <v>5.4363619919430546</v>
      </c>
      <c r="H242">
        <f t="shared" ca="1" si="64"/>
        <v>174.90121225712736</v>
      </c>
      <c r="I242">
        <f t="shared" ca="1" si="65"/>
        <v>164.02848827324127</v>
      </c>
      <c r="J242">
        <f t="shared" ca="1" si="74"/>
        <v>160.11449999999999</v>
      </c>
      <c r="K242">
        <f t="shared" ca="1" si="75"/>
        <v>2.1469819085845758</v>
      </c>
      <c r="L242">
        <f t="shared" ca="1" si="76"/>
        <v>164.40846381716915</v>
      </c>
      <c r="M242">
        <f t="shared" ca="1" si="77"/>
        <v>155.82053618283084</v>
      </c>
      <c r="N242">
        <f t="shared" ca="1" si="66"/>
        <v>-0.93000000000000682</v>
      </c>
      <c r="O242">
        <f t="shared" ca="1" si="67"/>
        <v>0</v>
      </c>
      <c r="P242">
        <f t="shared" ca="1" si="68"/>
        <v>0.93000000000000682</v>
      </c>
      <c r="Q242">
        <f t="shared" ca="1" si="72"/>
        <v>0.54323027136507662</v>
      </c>
      <c r="R242">
        <f t="shared" ca="1" si="73"/>
        <v>0.83534354085839324</v>
      </c>
      <c r="S242">
        <f t="shared" ca="1" si="70"/>
        <v>0.65030762170837753</v>
      </c>
      <c r="T242">
        <f t="shared" ca="1" si="71"/>
        <v>39.405236524035878</v>
      </c>
      <c r="U242">
        <f>70</f>
        <v>70</v>
      </c>
      <c r="V242">
        <f>30</f>
        <v>30</v>
      </c>
      <c r="W242">
        <f t="shared" ca="1" si="69"/>
        <v>159.63957724776739</v>
      </c>
      <c r="X242">
        <f t="shared" ca="1" si="79"/>
        <v>161.62856262397747</v>
      </c>
      <c r="Y242">
        <f t="shared" ca="1" si="78"/>
        <v>-2.130394331070562</v>
      </c>
      <c r="Z242">
        <f t="shared" ca="1" si="80"/>
        <v>-2.0058250667410036</v>
      </c>
      <c r="AA242">
        <f t="shared" ca="1" si="81"/>
        <v>-0.12456926432955839</v>
      </c>
      <c r="AB242">
        <f t="shared" ca="1" si="82"/>
        <v>169.85490000000001</v>
      </c>
    </row>
    <row r="243" spans="1:28" x14ac:dyDescent="0.25">
      <c r="A243" s="20">
        <f t="shared" ca="1" si="62"/>
        <v>45642</v>
      </c>
      <c r="B243" vm="708">
        <f ca="1"/>
        <v>45642</v>
      </c>
      <c r="C243" vm="709">
        <f ca="1"/>
        <v>156.02000000000001</v>
      </c>
      <c r="D243" vm="710">
        <f ca="1"/>
        <v>6696490</v>
      </c>
      <c r="E243">
        <f t="shared" ca="1" si="63"/>
        <v>1044786369.8000001</v>
      </c>
      <c r="F243">
        <f ca="1">SUM($E$2:E243)/SUM($D$2:D243)</f>
        <v>169.39738947111857</v>
      </c>
      <c r="G243">
        <f ca="1">_xlfn.STDEV.P($C$2:C243)</f>
        <v>5.4974248300737427</v>
      </c>
      <c r="H243">
        <f t="shared" ca="1" si="64"/>
        <v>174.89481430119233</v>
      </c>
      <c r="I243">
        <f t="shared" ca="1" si="65"/>
        <v>163.89996464104482</v>
      </c>
      <c r="J243">
        <f t="shared" ca="1" si="74"/>
        <v>159.9845</v>
      </c>
      <c r="K243">
        <f t="shared" ca="1" si="75"/>
        <v>2.314422685773073</v>
      </c>
      <c r="L243">
        <f t="shared" ca="1" si="76"/>
        <v>164.61334537154613</v>
      </c>
      <c r="M243">
        <f t="shared" ca="1" si="77"/>
        <v>155.35565462845386</v>
      </c>
      <c r="N243">
        <f t="shared" ca="1" si="66"/>
        <v>-1.9499999999999886</v>
      </c>
      <c r="O243">
        <f t="shared" ca="1" si="67"/>
        <v>0</v>
      </c>
      <c r="P243">
        <f t="shared" ca="1" si="68"/>
        <v>1.9499999999999886</v>
      </c>
      <c r="Q243">
        <f t="shared" ca="1" si="72"/>
        <v>0.50442810912471403</v>
      </c>
      <c r="R243">
        <f t="shared" ca="1" si="73"/>
        <v>0.91496185936850716</v>
      </c>
      <c r="S243">
        <f t="shared" ca="1" si="70"/>
        <v>0.55131053164649146</v>
      </c>
      <c r="T243">
        <f t="shared" ca="1" si="71"/>
        <v>35.538373549321236</v>
      </c>
      <c r="U243">
        <f>70</f>
        <v>70</v>
      </c>
      <c r="V243">
        <f>30</f>
        <v>30</v>
      </c>
      <c r="W243">
        <f t="shared" ca="1" si="69"/>
        <v>159.08271920964933</v>
      </c>
      <c r="X243">
        <f t="shared" ca="1" si="79"/>
        <v>161.21311354071989</v>
      </c>
      <c r="Y243">
        <f t="shared" ca="1" si="78"/>
        <v>-2.2073341751228384</v>
      </c>
      <c r="Z243">
        <f t="shared" ca="1" si="80"/>
        <v>-2.0461268884173709</v>
      </c>
      <c r="AA243">
        <f t="shared" ca="1" si="81"/>
        <v>-0.16120728670546747</v>
      </c>
      <c r="AB243">
        <f t="shared" ca="1" si="82"/>
        <v>169.70490000000001</v>
      </c>
    </row>
    <row r="244" spans="1:28" x14ac:dyDescent="0.25">
      <c r="A244" s="20">
        <f t="shared" ca="1" si="62"/>
        <v>45642</v>
      </c>
      <c r="B244" vm="711">
        <f ca="1"/>
        <v>45643</v>
      </c>
      <c r="C244" vm="712">
        <f ca="1"/>
        <v>156.13999999999999</v>
      </c>
      <c r="D244" vm="713">
        <f ca="1"/>
        <v>6572560</v>
      </c>
      <c r="E244">
        <f t="shared" ca="1" si="63"/>
        <v>1026239518.3999999</v>
      </c>
      <c r="F244">
        <f ca="1">SUM($E$2:E244)/SUM($D$2:D244)</f>
        <v>169.33242030493122</v>
      </c>
      <c r="G244">
        <f ca="1">_xlfn.STDEV.P($C$2:C244)</f>
        <v>5.5555241474497024</v>
      </c>
      <c r="H244">
        <f t="shared" ca="1" si="64"/>
        <v>174.88794445238091</v>
      </c>
      <c r="I244">
        <f t="shared" ca="1" si="65"/>
        <v>163.77689615748153</v>
      </c>
      <c r="J244">
        <f t="shared" ca="1" si="74"/>
        <v>159.875</v>
      </c>
      <c r="K244">
        <f t="shared" ca="1" si="75"/>
        <v>2.4449464529708491</v>
      </c>
      <c r="L244">
        <f t="shared" ca="1" si="76"/>
        <v>164.76489290594171</v>
      </c>
      <c r="M244">
        <f t="shared" ca="1" si="77"/>
        <v>154.98510709405829</v>
      </c>
      <c r="N244">
        <f t="shared" ca="1" si="66"/>
        <v>0.11999999999997613</v>
      </c>
      <c r="O244">
        <f t="shared" ca="1" si="67"/>
        <v>0.11999999999997613</v>
      </c>
      <c r="P244">
        <f t="shared" ca="1" si="68"/>
        <v>0</v>
      </c>
      <c r="Q244">
        <f t="shared" ca="1" si="72"/>
        <v>0.47696895847294701</v>
      </c>
      <c r="R244">
        <f t="shared" ca="1" si="73"/>
        <v>0.84960744084218531</v>
      </c>
      <c r="S244">
        <f t="shared" ca="1" si="70"/>
        <v>0.56139922456439983</v>
      </c>
      <c r="T244">
        <f t="shared" ca="1" si="71"/>
        <v>35.95488045160387</v>
      </c>
      <c r="U244">
        <f>70</f>
        <v>70</v>
      </c>
      <c r="V244">
        <f>30</f>
        <v>30</v>
      </c>
      <c r="W244">
        <f t="shared" ca="1" si="69"/>
        <v>158.62999317739556</v>
      </c>
      <c r="X244">
        <f t="shared" ca="1" si="79"/>
        <v>160.8373273525184</v>
      </c>
      <c r="Y244">
        <f t="shared" ca="1" si="78"/>
        <v>-2.3788701307179281</v>
      </c>
      <c r="Z244">
        <f t="shared" ca="1" si="80"/>
        <v>-2.1126755368774823</v>
      </c>
      <c r="AA244">
        <f t="shared" ca="1" si="81"/>
        <v>-0.26619459384044575</v>
      </c>
      <c r="AB244">
        <f t="shared" ca="1" si="82"/>
        <v>169.53880000000001</v>
      </c>
    </row>
    <row r="245" spans="1:28" x14ac:dyDescent="0.25">
      <c r="A245" s="20">
        <f t="shared" ca="1" si="62"/>
        <v>45642</v>
      </c>
      <c r="B245" vm="714">
        <f ca="1"/>
        <v>45644</v>
      </c>
      <c r="C245" vm="715">
        <f ca="1"/>
        <v>154.43</v>
      </c>
      <c r="D245" vm="716">
        <f ca="1"/>
        <v>7620865</v>
      </c>
      <c r="E245">
        <f t="shared" ca="1" si="63"/>
        <v>1176890181.95</v>
      </c>
      <c r="F245">
        <f ca="1">SUM($E$2:E245)/SUM($D$2:D245)</f>
        <v>169.24821973762209</v>
      </c>
      <c r="G245">
        <f ca="1">_xlfn.STDEV.P($C$2:C245)</f>
        <v>5.6299690016094752</v>
      </c>
      <c r="H245">
        <f t="shared" ca="1" si="64"/>
        <v>174.87818873923158</v>
      </c>
      <c r="I245">
        <f t="shared" ca="1" si="65"/>
        <v>163.61825073601261</v>
      </c>
      <c r="J245">
        <f t="shared" ca="1" si="74"/>
        <v>159.76049999999998</v>
      </c>
      <c r="K245">
        <f t="shared" ca="1" si="75"/>
        <v>2.6458437615487256</v>
      </c>
      <c r="L245">
        <f t="shared" ca="1" si="76"/>
        <v>165.05218752309742</v>
      </c>
      <c r="M245">
        <f t="shared" ca="1" si="77"/>
        <v>154.46881247690254</v>
      </c>
      <c r="N245">
        <f t="shared" ca="1" si="66"/>
        <v>-1.7099999999999795</v>
      </c>
      <c r="O245">
        <f t="shared" ca="1" si="67"/>
        <v>0</v>
      </c>
      <c r="P245">
        <f t="shared" ca="1" si="68"/>
        <v>1.7099999999999795</v>
      </c>
      <c r="Q245">
        <f t="shared" ca="1" si="72"/>
        <v>0.44289974715345082</v>
      </c>
      <c r="R245">
        <f t="shared" ca="1" si="73"/>
        <v>0.91106405221059916</v>
      </c>
      <c r="S245">
        <f t="shared" ca="1" si="70"/>
        <v>0.48613458744069871</v>
      </c>
      <c r="T245">
        <f t="shared" ca="1" si="71"/>
        <v>32.711343343262101</v>
      </c>
      <c r="U245">
        <f>70</f>
        <v>70</v>
      </c>
      <c r="V245">
        <f>30</f>
        <v>30</v>
      </c>
      <c r="W245">
        <f t="shared" ca="1" si="69"/>
        <v>157.98384038087318</v>
      </c>
      <c r="X245">
        <f t="shared" ca="1" si="79"/>
        <v>160.3627105115911</v>
      </c>
      <c r="Y245">
        <f t="shared" ca="1" si="78"/>
        <v>-2.7222801229281117</v>
      </c>
      <c r="Z245">
        <f t="shared" ca="1" si="80"/>
        <v>-2.2345964540876082</v>
      </c>
      <c r="AA245">
        <f t="shared" ca="1" si="81"/>
        <v>-0.48768366884050351</v>
      </c>
      <c r="AB245">
        <f t="shared" ca="1" si="82"/>
        <v>169.351</v>
      </c>
    </row>
    <row r="246" spans="1:28" x14ac:dyDescent="0.25">
      <c r="A246" s="20">
        <f t="shared" ca="1" si="62"/>
        <v>45642</v>
      </c>
      <c r="B246" vm="717">
        <f ca="1"/>
        <v>45645</v>
      </c>
      <c r="C246" vm="718">
        <f ca="1"/>
        <v>151.47</v>
      </c>
      <c r="D246" vm="719">
        <f ca="1"/>
        <v>9829489</v>
      </c>
      <c r="E246">
        <f t="shared" ca="1" si="63"/>
        <v>1488872698.8299999</v>
      </c>
      <c r="F246">
        <f ca="1">SUM($E$2:E246)/SUM($D$2:D246)</f>
        <v>169.11959643349226</v>
      </c>
      <c r="G246">
        <f ca="1">_xlfn.STDEV.P($C$2:C246)</f>
        <v>5.7373922904089572</v>
      </c>
      <c r="H246">
        <f t="shared" ca="1" si="64"/>
        <v>174.85698872390122</v>
      </c>
      <c r="I246">
        <f t="shared" ca="1" si="65"/>
        <v>163.3822041430833</v>
      </c>
      <c r="J246">
        <f t="shared" ca="1" si="74"/>
        <v>159.39699999999999</v>
      </c>
      <c r="K246">
        <f t="shared" ca="1" si="75"/>
        <v>3.2286352013130708</v>
      </c>
      <c r="L246">
        <f t="shared" ca="1" si="76"/>
        <v>165.85427040262613</v>
      </c>
      <c r="M246">
        <f t="shared" ca="1" si="77"/>
        <v>152.93972959737386</v>
      </c>
      <c r="N246">
        <f t="shared" ca="1" si="66"/>
        <v>-2.960000000000008</v>
      </c>
      <c r="O246">
        <f t="shared" ca="1" si="67"/>
        <v>0</v>
      </c>
      <c r="P246">
        <f t="shared" ca="1" si="68"/>
        <v>2.960000000000008</v>
      </c>
      <c r="Q246">
        <f t="shared" ca="1" si="72"/>
        <v>0.41126405092820434</v>
      </c>
      <c r="R246">
        <f t="shared" ca="1" si="73"/>
        <v>1.0574166199098427</v>
      </c>
      <c r="S246">
        <f t="shared" ca="1" si="70"/>
        <v>0.3889328417811983</v>
      </c>
      <c r="T246">
        <f t="shared" ca="1" si="71"/>
        <v>28.00227844583344</v>
      </c>
      <c r="U246">
        <f>70</f>
        <v>70</v>
      </c>
      <c r="V246">
        <f>30</f>
        <v>30</v>
      </c>
      <c r="W246">
        <f t="shared" ca="1" si="69"/>
        <v>156.98171109150809</v>
      </c>
      <c r="X246">
        <f t="shared" ca="1" si="79"/>
        <v>159.7039912144362</v>
      </c>
      <c r="Y246">
        <f t="shared" ca="1" si="78"/>
        <v>-2.8550112550252607</v>
      </c>
      <c r="Z246">
        <f t="shared" ca="1" si="80"/>
        <v>-2.3586794142751391</v>
      </c>
      <c r="AA246">
        <f t="shared" ca="1" si="81"/>
        <v>-0.4963318407501216</v>
      </c>
      <c r="AB246">
        <f t="shared" ca="1" si="82"/>
        <v>169.13389999999998</v>
      </c>
    </row>
    <row r="247" spans="1:28" x14ac:dyDescent="0.25">
      <c r="A247" s="20">
        <f t="shared" ca="1" si="62"/>
        <v>45642</v>
      </c>
      <c r="B247" vm="720">
        <f ca="1"/>
        <v>45646</v>
      </c>
      <c r="C247" vm="721">
        <f ca="1"/>
        <v>152.79</v>
      </c>
      <c r="D247" vm="722">
        <f ca="1"/>
        <v>19205164</v>
      </c>
      <c r="E247">
        <f t="shared" ca="1" si="63"/>
        <v>2934357007.5599999</v>
      </c>
      <c r="F247">
        <f ca="1">SUM($E$2:E247)/SUM($D$2:D247)</f>
        <v>168.89198302851003</v>
      </c>
      <c r="G247">
        <f ca="1">_xlfn.STDEV.P($C$2:C247)</f>
        <v>5.8250290547768646</v>
      </c>
      <c r="H247">
        <f t="shared" ca="1" si="64"/>
        <v>174.7170120832869</v>
      </c>
      <c r="I247">
        <f t="shared" ca="1" si="65"/>
        <v>163.06695397373315</v>
      </c>
      <c r="J247">
        <f t="shared" ca="1" si="74"/>
        <v>159.01949999999997</v>
      </c>
      <c r="K247">
        <f t="shared" ca="1" si="75"/>
        <v>3.539035662585591</v>
      </c>
      <c r="L247">
        <f t="shared" ca="1" si="76"/>
        <v>166.09757132517115</v>
      </c>
      <c r="M247">
        <f t="shared" ca="1" si="77"/>
        <v>151.94142867482879</v>
      </c>
      <c r="N247">
        <f t="shared" ca="1" si="66"/>
        <v>1.3199999999999932</v>
      </c>
      <c r="O247">
        <f t="shared" ca="1" si="67"/>
        <v>1.3199999999999932</v>
      </c>
      <c r="P247">
        <f t="shared" ca="1" si="68"/>
        <v>0</v>
      </c>
      <c r="Q247">
        <f t="shared" ca="1" si="72"/>
        <v>0.47617376157618929</v>
      </c>
      <c r="R247">
        <f t="shared" ca="1" si="73"/>
        <v>0.98188686134485403</v>
      </c>
      <c r="S247">
        <f t="shared" ca="1" si="70"/>
        <v>0.48495787073063767</v>
      </c>
      <c r="T247">
        <f t="shared" ca="1" si="71"/>
        <v>32.658022176213379</v>
      </c>
      <c r="U247">
        <f>70</f>
        <v>70</v>
      </c>
      <c r="V247">
        <f>30</f>
        <v>30</v>
      </c>
      <c r="W247">
        <f t="shared" ca="1" si="69"/>
        <v>156.33683246204529</v>
      </c>
      <c r="X247">
        <f t="shared" ca="1" si="79"/>
        <v>159.19184371707055</v>
      </c>
      <c r="Y247">
        <f t="shared" ca="1" si="78"/>
        <v>-3.0461252615968135</v>
      </c>
      <c r="Z247">
        <f t="shared" ca="1" si="80"/>
        <v>-2.496168583739474</v>
      </c>
      <c r="AA247">
        <f t="shared" ca="1" si="81"/>
        <v>-0.54995667785733948</v>
      </c>
      <c r="AB247">
        <f t="shared" ca="1" si="82"/>
        <v>168.93510000000003</v>
      </c>
    </row>
    <row r="248" spans="1:28" x14ac:dyDescent="0.25">
      <c r="A248" s="20">
        <f t="shared" ca="1" si="62"/>
        <v>45649</v>
      </c>
      <c r="B248" vm="723">
        <f ca="1"/>
        <v>45649</v>
      </c>
      <c r="C248" vm="724">
        <f ca="1"/>
        <v>151.29</v>
      </c>
      <c r="D248" vm="725">
        <f ca="1"/>
        <v>6822232</v>
      </c>
      <c r="E248">
        <f t="shared" ca="1" si="63"/>
        <v>1032135479.28</v>
      </c>
      <c r="F248">
        <f ca="1">SUM($E$2:E248)/SUM($D$2:D248)</f>
        <v>168.80525741669786</v>
      </c>
      <c r="G248">
        <f ca="1">_xlfn.STDEV.P($C$2:C248)</f>
        <v>5.9277874340017265</v>
      </c>
      <c r="H248">
        <f t="shared" ca="1" si="64"/>
        <v>174.73304485069957</v>
      </c>
      <c r="I248">
        <f t="shared" ca="1" si="65"/>
        <v>162.87746998269614</v>
      </c>
      <c r="J248">
        <f t="shared" ca="1" si="74"/>
        <v>158.48399999999998</v>
      </c>
      <c r="K248">
        <f t="shared" ca="1" si="75"/>
        <v>3.8600332695593793</v>
      </c>
      <c r="L248">
        <f t="shared" ca="1" si="76"/>
        <v>166.20406653911874</v>
      </c>
      <c r="M248">
        <f t="shared" ca="1" si="77"/>
        <v>150.76393346088122</v>
      </c>
      <c r="N248">
        <f t="shared" ca="1" si="66"/>
        <v>-1.5</v>
      </c>
      <c r="O248">
        <f t="shared" ca="1" si="67"/>
        <v>0</v>
      </c>
      <c r="P248">
        <f t="shared" ca="1" si="68"/>
        <v>1.5</v>
      </c>
      <c r="Q248">
        <f t="shared" ca="1" si="72"/>
        <v>0.44216135003503293</v>
      </c>
      <c r="R248">
        <f t="shared" ca="1" si="73"/>
        <v>1.0188949426773646</v>
      </c>
      <c r="S248">
        <f t="shared" ca="1" si="70"/>
        <v>0.43396166917185724</v>
      </c>
      <c r="T248">
        <f t="shared" ca="1" si="71"/>
        <v>30.26312895954041</v>
      </c>
      <c r="U248">
        <f>70</f>
        <v>70</v>
      </c>
      <c r="V248">
        <f>30</f>
        <v>30</v>
      </c>
      <c r="W248">
        <f t="shared" ca="1" si="69"/>
        <v>155.5603966986537</v>
      </c>
      <c r="X248">
        <f t="shared" ca="1" si="79"/>
        <v>158.60652196025052</v>
      </c>
      <c r="Y248">
        <f t="shared" ca="1" si="78"/>
        <v>-3.0398912181802302</v>
      </c>
      <c r="Z248">
        <f t="shared" ca="1" si="80"/>
        <v>-2.6049131106276255</v>
      </c>
      <c r="AA248">
        <f t="shared" ca="1" si="81"/>
        <v>-0.43497810755260469</v>
      </c>
      <c r="AB248">
        <f t="shared" ca="1" si="82"/>
        <v>168.69839999999999</v>
      </c>
    </row>
    <row r="249" spans="1:28" x14ac:dyDescent="0.25">
      <c r="A249" s="20">
        <f t="shared" ca="1" si="62"/>
        <v>45649</v>
      </c>
      <c r="B249" vm="726">
        <f ca="1"/>
        <v>45650</v>
      </c>
      <c r="C249" vm="727">
        <f ca="1"/>
        <v>152.81</v>
      </c>
      <c r="D249" vm="728">
        <f ca="1"/>
        <v>3399800</v>
      </c>
      <c r="E249">
        <f t="shared" ca="1" si="63"/>
        <v>519523438</v>
      </c>
      <c r="F249">
        <f ca="1">SUM($E$2:E249)/SUM($D$2:D249)</f>
        <v>168.76607972382268</v>
      </c>
      <c r="G249">
        <f ca="1">_xlfn.STDEV.P($C$2:C249)</f>
        <v>6.0094110029113557</v>
      </c>
      <c r="H249">
        <f t="shared" ca="1" si="64"/>
        <v>174.77549072673403</v>
      </c>
      <c r="I249">
        <f t="shared" ca="1" si="65"/>
        <v>162.75666872091134</v>
      </c>
      <c r="J249">
        <f t="shared" ca="1" si="74"/>
        <v>157.97199999999995</v>
      </c>
      <c r="K249">
        <f t="shared" ca="1" si="75"/>
        <v>3.9014189051785007</v>
      </c>
      <c r="L249">
        <f t="shared" ca="1" si="76"/>
        <v>165.77483781035696</v>
      </c>
      <c r="M249">
        <f t="shared" ca="1" si="77"/>
        <v>150.16916218964295</v>
      </c>
      <c r="N249">
        <f t="shared" ca="1" si="66"/>
        <v>1.5200000000000102</v>
      </c>
      <c r="O249">
        <f t="shared" ca="1" si="67"/>
        <v>1.5200000000000102</v>
      </c>
      <c r="P249">
        <f t="shared" ca="1" si="68"/>
        <v>0</v>
      </c>
      <c r="Q249">
        <f t="shared" ca="1" si="72"/>
        <v>0.51914982503253138</v>
      </c>
      <c r="R249">
        <f t="shared" ca="1" si="73"/>
        <v>0.94611673248612427</v>
      </c>
      <c r="S249">
        <f t="shared" ca="1" si="70"/>
        <v>0.54871646088358894</v>
      </c>
      <c r="T249">
        <f t="shared" ca="1" si="71"/>
        <v>35.430401544936757</v>
      </c>
      <c r="U249">
        <f>70</f>
        <v>70</v>
      </c>
      <c r="V249">
        <f>30</f>
        <v>30</v>
      </c>
      <c r="W249">
        <f t="shared" ca="1" si="69"/>
        <v>155.13725874501469</v>
      </c>
      <c r="X249">
        <f t="shared" ca="1" si="79"/>
        <v>158.17714996319492</v>
      </c>
      <c r="Y249">
        <f t="shared" ca="1" si="78"/>
        <v>-3.0298800306808573</v>
      </c>
      <c r="Z249">
        <f t="shared" ca="1" si="80"/>
        <v>-2.6899064946382722</v>
      </c>
      <c r="AA249">
        <f t="shared" ca="1" si="81"/>
        <v>-0.33997353604258507</v>
      </c>
      <c r="AB249">
        <f t="shared" ca="1" si="82"/>
        <v>168.44610000000003</v>
      </c>
    </row>
    <row r="250" spans="1:28" x14ac:dyDescent="0.25">
      <c r="A250" s="20">
        <f t="shared" ca="1" si="62"/>
        <v>45649</v>
      </c>
      <c r="B250" vm="729">
        <f ca="1"/>
        <v>45652</v>
      </c>
      <c r="C250" vm="730">
        <f ca="1"/>
        <v>152.44</v>
      </c>
      <c r="D250" vm="731">
        <f ca="1"/>
        <v>5529590</v>
      </c>
      <c r="E250">
        <f t="shared" ca="1" si="63"/>
        <v>842930699.60000002</v>
      </c>
      <c r="F250">
        <f ca="1">SUM($E$2:E250)/SUM($D$2:D250)</f>
        <v>168.70129950153813</v>
      </c>
      <c r="G250">
        <f ca="1">_xlfn.STDEV.P($C$2:C250)</f>
        <v>6.0926443319966088</v>
      </c>
      <c r="H250">
        <f t="shared" ca="1" si="64"/>
        <v>174.79394383353474</v>
      </c>
      <c r="I250">
        <f t="shared" ca="1" si="65"/>
        <v>162.60865516954152</v>
      </c>
      <c r="J250">
        <f t="shared" ca="1" si="74"/>
        <v>157.48599999999996</v>
      </c>
      <c r="K250">
        <f t="shared" ca="1" si="75"/>
        <v>3.957272319480468</v>
      </c>
      <c r="L250">
        <f t="shared" ca="1" si="76"/>
        <v>165.40054463896089</v>
      </c>
      <c r="M250">
        <f t="shared" ca="1" si="77"/>
        <v>149.57145536103903</v>
      </c>
      <c r="N250">
        <f t="shared" ca="1" si="66"/>
        <v>-0.37000000000000455</v>
      </c>
      <c r="O250">
        <f t="shared" ca="1" si="67"/>
        <v>0</v>
      </c>
      <c r="P250">
        <f t="shared" ca="1" si="68"/>
        <v>0.37000000000000455</v>
      </c>
      <c r="Q250">
        <f t="shared" ca="1" si="72"/>
        <v>0.48206769467306482</v>
      </c>
      <c r="R250">
        <f t="shared" ca="1" si="73"/>
        <v>0.90496553730854423</v>
      </c>
      <c r="S250">
        <f t="shared" ca="1" si="70"/>
        <v>0.53269177090078057</v>
      </c>
      <c r="T250">
        <f t="shared" ca="1" si="71"/>
        <v>34.755309646355798</v>
      </c>
      <c r="U250">
        <f>70</f>
        <v>70</v>
      </c>
      <c r="V250">
        <f>30</f>
        <v>30</v>
      </c>
      <c r="W250">
        <f t="shared" ca="1" si="69"/>
        <v>154.72229586116629</v>
      </c>
      <c r="X250">
        <f t="shared" ca="1" si="79"/>
        <v>157.75217589184714</v>
      </c>
      <c r="Y250">
        <f t="shared" ca="1" si="78"/>
        <v>-2.9516105244556741</v>
      </c>
      <c r="Z250">
        <f t="shared" ca="1" si="80"/>
        <v>-2.7422473006017527</v>
      </c>
      <c r="AA250">
        <f t="shared" ca="1" si="81"/>
        <v>-0.20936322385392137</v>
      </c>
      <c r="AB250">
        <f t="shared" ca="1" si="82"/>
        <v>168.23009999999999</v>
      </c>
    </row>
    <row r="251" spans="1:28" x14ac:dyDescent="0.25">
      <c r="A251" s="20">
        <f t="shared" ca="1" si="62"/>
        <v>45649</v>
      </c>
      <c r="B251" vm="732">
        <f ca="1"/>
        <v>45653</v>
      </c>
      <c r="C251" vm="733">
        <f ca="1"/>
        <v>152.88999999999999</v>
      </c>
      <c r="D251" vm="734">
        <f ca="1"/>
        <v>4287007</v>
      </c>
      <c r="E251">
        <f t="shared" ca="1" si="63"/>
        <v>655440500.2299999</v>
      </c>
      <c r="F251">
        <f ca="1">SUM($E$2:E251)/SUM($D$2:D251)</f>
        <v>168.65280914251264</v>
      </c>
      <c r="G251">
        <f ca="1">_xlfn.STDEV.P($C$2:C251)</f>
        <v>6.1685137290598604</v>
      </c>
      <c r="H251">
        <f t="shared" ca="1" si="64"/>
        <v>174.82132287157251</v>
      </c>
      <c r="I251">
        <f t="shared" ca="1" si="65"/>
        <v>162.48429541345277</v>
      </c>
      <c r="J251">
        <f t="shared" ca="1" si="74"/>
        <v>156.99449999999996</v>
      </c>
      <c r="K251">
        <f t="shared" ca="1" si="75"/>
        <v>3.8827357080990428</v>
      </c>
      <c r="L251">
        <f t="shared" ca="1" si="76"/>
        <v>164.75997141619806</v>
      </c>
      <c r="M251">
        <f t="shared" ca="1" si="77"/>
        <v>149.22902858380186</v>
      </c>
      <c r="N251">
        <f t="shared" ca="1" si="66"/>
        <v>0.44999999999998863</v>
      </c>
      <c r="O251">
        <f t="shared" ca="1" si="67"/>
        <v>0.44999999999998863</v>
      </c>
      <c r="P251">
        <f t="shared" ca="1" si="68"/>
        <v>0</v>
      </c>
      <c r="Q251">
        <f t="shared" ca="1" si="72"/>
        <v>0.47977714505355934</v>
      </c>
      <c r="R251">
        <f t="shared" ca="1" si="73"/>
        <v>0.8403251417865053</v>
      </c>
      <c r="S251">
        <f t="shared" ca="1" si="70"/>
        <v>0.57094227126605779</v>
      </c>
      <c r="T251">
        <f t="shared" ca="1" si="71"/>
        <v>36.343937120357865</v>
      </c>
      <c r="U251">
        <f>70</f>
        <v>70</v>
      </c>
      <c r="V251">
        <f>30</f>
        <v>30</v>
      </c>
      <c r="W251">
        <f t="shared" ca="1" si="69"/>
        <v>154.44040419021761</v>
      </c>
      <c r="X251">
        <f t="shared" ca="1" si="79"/>
        <v>157.39201471467328</v>
      </c>
      <c r="Y251">
        <f t="shared" ca="1" si="78"/>
        <v>-2.9499850079036491</v>
      </c>
      <c r="Z251">
        <f t="shared" ca="1" si="80"/>
        <v>-2.7837948420621323</v>
      </c>
      <c r="AA251">
        <f t="shared" ca="1" si="81"/>
        <v>-0.1661901658415168</v>
      </c>
      <c r="AB251">
        <f t="shared" ca="1" si="82"/>
        <v>168.0341</v>
      </c>
    </row>
    <row r="252" spans="1:28" x14ac:dyDescent="0.25">
      <c r="A252" s="20">
        <f t="shared" ca="1" si="62"/>
        <v>45656</v>
      </c>
      <c r="B252" vm="735">
        <f ca="1"/>
        <v>45656</v>
      </c>
      <c r="C252" vm="736">
        <f ca="1"/>
        <v>151.72</v>
      </c>
      <c r="D252" vm="737">
        <f ca="1"/>
        <v>5397016</v>
      </c>
      <c r="E252">
        <f t="shared" ca="1" si="63"/>
        <v>818835267.51999998</v>
      </c>
      <c r="F252">
        <f ca="1">SUM($E$2:E252)/SUM($D$2:D252)</f>
        <v>168.58768487879405</v>
      </c>
      <c r="G252">
        <f ca="1">_xlfn.STDEV.P($C$2:C252)</f>
        <v>6.2547940894011784</v>
      </c>
      <c r="H252">
        <f t="shared" ca="1" si="64"/>
        <v>174.84247896819522</v>
      </c>
      <c r="I252">
        <f t="shared" ca="1" si="65"/>
        <v>162.33289078939288</v>
      </c>
      <c r="J252">
        <f t="shared" ca="1" si="74"/>
        <v>156.40799999999996</v>
      </c>
      <c r="K252">
        <f t="shared" ca="1" si="75"/>
        <v>3.7395772347602163</v>
      </c>
      <c r="L252">
        <f t="shared" ca="1" si="76"/>
        <v>163.8871544695204</v>
      </c>
      <c r="M252">
        <f t="shared" ca="1" si="77"/>
        <v>148.92884553047952</v>
      </c>
      <c r="N252">
        <f t="shared" ca="1" si="66"/>
        <v>-1.1699999999999875</v>
      </c>
      <c r="O252">
        <f t="shared" ca="1" si="67"/>
        <v>0</v>
      </c>
      <c r="P252">
        <f t="shared" ca="1" si="68"/>
        <v>1.1699999999999875</v>
      </c>
      <c r="Q252">
        <f t="shared" ca="1" si="72"/>
        <v>0.44550734897830507</v>
      </c>
      <c r="R252">
        <f t="shared" ca="1" si="73"/>
        <v>0.86387334594461118</v>
      </c>
      <c r="S252">
        <f t="shared" ca="1" si="70"/>
        <v>0.51570910373575707</v>
      </c>
      <c r="T252">
        <f t="shared" ca="1" si="71"/>
        <v>34.024279623622547</v>
      </c>
      <c r="U252">
        <f>70</f>
        <v>70</v>
      </c>
      <c r="V252">
        <f>30</f>
        <v>30</v>
      </c>
      <c r="W252">
        <f t="shared" ca="1" si="69"/>
        <v>154.02188046864569</v>
      </c>
      <c r="X252">
        <f t="shared" ca="1" si="79"/>
        <v>156.97186547654934</v>
      </c>
      <c r="Y252">
        <f t="shared" ca="1" si="78"/>
        <v>-2.887970885158893</v>
      </c>
      <c r="Z252">
        <f t="shared" ca="1" si="80"/>
        <v>-2.8046300506814843</v>
      </c>
      <c r="AA252">
        <f t="shared" ca="1" si="81"/>
        <v>-8.3340834477408698E-2</v>
      </c>
      <c r="AB252">
        <f t="shared" ca="1" si="82"/>
        <v>167.83340000000001</v>
      </c>
    </row>
    <row r="253" spans="1:28" x14ac:dyDescent="0.25">
      <c r="A253" s="20">
        <f t="shared" ca="1" si="62"/>
        <v>45656</v>
      </c>
      <c r="B253" vm="738">
        <f ca="1"/>
        <v>45657</v>
      </c>
      <c r="C253" vm="739">
        <f ca="1"/>
        <v>152.06</v>
      </c>
      <c r="D253" vm="740">
        <f ca="1"/>
        <v>4274960</v>
      </c>
      <c r="E253">
        <f t="shared" ca="1" si="63"/>
        <v>650050417.60000002</v>
      </c>
      <c r="F253">
        <f ca="1">SUM($E$2:E253)/SUM($D$2:D253)</f>
        <v>168.53748725639605</v>
      </c>
      <c r="G253">
        <f ca="1">_xlfn.STDEV.P($C$2:C253)</f>
        <v>6.3347935311967678</v>
      </c>
      <c r="H253">
        <f t="shared" ca="1" si="64"/>
        <v>174.87228078759281</v>
      </c>
      <c r="I253">
        <f t="shared" ca="1" si="65"/>
        <v>162.20269372519928</v>
      </c>
      <c r="J253">
        <f t="shared" ca="1" si="74"/>
        <v>155.85849999999999</v>
      </c>
      <c r="K253">
        <f t="shared" ca="1" si="75"/>
        <v>3.5127905761059766</v>
      </c>
      <c r="L253">
        <f t="shared" ca="1" si="76"/>
        <v>162.88408115221193</v>
      </c>
      <c r="M253">
        <f t="shared" ca="1" si="77"/>
        <v>148.83291884778805</v>
      </c>
      <c r="N253">
        <f t="shared" ca="1" si="66"/>
        <v>0.34000000000000341</v>
      </c>
      <c r="O253">
        <f t="shared" ca="1" si="67"/>
        <v>0.34000000000000341</v>
      </c>
      <c r="P253">
        <f t="shared" ca="1" si="68"/>
        <v>0</v>
      </c>
      <c r="Q253">
        <f t="shared" ca="1" si="72"/>
        <v>0.43797110976556924</v>
      </c>
      <c r="R253">
        <f t="shared" ca="1" si="73"/>
        <v>0.80216810694856755</v>
      </c>
      <c r="S253">
        <f t="shared" ca="1" si="70"/>
        <v>0.54598419704269119</v>
      </c>
      <c r="T253">
        <f t="shared" ca="1" si="71"/>
        <v>35.316285773625822</v>
      </c>
      <c r="U253">
        <f>70</f>
        <v>70</v>
      </c>
      <c r="V253">
        <f>30</f>
        <v>30</v>
      </c>
      <c r="W253">
        <f t="shared" ca="1" si="69"/>
        <v>153.72005270423864</v>
      </c>
      <c r="X253">
        <f t="shared" ca="1" si="79"/>
        <v>156.60802358939753</v>
      </c>
      <c r="Y253">
        <f t="shared" ca="1" si="78"/>
        <v>-2.954051320214603</v>
      </c>
      <c r="Z253">
        <f t="shared" ca="1" si="80"/>
        <v>-2.834514304588108</v>
      </c>
      <c r="AA253">
        <f t="shared" ca="1" si="81"/>
        <v>-0.11953701562649499</v>
      </c>
      <c r="AB253">
        <f t="shared" ca="1" si="82"/>
        <v>167.63030000000006</v>
      </c>
    </row>
    <row r="254" spans="1:28" x14ac:dyDescent="0.25">
      <c r="A254" s="20">
        <f t="shared" ca="1" si="62"/>
        <v>45656</v>
      </c>
      <c r="B254" vm="741">
        <f ca="1"/>
        <v>45659</v>
      </c>
      <c r="C254" vm="742">
        <f ca="1"/>
        <v>150.21</v>
      </c>
      <c r="D254" vm="743">
        <f ca="1"/>
        <v>4970233</v>
      </c>
      <c r="E254">
        <f t="shared" ca="1" si="63"/>
        <v>746578698.93000007</v>
      </c>
      <c r="F254">
        <f ca="1">SUM($E$2:E254)/SUM($D$2:D254)</f>
        <v>168.4729979232294</v>
      </c>
      <c r="G254">
        <f ca="1">_xlfn.STDEV.P($C$2:C254)</f>
        <v>6.4328799381348656</v>
      </c>
      <c r="H254">
        <f t="shared" ca="1" si="64"/>
        <v>174.90587786136427</v>
      </c>
      <c r="I254">
        <f t="shared" ca="1" si="65"/>
        <v>162.04011798509453</v>
      </c>
      <c r="J254">
        <f t="shared" ca="1" si="74"/>
        <v>155.28399999999999</v>
      </c>
      <c r="K254">
        <f t="shared" ca="1" si="75"/>
        <v>3.4460937458611265</v>
      </c>
      <c r="L254">
        <f t="shared" ca="1" si="76"/>
        <v>162.17618749172223</v>
      </c>
      <c r="M254">
        <f t="shared" ca="1" si="77"/>
        <v>148.39181250827775</v>
      </c>
      <c r="N254">
        <f t="shared" ca="1" si="66"/>
        <v>-1.8499999999999943</v>
      </c>
      <c r="O254">
        <f t="shared" ca="1" si="67"/>
        <v>0</v>
      </c>
      <c r="P254">
        <f t="shared" ca="1" si="68"/>
        <v>1.8499999999999943</v>
      </c>
      <c r="Q254">
        <f t="shared" ca="1" si="72"/>
        <v>0.40668745906802861</v>
      </c>
      <c r="R254">
        <f t="shared" ca="1" si="73"/>
        <v>0.87701324216652665</v>
      </c>
      <c r="S254">
        <f t="shared" ca="1" si="70"/>
        <v>0.46371872112599993</v>
      </c>
      <c r="T254">
        <f t="shared" ca="1" si="71"/>
        <v>31.680862889372179</v>
      </c>
      <c r="U254">
        <f>70</f>
        <v>70</v>
      </c>
      <c r="V254">
        <f>30</f>
        <v>30</v>
      </c>
      <c r="W254">
        <f t="shared" ca="1" si="69"/>
        <v>153.18004459589423</v>
      </c>
      <c r="X254">
        <f t="shared" ca="1" si="79"/>
        <v>156.13409591610883</v>
      </c>
      <c r="Y254">
        <f t="shared" ca="1" si="78"/>
        <v>-3.0168317030050957</v>
      </c>
      <c r="Z254">
        <f t="shared" ca="1" si="80"/>
        <v>-2.8709777842715059</v>
      </c>
      <c r="AA254">
        <f t="shared" ca="1" si="81"/>
        <v>-0.14585391873358988</v>
      </c>
      <c r="AB254">
        <f t="shared" ca="1" si="82"/>
        <v>167.40850000000003</v>
      </c>
    </row>
    <row r="255" spans="1:28" x14ac:dyDescent="0.25">
      <c r="A255" s="20">
        <f t="shared" ca="1" si="62"/>
        <v>45656</v>
      </c>
      <c r="B255" vm="744">
        <f ca="1"/>
        <v>45660</v>
      </c>
      <c r="C255" vm="745">
        <f ca="1"/>
        <v>149.65</v>
      </c>
      <c r="D255" vm="746">
        <f ca="1"/>
        <v>5221639</v>
      </c>
      <c r="E255">
        <f t="shared" ca="1" si="63"/>
        <v>781418276.35000002</v>
      </c>
      <c r="F255">
        <f ca="1">SUM($E$2:E255)/SUM($D$2:D255)</f>
        <v>168.40367109202768</v>
      </c>
      <c r="G255">
        <f ca="1">_xlfn.STDEV.P($C$2:C255)</f>
        <v>6.534324813062292</v>
      </c>
      <c r="H255">
        <f t="shared" ca="1" si="64"/>
        <v>174.93799590508996</v>
      </c>
      <c r="I255">
        <f t="shared" ca="1" si="65"/>
        <v>161.86934627896539</v>
      </c>
      <c r="J255">
        <f t="shared" ca="1" si="74"/>
        <v>154.75749999999999</v>
      </c>
      <c r="K255">
        <f t="shared" ca="1" si="75"/>
        <v>3.4630589991478571</v>
      </c>
      <c r="L255">
        <f t="shared" ca="1" si="76"/>
        <v>161.68361799829572</v>
      </c>
      <c r="M255">
        <f t="shared" ca="1" si="77"/>
        <v>147.83138200170427</v>
      </c>
      <c r="N255">
        <f t="shared" ca="1" si="66"/>
        <v>-0.56000000000000227</v>
      </c>
      <c r="O255">
        <f t="shared" ca="1" si="67"/>
        <v>0</v>
      </c>
      <c r="P255">
        <f t="shared" ca="1" si="68"/>
        <v>0.56000000000000227</v>
      </c>
      <c r="Q255">
        <f t="shared" ca="1" si="72"/>
        <v>0.37763835484888369</v>
      </c>
      <c r="R255">
        <f t="shared" ca="1" si="73"/>
        <v>0.85436943915463204</v>
      </c>
      <c r="S255">
        <f t="shared" ca="1" si="70"/>
        <v>0.44200826661419834</v>
      </c>
      <c r="T255">
        <f t="shared" ca="1" si="71"/>
        <v>30.652269952101136</v>
      </c>
      <c r="U255">
        <f>70</f>
        <v>70</v>
      </c>
      <c r="V255">
        <f>30</f>
        <v>30</v>
      </c>
      <c r="W255">
        <f t="shared" ca="1" si="69"/>
        <v>152.63696081191051</v>
      </c>
      <c r="X255">
        <f t="shared" ca="1" si="79"/>
        <v>155.65379251491561</v>
      </c>
      <c r="Y255">
        <f t="shared" ca="1" si="78"/>
        <v>-3.30126839376112</v>
      </c>
      <c r="Z255">
        <f t="shared" ca="1" si="80"/>
        <v>-2.9570359061694291</v>
      </c>
      <c r="AA255">
        <f t="shared" ca="1" si="81"/>
        <v>-0.34423248759169089</v>
      </c>
      <c r="AB255">
        <f t="shared" ca="1" si="82"/>
        <v>167.19080000000002</v>
      </c>
    </row>
    <row r="256" spans="1:28" x14ac:dyDescent="0.25">
      <c r="A256" s="20">
        <f t="shared" ca="1" si="62"/>
        <v>45663</v>
      </c>
      <c r="B256" vm="747">
        <f ca="1"/>
        <v>45663</v>
      </c>
      <c r="C256" vm="748">
        <f ca="1"/>
        <v>146.27000000000001</v>
      </c>
      <c r="D256" vm="749">
        <f ca="1"/>
        <v>9470626</v>
      </c>
      <c r="E256">
        <f t="shared" ca="1" si="63"/>
        <v>1385268465.02</v>
      </c>
      <c r="F256">
        <f ca="1">SUM($E$2:E256)/SUM($D$2:D256)</f>
        <v>168.25679660680137</v>
      </c>
      <c r="G256">
        <f ca="1">_xlfn.STDEV.P($C$2:C256)</f>
        <v>6.6743015374986143</v>
      </c>
      <c r="H256">
        <f t="shared" ca="1" si="64"/>
        <v>174.93109814429999</v>
      </c>
      <c r="I256">
        <f t="shared" ca="1" si="65"/>
        <v>161.58249506930275</v>
      </c>
      <c r="J256">
        <f t="shared" ca="1" si="74"/>
        <v>154.04649999999998</v>
      </c>
      <c r="K256">
        <f t="shared" ca="1" si="75"/>
        <v>3.6773020358896122</v>
      </c>
      <c r="L256">
        <f t="shared" ca="1" si="76"/>
        <v>161.4011040717792</v>
      </c>
      <c r="M256">
        <f t="shared" ca="1" si="77"/>
        <v>146.69189592822076</v>
      </c>
      <c r="N256">
        <f t="shared" ca="1" si="66"/>
        <v>-3.3799999999999955</v>
      </c>
      <c r="O256">
        <f t="shared" ca="1" si="67"/>
        <v>0</v>
      </c>
      <c r="P256">
        <f t="shared" ca="1" si="68"/>
        <v>3.3799999999999955</v>
      </c>
      <c r="Q256">
        <f t="shared" ca="1" si="72"/>
        <v>0.35066418664539201</v>
      </c>
      <c r="R256">
        <f t="shared" ca="1" si="73"/>
        <v>1.0347716220721579</v>
      </c>
      <c r="S256">
        <f t="shared" ca="1" si="70"/>
        <v>0.33888075316868238</v>
      </c>
      <c r="T256">
        <f t="shared" ca="1" si="71"/>
        <v>25.310749472398129</v>
      </c>
      <c r="U256">
        <f>70</f>
        <v>70</v>
      </c>
      <c r="V256">
        <f>30</f>
        <v>30</v>
      </c>
      <c r="W256">
        <f t="shared" ca="1" si="69"/>
        <v>151.6574283793089</v>
      </c>
      <c r="X256">
        <f t="shared" ca="1" si="79"/>
        <v>154.95869677307002</v>
      </c>
      <c r="Y256">
        <f t="shared" ca="1" si="78"/>
        <v>-3.5558980700655525</v>
      </c>
      <c r="Z256">
        <f t="shared" ca="1" si="80"/>
        <v>-3.0768083389486538</v>
      </c>
      <c r="AA256">
        <f t="shared" ca="1" si="81"/>
        <v>-0.47908973111689868</v>
      </c>
      <c r="AB256">
        <f t="shared" ca="1" si="82"/>
        <v>166.92980000000003</v>
      </c>
    </row>
    <row r="257" spans="1:28" x14ac:dyDescent="0.25">
      <c r="A257" s="20">
        <f t="shared" ca="1" si="62"/>
        <v>45663</v>
      </c>
      <c r="B257" vm="750">
        <f ca="1"/>
        <v>45664</v>
      </c>
      <c r="C257" vm="751">
        <f ca="1"/>
        <v>145.4</v>
      </c>
      <c r="D257" vm="752">
        <f ca="1"/>
        <v>7473300</v>
      </c>
      <c r="E257">
        <f t="shared" ca="1" si="63"/>
        <v>1086617820</v>
      </c>
      <c r="F257">
        <f ca="1">SUM($E$2:E257)/SUM($D$2:D257)</f>
        <v>168.13773442815017</v>
      </c>
      <c r="G257">
        <f ca="1">_xlfn.STDEV.P($C$2:C257)</f>
        <v>6.8206471968948295</v>
      </c>
      <c r="H257">
        <f t="shared" ca="1" si="64"/>
        <v>174.95838162504501</v>
      </c>
      <c r="I257">
        <f t="shared" ca="1" si="65"/>
        <v>161.31708723125533</v>
      </c>
      <c r="J257">
        <f t="shared" ca="1" si="74"/>
        <v>153.42699999999999</v>
      </c>
      <c r="K257">
        <f t="shared" ca="1" si="75"/>
        <v>4.039287456705047</v>
      </c>
      <c r="L257">
        <f t="shared" ca="1" si="76"/>
        <v>161.5055749134101</v>
      </c>
      <c r="M257">
        <f t="shared" ca="1" si="77"/>
        <v>145.34842508658988</v>
      </c>
      <c r="N257">
        <f t="shared" ca="1" si="66"/>
        <v>-0.87000000000000455</v>
      </c>
      <c r="O257">
        <f t="shared" ca="1" si="67"/>
        <v>0</v>
      </c>
      <c r="P257">
        <f t="shared" ca="1" si="68"/>
        <v>0.87000000000000455</v>
      </c>
      <c r="Q257">
        <f t="shared" ca="1" si="72"/>
        <v>0.32561674474214974</v>
      </c>
      <c r="R257">
        <f t="shared" ca="1" si="73"/>
        <v>1.0230022204955755</v>
      </c>
      <c r="S257">
        <f t="shared" ca="1" si="70"/>
        <v>0.31829524728148723</v>
      </c>
      <c r="T257">
        <f t="shared" ca="1" si="71"/>
        <v>24.144458378186329</v>
      </c>
      <c r="U257">
        <f>70</f>
        <v>70</v>
      </c>
      <c r="V257">
        <f>30</f>
        <v>30</v>
      </c>
      <c r="W257">
        <f t="shared" ca="1" si="69"/>
        <v>150.69474709018445</v>
      </c>
      <c r="X257">
        <f t="shared" ca="1" si="79"/>
        <v>154.25064516025</v>
      </c>
      <c r="Y257">
        <f t="shared" ca="1" si="78"/>
        <v>-3.6239310293346705</v>
      </c>
      <c r="Z257">
        <f t="shared" ca="1" si="80"/>
        <v>-3.1862328770258572</v>
      </c>
      <c r="AA257">
        <f t="shared" ca="1" si="81"/>
        <v>-0.43769815230881326</v>
      </c>
      <c r="AB257">
        <f t="shared" ca="1" si="82"/>
        <v>166.64669999999998</v>
      </c>
    </row>
    <row r="258" spans="1:28" x14ac:dyDescent="0.25">
      <c r="A258" s="20">
        <f t="shared" ca="1" si="62"/>
        <v>45663</v>
      </c>
      <c r="B258" vm="753">
        <f ca="1"/>
        <v>45665</v>
      </c>
      <c r="C258" vm="754">
        <f ca="1"/>
        <v>146.54</v>
      </c>
      <c r="D258" vm="755">
        <f ca="1"/>
        <v>6791848</v>
      </c>
      <c r="E258">
        <f t="shared" ca="1" si="63"/>
        <v>995277405.91999996</v>
      </c>
      <c r="F258">
        <f ca="1">SUM($E$2:E258)/SUM($D$2:D258)</f>
        <v>168.03597115353045</v>
      </c>
      <c r="G258">
        <f ca="1">_xlfn.STDEV.P($C$2:C258)</f>
        <v>6.9471072124101392</v>
      </c>
      <c r="H258">
        <f t="shared" ca="1" si="64"/>
        <v>174.9830783659406</v>
      </c>
      <c r="I258">
        <f t="shared" ca="1" si="65"/>
        <v>161.08886394112031</v>
      </c>
      <c r="J258">
        <f t="shared" ca="1" si="74"/>
        <v>152.78049999999999</v>
      </c>
      <c r="K258">
        <f t="shared" ca="1" si="75"/>
        <v>4.0558904207662172</v>
      </c>
      <c r="L258">
        <f t="shared" ca="1" si="76"/>
        <v>160.89228084153243</v>
      </c>
      <c r="M258">
        <f t="shared" ca="1" si="77"/>
        <v>144.66871915846755</v>
      </c>
      <c r="N258">
        <f t="shared" ca="1" si="66"/>
        <v>1.1399999999999864</v>
      </c>
      <c r="O258">
        <f t="shared" ca="1" si="67"/>
        <v>1.1399999999999864</v>
      </c>
      <c r="P258">
        <f t="shared" ca="1" si="68"/>
        <v>0</v>
      </c>
      <c r="Q258">
        <f t="shared" ca="1" si="72"/>
        <v>0.3837869772605666</v>
      </c>
      <c r="R258">
        <f t="shared" ca="1" si="73"/>
        <v>0.94993063331732019</v>
      </c>
      <c r="S258">
        <f t="shared" ca="1" si="70"/>
        <v>0.40401579210085775</v>
      </c>
      <c r="T258">
        <f t="shared" ca="1" si="71"/>
        <v>28.775729900895243</v>
      </c>
      <c r="U258">
        <f>70</f>
        <v>70</v>
      </c>
      <c r="V258">
        <f>30</f>
        <v>30</v>
      </c>
      <c r="W258">
        <f t="shared" ca="1" si="69"/>
        <v>150.05555523015607</v>
      </c>
      <c r="X258">
        <f t="shared" ca="1" si="79"/>
        <v>153.67948625949074</v>
      </c>
      <c r="Y258">
        <f t="shared" ca="1" si="78"/>
        <v>-3.9470459572026471</v>
      </c>
      <c r="Z258">
        <f t="shared" ca="1" si="80"/>
        <v>-3.3383954930612152</v>
      </c>
      <c r="AA258">
        <f t="shared" ca="1" si="81"/>
        <v>-0.60865046414143187</v>
      </c>
      <c r="AB258">
        <f t="shared" ca="1" si="82"/>
        <v>166.3869</v>
      </c>
    </row>
    <row r="259" spans="1:28" x14ac:dyDescent="0.25">
      <c r="A259" s="20">
        <f t="shared" ref="A259:A322" ca="1" si="83">B259 - WEEKDAY(B259, 2) + 1</f>
        <v>45663</v>
      </c>
      <c r="B259" vm="756">
        <f ca="1"/>
        <v>45667</v>
      </c>
      <c r="C259" vm="757">
        <f ca="1"/>
        <v>142.63999999999999</v>
      </c>
      <c r="D259" vm="758">
        <f ca="1"/>
        <v>9632651</v>
      </c>
      <c r="E259">
        <f t="shared" ref="E259:E322" ca="1" si="84">C259*D259</f>
        <v>1374001338.6399999</v>
      </c>
      <c r="F259">
        <f ca="1">SUM($E$2:E259)/SUM($D$2:D259)</f>
        <v>167.86738844039215</v>
      </c>
      <c r="G259">
        <f ca="1">_xlfn.STDEV.P($C$2:C259)</f>
        <v>7.1205184811218354</v>
      </c>
      <c r="H259">
        <f t="shared" ref="H259:H322" ca="1" si="85">F259 + G259</f>
        <v>174.987906921514</v>
      </c>
      <c r="I259">
        <f t="shared" ref="I259:I322" ca="1" si="86">F259 - G259</f>
        <v>160.7468699592703</v>
      </c>
      <c r="J259">
        <f t="shared" ca="1" si="74"/>
        <v>151.9205</v>
      </c>
      <c r="K259">
        <f t="shared" ca="1" si="75"/>
        <v>4.2966075663187322</v>
      </c>
      <c r="L259">
        <f t="shared" ca="1" si="76"/>
        <v>160.51371513263746</v>
      </c>
      <c r="M259">
        <f t="shared" ca="1" si="77"/>
        <v>143.32728486736255</v>
      </c>
      <c r="N259">
        <f t="shared" ca="1" si="66"/>
        <v>-3.9000000000000057</v>
      </c>
      <c r="O259">
        <f t="shared" ca="1" si="67"/>
        <v>0</v>
      </c>
      <c r="P259">
        <f t="shared" ca="1" si="68"/>
        <v>3.9000000000000057</v>
      </c>
      <c r="Q259">
        <f t="shared" ca="1" si="72"/>
        <v>0.35637362174195469</v>
      </c>
      <c r="R259">
        <f t="shared" ca="1" si="73"/>
        <v>1.1606498737946549</v>
      </c>
      <c r="S259">
        <f t="shared" ca="1" si="70"/>
        <v>0.30704662085286644</v>
      </c>
      <c r="T259">
        <f t="shared" ca="1" si="71"/>
        <v>23.491634954269202</v>
      </c>
      <c r="U259">
        <f>70</f>
        <v>70</v>
      </c>
      <c r="V259">
        <f>30</f>
        <v>30</v>
      </c>
      <c r="W259">
        <f t="shared" ca="1" si="69"/>
        <v>148.91470057936283</v>
      </c>
      <c r="X259">
        <f t="shared" ca="1" si="79"/>
        <v>152.86174653656548</v>
      </c>
      <c r="Y259">
        <f t="shared" ca="1" si="78"/>
        <v>-4.0068420293818008</v>
      </c>
      <c r="Z259">
        <f t="shared" ca="1" si="80"/>
        <v>-3.4720848003253324</v>
      </c>
      <c r="AA259">
        <f t="shared" ca="1" si="81"/>
        <v>-0.53475722905646839</v>
      </c>
      <c r="AB259">
        <f t="shared" ca="1" si="82"/>
        <v>166.08709999999999</v>
      </c>
    </row>
    <row r="260" spans="1:28" x14ac:dyDescent="0.25">
      <c r="A260" s="20">
        <f t="shared" ca="1" si="83"/>
        <v>45670</v>
      </c>
      <c r="B260" vm="759">
        <f ca="1"/>
        <v>45670</v>
      </c>
      <c r="C260" vm="760">
        <f ca="1"/>
        <v>144.5</v>
      </c>
      <c r="D260" vm="761">
        <f ca="1"/>
        <v>8101358</v>
      </c>
      <c r="E260">
        <f t="shared" ca="1" si="84"/>
        <v>1170646231</v>
      </c>
      <c r="F260">
        <f ca="1">SUM($E$2:E260)/SUM($D$2:D260)</f>
        <v>167.73765482867856</v>
      </c>
      <c r="G260">
        <f ca="1">_xlfn.STDEV.P($C$2:C260)</f>
        <v>7.2624931727315998</v>
      </c>
      <c r="H260">
        <f t="shared" ca="1" si="85"/>
        <v>175.00014800141017</v>
      </c>
      <c r="I260">
        <f t="shared" ca="1" si="86"/>
        <v>160.47516165594695</v>
      </c>
      <c r="J260">
        <f t="shared" ca="1" si="74"/>
        <v>151.30699999999999</v>
      </c>
      <c r="K260">
        <f t="shared" ca="1" si="75"/>
        <v>4.4412801615845199</v>
      </c>
      <c r="L260">
        <f t="shared" ca="1" si="76"/>
        <v>160.18956032316902</v>
      </c>
      <c r="M260">
        <f t="shared" ca="1" si="77"/>
        <v>142.42443967683096</v>
      </c>
      <c r="N260">
        <f t="shared" ref="N260:N323" ca="1" si="87">C260-C259</f>
        <v>1.8600000000000136</v>
      </c>
      <c r="O260">
        <f t="shared" ref="O260:O323" ca="1" si="88">MAX(N260,0)</f>
        <v>1.8600000000000136</v>
      </c>
      <c r="P260">
        <f t="shared" ref="P260:P323" ca="1" si="89">MAX(-N260,0)</f>
        <v>0</v>
      </c>
      <c r="Q260">
        <f t="shared" ca="1" si="72"/>
        <v>0.46377550590324462</v>
      </c>
      <c r="R260">
        <f t="shared" ca="1" si="73"/>
        <v>1.0777463113807511</v>
      </c>
      <c r="S260">
        <f t="shared" ca="1" si="70"/>
        <v>0.43031973387974781</v>
      </c>
      <c r="T260">
        <f t="shared" ca="1" si="71"/>
        <v>30.085562247855165</v>
      </c>
      <c r="U260">
        <f>70</f>
        <v>70</v>
      </c>
      <c r="V260">
        <f>30</f>
        <v>30</v>
      </c>
      <c r="W260">
        <f t="shared" ca="1" si="69"/>
        <v>148.23551587484548</v>
      </c>
      <c r="X260">
        <f t="shared" ca="1" si="79"/>
        <v>152.24235790422728</v>
      </c>
      <c r="Y260">
        <f t="shared" ca="1" si="78"/>
        <v>-3.9721313505548608</v>
      </c>
      <c r="Z260">
        <f t="shared" ca="1" si="80"/>
        <v>-3.5720941103712383</v>
      </c>
      <c r="AA260">
        <f t="shared" ca="1" si="81"/>
        <v>-0.40003724018362252</v>
      </c>
      <c r="AB260">
        <f t="shared" ca="1" si="82"/>
        <v>165.79390000000001</v>
      </c>
    </row>
    <row r="261" spans="1:28" x14ac:dyDescent="0.25">
      <c r="A261" s="20">
        <f t="shared" ca="1" si="83"/>
        <v>45670</v>
      </c>
      <c r="B261" vm="762">
        <f ca="1"/>
        <v>45671</v>
      </c>
      <c r="C261" vm="763">
        <f ca="1"/>
        <v>144.94999999999999</v>
      </c>
      <c r="D261" vm="764">
        <f ca="1"/>
        <v>6996448</v>
      </c>
      <c r="E261">
        <f t="shared" ca="1" si="84"/>
        <v>1014135137.5999999</v>
      </c>
      <c r="F261">
        <f ca="1">SUM($E$2:E261)/SUM($D$2:D261)</f>
        <v>167.62891605999079</v>
      </c>
      <c r="G261">
        <f ca="1">_xlfn.STDEV.P($C$2:C261)</f>
        <v>7.3939770763721722</v>
      </c>
      <c r="H261">
        <f t="shared" ca="1" si="85"/>
        <v>175.02289313636297</v>
      </c>
      <c r="I261">
        <f t="shared" ca="1" si="86"/>
        <v>160.2349389836186</v>
      </c>
      <c r="J261">
        <f t="shared" ca="1" si="74"/>
        <v>150.60949999999997</v>
      </c>
      <c r="K261">
        <f t="shared" ca="1" si="75"/>
        <v>4.2784779327527964</v>
      </c>
      <c r="L261">
        <f t="shared" ca="1" si="76"/>
        <v>159.16645586550555</v>
      </c>
      <c r="M261">
        <f t="shared" ca="1" si="77"/>
        <v>142.05254413449438</v>
      </c>
      <c r="N261">
        <f t="shared" ca="1" si="87"/>
        <v>0.44999999999998863</v>
      </c>
      <c r="O261">
        <f t="shared" ca="1" si="88"/>
        <v>0.44999999999998863</v>
      </c>
      <c r="P261">
        <f t="shared" ca="1" si="89"/>
        <v>0</v>
      </c>
      <c r="Q261">
        <f t="shared" ca="1" si="72"/>
        <v>0.46279154119586918</v>
      </c>
      <c r="R261">
        <f t="shared" ca="1" si="73"/>
        <v>1.0007644319964117</v>
      </c>
      <c r="S261">
        <f t="shared" ca="1" si="70"/>
        <v>0.46243803876268108</v>
      </c>
      <c r="T261">
        <f t="shared" ca="1" si="71"/>
        <v>31.621034635691927</v>
      </c>
      <c r="U261">
        <f>70</f>
        <v>70</v>
      </c>
      <c r="V261">
        <f>30</f>
        <v>30</v>
      </c>
      <c r="W261">
        <f t="shared" ca="1" si="69"/>
        <v>147.73005189410003</v>
      </c>
      <c r="X261">
        <f t="shared" ca="1" si="79"/>
        <v>151.70218324465489</v>
      </c>
      <c r="Y261">
        <f t="shared" ca="1" si="78"/>
        <v>-3.9132311736898657</v>
      </c>
      <c r="Z261">
        <f t="shared" ca="1" si="80"/>
        <v>-3.6403215230349639</v>
      </c>
      <c r="AA261">
        <f t="shared" ca="1" si="81"/>
        <v>-0.2729096506549018</v>
      </c>
      <c r="AB261">
        <f t="shared" ca="1" si="82"/>
        <v>165.48489999999995</v>
      </c>
    </row>
    <row r="262" spans="1:28" x14ac:dyDescent="0.25">
      <c r="A262" s="20">
        <f t="shared" ca="1" si="83"/>
        <v>45670</v>
      </c>
      <c r="B262" vm="765">
        <f ca="1"/>
        <v>45672</v>
      </c>
      <c r="C262" vm="766">
        <f ca="1"/>
        <v>144.78</v>
      </c>
      <c r="D262" vm="767">
        <f ca="1"/>
        <v>7141555</v>
      </c>
      <c r="E262">
        <f t="shared" ca="1" si="84"/>
        <v>1033954332.9</v>
      </c>
      <c r="F262">
        <f ca="1">SUM($E$2:E262)/SUM($D$2:D262)</f>
        <v>167.51816310295743</v>
      </c>
      <c r="G262">
        <f ca="1">_xlfn.STDEV.P($C$2:C262)</f>
        <v>7.5231343665093924</v>
      </c>
      <c r="H262">
        <f t="shared" ca="1" si="85"/>
        <v>175.04129746946683</v>
      </c>
      <c r="I262">
        <f t="shared" ca="1" si="86"/>
        <v>159.99502873644803</v>
      </c>
      <c r="J262">
        <f t="shared" ca="1" si="74"/>
        <v>149.94999999999999</v>
      </c>
      <c r="K262">
        <f t="shared" ca="1" si="75"/>
        <v>4.096914114691435</v>
      </c>
      <c r="L262">
        <f t="shared" ca="1" si="76"/>
        <v>158.14382822938285</v>
      </c>
      <c r="M262">
        <f t="shared" ca="1" si="77"/>
        <v>141.75617177061713</v>
      </c>
      <c r="N262">
        <f t="shared" ca="1" si="87"/>
        <v>-0.16999999999998749</v>
      </c>
      <c r="O262">
        <f t="shared" ca="1" si="88"/>
        <v>0</v>
      </c>
      <c r="P262">
        <f t="shared" ca="1" si="89"/>
        <v>0.16999999999998749</v>
      </c>
      <c r="Q262">
        <f t="shared" ca="1" si="72"/>
        <v>0.42973500253902142</v>
      </c>
      <c r="R262">
        <f t="shared" ca="1" si="73"/>
        <v>0.94142411542523863</v>
      </c>
      <c r="S262">
        <f t="shared" ca="1" si="70"/>
        <v>0.45647333172988808</v>
      </c>
      <c r="T262">
        <f t="shared" ca="1" si="71"/>
        <v>31.341001704969344</v>
      </c>
      <c r="U262">
        <f>70</f>
        <v>70</v>
      </c>
      <c r="V262">
        <f>30</f>
        <v>30</v>
      </c>
      <c r="W262">
        <f t="shared" ca="1" si="69"/>
        <v>147.27619775654617</v>
      </c>
      <c r="X262">
        <f t="shared" ca="1" si="79"/>
        <v>151.18942893023603</v>
      </c>
      <c r="Y262">
        <f t="shared" ca="1" si="78"/>
        <v>-3.6820902240241935</v>
      </c>
      <c r="Z262">
        <f t="shared" ca="1" si="80"/>
        <v>-3.6486752632328097</v>
      </c>
      <c r="AA262">
        <f t="shared" ca="1" si="81"/>
        <v>-3.3414960791383841E-2</v>
      </c>
      <c r="AB262">
        <f t="shared" ca="1" si="82"/>
        <v>165.18059999999997</v>
      </c>
    </row>
    <row r="263" spans="1:28" x14ac:dyDescent="0.25">
      <c r="A263" s="20">
        <f t="shared" ca="1" si="83"/>
        <v>45670</v>
      </c>
      <c r="B263" vm="768">
        <f ca="1"/>
        <v>45673</v>
      </c>
      <c r="C263" vm="754">
        <f ca="1"/>
        <v>146.54</v>
      </c>
      <c r="D263" vm="769">
        <f ca="1"/>
        <v>5068040</v>
      </c>
      <c r="E263">
        <f t="shared" ca="1" si="84"/>
        <v>742670581.5999999</v>
      </c>
      <c r="F263">
        <f ca="1">SUM($E$2:E263)/SUM($D$2:D263)</f>
        <v>167.44624916038251</v>
      </c>
      <c r="G263">
        <f ca="1">_xlfn.STDEV.P($C$2:C263)</f>
        <v>7.6282119425661348</v>
      </c>
      <c r="H263">
        <f t="shared" ca="1" si="85"/>
        <v>175.07446110294865</v>
      </c>
      <c r="I263">
        <f t="shared" ca="1" si="86"/>
        <v>159.81803721781637</v>
      </c>
      <c r="J263">
        <f t="shared" ca="1" si="74"/>
        <v>149.47599999999997</v>
      </c>
      <c r="K263">
        <f t="shared" ca="1" si="75"/>
        <v>3.901410541141026</v>
      </c>
      <c r="L263">
        <f t="shared" ca="1" si="76"/>
        <v>157.27882108228204</v>
      </c>
      <c r="M263">
        <f t="shared" ca="1" si="77"/>
        <v>141.67317891771791</v>
      </c>
      <c r="N263">
        <f t="shared" ca="1" si="87"/>
        <v>1.7599999999999909</v>
      </c>
      <c r="O263">
        <f t="shared" ca="1" si="88"/>
        <v>1.7599999999999909</v>
      </c>
      <c r="P263">
        <f t="shared" ca="1" si="89"/>
        <v>0</v>
      </c>
      <c r="Q263">
        <f t="shared" ca="1" si="72"/>
        <v>0.52475393092909062</v>
      </c>
      <c r="R263">
        <f t="shared" ca="1" si="73"/>
        <v>0.87417953575200724</v>
      </c>
      <c r="S263">
        <f t="shared" ca="1" si="70"/>
        <v>0.60028164635274206</v>
      </c>
      <c r="T263">
        <f t="shared" ca="1" si="71"/>
        <v>37.510999874357431</v>
      </c>
      <c r="U263">
        <f>70</f>
        <v>70</v>
      </c>
      <c r="V263">
        <f>30</f>
        <v>30</v>
      </c>
      <c r="W263">
        <f t="shared" ca="1" si="69"/>
        <v>147.16293656323137</v>
      </c>
      <c r="X263">
        <f t="shared" ca="1" si="79"/>
        <v>150.84502678725556</v>
      </c>
      <c r="Y263">
        <f t="shared" ca="1" si="78"/>
        <v>-3.3226254888271853</v>
      </c>
      <c r="Z263">
        <f t="shared" ca="1" si="80"/>
        <v>-3.583465308351685</v>
      </c>
      <c r="AA263">
        <f t="shared" ca="1" si="81"/>
        <v>0.26083981952449964</v>
      </c>
      <c r="AB263">
        <f t="shared" ca="1" si="82"/>
        <v>164.8886</v>
      </c>
    </row>
    <row r="264" spans="1:28" x14ac:dyDescent="0.25">
      <c r="A264" s="20">
        <f t="shared" ca="1" si="83"/>
        <v>45670</v>
      </c>
      <c r="B264" vm="770">
        <f ca="1"/>
        <v>45674</v>
      </c>
      <c r="C264" vm="771">
        <f ca="1"/>
        <v>148.25</v>
      </c>
      <c r="D264" vm="772">
        <f ca="1"/>
        <v>7338870</v>
      </c>
      <c r="E264">
        <f t="shared" ca="1" si="84"/>
        <v>1087987477.5</v>
      </c>
      <c r="F264">
        <f ca="1">SUM($E$2:E264)/SUM($D$2:D264)</f>
        <v>167.35142900542573</v>
      </c>
      <c r="G264">
        <f ca="1">_xlfn.STDEV.P($C$2:C264)</f>
        <v>7.71268705471042</v>
      </c>
      <c r="H264">
        <f t="shared" ca="1" si="85"/>
        <v>175.06411606013614</v>
      </c>
      <c r="I264">
        <f t="shared" ca="1" si="86"/>
        <v>159.63874195071531</v>
      </c>
      <c r="J264">
        <f t="shared" ca="1" si="74"/>
        <v>149.08150000000001</v>
      </c>
      <c r="K264">
        <f t="shared" ca="1" si="75"/>
        <v>3.5775664692784215</v>
      </c>
      <c r="L264">
        <f t="shared" ca="1" si="76"/>
        <v>156.23663293855685</v>
      </c>
      <c r="M264">
        <f t="shared" ca="1" si="77"/>
        <v>141.92636706144316</v>
      </c>
      <c r="N264">
        <f t="shared" ca="1" si="87"/>
        <v>1.710000000000008</v>
      </c>
      <c r="O264">
        <f t="shared" ca="1" si="88"/>
        <v>1.710000000000008</v>
      </c>
      <c r="P264">
        <f t="shared" ca="1" si="89"/>
        <v>0</v>
      </c>
      <c r="Q264">
        <f t="shared" ca="1" si="72"/>
        <v>0.60941436443415609</v>
      </c>
      <c r="R264">
        <f t="shared" ca="1" si="73"/>
        <v>0.81173814034114955</v>
      </c>
      <c r="S264">
        <f t="shared" ca="1" si="70"/>
        <v>0.75075240911808983</v>
      </c>
      <c r="T264">
        <f t="shared" ca="1" si="71"/>
        <v>42.881700759519042</v>
      </c>
      <c r="U264">
        <f>70</f>
        <v>70</v>
      </c>
      <c r="V264">
        <f>30</f>
        <v>30</v>
      </c>
      <c r="W264">
        <f t="shared" ca="1" si="69"/>
        <v>147.330177091965</v>
      </c>
      <c r="X264">
        <f t="shared" ca="1" si="79"/>
        <v>150.65280258079218</v>
      </c>
      <c r="Y264">
        <f t="shared" ca="1" si="78"/>
        <v>-2.9791972719198156</v>
      </c>
      <c r="Z264">
        <f t="shared" ca="1" si="80"/>
        <v>-3.4626117010653115</v>
      </c>
      <c r="AA264">
        <f t="shared" ca="1" si="81"/>
        <v>0.48341442914549582</v>
      </c>
      <c r="AB264">
        <f t="shared" ca="1" si="82"/>
        <v>164.61240000000001</v>
      </c>
    </row>
    <row r="265" spans="1:28" x14ac:dyDescent="0.25">
      <c r="A265" s="20">
        <f t="shared" ca="1" si="83"/>
        <v>45677</v>
      </c>
      <c r="B265" vm="773">
        <f ca="1"/>
        <v>45678</v>
      </c>
      <c r="C265" vm="774">
        <f ca="1"/>
        <v>148.55000000000001</v>
      </c>
      <c r="D265" vm="775">
        <f ca="1"/>
        <v>7456182</v>
      </c>
      <c r="E265">
        <f t="shared" ca="1" si="84"/>
        <v>1107615836.1000001</v>
      </c>
      <c r="F265">
        <f ca="1">SUM($E$2:E265)/SUM($D$2:D265)</f>
        <v>167.25754569331755</v>
      </c>
      <c r="G265">
        <f ca="1">_xlfn.STDEV.P($C$2:C265)</f>
        <v>7.7920085265526762</v>
      </c>
      <c r="H265">
        <f t="shared" ca="1" si="85"/>
        <v>175.04955421987023</v>
      </c>
      <c r="I265">
        <f t="shared" ca="1" si="86"/>
        <v>159.46553716676488</v>
      </c>
      <c r="J265">
        <f t="shared" ca="1" si="74"/>
        <v>148.78749999999999</v>
      </c>
      <c r="K265">
        <f t="shared" ca="1" si="75"/>
        <v>3.3492180941385805</v>
      </c>
      <c r="L265">
        <f t="shared" ca="1" si="76"/>
        <v>155.48593618827715</v>
      </c>
      <c r="M265">
        <f t="shared" ca="1" si="77"/>
        <v>142.08906381172284</v>
      </c>
      <c r="N265">
        <f t="shared" ca="1" si="87"/>
        <v>0.30000000000001137</v>
      </c>
      <c r="O265">
        <f t="shared" ca="1" si="88"/>
        <v>0.30000000000001137</v>
      </c>
      <c r="P265">
        <f t="shared" ca="1" si="89"/>
        <v>0</v>
      </c>
      <c r="Q265">
        <f t="shared" ca="1" si="72"/>
        <v>0.5873133384031457</v>
      </c>
      <c r="R265">
        <f t="shared" ca="1" si="73"/>
        <v>0.75375684460249592</v>
      </c>
      <c r="S265">
        <f t="shared" ca="1" si="70"/>
        <v>0.77918143312234001</v>
      </c>
      <c r="T265">
        <f t="shared" ca="1" si="71"/>
        <v>43.794377493864168</v>
      </c>
      <c r="U265">
        <f>70</f>
        <v>70</v>
      </c>
      <c r="V265">
        <f>30</f>
        <v>30</v>
      </c>
      <c r="W265">
        <f t="shared" ca="1" si="69"/>
        <v>147.51784215473961</v>
      </c>
      <c r="X265">
        <f t="shared" ca="1" si="79"/>
        <v>150.49703942665943</v>
      </c>
      <c r="Y265">
        <f t="shared" ca="1" si="78"/>
        <v>-2.7128737712440056</v>
      </c>
      <c r="Z265">
        <f t="shared" ca="1" si="80"/>
        <v>-3.3126641151010507</v>
      </c>
      <c r="AA265">
        <f t="shared" ca="1" si="81"/>
        <v>0.59979034385704511</v>
      </c>
      <c r="AB265">
        <f t="shared" ca="1" si="82"/>
        <v>164.3382</v>
      </c>
    </row>
    <row r="266" spans="1:28" x14ac:dyDescent="0.25">
      <c r="A266" s="20">
        <f t="shared" ca="1" si="83"/>
        <v>45677</v>
      </c>
      <c r="B266" vm="776">
        <f ca="1"/>
        <v>45679</v>
      </c>
      <c r="C266" vm="777">
        <f ca="1"/>
        <v>148.09</v>
      </c>
      <c r="D266" vm="778">
        <f ca="1"/>
        <v>5905060</v>
      </c>
      <c r="E266">
        <f t="shared" ca="1" si="84"/>
        <v>874480335.39999998</v>
      </c>
      <c r="F266">
        <f ca="1">SUM($E$2:E266)/SUM($D$2:D266)</f>
        <v>167.18204381078874</v>
      </c>
      <c r="G266">
        <f ca="1">_xlfn.STDEV.P($C$2:C266)</f>
        <v>7.8735941796490101</v>
      </c>
      <c r="H266">
        <f t="shared" ca="1" si="85"/>
        <v>175.05563799043776</v>
      </c>
      <c r="I266">
        <f t="shared" ca="1" si="86"/>
        <v>159.30844963113972</v>
      </c>
      <c r="J266">
        <f t="shared" ca="1" si="74"/>
        <v>148.61850000000001</v>
      </c>
      <c r="K266">
        <f t="shared" ca="1" si="75"/>
        <v>3.2915158481993321</v>
      </c>
      <c r="L266">
        <f t="shared" ca="1" si="76"/>
        <v>155.20153169639869</v>
      </c>
      <c r="M266">
        <f t="shared" ca="1" si="77"/>
        <v>142.03546830360133</v>
      </c>
      <c r="N266">
        <f t="shared" ca="1" si="87"/>
        <v>-0.46000000000000796</v>
      </c>
      <c r="O266">
        <f t="shared" ca="1" si="88"/>
        <v>0</v>
      </c>
      <c r="P266">
        <f t="shared" ca="1" si="89"/>
        <v>0.46000000000000796</v>
      </c>
      <c r="Q266">
        <f t="shared" ca="1" si="72"/>
        <v>0.5453623856600639</v>
      </c>
      <c r="R266">
        <f t="shared" ca="1" si="73"/>
        <v>0.7327742128451753</v>
      </c>
      <c r="S266">
        <f t="shared" ca="1" si="70"/>
        <v>0.74424341918714754</v>
      </c>
      <c r="T266">
        <f t="shared" ca="1" si="71"/>
        <v>42.668552508226171</v>
      </c>
      <c r="U266">
        <f>70</f>
        <v>70</v>
      </c>
      <c r="V266">
        <f>30</f>
        <v>30</v>
      </c>
      <c r="W266">
        <f t="shared" ca="1" si="69"/>
        <v>147.60586643862584</v>
      </c>
      <c r="X266">
        <f t="shared" ca="1" si="79"/>
        <v>150.31874020986984</v>
      </c>
      <c r="Y266">
        <f t="shared" ca="1" si="78"/>
        <v>-2.4310206152017884</v>
      </c>
      <c r="Z266">
        <f t="shared" ca="1" si="80"/>
        <v>-3.1363354151211986</v>
      </c>
      <c r="AA266">
        <f t="shared" ca="1" si="81"/>
        <v>0.70531479991941026</v>
      </c>
      <c r="AB266">
        <f t="shared" ca="1" si="82"/>
        <v>164.06609999999998</v>
      </c>
    </row>
    <row r="267" spans="1:28" x14ac:dyDescent="0.25">
      <c r="A267" s="20">
        <f t="shared" ca="1" si="83"/>
        <v>45677</v>
      </c>
      <c r="B267" vm="779">
        <f ca="1"/>
        <v>45680</v>
      </c>
      <c r="C267" vm="780">
        <f ca="1"/>
        <v>148.62</v>
      </c>
      <c r="D267" vm="781">
        <f ca="1"/>
        <v>4759125</v>
      </c>
      <c r="E267">
        <f t="shared" ca="1" si="84"/>
        <v>707301157.5</v>
      </c>
      <c r="F267">
        <f ca="1">SUM($E$2:E267)/SUM($D$2:D267)</f>
        <v>167.12330254238572</v>
      </c>
      <c r="G267">
        <f ca="1">_xlfn.STDEV.P($C$2:C267)</f>
        <v>7.9481152010591485</v>
      </c>
      <c r="H267">
        <f t="shared" ca="1" si="85"/>
        <v>175.07141774344487</v>
      </c>
      <c r="I267">
        <f t="shared" ca="1" si="86"/>
        <v>159.17518734132656</v>
      </c>
      <c r="J267">
        <f t="shared" ca="1" si="74"/>
        <v>148.41000000000003</v>
      </c>
      <c r="K267">
        <f t="shared" ca="1" si="75"/>
        <v>3.1420459308512587</v>
      </c>
      <c r="L267">
        <f t="shared" ca="1" si="76"/>
        <v>154.69409186170253</v>
      </c>
      <c r="M267">
        <f t="shared" ca="1" si="77"/>
        <v>142.12590813829752</v>
      </c>
      <c r="N267">
        <f t="shared" ca="1" si="87"/>
        <v>0.53000000000000114</v>
      </c>
      <c r="O267">
        <f t="shared" ca="1" si="88"/>
        <v>0.53000000000000114</v>
      </c>
      <c r="P267">
        <f t="shared" ca="1" si="89"/>
        <v>0</v>
      </c>
      <c r="Q267">
        <f t="shared" ca="1" si="72"/>
        <v>0.54426507239863087</v>
      </c>
      <c r="R267">
        <f t="shared" ca="1" si="73"/>
        <v>0.68043319764194854</v>
      </c>
      <c r="S267">
        <f t="shared" ca="1" si="70"/>
        <v>0.79988024435725602</v>
      </c>
      <c r="T267">
        <f t="shared" ca="1" si="71"/>
        <v>44.440748036705983</v>
      </c>
      <c r="U267">
        <f>70</f>
        <v>70</v>
      </c>
      <c r="V267">
        <f>30</f>
        <v>30</v>
      </c>
      <c r="W267">
        <f t="shared" ca="1" si="69"/>
        <v>147.76188698652956</v>
      </c>
      <c r="X267">
        <f t="shared" ca="1" si="79"/>
        <v>150.19290760173135</v>
      </c>
      <c r="Y267">
        <f t="shared" ca="1" si="78"/>
        <v>-2.1426055144256679</v>
      </c>
      <c r="Z267">
        <f t="shared" ca="1" si="80"/>
        <v>-2.9375894349820926</v>
      </c>
      <c r="AA267">
        <f t="shared" ca="1" si="81"/>
        <v>0.79498392055642464</v>
      </c>
      <c r="AB267">
        <f t="shared" ca="1" si="82"/>
        <v>163.81309999999999</v>
      </c>
    </row>
    <row r="268" spans="1:28" x14ac:dyDescent="0.25">
      <c r="A268" s="20">
        <f t="shared" ca="1" si="83"/>
        <v>45677</v>
      </c>
      <c r="B268" vm="782">
        <f ca="1"/>
        <v>45681</v>
      </c>
      <c r="C268" vm="783">
        <f ca="1"/>
        <v>149.12</v>
      </c>
      <c r="D268" vm="784">
        <f ca="1"/>
        <v>4509550</v>
      </c>
      <c r="E268">
        <f t="shared" ca="1" si="84"/>
        <v>672464096</v>
      </c>
      <c r="F268">
        <f ca="1">SUM($E$2:E268)/SUM($D$2:D268)</f>
        <v>167.06947860567115</v>
      </c>
      <c r="G268">
        <f ca="1">_xlfn.STDEV.P($C$2:C268)</f>
        <v>8.0162939285278885</v>
      </c>
      <c r="H268">
        <f t="shared" ca="1" si="85"/>
        <v>175.08577253419904</v>
      </c>
      <c r="I268">
        <f t="shared" ca="1" si="86"/>
        <v>159.05318467714326</v>
      </c>
      <c r="J268">
        <f t="shared" ca="1" si="74"/>
        <v>148.3015</v>
      </c>
      <c r="K268">
        <f t="shared" ca="1" si="75"/>
        <v>3.0740925490297148</v>
      </c>
      <c r="L268">
        <f t="shared" ca="1" si="76"/>
        <v>154.44968509805943</v>
      </c>
      <c r="M268">
        <f t="shared" ca="1" si="77"/>
        <v>142.15331490194058</v>
      </c>
      <c r="N268">
        <f t="shared" ca="1" si="87"/>
        <v>0.5</v>
      </c>
      <c r="O268">
        <f t="shared" ca="1" si="88"/>
        <v>0.5</v>
      </c>
      <c r="P268">
        <f t="shared" ca="1" si="89"/>
        <v>0</v>
      </c>
      <c r="Q268">
        <f t="shared" ca="1" si="72"/>
        <v>0.54110328151301434</v>
      </c>
      <c r="R268">
        <f t="shared" ca="1" si="73"/>
        <v>0.63183082638180932</v>
      </c>
      <c r="S268">
        <f t="shared" ca="1" si="70"/>
        <v>0.85640532072746767</v>
      </c>
      <c r="T268">
        <f t="shared" ca="1" si="71"/>
        <v>46.132453466135779</v>
      </c>
      <c r="U268">
        <f>70</f>
        <v>70</v>
      </c>
      <c r="V268">
        <f>30</f>
        <v>30</v>
      </c>
      <c r="W268">
        <f t="shared" ca="1" si="69"/>
        <v>147.9708274501404</v>
      </c>
      <c r="X268">
        <f t="shared" ca="1" si="79"/>
        <v>150.11343296456607</v>
      </c>
      <c r="Y268">
        <f t="shared" ca="1" si="78"/>
        <v>-1.4542733925705988</v>
      </c>
      <c r="Z268">
        <f t="shared" ca="1" si="80"/>
        <v>-2.6409262264997939</v>
      </c>
      <c r="AA268">
        <f t="shared" ca="1" si="81"/>
        <v>1.1866528339291951</v>
      </c>
      <c r="AB268">
        <f t="shared" ca="1" si="82"/>
        <v>163.58340000000001</v>
      </c>
    </row>
    <row r="269" spans="1:28" x14ac:dyDescent="0.25">
      <c r="A269" s="20">
        <f t="shared" ca="1" si="83"/>
        <v>45684</v>
      </c>
      <c r="B269" vm="785">
        <f ca="1"/>
        <v>45684</v>
      </c>
      <c r="C269" vm="786">
        <f ca="1"/>
        <v>154.61000000000001</v>
      </c>
      <c r="D269" vm="787">
        <f ca="1"/>
        <v>9820585</v>
      </c>
      <c r="E269">
        <f t="shared" ca="1" si="84"/>
        <v>1518360646.8500001</v>
      </c>
      <c r="F269">
        <f ca="1">SUM($E$2:E269)/SUM($D$2:D269)</f>
        <v>166.988883456042</v>
      </c>
      <c r="G269">
        <f ca="1">_xlfn.STDEV.P($C$2:C269)</f>
        <v>8.0422118576808632</v>
      </c>
      <c r="H269">
        <f t="shared" ca="1" si="85"/>
        <v>175.03109531372286</v>
      </c>
      <c r="I269">
        <f t="shared" ca="1" si="86"/>
        <v>158.94667159836115</v>
      </c>
      <c r="J269">
        <f t="shared" ca="1" si="74"/>
        <v>148.39150000000001</v>
      </c>
      <c r="K269">
        <f t="shared" ca="1" si="75"/>
        <v>3.2351641542993108</v>
      </c>
      <c r="L269">
        <f t="shared" ca="1" si="76"/>
        <v>154.86182830859863</v>
      </c>
      <c r="M269">
        <f t="shared" ca="1" si="77"/>
        <v>141.92117169140138</v>
      </c>
      <c r="N269">
        <f t="shared" ca="1" si="87"/>
        <v>5.4900000000000091</v>
      </c>
      <c r="O269">
        <f t="shared" ca="1" si="88"/>
        <v>5.4900000000000091</v>
      </c>
      <c r="P269">
        <f t="shared" ca="1" si="89"/>
        <v>0</v>
      </c>
      <c r="Q269">
        <f t="shared" ca="1" si="72"/>
        <v>0.89459590426208535</v>
      </c>
      <c r="R269">
        <f t="shared" ca="1" si="73"/>
        <v>0.58670005306882289</v>
      </c>
      <c r="S269">
        <f t="shared" ca="1" si="70"/>
        <v>1.5247926083912331</v>
      </c>
      <c r="T269">
        <f t="shared" ca="1" si="71"/>
        <v>60.392786453965904</v>
      </c>
      <c r="U269">
        <f>70</f>
        <v>70</v>
      </c>
      <c r="V269">
        <f>30</f>
        <v>30</v>
      </c>
      <c r="W269">
        <f t="shared" ca="1" si="69"/>
        <v>148.99223861165726</v>
      </c>
      <c r="X269">
        <f t="shared" ca="1" si="79"/>
        <v>150.44651200422786</v>
      </c>
      <c r="Y269">
        <f t="shared" ca="1" si="78"/>
        <v>-1.246215195760243</v>
      </c>
      <c r="Z269">
        <f t="shared" ca="1" si="80"/>
        <v>-2.3619840203518838</v>
      </c>
      <c r="AA269">
        <f t="shared" ca="1" si="81"/>
        <v>1.1157688245916408</v>
      </c>
      <c r="AB269">
        <f t="shared" ca="1" si="82"/>
        <v>163.40070000000003</v>
      </c>
    </row>
    <row r="270" spans="1:28" x14ac:dyDescent="0.25">
      <c r="A270" s="20">
        <f t="shared" ca="1" si="83"/>
        <v>45684</v>
      </c>
      <c r="B270" vm="788">
        <f ca="1"/>
        <v>45685</v>
      </c>
      <c r="C270" vm="789">
        <f ca="1"/>
        <v>150.25</v>
      </c>
      <c r="D270" vm="790">
        <f ca="1"/>
        <v>6349670</v>
      </c>
      <c r="E270">
        <f t="shared" ca="1" si="84"/>
        <v>954037917.5</v>
      </c>
      <c r="F270">
        <f ca="1">SUM($E$2:E270)/SUM($D$2:D270)</f>
        <v>166.91916677158963</v>
      </c>
      <c r="G270">
        <f ca="1">_xlfn.STDEV.P($C$2:C270)</f>
        <v>8.0983479859606096</v>
      </c>
      <c r="H270">
        <f t="shared" ca="1" si="85"/>
        <v>175.01751475755023</v>
      </c>
      <c r="I270">
        <f t="shared" ca="1" si="86"/>
        <v>158.82081878562903</v>
      </c>
      <c r="J270">
        <f t="shared" ca="1" si="74"/>
        <v>148.28200000000001</v>
      </c>
      <c r="K270">
        <f t="shared" ca="1" si="75"/>
        <v>3.1261487993679205</v>
      </c>
      <c r="L270">
        <f t="shared" ca="1" si="76"/>
        <v>154.53429759873586</v>
      </c>
      <c r="M270">
        <f t="shared" ca="1" si="77"/>
        <v>142.02970240126416</v>
      </c>
      <c r="N270">
        <f t="shared" ca="1" si="87"/>
        <v>-4.3600000000000136</v>
      </c>
      <c r="O270">
        <f t="shared" ca="1" si="88"/>
        <v>0</v>
      </c>
      <c r="P270">
        <f t="shared" ca="1" si="89"/>
        <v>4.3600000000000136</v>
      </c>
      <c r="Q270">
        <f t="shared" ca="1" si="72"/>
        <v>0.83069619681479356</v>
      </c>
      <c r="R270">
        <f t="shared" ca="1" si="73"/>
        <v>0.8562214778496221</v>
      </c>
      <c r="S270">
        <f t="shared" ca="1" si="70"/>
        <v>0.97018845976751877</v>
      </c>
      <c r="T270">
        <f t="shared" ca="1" si="71"/>
        <v>49.243434299782699</v>
      </c>
      <c r="U270">
        <f>70</f>
        <v>70</v>
      </c>
      <c r="V270">
        <f>30</f>
        <v>30</v>
      </c>
      <c r="W270">
        <f t="shared" ca="1" si="69"/>
        <v>149.18574036370998</v>
      </c>
      <c r="X270">
        <f t="shared" ca="1" si="79"/>
        <v>150.43195555947023</v>
      </c>
      <c r="Y270">
        <f t="shared" ca="1" si="78"/>
        <v>-1.0594321048602922</v>
      </c>
      <c r="Z270">
        <f t="shared" ca="1" si="80"/>
        <v>-2.1014736372535654</v>
      </c>
      <c r="AA270">
        <f t="shared" ca="1" si="81"/>
        <v>1.0420415323932732</v>
      </c>
      <c r="AB270">
        <f t="shared" ca="1" si="82"/>
        <v>163.12780000000004</v>
      </c>
    </row>
    <row r="271" spans="1:28" x14ac:dyDescent="0.25">
      <c r="A271" s="20">
        <f t="shared" ca="1" si="83"/>
        <v>45684</v>
      </c>
      <c r="B271" vm="791">
        <f ca="1"/>
        <v>45686</v>
      </c>
      <c r="C271" vm="792">
        <f ca="1"/>
        <v>150.37</v>
      </c>
      <c r="D271" vm="793">
        <f ca="1"/>
        <v>4874072</v>
      </c>
      <c r="E271">
        <f t="shared" ca="1" si="84"/>
        <v>732914206.63999999</v>
      </c>
      <c r="F271">
        <f ca="1">SUM($E$2:E271)/SUM($D$2:D271)</f>
        <v>166.86642667684472</v>
      </c>
      <c r="G271">
        <f ca="1">_xlfn.STDEV.P($C$2:C271)</f>
        <v>8.1522184362355485</v>
      </c>
      <c r="H271">
        <f t="shared" ca="1" si="85"/>
        <v>175.01864511308028</v>
      </c>
      <c r="I271">
        <f t="shared" ca="1" si="86"/>
        <v>158.71420824060917</v>
      </c>
      <c r="J271">
        <f t="shared" ca="1" si="74"/>
        <v>148.15600000000001</v>
      </c>
      <c r="K271">
        <f t="shared" ca="1" si="75"/>
        <v>2.9779176758618684</v>
      </c>
      <c r="L271">
        <f t="shared" ca="1" si="76"/>
        <v>154.11183535172376</v>
      </c>
      <c r="M271">
        <f t="shared" ca="1" si="77"/>
        <v>142.20016464827626</v>
      </c>
      <c r="N271">
        <f t="shared" ca="1" si="87"/>
        <v>0.12000000000000455</v>
      </c>
      <c r="O271">
        <f t="shared" ca="1" si="88"/>
        <v>0.12000000000000455</v>
      </c>
      <c r="P271">
        <f t="shared" ca="1" si="89"/>
        <v>0</v>
      </c>
      <c r="Q271">
        <f t="shared" ca="1" si="72"/>
        <v>0.77993218275659437</v>
      </c>
      <c r="R271">
        <f t="shared" ca="1" si="73"/>
        <v>0.79506280086036341</v>
      </c>
      <c r="S271">
        <f t="shared" ca="1" si="70"/>
        <v>0.98096927929794264</v>
      </c>
      <c r="T271">
        <f t="shared" ca="1" si="71"/>
        <v>49.519661387459728</v>
      </c>
      <c r="U271">
        <f>70</f>
        <v>70</v>
      </c>
      <c r="V271">
        <f>30</f>
        <v>30</v>
      </c>
      <c r="W271">
        <f t="shared" ref="W271:W334" ca="1" si="90">C271*(2/(12+1)) + W270*(1-(2/(12+1)))</f>
        <v>149.36793415390844</v>
      </c>
      <c r="X271">
        <f t="shared" ca="1" si="79"/>
        <v>150.42736625876873</v>
      </c>
      <c r="Y271">
        <f t="shared" ca="1" si="78"/>
        <v>-0.77896749398584575</v>
      </c>
      <c r="Z271">
        <f t="shared" ca="1" si="80"/>
        <v>-1.8369724086000216</v>
      </c>
      <c r="AA271">
        <f t="shared" ca="1" si="81"/>
        <v>1.0580049146141759</v>
      </c>
      <c r="AB271">
        <f t="shared" ca="1" si="82"/>
        <v>162.84630000000004</v>
      </c>
    </row>
    <row r="272" spans="1:28" x14ac:dyDescent="0.25">
      <c r="A272" s="20">
        <f t="shared" ca="1" si="83"/>
        <v>45684</v>
      </c>
      <c r="B272" vm="794">
        <f ca="1"/>
        <v>45687</v>
      </c>
      <c r="C272" vm="795">
        <f ca="1"/>
        <v>151.9</v>
      </c>
      <c r="D272" vm="796">
        <f ca="1"/>
        <v>4671278</v>
      </c>
      <c r="E272">
        <f t="shared" ca="1" si="84"/>
        <v>709567128.20000005</v>
      </c>
      <c r="F272">
        <f ca="1">SUM($E$2:E272)/SUM($D$2:D272)</f>
        <v>166.82085424178422</v>
      </c>
      <c r="G272">
        <f ca="1">_xlfn.STDEV.P($C$2:C272)</f>
        <v>8.1934663588561083</v>
      </c>
      <c r="H272">
        <f t="shared" ca="1" si="85"/>
        <v>175.01432060064033</v>
      </c>
      <c r="I272">
        <f t="shared" ca="1" si="86"/>
        <v>158.6273878829281</v>
      </c>
      <c r="J272">
        <f t="shared" ca="1" si="74"/>
        <v>148.16499999999999</v>
      </c>
      <c r="K272">
        <f t="shared" ca="1" si="75"/>
        <v>2.9895053278532866</v>
      </c>
      <c r="L272">
        <f t="shared" ca="1" si="76"/>
        <v>154.14401065570655</v>
      </c>
      <c r="M272">
        <f t="shared" ca="1" si="77"/>
        <v>142.18598934429343</v>
      </c>
      <c r="N272">
        <f t="shared" ca="1" si="87"/>
        <v>1.5300000000000011</v>
      </c>
      <c r="O272">
        <f t="shared" ca="1" si="88"/>
        <v>1.5300000000000011</v>
      </c>
      <c r="P272">
        <f t="shared" ca="1" si="89"/>
        <v>0</v>
      </c>
      <c r="Q272">
        <f t="shared" ca="1" si="72"/>
        <v>0.83350845541683771</v>
      </c>
      <c r="R272">
        <f t="shared" ca="1" si="73"/>
        <v>0.73827260079890888</v>
      </c>
      <c r="S272">
        <f t="shared" ref="S272:S335" ca="1" si="91">IF(R272=0,NA(),Q272/R272)</f>
        <v>1.1289982243887569</v>
      </c>
      <c r="T272">
        <f t="shared" ref="T272:T335" ca="1" si="92">100-(100/(1+S272))</f>
        <v>53.029552183534406</v>
      </c>
      <c r="U272">
        <f>70</f>
        <v>70</v>
      </c>
      <c r="V272">
        <f>30</f>
        <v>30</v>
      </c>
      <c r="W272">
        <f t="shared" ca="1" si="90"/>
        <v>149.75748274561482</v>
      </c>
      <c r="X272">
        <f t="shared" ca="1" si="79"/>
        <v>150.53645023960067</v>
      </c>
      <c r="Y272">
        <f t="shared" ca="1" si="78"/>
        <v>-0.64687735732940155</v>
      </c>
      <c r="Z272">
        <f t="shared" ca="1" si="80"/>
        <v>-1.5989533983458977</v>
      </c>
      <c r="AA272">
        <f t="shared" ca="1" si="81"/>
        <v>0.95207604101649612</v>
      </c>
      <c r="AB272">
        <f t="shared" ca="1" si="82"/>
        <v>162.57230000000004</v>
      </c>
    </row>
    <row r="273" spans="1:28" x14ac:dyDescent="0.25">
      <c r="A273" s="20">
        <f t="shared" ca="1" si="83"/>
        <v>45684</v>
      </c>
      <c r="B273" vm="797">
        <f ca="1"/>
        <v>45688</v>
      </c>
      <c r="C273" vm="798">
        <f ca="1"/>
        <v>150.69</v>
      </c>
      <c r="D273" vm="799">
        <f ca="1"/>
        <v>4906744</v>
      </c>
      <c r="E273">
        <f t="shared" ca="1" si="84"/>
        <v>739397253.36000001</v>
      </c>
      <c r="F273">
        <f ca="1">SUM($E$2:E273)/SUM($D$2:D273)</f>
        <v>166.76942474134941</v>
      </c>
      <c r="G273">
        <f ca="1">_xlfn.STDEV.P($C$2:C273)</f>
        <v>8.2425999230397817</v>
      </c>
      <c r="H273">
        <f t="shared" ca="1" si="85"/>
        <v>175.0120246643892</v>
      </c>
      <c r="I273">
        <f t="shared" ca="1" si="86"/>
        <v>158.52682481830962</v>
      </c>
      <c r="J273">
        <f t="shared" ca="1" si="74"/>
        <v>148.09649999999999</v>
      </c>
      <c r="K273">
        <f t="shared" ca="1" si="75"/>
        <v>2.9102039628285823</v>
      </c>
      <c r="L273">
        <f t="shared" ca="1" si="76"/>
        <v>153.91690792565714</v>
      </c>
      <c r="M273">
        <f t="shared" ca="1" si="77"/>
        <v>142.27609207434284</v>
      </c>
      <c r="N273">
        <f t="shared" ca="1" si="87"/>
        <v>-1.210000000000008</v>
      </c>
      <c r="O273">
        <f t="shared" ca="1" si="88"/>
        <v>0</v>
      </c>
      <c r="P273">
        <f t="shared" ca="1" si="89"/>
        <v>1.210000000000008</v>
      </c>
      <c r="Q273">
        <f t="shared" ref="Q273:Q336" ca="1" si="93">(Q272*13+O273)/14</f>
        <v>0.7739721371727778</v>
      </c>
      <c r="R273">
        <f t="shared" ref="R273:R336" ca="1" si="94">(R272*13+P273)/14</f>
        <v>0.77196741502755883</v>
      </c>
      <c r="S273">
        <f t="shared" ca="1" si="91"/>
        <v>1.0025968999548347</v>
      </c>
      <c r="T273">
        <f t="shared" ca="1" si="92"/>
        <v>50.064838309569268</v>
      </c>
      <c r="U273">
        <f>70</f>
        <v>70</v>
      </c>
      <c r="V273">
        <f>30</f>
        <v>30</v>
      </c>
      <c r="W273">
        <f t="shared" ca="1" si="90"/>
        <v>149.90094693859714</v>
      </c>
      <c r="X273">
        <f t="shared" ca="1" si="79"/>
        <v>150.54782429592655</v>
      </c>
      <c r="Y273">
        <f t="shared" ca="1" si="78"/>
        <v>-0.56952038579140662</v>
      </c>
      <c r="Z273">
        <f t="shared" ca="1" si="80"/>
        <v>-1.3930667958349996</v>
      </c>
      <c r="AA273">
        <f t="shared" ca="1" si="81"/>
        <v>0.82354641004359297</v>
      </c>
      <c r="AB273">
        <f t="shared" ca="1" si="82"/>
        <v>162.30580000000003</v>
      </c>
    </row>
    <row r="274" spans="1:28" x14ac:dyDescent="0.25">
      <c r="A274" s="20">
        <f t="shared" ca="1" si="83"/>
        <v>45691</v>
      </c>
      <c r="B274" vm="800">
        <f ca="1"/>
        <v>45691</v>
      </c>
      <c r="C274" vm="801">
        <f ca="1"/>
        <v>150.27000000000001</v>
      </c>
      <c r="D274" vm="802">
        <f ca="1"/>
        <v>7196227</v>
      </c>
      <c r="E274">
        <f t="shared" ca="1" si="84"/>
        <v>1081377031.29</v>
      </c>
      <c r="F274">
        <f ca="1">SUM($E$2:E274)/SUM($D$2:D274)</f>
        <v>166.692633938933</v>
      </c>
      <c r="G274">
        <f ca="1">_xlfn.STDEV.P($C$2:C274)</f>
        <v>8.2937849280302824</v>
      </c>
      <c r="H274">
        <f t="shared" ca="1" si="85"/>
        <v>174.98641886696328</v>
      </c>
      <c r="I274">
        <f t="shared" ca="1" si="86"/>
        <v>158.39884901090272</v>
      </c>
      <c r="J274">
        <f t="shared" ca="1" si="74"/>
        <v>148.09949999999998</v>
      </c>
      <c r="K274">
        <f t="shared" ca="1" si="75"/>
        <v>2.9125273434451762</v>
      </c>
      <c r="L274">
        <f t="shared" ca="1" si="76"/>
        <v>153.92455468689033</v>
      </c>
      <c r="M274">
        <f t="shared" ca="1" si="77"/>
        <v>142.27444531310962</v>
      </c>
      <c r="N274">
        <f t="shared" ca="1" si="87"/>
        <v>-0.41999999999998749</v>
      </c>
      <c r="O274">
        <f t="shared" ca="1" si="88"/>
        <v>0</v>
      </c>
      <c r="P274">
        <f t="shared" ca="1" si="89"/>
        <v>0.41999999999998749</v>
      </c>
      <c r="Q274">
        <f t="shared" ca="1" si="93"/>
        <v>0.71868841308900788</v>
      </c>
      <c r="R274">
        <f t="shared" ca="1" si="94"/>
        <v>0.74682688538273223</v>
      </c>
      <c r="S274">
        <f t="shared" ca="1" si="91"/>
        <v>0.96232263079374281</v>
      </c>
      <c r="T274">
        <f t="shared" ca="1" si="92"/>
        <v>49.039980260763315</v>
      </c>
      <c r="U274">
        <f>70</f>
        <v>70</v>
      </c>
      <c r="V274">
        <f>30</f>
        <v>30</v>
      </c>
      <c r="W274">
        <f t="shared" ca="1" si="90"/>
        <v>149.95772433265913</v>
      </c>
      <c r="X274">
        <f t="shared" ca="1" si="79"/>
        <v>150.52724471845053</v>
      </c>
      <c r="Y274">
        <f t="shared" ca="1" si="78"/>
        <v>-1.0432775119563189</v>
      </c>
      <c r="Z274">
        <f t="shared" ca="1" si="80"/>
        <v>-1.3231089390592634</v>
      </c>
      <c r="AA274">
        <f t="shared" ca="1" si="81"/>
        <v>0.27983142710294451</v>
      </c>
      <c r="AB274">
        <f t="shared" ca="1" si="82"/>
        <v>162.02660000000006</v>
      </c>
    </row>
    <row r="275" spans="1:28" x14ac:dyDescent="0.25">
      <c r="A275" s="20">
        <f t="shared" ca="1" si="83"/>
        <v>45691</v>
      </c>
      <c r="B275" vm="803">
        <f ca="1"/>
        <v>45692</v>
      </c>
      <c r="C275" vm="804">
        <f ca="1"/>
        <v>143.49</v>
      </c>
      <c r="D275" vm="805">
        <f ca="1"/>
        <v>12804949</v>
      </c>
      <c r="E275">
        <f t="shared" ca="1" si="84"/>
        <v>1837382132.0100002</v>
      </c>
      <c r="F275">
        <f ca="1">SUM($E$2:E275)/SUM($D$2:D275)</f>
        <v>166.50205765462263</v>
      </c>
      <c r="G275">
        <f ca="1">_xlfn.STDEV.P($C$2:C275)</f>
        <v>8.4046041784043819</v>
      </c>
      <c r="H275">
        <f t="shared" ca="1" si="85"/>
        <v>174.90666183302702</v>
      </c>
      <c r="I275">
        <f t="shared" ca="1" si="86"/>
        <v>158.09745347621825</v>
      </c>
      <c r="J275">
        <f t="shared" ca="1" si="74"/>
        <v>147.79149999999998</v>
      </c>
      <c r="K275">
        <f t="shared" ca="1" si="75"/>
        <v>3.0618162394582971</v>
      </c>
      <c r="L275">
        <f t="shared" ca="1" si="76"/>
        <v>153.91513247891658</v>
      </c>
      <c r="M275">
        <f t="shared" ca="1" si="77"/>
        <v>141.66786752108339</v>
      </c>
      <c r="N275">
        <f t="shared" ca="1" si="87"/>
        <v>-6.7800000000000011</v>
      </c>
      <c r="O275">
        <f t="shared" ca="1" si="88"/>
        <v>0</v>
      </c>
      <c r="P275">
        <f t="shared" ca="1" si="89"/>
        <v>6.7800000000000011</v>
      </c>
      <c r="Q275">
        <f t="shared" ca="1" si="93"/>
        <v>0.66735352643979307</v>
      </c>
      <c r="R275">
        <f t="shared" ca="1" si="94"/>
        <v>1.1777678221411085</v>
      </c>
      <c r="S275">
        <f t="shared" ca="1" si="91"/>
        <v>0.56662570830521242</v>
      </c>
      <c r="T275">
        <f t="shared" ca="1" si="92"/>
        <v>36.168543979671597</v>
      </c>
      <c r="U275">
        <f>70</f>
        <v>70</v>
      </c>
      <c r="V275">
        <f>30</f>
        <v>30</v>
      </c>
      <c r="W275">
        <f t="shared" ca="1" si="90"/>
        <v>148.96268981994234</v>
      </c>
      <c r="X275">
        <f t="shared" ca="1" si="79"/>
        <v>150.00596733189866</v>
      </c>
      <c r="Y275">
        <f t="shared" ca="1" si="78"/>
        <v>-1.2294601320347169</v>
      </c>
      <c r="Z275">
        <f t="shared" ca="1" si="80"/>
        <v>-1.3043791776543543</v>
      </c>
      <c r="AA275">
        <f t="shared" ca="1" si="81"/>
        <v>7.4919045619637359E-2</v>
      </c>
      <c r="AB275">
        <f t="shared" ca="1" si="82"/>
        <v>161.68340000000001</v>
      </c>
    </row>
    <row r="276" spans="1:28" x14ac:dyDescent="0.25">
      <c r="A276" s="20">
        <f t="shared" ca="1" si="83"/>
        <v>45691</v>
      </c>
      <c r="B276" vm="806">
        <f ca="1"/>
        <v>45693</v>
      </c>
      <c r="C276" vm="807">
        <f ca="1"/>
        <v>145.66</v>
      </c>
      <c r="D276" vm="808">
        <f ca="1"/>
        <v>9249234</v>
      </c>
      <c r="E276">
        <f t="shared" ca="1" si="84"/>
        <v>1347243424.4400001</v>
      </c>
      <c r="F276">
        <f ca="1">SUM($E$2:E276)/SUM($D$2:D276)</f>
        <v>166.37913523346955</v>
      </c>
      <c r="G276">
        <f ca="1">_xlfn.STDEV.P($C$2:C276)</f>
        <v>8.4911488651369975</v>
      </c>
      <c r="H276">
        <f t="shared" ca="1" si="85"/>
        <v>174.87028409860656</v>
      </c>
      <c r="I276">
        <f t="shared" ca="1" si="86"/>
        <v>157.88798636833255</v>
      </c>
      <c r="J276">
        <f t="shared" ca="1" si="74"/>
        <v>147.76099999999997</v>
      </c>
      <c r="K276">
        <f t="shared" ca="1" si="75"/>
        <v>3.0807499087072983</v>
      </c>
      <c r="L276">
        <f t="shared" ca="1" si="76"/>
        <v>153.92249981741458</v>
      </c>
      <c r="M276">
        <f t="shared" ca="1" si="77"/>
        <v>141.59950018258536</v>
      </c>
      <c r="N276">
        <f t="shared" ca="1" si="87"/>
        <v>2.1699999999999875</v>
      </c>
      <c r="O276">
        <f t="shared" ca="1" si="88"/>
        <v>2.1699999999999875</v>
      </c>
      <c r="P276">
        <f t="shared" ca="1" si="89"/>
        <v>0</v>
      </c>
      <c r="Q276">
        <f t="shared" ca="1" si="93"/>
        <v>0.77468541740837848</v>
      </c>
      <c r="R276">
        <f t="shared" ca="1" si="94"/>
        <v>1.0936415491310294</v>
      </c>
      <c r="S276">
        <f t="shared" ca="1" si="91"/>
        <v>0.70835404710429783</v>
      </c>
      <c r="T276">
        <f t="shared" ca="1" si="92"/>
        <v>41.464124389494984</v>
      </c>
      <c r="U276">
        <f>70</f>
        <v>70</v>
      </c>
      <c r="V276">
        <f>30</f>
        <v>30</v>
      </c>
      <c r="W276">
        <f t="shared" ca="1" si="90"/>
        <v>148.45458369379736</v>
      </c>
      <c r="X276">
        <f t="shared" ca="1" si="79"/>
        <v>149.68404382583208</v>
      </c>
      <c r="Y276">
        <f t="shared" ca="1" si="78"/>
        <v>-1.3860481092239638</v>
      </c>
      <c r="Z276">
        <f t="shared" ca="1" si="80"/>
        <v>-1.3207129639682762</v>
      </c>
      <c r="AA276">
        <f t="shared" ca="1" si="81"/>
        <v>-6.5335145255687621E-2</v>
      </c>
      <c r="AB276">
        <f t="shared" ca="1" si="82"/>
        <v>161.38220000000004</v>
      </c>
    </row>
    <row r="277" spans="1:28" x14ac:dyDescent="0.25">
      <c r="A277" s="20">
        <f t="shared" ca="1" si="83"/>
        <v>45691</v>
      </c>
      <c r="B277" vm="809">
        <f ca="1"/>
        <v>45694</v>
      </c>
      <c r="C277" vm="810">
        <f ca="1"/>
        <v>145.35</v>
      </c>
      <c r="D277" vm="811">
        <f ca="1"/>
        <v>5604877</v>
      </c>
      <c r="E277">
        <f t="shared" ca="1" si="84"/>
        <v>814668871.94999993</v>
      </c>
      <c r="F277">
        <f ca="1">SUM($E$2:E277)/SUM($D$2:D277)</f>
        <v>166.30424540118219</v>
      </c>
      <c r="G277">
        <f ca="1">_xlfn.STDEV.P($C$2:C277)</f>
        <v>8.5783310005311275</v>
      </c>
      <c r="H277">
        <f t="shared" ca="1" si="85"/>
        <v>174.88257640171332</v>
      </c>
      <c r="I277">
        <f t="shared" ca="1" si="86"/>
        <v>157.72591440065105</v>
      </c>
      <c r="J277">
        <f t="shared" ca="1" si="74"/>
        <v>147.75849999999997</v>
      </c>
      <c r="K277">
        <f t="shared" ca="1" si="75"/>
        <v>3.0827862909695023</v>
      </c>
      <c r="L277">
        <f t="shared" ca="1" si="76"/>
        <v>153.92407258193899</v>
      </c>
      <c r="M277">
        <f t="shared" ca="1" si="77"/>
        <v>141.59292741806095</v>
      </c>
      <c r="N277">
        <f t="shared" ca="1" si="87"/>
        <v>-0.31000000000000227</v>
      </c>
      <c r="O277">
        <f t="shared" ca="1" si="88"/>
        <v>0</v>
      </c>
      <c r="P277">
        <f t="shared" ca="1" si="89"/>
        <v>0.31000000000000227</v>
      </c>
      <c r="Q277">
        <f t="shared" ca="1" si="93"/>
        <v>0.71935074473635141</v>
      </c>
      <c r="R277">
        <f t="shared" ca="1" si="94"/>
        <v>1.0376671527645274</v>
      </c>
      <c r="S277">
        <f t="shared" ca="1" si="91"/>
        <v>0.69323842700414562</v>
      </c>
      <c r="T277">
        <f t="shared" ca="1" si="92"/>
        <v>40.941571839395088</v>
      </c>
      <c r="U277">
        <f>70</f>
        <v>70</v>
      </c>
      <c r="V277">
        <f>30</f>
        <v>30</v>
      </c>
      <c r="W277">
        <f t="shared" ca="1" si="90"/>
        <v>147.97695543321316</v>
      </c>
      <c r="X277">
        <f t="shared" ca="1" si="79"/>
        <v>149.36300354243713</v>
      </c>
      <c r="Y277">
        <f t="shared" ca="1" si="78"/>
        <v>-1.5543600787115679</v>
      </c>
      <c r="Z277">
        <f t="shared" ca="1" si="80"/>
        <v>-1.3674423869169345</v>
      </c>
      <c r="AA277">
        <f t="shared" ca="1" si="81"/>
        <v>-0.18691769179463336</v>
      </c>
      <c r="AB277">
        <f t="shared" ca="1" si="82"/>
        <v>161.06320000000005</v>
      </c>
    </row>
    <row r="278" spans="1:28" x14ac:dyDescent="0.25">
      <c r="A278" s="20">
        <f t="shared" ca="1" si="83"/>
        <v>45691</v>
      </c>
      <c r="B278" vm="812">
        <f ca="1"/>
        <v>45695</v>
      </c>
      <c r="C278" vm="813">
        <f ca="1"/>
        <v>144.58000000000001</v>
      </c>
      <c r="D278" vm="814">
        <f ca="1"/>
        <v>5872343</v>
      </c>
      <c r="E278">
        <f t="shared" ca="1" si="84"/>
        <v>849023350.94000006</v>
      </c>
      <c r="F278">
        <f ca="1">SUM($E$2:E278)/SUM($D$2:D278)</f>
        <v>166.22348953961841</v>
      </c>
      <c r="G278">
        <f ca="1">_xlfn.STDEV.P($C$2:C278)</f>
        <v>8.6704221269500792</v>
      </c>
      <c r="H278">
        <f t="shared" ca="1" si="85"/>
        <v>174.8939116665685</v>
      </c>
      <c r="I278">
        <f t="shared" ca="1" si="86"/>
        <v>157.55306741266833</v>
      </c>
      <c r="J278">
        <f t="shared" ref="J278:J341" ca="1" si="95">AVERAGE(C259:C278)</f>
        <v>147.66049999999998</v>
      </c>
      <c r="K278">
        <f t="shared" ref="K278:K341" ca="1" si="96">_xlfn.STDEV.S(C259:C278)</f>
        <v>3.1538939591024899</v>
      </c>
      <c r="L278">
        <f t="shared" ref="L278:L341" ca="1" si="97">J278 + 2*K278</f>
        <v>153.96828791820496</v>
      </c>
      <c r="M278">
        <f t="shared" ref="M278:M341" ca="1" si="98">J278-2*K278</f>
        <v>141.352712081795</v>
      </c>
      <c r="N278">
        <f t="shared" ca="1" si="87"/>
        <v>-0.76999999999998181</v>
      </c>
      <c r="O278">
        <f t="shared" ca="1" si="88"/>
        <v>0</v>
      </c>
      <c r="P278">
        <f t="shared" ca="1" si="89"/>
        <v>0.76999999999998181</v>
      </c>
      <c r="Q278">
        <f t="shared" ca="1" si="93"/>
        <v>0.66796854868375488</v>
      </c>
      <c r="R278">
        <f t="shared" ca="1" si="94"/>
        <v>1.0185480704242027</v>
      </c>
      <c r="S278">
        <f t="shared" ca="1" si="91"/>
        <v>0.65580463807227163</v>
      </c>
      <c r="T278">
        <f t="shared" ca="1" si="92"/>
        <v>39.606401805697047</v>
      </c>
      <c r="U278">
        <f>70</f>
        <v>70</v>
      </c>
      <c r="V278">
        <f>30</f>
        <v>30</v>
      </c>
      <c r="W278">
        <f t="shared" ca="1" si="90"/>
        <v>147.45434690502651</v>
      </c>
      <c r="X278">
        <f t="shared" ca="1" si="79"/>
        <v>149.00870698373808</v>
      </c>
      <c r="Y278">
        <f t="shared" ca="1" si="78"/>
        <v>-1.6868625040513052</v>
      </c>
      <c r="Z278">
        <f t="shared" ca="1" si="80"/>
        <v>-1.4313264103438088</v>
      </c>
      <c r="AA278">
        <f t="shared" ca="1" si="81"/>
        <v>-0.25553609370749641</v>
      </c>
      <c r="AB278">
        <f t="shared" ca="1" si="82"/>
        <v>160.73540000000003</v>
      </c>
    </row>
    <row r="279" spans="1:28" x14ac:dyDescent="0.25">
      <c r="A279" s="20">
        <f t="shared" ca="1" si="83"/>
        <v>45698</v>
      </c>
      <c r="B279" vm="815">
        <f ca="1"/>
        <v>45698</v>
      </c>
      <c r="C279" vm="816">
        <f ca="1"/>
        <v>144.35</v>
      </c>
      <c r="D279" vm="817">
        <f ca="1"/>
        <v>8715391</v>
      </c>
      <c r="E279">
        <f t="shared" ca="1" si="84"/>
        <v>1258066690.8499999</v>
      </c>
      <c r="F279">
        <f ca="1">SUM($E$2:E279)/SUM($D$2:D279)</f>
        <v>166.10347511114981</v>
      </c>
      <c r="G279">
        <f ca="1">_xlfn.STDEV.P($C$2:C279)</f>
        <v>8.7622739394567724</v>
      </c>
      <c r="H279">
        <f t="shared" ca="1" si="85"/>
        <v>174.86574905060658</v>
      </c>
      <c r="I279">
        <f t="shared" ca="1" si="86"/>
        <v>157.34120117169303</v>
      </c>
      <c r="J279">
        <f t="shared" ca="1" si="95"/>
        <v>147.74599999999995</v>
      </c>
      <c r="K279">
        <f t="shared" ca="1" si="96"/>
        <v>3.0314290533118498</v>
      </c>
      <c r="L279">
        <f t="shared" ca="1" si="97"/>
        <v>153.80885810662366</v>
      </c>
      <c r="M279">
        <f t="shared" ca="1" si="98"/>
        <v>141.68314189337624</v>
      </c>
      <c r="N279">
        <f t="shared" ca="1" si="87"/>
        <v>-0.23000000000001819</v>
      </c>
      <c r="O279">
        <f t="shared" ca="1" si="88"/>
        <v>0</v>
      </c>
      <c r="P279">
        <f t="shared" ca="1" si="89"/>
        <v>0.23000000000001819</v>
      </c>
      <c r="Q279">
        <f t="shared" ca="1" si="93"/>
        <v>0.62025650949205802</v>
      </c>
      <c r="R279">
        <f t="shared" ca="1" si="94"/>
        <v>0.96222320825104668</v>
      </c>
      <c r="S279">
        <f t="shared" ca="1" si="91"/>
        <v>0.6446077211330693</v>
      </c>
      <c r="T279">
        <f t="shared" ca="1" si="92"/>
        <v>39.195226487746289</v>
      </c>
      <c r="U279">
        <f>70</f>
        <v>70</v>
      </c>
      <c r="V279">
        <f>30</f>
        <v>30</v>
      </c>
      <c r="W279">
        <f t="shared" ca="1" si="90"/>
        <v>146.97675507348396</v>
      </c>
      <c r="X279">
        <f t="shared" ca="1" si="79"/>
        <v>148.66361757753526</v>
      </c>
      <c r="Y279">
        <f t="shared" ca="1" si="78"/>
        <v>-1.6685454583311241</v>
      </c>
      <c r="Z279">
        <f t="shared" ca="1" si="80"/>
        <v>-1.478770219941272</v>
      </c>
      <c r="AA279">
        <f t="shared" ca="1" si="81"/>
        <v>-0.18977523838985211</v>
      </c>
      <c r="AB279">
        <f t="shared" ca="1" si="82"/>
        <v>160.40680000000003</v>
      </c>
    </row>
    <row r="280" spans="1:28" x14ac:dyDescent="0.25">
      <c r="A280" s="20">
        <f t="shared" ca="1" si="83"/>
        <v>45698</v>
      </c>
      <c r="B280" vm="818">
        <f ca="1"/>
        <v>45699</v>
      </c>
      <c r="C280" vm="819">
        <f ca="1"/>
        <v>145.63999999999999</v>
      </c>
      <c r="D280" vm="820">
        <f ca="1"/>
        <v>6353965</v>
      </c>
      <c r="E280">
        <f t="shared" ca="1" si="84"/>
        <v>925391462.5999999</v>
      </c>
      <c r="F280">
        <f ca="1">SUM($E$2:E280)/SUM($D$2:D280)</f>
        <v>166.02194482761149</v>
      </c>
      <c r="G280">
        <f ca="1">_xlfn.STDEV.P($C$2:C280)</f>
        <v>8.8402468565087204</v>
      </c>
      <c r="H280">
        <f t="shared" ca="1" si="85"/>
        <v>174.86219168412021</v>
      </c>
      <c r="I280">
        <f t="shared" ca="1" si="86"/>
        <v>157.18169797110278</v>
      </c>
      <c r="J280">
        <f t="shared" ca="1" si="95"/>
        <v>147.803</v>
      </c>
      <c r="K280">
        <f t="shared" ca="1" si="96"/>
        <v>2.9774186983464683</v>
      </c>
      <c r="L280">
        <f t="shared" ca="1" si="97"/>
        <v>153.75783739669293</v>
      </c>
      <c r="M280">
        <f t="shared" ca="1" si="98"/>
        <v>141.84816260330706</v>
      </c>
      <c r="N280">
        <f t="shared" ca="1" si="87"/>
        <v>1.289999999999992</v>
      </c>
      <c r="O280">
        <f t="shared" ca="1" si="88"/>
        <v>1.289999999999992</v>
      </c>
      <c r="P280">
        <f t="shared" ca="1" si="89"/>
        <v>0</v>
      </c>
      <c r="Q280">
        <f t="shared" ca="1" si="93"/>
        <v>0.66809533024262469</v>
      </c>
      <c r="R280">
        <f t="shared" ca="1" si="94"/>
        <v>0.89349297909025771</v>
      </c>
      <c r="S280">
        <f t="shared" ca="1" si="91"/>
        <v>0.74773428093735017</v>
      </c>
      <c r="T280">
        <f t="shared" ca="1" si="92"/>
        <v>42.783064284596115</v>
      </c>
      <c r="U280">
        <f>70</f>
        <v>70</v>
      </c>
      <c r="V280">
        <f>30</f>
        <v>30</v>
      </c>
      <c r="W280">
        <f t="shared" ca="1" si="90"/>
        <v>146.77110044679412</v>
      </c>
      <c r="X280">
        <f t="shared" ca="1" si="79"/>
        <v>148.43964590512525</v>
      </c>
      <c r="Y280">
        <f t="shared" ca="1" si="78"/>
        <v>-1.7668036651505759</v>
      </c>
      <c r="Z280">
        <f t="shared" ca="1" si="80"/>
        <v>-1.5363769089831327</v>
      </c>
      <c r="AA280">
        <f t="shared" ca="1" si="81"/>
        <v>-0.23042675616744313</v>
      </c>
      <c r="AB280">
        <f t="shared" ca="1" si="82"/>
        <v>160.09450000000004</v>
      </c>
    </row>
    <row r="281" spans="1:28" x14ac:dyDescent="0.25">
      <c r="A281" s="20">
        <f t="shared" ca="1" si="83"/>
        <v>45698</v>
      </c>
      <c r="B281" vm="821">
        <f ca="1"/>
        <v>45700</v>
      </c>
      <c r="C281" vm="822">
        <f ca="1"/>
        <v>143.99</v>
      </c>
      <c r="D281" vm="823">
        <f ca="1"/>
        <v>6658177</v>
      </c>
      <c r="E281">
        <f t="shared" ca="1" si="84"/>
        <v>958710906.23000002</v>
      </c>
      <c r="F281">
        <f ca="1">SUM($E$2:E281)/SUM($D$2:D281)</f>
        <v>165.93034523545018</v>
      </c>
      <c r="G281">
        <f ca="1">_xlfn.STDEV.P($C$2:C281)</f>
        <v>8.9309564754468784</v>
      </c>
      <c r="H281">
        <f t="shared" ca="1" si="85"/>
        <v>174.86130171089707</v>
      </c>
      <c r="I281">
        <f t="shared" ca="1" si="86"/>
        <v>156.99938876000328</v>
      </c>
      <c r="J281">
        <f t="shared" ca="1" si="95"/>
        <v>147.75499999999997</v>
      </c>
      <c r="K281">
        <f t="shared" ca="1" si="96"/>
        <v>3.0330521365709999</v>
      </c>
      <c r="L281">
        <f t="shared" ca="1" si="97"/>
        <v>153.82110427314197</v>
      </c>
      <c r="M281">
        <f t="shared" ca="1" si="98"/>
        <v>141.68889572685796</v>
      </c>
      <c r="N281">
        <f t="shared" ca="1" si="87"/>
        <v>-1.6499999999999773</v>
      </c>
      <c r="O281">
        <f t="shared" ca="1" si="88"/>
        <v>0</v>
      </c>
      <c r="P281">
        <f t="shared" ca="1" si="89"/>
        <v>1.6499999999999773</v>
      </c>
      <c r="Q281">
        <f t="shared" ca="1" si="93"/>
        <v>0.62037423522529433</v>
      </c>
      <c r="R281">
        <f t="shared" ca="1" si="94"/>
        <v>0.94752919486952336</v>
      </c>
      <c r="S281">
        <f t="shared" ca="1" si="91"/>
        <v>0.65472835938392493</v>
      </c>
      <c r="T281">
        <f t="shared" ca="1" si="92"/>
        <v>39.567120226771721</v>
      </c>
      <c r="U281">
        <f>70</f>
        <v>70</v>
      </c>
      <c r="V281">
        <f>30</f>
        <v>30</v>
      </c>
      <c r="W281">
        <f t="shared" ca="1" si="90"/>
        <v>146.34323883959502</v>
      </c>
      <c r="X281">
        <f t="shared" ca="1" si="79"/>
        <v>148.11004250474559</v>
      </c>
      <c r="Y281">
        <f t="shared" ca="1" si="78"/>
        <v>-1.7765865489532757</v>
      </c>
      <c r="Z281">
        <f t="shared" ca="1" si="80"/>
        <v>-1.5844188369771615</v>
      </c>
      <c r="AA281">
        <f t="shared" ca="1" si="81"/>
        <v>-0.19216771197611426</v>
      </c>
      <c r="AB281">
        <f t="shared" ca="1" si="82"/>
        <v>159.78230000000002</v>
      </c>
    </row>
    <row r="282" spans="1:28" x14ac:dyDescent="0.25">
      <c r="A282" s="20">
        <f t="shared" ca="1" si="83"/>
        <v>45698</v>
      </c>
      <c r="B282" vm="824">
        <f ca="1"/>
        <v>45701</v>
      </c>
      <c r="C282" vm="813">
        <f ca="1"/>
        <v>144.58000000000001</v>
      </c>
      <c r="D282" vm="825">
        <f ca="1"/>
        <v>7175276</v>
      </c>
      <c r="E282">
        <f t="shared" ca="1" si="84"/>
        <v>1037401404.08</v>
      </c>
      <c r="F282">
        <f ca="1">SUM($E$2:E282)/SUM($D$2:D282)</f>
        <v>165.83511225367479</v>
      </c>
      <c r="G282">
        <f ca="1">_xlfn.STDEV.P($C$2:C282)</f>
        <v>9.0141132025456407</v>
      </c>
      <c r="H282">
        <f t="shared" ca="1" si="85"/>
        <v>174.84922545622044</v>
      </c>
      <c r="I282">
        <f t="shared" ca="1" si="86"/>
        <v>156.82099905112915</v>
      </c>
      <c r="J282">
        <f t="shared" ca="1" si="95"/>
        <v>147.74499999999998</v>
      </c>
      <c r="K282">
        <f t="shared" ca="1" si="96"/>
        <v>3.0436880329799361</v>
      </c>
      <c r="L282">
        <f t="shared" ca="1" si="97"/>
        <v>153.83237606595983</v>
      </c>
      <c r="M282">
        <f t="shared" ca="1" si="98"/>
        <v>141.65762393404012</v>
      </c>
      <c r="N282">
        <f t="shared" ca="1" si="87"/>
        <v>0.59000000000000341</v>
      </c>
      <c r="O282">
        <f t="shared" ca="1" si="88"/>
        <v>0.59000000000000341</v>
      </c>
      <c r="P282">
        <f t="shared" ca="1" si="89"/>
        <v>0</v>
      </c>
      <c r="Q282">
        <f t="shared" ca="1" si="93"/>
        <v>0.61820464699491651</v>
      </c>
      <c r="R282">
        <f t="shared" ca="1" si="94"/>
        <v>0.87984853809312891</v>
      </c>
      <c r="S282">
        <f t="shared" ca="1" si="91"/>
        <v>0.70262621375121459</v>
      </c>
      <c r="T282">
        <f t="shared" ca="1" si="92"/>
        <v>41.267202870276101</v>
      </c>
      <c r="U282">
        <f>70</f>
        <v>70</v>
      </c>
      <c r="V282">
        <f>30</f>
        <v>30</v>
      </c>
      <c r="W282">
        <f t="shared" ca="1" si="90"/>
        <v>146.07197132581118</v>
      </c>
      <c r="X282">
        <f t="shared" ca="1" si="79"/>
        <v>147.84855787476445</v>
      </c>
      <c r="Y282">
        <f t="shared" ca="1" si="78"/>
        <v>-1.8589339758761696</v>
      </c>
      <c r="Z282">
        <f t="shared" ca="1" si="80"/>
        <v>-1.6393218647569632</v>
      </c>
      <c r="AA282">
        <f t="shared" ca="1" si="81"/>
        <v>-0.21961211111920642</v>
      </c>
      <c r="AB282">
        <f t="shared" ca="1" si="82"/>
        <v>159.48150000000004</v>
      </c>
    </row>
    <row r="283" spans="1:28" x14ac:dyDescent="0.25">
      <c r="A283" s="20">
        <f t="shared" ca="1" si="83"/>
        <v>45698</v>
      </c>
      <c r="B283" vm="826">
        <f ca="1"/>
        <v>45702</v>
      </c>
      <c r="C283" vm="827">
        <f ca="1"/>
        <v>143.38999999999999</v>
      </c>
      <c r="D283" vm="828">
        <f ca="1"/>
        <v>5001806</v>
      </c>
      <c r="E283">
        <f t="shared" ca="1" si="84"/>
        <v>717208962.33999991</v>
      </c>
      <c r="F283">
        <f ca="1">SUM($E$2:E283)/SUM($D$2:D283)</f>
        <v>165.76553869588969</v>
      </c>
      <c r="G283">
        <f ca="1">_xlfn.STDEV.P($C$2:C283)</f>
        <v>9.1058168559942363</v>
      </c>
      <c r="H283">
        <f t="shared" ca="1" si="85"/>
        <v>174.87135555188394</v>
      </c>
      <c r="I283">
        <f t="shared" ca="1" si="86"/>
        <v>156.65972183989544</v>
      </c>
      <c r="J283">
        <f t="shared" ca="1" si="95"/>
        <v>147.58749999999998</v>
      </c>
      <c r="K283">
        <f t="shared" ca="1" si="96"/>
        <v>3.1874307010010785</v>
      </c>
      <c r="L283">
        <f t="shared" ca="1" si="97"/>
        <v>153.96236140200213</v>
      </c>
      <c r="M283">
        <f t="shared" ca="1" si="98"/>
        <v>141.21263859799782</v>
      </c>
      <c r="N283">
        <f t="shared" ca="1" si="87"/>
        <v>-1.1900000000000261</v>
      </c>
      <c r="O283">
        <f t="shared" ca="1" si="88"/>
        <v>0</v>
      </c>
      <c r="P283">
        <f t="shared" ca="1" si="89"/>
        <v>1.1900000000000261</v>
      </c>
      <c r="Q283">
        <f t="shared" ca="1" si="93"/>
        <v>0.57404717220956525</v>
      </c>
      <c r="R283">
        <f t="shared" ca="1" si="94"/>
        <v>0.90200221394362157</v>
      </c>
      <c r="S283">
        <f t="shared" ca="1" si="91"/>
        <v>0.63641437164526216</v>
      </c>
      <c r="T283">
        <f t="shared" ca="1" si="92"/>
        <v>38.890783573686583</v>
      </c>
      <c r="U283">
        <f>70</f>
        <v>70</v>
      </c>
      <c r="V283">
        <f>30</f>
        <v>30</v>
      </c>
      <c r="W283">
        <f t="shared" ca="1" si="90"/>
        <v>145.65936035260944</v>
      </c>
      <c r="X283">
        <f t="shared" ca="1" si="79"/>
        <v>147.51829432848561</v>
      </c>
      <c r="Y283">
        <f t="shared" ca="1" si="78"/>
        <v>-1.8456285812900717</v>
      </c>
      <c r="Z283">
        <f t="shared" ca="1" si="80"/>
        <v>-1.680583208063585</v>
      </c>
      <c r="AA283">
        <f t="shared" ca="1" si="81"/>
        <v>-0.16504537322648671</v>
      </c>
      <c r="AB283">
        <f t="shared" ca="1" si="82"/>
        <v>159.20360000000002</v>
      </c>
    </row>
    <row r="284" spans="1:28" x14ac:dyDescent="0.25">
      <c r="A284" s="20">
        <f t="shared" ca="1" si="83"/>
        <v>45705</v>
      </c>
      <c r="B284" vm="829">
        <f ca="1"/>
        <v>45706</v>
      </c>
      <c r="C284" vm="830">
        <f ca="1"/>
        <v>144.1</v>
      </c>
      <c r="D284" vm="831">
        <f ca="1"/>
        <v>8738725</v>
      </c>
      <c r="E284">
        <f t="shared" ca="1" si="84"/>
        <v>1259250272.5</v>
      </c>
      <c r="F284">
        <f ca="1">SUM($E$2:E284)/SUM($D$2:D284)</f>
        <v>165.64883958469619</v>
      </c>
      <c r="G284">
        <f ca="1">_xlfn.STDEV.P($C$2:C284)</f>
        <v>9.1889515824878707</v>
      </c>
      <c r="H284">
        <f t="shared" ca="1" si="85"/>
        <v>174.83779116718406</v>
      </c>
      <c r="I284">
        <f t="shared" ca="1" si="86"/>
        <v>156.45988800220832</v>
      </c>
      <c r="J284">
        <f t="shared" ca="1" si="95"/>
        <v>147.37999999999997</v>
      </c>
      <c r="K284">
        <f t="shared" ca="1" si="96"/>
        <v>3.2758863806529352</v>
      </c>
      <c r="L284">
        <f t="shared" ca="1" si="97"/>
        <v>153.93177276130584</v>
      </c>
      <c r="M284">
        <f t="shared" ca="1" si="98"/>
        <v>140.8282272386941</v>
      </c>
      <c r="N284">
        <f t="shared" ca="1" si="87"/>
        <v>0.71000000000000796</v>
      </c>
      <c r="O284">
        <f t="shared" ca="1" si="88"/>
        <v>0.71000000000000796</v>
      </c>
      <c r="P284">
        <f t="shared" ca="1" si="89"/>
        <v>0</v>
      </c>
      <c r="Q284">
        <f t="shared" ca="1" si="93"/>
        <v>0.58375808848031119</v>
      </c>
      <c r="R284">
        <f t="shared" ca="1" si="94"/>
        <v>0.83757348437622003</v>
      </c>
      <c r="S284">
        <f t="shared" ca="1" si="91"/>
        <v>0.69696342991930194</v>
      </c>
      <c r="T284">
        <f t="shared" ca="1" si="92"/>
        <v>41.071210942503669</v>
      </c>
      <c r="U284">
        <f>70</f>
        <v>70</v>
      </c>
      <c r="V284">
        <f>30</f>
        <v>30</v>
      </c>
      <c r="W284">
        <f t="shared" ca="1" si="90"/>
        <v>145.41945875990029</v>
      </c>
      <c r="X284">
        <f t="shared" ca="1" si="79"/>
        <v>147.26508734119037</v>
      </c>
      <c r="Y284">
        <f t="shared" ref="Y284:Y347" ca="1" si="99">W285-X285</f>
        <v>-1.6777610660868447</v>
      </c>
      <c r="Z284">
        <f t="shared" ca="1" si="80"/>
        <v>-1.6800187796682371</v>
      </c>
      <c r="AA284">
        <f t="shared" ca="1" si="81"/>
        <v>2.2577135813923732E-3</v>
      </c>
      <c r="AB284">
        <f t="shared" ca="1" si="82"/>
        <v>158.92350000000005</v>
      </c>
    </row>
    <row r="285" spans="1:28" x14ac:dyDescent="0.25">
      <c r="A285" s="20">
        <f t="shared" ca="1" si="83"/>
        <v>45705</v>
      </c>
      <c r="B285" vm="832">
        <f ca="1"/>
        <v>45707</v>
      </c>
      <c r="C285" vm="833">
        <f ca="1"/>
        <v>145.81</v>
      </c>
      <c r="D285" vm="834">
        <f ca="1"/>
        <v>5777273</v>
      </c>
      <c r="E285">
        <f t="shared" ca="1" si="84"/>
        <v>842384176.13</v>
      </c>
      <c r="F285">
        <f ca="1">SUM($E$2:E285)/SUM($D$2:D285)</f>
        <v>165.57844400963779</v>
      </c>
      <c r="G285">
        <f ca="1">_xlfn.STDEV.P($C$2:C285)</f>
        <v>9.2559808773883514</v>
      </c>
      <c r="H285">
        <f t="shared" ca="1" si="85"/>
        <v>174.83442488702613</v>
      </c>
      <c r="I285">
        <f t="shared" ca="1" si="86"/>
        <v>156.32246313224945</v>
      </c>
      <c r="J285">
        <f t="shared" ca="1" si="95"/>
        <v>147.24299999999997</v>
      </c>
      <c r="K285">
        <f t="shared" ca="1" si="96"/>
        <v>3.2816701460336377</v>
      </c>
      <c r="L285">
        <f t="shared" ca="1" si="97"/>
        <v>153.80634029206723</v>
      </c>
      <c r="M285">
        <f t="shared" ca="1" si="98"/>
        <v>140.6796597079327</v>
      </c>
      <c r="N285">
        <f t="shared" ca="1" si="87"/>
        <v>1.710000000000008</v>
      </c>
      <c r="O285">
        <f t="shared" ca="1" si="88"/>
        <v>1.710000000000008</v>
      </c>
      <c r="P285">
        <f t="shared" ca="1" si="89"/>
        <v>0</v>
      </c>
      <c r="Q285">
        <f t="shared" ca="1" si="93"/>
        <v>0.6642039393031467</v>
      </c>
      <c r="R285">
        <f t="shared" ca="1" si="94"/>
        <v>0.7777468069207758</v>
      </c>
      <c r="S285">
        <f t="shared" ca="1" si="91"/>
        <v>0.85401049980884713</v>
      </c>
      <c r="T285">
        <f t="shared" ca="1" si="92"/>
        <v>46.062872885396153</v>
      </c>
      <c r="U285">
        <f>70</f>
        <v>70</v>
      </c>
      <c r="V285">
        <f>30</f>
        <v>30</v>
      </c>
      <c r="W285">
        <f t="shared" ca="1" si="90"/>
        <v>145.47954202760795</v>
      </c>
      <c r="X285">
        <f t="shared" ref="X285:X348" ca="1" si="100">C285*(2/(26+1)) + X284*(1-(2/(26+1)))</f>
        <v>147.15730309369479</v>
      </c>
      <c r="Y285">
        <f t="shared" ca="1" si="99"/>
        <v>-1.2646710064138063</v>
      </c>
      <c r="Z285">
        <f t="shared" ca="1" si="80"/>
        <v>-1.5969492250173511</v>
      </c>
      <c r="AA285">
        <f t="shared" ca="1" si="81"/>
        <v>0.33227821860354489</v>
      </c>
      <c r="AB285">
        <f t="shared" ca="1" si="82"/>
        <v>158.68240000000003</v>
      </c>
    </row>
    <row r="286" spans="1:28" x14ac:dyDescent="0.25">
      <c r="A286" s="20">
        <f t="shared" ca="1" si="83"/>
        <v>45705</v>
      </c>
      <c r="B286" vm="835">
        <f ca="1"/>
        <v>45708</v>
      </c>
      <c r="C286" vm="836">
        <f ca="1"/>
        <v>149.1</v>
      </c>
      <c r="D286" vm="837">
        <f ca="1"/>
        <v>6789805</v>
      </c>
      <c r="E286">
        <f t="shared" ca="1" si="84"/>
        <v>1012359925.5</v>
      </c>
      <c r="F286">
        <f ca="1">SUM($E$2:E286)/SUM($D$2:D286)</f>
        <v>165.51000994259428</v>
      </c>
      <c r="G286">
        <f ca="1">_xlfn.STDEV.P($C$2:C286)</f>
        <v>9.2977777995523851</v>
      </c>
      <c r="H286">
        <f t="shared" ca="1" si="85"/>
        <v>174.80778774214667</v>
      </c>
      <c r="I286">
        <f t="shared" ca="1" si="86"/>
        <v>156.21223214304189</v>
      </c>
      <c r="J286">
        <f t="shared" ca="1" si="95"/>
        <v>147.29349999999994</v>
      </c>
      <c r="K286">
        <f t="shared" ca="1" si="96"/>
        <v>3.3030914945021808</v>
      </c>
      <c r="L286">
        <f t="shared" ca="1" si="97"/>
        <v>153.8996829890043</v>
      </c>
      <c r="M286">
        <f t="shared" ca="1" si="98"/>
        <v>140.68731701099557</v>
      </c>
      <c r="N286">
        <f t="shared" ca="1" si="87"/>
        <v>3.289999999999992</v>
      </c>
      <c r="O286">
        <f t="shared" ca="1" si="88"/>
        <v>3.289999999999992</v>
      </c>
      <c r="P286">
        <f t="shared" ca="1" si="89"/>
        <v>0</v>
      </c>
      <c r="Q286">
        <f t="shared" ca="1" si="93"/>
        <v>0.85176080078149286</v>
      </c>
      <c r="R286">
        <f t="shared" ca="1" si="94"/>
        <v>0.72219346356929182</v>
      </c>
      <c r="S286">
        <f t="shared" ca="1" si="91"/>
        <v>1.1794080724184919</v>
      </c>
      <c r="T286">
        <f t="shared" ca="1" si="92"/>
        <v>54.115981644029674</v>
      </c>
      <c r="U286">
        <f>70</f>
        <v>70</v>
      </c>
      <c r="V286">
        <f>30</f>
        <v>30</v>
      </c>
      <c r="W286">
        <f t="shared" ca="1" si="90"/>
        <v>146.03653556182212</v>
      </c>
      <c r="X286">
        <f t="shared" ca="1" si="100"/>
        <v>147.30120656823593</v>
      </c>
      <c r="Y286">
        <f t="shared" ca="1" si="99"/>
        <v>-0.57561559206698121</v>
      </c>
      <c r="Z286">
        <f t="shared" ca="1" si="80"/>
        <v>-1.3926824984272772</v>
      </c>
      <c r="AA286">
        <f t="shared" ca="1" si="81"/>
        <v>0.817066906360296</v>
      </c>
      <c r="AB286">
        <f t="shared" ca="1" si="82"/>
        <v>158.47940000000003</v>
      </c>
    </row>
    <row r="287" spans="1:28" x14ac:dyDescent="0.25">
      <c r="A287" s="20">
        <f t="shared" ca="1" si="83"/>
        <v>45705</v>
      </c>
      <c r="B287" vm="838">
        <f ca="1"/>
        <v>45709</v>
      </c>
      <c r="C287" vm="839">
        <f ca="1"/>
        <v>153.5</v>
      </c>
      <c r="D287" vm="840">
        <f ca="1"/>
        <v>10604404</v>
      </c>
      <c r="E287">
        <f t="shared" ca="1" si="84"/>
        <v>1627776014</v>
      </c>
      <c r="F287">
        <f ca="1">SUM($E$2:E287)/SUM($D$2:D287)</f>
        <v>165.4326135552709</v>
      </c>
      <c r="G287">
        <f ca="1">_xlfn.STDEV.P($C$2:C287)</f>
        <v>9.3135748463940988</v>
      </c>
      <c r="H287">
        <f t="shared" ca="1" si="85"/>
        <v>174.74618840166499</v>
      </c>
      <c r="I287">
        <f t="shared" ca="1" si="86"/>
        <v>156.11903870887681</v>
      </c>
      <c r="J287">
        <f t="shared" ca="1" si="95"/>
        <v>147.53749999999997</v>
      </c>
      <c r="K287">
        <f t="shared" ca="1" si="96"/>
        <v>3.5752671964925651</v>
      </c>
      <c r="L287">
        <f t="shared" ca="1" si="97"/>
        <v>154.68803439298509</v>
      </c>
      <c r="M287">
        <f t="shared" ca="1" si="98"/>
        <v>140.38696560701484</v>
      </c>
      <c r="N287">
        <f t="shared" ca="1" si="87"/>
        <v>4.4000000000000057</v>
      </c>
      <c r="O287">
        <f t="shared" ca="1" si="88"/>
        <v>4.4000000000000057</v>
      </c>
      <c r="P287">
        <f t="shared" ca="1" si="89"/>
        <v>0</v>
      </c>
      <c r="Q287">
        <f t="shared" ca="1" si="93"/>
        <v>1.1052064578685294</v>
      </c>
      <c r="R287">
        <f t="shared" ca="1" si="94"/>
        <v>0.67060821617148536</v>
      </c>
      <c r="S287">
        <f t="shared" ca="1" si="91"/>
        <v>1.6480657874700275</v>
      </c>
      <c r="T287">
        <f t="shared" ca="1" si="92"/>
        <v>62.236587748999852</v>
      </c>
      <c r="U287">
        <f>70</f>
        <v>70</v>
      </c>
      <c r="V287">
        <f>30</f>
        <v>30</v>
      </c>
      <c r="W287">
        <f t="shared" ca="1" si="90"/>
        <v>147.18476086000334</v>
      </c>
      <c r="X287">
        <f t="shared" ca="1" si="100"/>
        <v>147.76037645207032</v>
      </c>
      <c r="Y287">
        <f t="shared" ca="1" si="99"/>
        <v>-1.2774116862317442E-3</v>
      </c>
      <c r="Z287">
        <f t="shared" ca="1" si="80"/>
        <v>-1.1144014810790681</v>
      </c>
      <c r="AA287">
        <f t="shared" ca="1" si="81"/>
        <v>1.1131240693928364</v>
      </c>
      <c r="AB287">
        <f t="shared" ca="1" si="82"/>
        <v>158.31750000000002</v>
      </c>
    </row>
    <row r="288" spans="1:28" x14ac:dyDescent="0.25">
      <c r="A288" s="20">
        <f t="shared" ca="1" si="83"/>
        <v>45712</v>
      </c>
      <c r="B288" vm="841">
        <f ca="1"/>
        <v>45712</v>
      </c>
      <c r="C288" vm="842">
        <f ca="1"/>
        <v>153.85</v>
      </c>
      <c r="D288" vm="843">
        <f ca="1"/>
        <v>7187038</v>
      </c>
      <c r="E288">
        <f t="shared" ca="1" si="84"/>
        <v>1105725796.3</v>
      </c>
      <c r="F288">
        <f ca="1">SUM($E$2:E288)/SUM($D$2:D288)</f>
        <v>165.38224553523401</v>
      </c>
      <c r="G288">
        <f ca="1">_xlfn.STDEV.P($C$2:C288)</f>
        <v>9.3273378976684054</v>
      </c>
      <c r="H288">
        <f t="shared" ca="1" si="85"/>
        <v>174.70958343290241</v>
      </c>
      <c r="I288">
        <f t="shared" ca="1" si="86"/>
        <v>156.05490763756561</v>
      </c>
      <c r="J288">
        <f t="shared" ca="1" si="95"/>
        <v>147.77399999999997</v>
      </c>
      <c r="K288">
        <f t="shared" ca="1" si="96"/>
        <v>3.8326360311629424</v>
      </c>
      <c r="L288">
        <f t="shared" ca="1" si="97"/>
        <v>155.43927206232587</v>
      </c>
      <c r="M288">
        <f t="shared" ca="1" si="98"/>
        <v>140.10872793767408</v>
      </c>
      <c r="N288">
        <f t="shared" ca="1" si="87"/>
        <v>0.34999999999999432</v>
      </c>
      <c r="O288">
        <f t="shared" ca="1" si="88"/>
        <v>0.34999999999999432</v>
      </c>
      <c r="P288">
        <f t="shared" ca="1" si="89"/>
        <v>0</v>
      </c>
      <c r="Q288">
        <f t="shared" ca="1" si="93"/>
        <v>1.0512631394493483</v>
      </c>
      <c r="R288">
        <f t="shared" ca="1" si="94"/>
        <v>0.62270762930209356</v>
      </c>
      <c r="S288">
        <f t="shared" ca="1" si="91"/>
        <v>1.6882130392838821</v>
      </c>
      <c r="T288">
        <f t="shared" ca="1" si="92"/>
        <v>62.800567314174188</v>
      </c>
      <c r="U288">
        <f>70</f>
        <v>70</v>
      </c>
      <c r="V288">
        <f>30</f>
        <v>30</v>
      </c>
      <c r="W288">
        <f t="shared" ca="1" si="90"/>
        <v>148.21018226615666</v>
      </c>
      <c r="X288">
        <f t="shared" ca="1" si="100"/>
        <v>148.2114596778429</v>
      </c>
      <c r="Y288">
        <f t="shared" ca="1" si="99"/>
        <v>0.6537314465799966</v>
      </c>
      <c r="Z288">
        <f t="shared" ca="1" si="80"/>
        <v>-0.76077489554725519</v>
      </c>
      <c r="AA288">
        <f t="shared" ca="1" si="81"/>
        <v>1.4145063421272517</v>
      </c>
      <c r="AB288">
        <f t="shared" ca="1" si="82"/>
        <v>158.15600000000003</v>
      </c>
    </row>
    <row r="289" spans="1:28" x14ac:dyDescent="0.25">
      <c r="A289" s="20">
        <f t="shared" ca="1" si="83"/>
        <v>45712</v>
      </c>
      <c r="B289" vm="844">
        <f ca="1"/>
        <v>45713</v>
      </c>
      <c r="C289" vm="845">
        <f ca="1"/>
        <v>156.41999999999999</v>
      </c>
      <c r="D289" vm="846">
        <f ca="1"/>
        <v>9474619</v>
      </c>
      <c r="E289">
        <f t="shared" ca="1" si="84"/>
        <v>1482019903.9799998</v>
      </c>
      <c r="F289">
        <f ca="1">SUM($E$2:E289)/SUM($D$2:D289)</f>
        <v>165.33116041874268</v>
      </c>
      <c r="G289">
        <f ca="1">_xlfn.STDEV.P($C$2:C289)</f>
        <v>9.3299601093014051</v>
      </c>
      <c r="H289">
        <f t="shared" ca="1" si="85"/>
        <v>174.66112052804408</v>
      </c>
      <c r="I289">
        <f t="shared" ca="1" si="86"/>
        <v>156.00120030944129</v>
      </c>
      <c r="J289">
        <f t="shared" ca="1" si="95"/>
        <v>147.86449999999996</v>
      </c>
      <c r="K289">
        <f t="shared" ca="1" si="96"/>
        <v>4.0193708266475303</v>
      </c>
      <c r="L289">
        <f t="shared" ca="1" si="97"/>
        <v>155.90324165329503</v>
      </c>
      <c r="M289">
        <f t="shared" ca="1" si="98"/>
        <v>139.8257583467049</v>
      </c>
      <c r="N289">
        <f t="shared" ca="1" si="87"/>
        <v>2.5699999999999932</v>
      </c>
      <c r="O289">
        <f t="shared" ca="1" si="88"/>
        <v>2.5699999999999932</v>
      </c>
      <c r="P289">
        <f t="shared" ca="1" si="89"/>
        <v>0</v>
      </c>
      <c r="Q289">
        <f t="shared" ca="1" si="93"/>
        <v>1.1597443437743944</v>
      </c>
      <c r="R289">
        <f t="shared" ca="1" si="94"/>
        <v>0.57822851292337252</v>
      </c>
      <c r="S289">
        <f t="shared" ca="1" si="91"/>
        <v>2.0056851536272911</v>
      </c>
      <c r="T289">
        <f t="shared" ca="1" si="92"/>
        <v>66.729715559422786</v>
      </c>
      <c r="U289">
        <f>70</f>
        <v>70</v>
      </c>
      <c r="V289">
        <f>30</f>
        <v>30</v>
      </c>
      <c r="W289">
        <f t="shared" ca="1" si="90"/>
        <v>149.4732311482864</v>
      </c>
      <c r="X289">
        <f t="shared" ca="1" si="100"/>
        <v>148.81949970170641</v>
      </c>
      <c r="Y289">
        <f t="shared" ca="1" si="99"/>
        <v>0.76778418229767453</v>
      </c>
      <c r="Z289">
        <f t="shared" ca="1" si="80"/>
        <v>-0.45506307997826934</v>
      </c>
      <c r="AA289">
        <f t="shared" ca="1" si="81"/>
        <v>1.2228472622759439</v>
      </c>
      <c r="AB289">
        <f t="shared" ca="1" si="82"/>
        <v>158.01970000000003</v>
      </c>
    </row>
    <row r="290" spans="1:28" x14ac:dyDescent="0.25">
      <c r="A290" s="20">
        <f t="shared" ca="1" si="83"/>
        <v>45712</v>
      </c>
      <c r="B290" vm="847">
        <f ca="1"/>
        <v>45714</v>
      </c>
      <c r="C290" vm="848">
        <f ca="1"/>
        <v>151.51</v>
      </c>
      <c r="D290" vm="849">
        <f ca="1"/>
        <v>9076519</v>
      </c>
      <c r="E290">
        <f t="shared" ca="1" si="84"/>
        <v>1375183393.6899998</v>
      </c>
      <c r="F290">
        <f ca="1">SUM($E$2:E290)/SUM($D$2:D290)</f>
        <v>165.25609937559688</v>
      </c>
      <c r="G290">
        <f ca="1">_xlfn.STDEV.P($C$2:C290)</f>
        <v>9.3550689072122513</v>
      </c>
      <c r="H290">
        <f t="shared" ca="1" si="85"/>
        <v>174.61116828280913</v>
      </c>
      <c r="I290">
        <f t="shared" ca="1" si="86"/>
        <v>155.90103046838462</v>
      </c>
      <c r="J290">
        <f t="shared" ca="1" si="95"/>
        <v>147.92749999999995</v>
      </c>
      <c r="K290">
        <f t="shared" ca="1" si="96"/>
        <v>4.068306093902498</v>
      </c>
      <c r="L290">
        <f t="shared" ca="1" si="97"/>
        <v>156.06411218780494</v>
      </c>
      <c r="M290">
        <f t="shared" ca="1" si="98"/>
        <v>139.79088781219497</v>
      </c>
      <c r="N290">
        <f t="shared" ca="1" si="87"/>
        <v>-4.9099999999999966</v>
      </c>
      <c r="O290">
        <f t="shared" ca="1" si="88"/>
        <v>0</v>
      </c>
      <c r="P290">
        <f t="shared" ca="1" si="89"/>
        <v>4.9099999999999966</v>
      </c>
      <c r="Q290">
        <f t="shared" ca="1" si="93"/>
        <v>1.0769054620762233</v>
      </c>
      <c r="R290">
        <f t="shared" ca="1" si="94"/>
        <v>0.88764076200027431</v>
      </c>
      <c r="S290">
        <f t="shared" ca="1" si="91"/>
        <v>1.213222181966324</v>
      </c>
      <c r="T290">
        <f t="shared" ca="1" si="92"/>
        <v>54.817008064162991</v>
      </c>
      <c r="U290">
        <f>70</f>
        <v>70</v>
      </c>
      <c r="V290">
        <f>30</f>
        <v>30</v>
      </c>
      <c r="W290">
        <f t="shared" ca="1" si="90"/>
        <v>149.78658020239618</v>
      </c>
      <c r="X290">
        <f t="shared" ca="1" si="100"/>
        <v>149.01879602009851</v>
      </c>
      <c r="Y290">
        <f t="shared" ca="1" si="99"/>
        <v>0.8890758221642443</v>
      </c>
      <c r="Z290">
        <f t="shared" ca="1" si="80"/>
        <v>-0.18623529954976661</v>
      </c>
      <c r="AA290">
        <f t="shared" ca="1" si="81"/>
        <v>1.075311121714011</v>
      </c>
      <c r="AB290">
        <f t="shared" ca="1" si="82"/>
        <v>157.82100000000003</v>
      </c>
    </row>
    <row r="291" spans="1:28" x14ac:dyDescent="0.25">
      <c r="A291" s="20">
        <f t="shared" ca="1" si="83"/>
        <v>45712</v>
      </c>
      <c r="B291" vm="850">
        <f ca="1"/>
        <v>45715</v>
      </c>
      <c r="C291" vm="851">
        <f ca="1"/>
        <v>152.02000000000001</v>
      </c>
      <c r="D291" vm="852">
        <f ca="1"/>
        <v>6730985</v>
      </c>
      <c r="E291">
        <f t="shared" ca="1" si="84"/>
        <v>1023244339.7</v>
      </c>
      <c r="F291">
        <f ca="1">SUM($E$2:E291)/SUM($D$2:D291)</f>
        <v>165.20300557368029</v>
      </c>
      <c r="G291">
        <f ca="1">_xlfn.STDEV.P($C$2:C291)</f>
        <v>9.3769199362627607</v>
      </c>
      <c r="H291">
        <f t="shared" ca="1" si="85"/>
        <v>174.57992550994305</v>
      </c>
      <c r="I291">
        <f t="shared" ca="1" si="86"/>
        <v>155.82608563741752</v>
      </c>
      <c r="J291">
        <f t="shared" ca="1" si="95"/>
        <v>148.00999999999996</v>
      </c>
      <c r="K291">
        <f t="shared" ca="1" si="96"/>
        <v>4.1366004348854784</v>
      </c>
      <c r="L291">
        <f t="shared" ca="1" si="97"/>
        <v>156.28320086977092</v>
      </c>
      <c r="M291">
        <f t="shared" ca="1" si="98"/>
        <v>139.736799130229</v>
      </c>
      <c r="N291">
        <f t="shared" ca="1" si="87"/>
        <v>0.51000000000001933</v>
      </c>
      <c r="O291">
        <f t="shared" ca="1" si="88"/>
        <v>0.51000000000001933</v>
      </c>
      <c r="P291">
        <f t="shared" ca="1" si="89"/>
        <v>0</v>
      </c>
      <c r="Q291">
        <f t="shared" ca="1" si="93"/>
        <v>1.0364122147850658</v>
      </c>
      <c r="R291">
        <f t="shared" ca="1" si="94"/>
        <v>0.82423785042882614</v>
      </c>
      <c r="S291">
        <f t="shared" ca="1" si="91"/>
        <v>1.2574188557900512</v>
      </c>
      <c r="T291">
        <f t="shared" ca="1" si="92"/>
        <v>55.701619243805773</v>
      </c>
      <c r="U291">
        <f>70</f>
        <v>70</v>
      </c>
      <c r="V291">
        <f>30</f>
        <v>30</v>
      </c>
      <c r="W291">
        <f t="shared" ca="1" si="90"/>
        <v>150.1301832481814</v>
      </c>
      <c r="X291">
        <f t="shared" ca="1" si="100"/>
        <v>149.24110742601715</v>
      </c>
      <c r="Y291">
        <f t="shared" ca="1" si="99"/>
        <v>1.0896424822059601</v>
      </c>
      <c r="Z291">
        <f t="shared" ca="1" si="80"/>
        <v>6.8940256801378719E-2</v>
      </c>
      <c r="AA291">
        <f t="shared" ca="1" si="81"/>
        <v>1.0207022254045812</v>
      </c>
      <c r="AB291">
        <f t="shared" ca="1" si="82"/>
        <v>157.64570000000006</v>
      </c>
    </row>
    <row r="292" spans="1:28" x14ac:dyDescent="0.25">
      <c r="A292" s="20">
        <f t="shared" ca="1" si="83"/>
        <v>45712</v>
      </c>
      <c r="B292" vm="853">
        <f ca="1"/>
        <v>45716</v>
      </c>
      <c r="C292" vm="854">
        <f ca="1"/>
        <v>153.47</v>
      </c>
      <c r="D292" vm="855">
        <f ca="1"/>
        <v>8314044</v>
      </c>
      <c r="E292">
        <f t="shared" ca="1" si="84"/>
        <v>1275956332.6800001</v>
      </c>
      <c r="F292">
        <f ca="1">SUM($E$2:E292)/SUM($D$2:D292)</f>
        <v>165.14515864672589</v>
      </c>
      <c r="G292">
        <f ca="1">_xlfn.STDEV.P($C$2:C292)</f>
        <v>9.3911173858478527</v>
      </c>
      <c r="H292">
        <f t="shared" ca="1" si="85"/>
        <v>174.53627603257374</v>
      </c>
      <c r="I292">
        <f t="shared" ca="1" si="86"/>
        <v>155.75404126087804</v>
      </c>
      <c r="J292">
        <f t="shared" ca="1" si="95"/>
        <v>148.08849999999998</v>
      </c>
      <c r="K292">
        <f t="shared" ca="1" si="96"/>
        <v>4.2281889553454501</v>
      </c>
      <c r="L292">
        <f t="shared" ca="1" si="97"/>
        <v>156.54487791069087</v>
      </c>
      <c r="M292">
        <f t="shared" ca="1" si="98"/>
        <v>139.63212208930909</v>
      </c>
      <c r="N292">
        <f t="shared" ca="1" si="87"/>
        <v>1.4499999999999886</v>
      </c>
      <c r="O292">
        <f t="shared" ca="1" si="88"/>
        <v>1.4499999999999886</v>
      </c>
      <c r="P292">
        <f t="shared" ca="1" si="89"/>
        <v>0</v>
      </c>
      <c r="Q292">
        <f t="shared" ca="1" si="93"/>
        <v>1.0659541994432746</v>
      </c>
      <c r="R292">
        <f t="shared" ca="1" si="94"/>
        <v>0.76536371825533855</v>
      </c>
      <c r="S292">
        <f t="shared" ca="1" si="91"/>
        <v>1.3927420049034176</v>
      </c>
      <c r="T292">
        <f t="shared" ca="1" si="92"/>
        <v>58.206944252630997</v>
      </c>
      <c r="U292">
        <f>70</f>
        <v>70</v>
      </c>
      <c r="V292">
        <f>30</f>
        <v>30</v>
      </c>
      <c r="W292">
        <f t="shared" ca="1" si="90"/>
        <v>150.64400120999963</v>
      </c>
      <c r="X292">
        <f t="shared" ca="1" si="100"/>
        <v>149.55435872779367</v>
      </c>
      <c r="Y292">
        <f t="shared" ca="1" si="99"/>
        <v>1.435389666202127</v>
      </c>
      <c r="Z292">
        <f t="shared" ca="1" si="80"/>
        <v>0.34223013868152841</v>
      </c>
      <c r="AA292">
        <f t="shared" ca="1" si="81"/>
        <v>1.0931595275205988</v>
      </c>
      <c r="AB292">
        <f t="shared" ca="1" si="82"/>
        <v>157.49510000000001</v>
      </c>
    </row>
    <row r="293" spans="1:28" x14ac:dyDescent="0.25">
      <c r="A293" s="20">
        <f t="shared" ca="1" si="83"/>
        <v>45719</v>
      </c>
      <c r="B293" vm="856">
        <f ca="1"/>
        <v>45719</v>
      </c>
      <c r="C293" vm="857">
        <f ca="1"/>
        <v>155.99</v>
      </c>
      <c r="D293" vm="858">
        <f ca="1"/>
        <v>8321674</v>
      </c>
      <c r="E293">
        <f t="shared" ca="1" si="84"/>
        <v>1298097927.26</v>
      </c>
      <c r="F293">
        <f ca="1">SUM($E$2:E293)/SUM($D$2:D293)</f>
        <v>165.10020164030425</v>
      </c>
      <c r="G293">
        <f ca="1">_xlfn.STDEV.P($C$2:C293)</f>
        <v>9.3943933783344562</v>
      </c>
      <c r="H293">
        <f t="shared" ca="1" si="85"/>
        <v>174.49459501863871</v>
      </c>
      <c r="I293">
        <f t="shared" ca="1" si="86"/>
        <v>155.70580826196979</v>
      </c>
      <c r="J293">
        <f t="shared" ca="1" si="95"/>
        <v>148.35349999999994</v>
      </c>
      <c r="K293">
        <f t="shared" ca="1" si="96"/>
        <v>4.5533992796590983</v>
      </c>
      <c r="L293">
        <f t="shared" ca="1" si="97"/>
        <v>157.46029855931815</v>
      </c>
      <c r="M293">
        <f t="shared" ca="1" si="98"/>
        <v>139.24670144068173</v>
      </c>
      <c r="N293">
        <f t="shared" ca="1" si="87"/>
        <v>2.5200000000000102</v>
      </c>
      <c r="O293">
        <f t="shared" ca="1" si="88"/>
        <v>2.5200000000000102</v>
      </c>
      <c r="P293">
        <f t="shared" ca="1" si="89"/>
        <v>0</v>
      </c>
      <c r="Q293">
        <f t="shared" ca="1" si="93"/>
        <v>1.1698146137687557</v>
      </c>
      <c r="R293">
        <f t="shared" ca="1" si="94"/>
        <v>0.71069488123710012</v>
      </c>
      <c r="S293">
        <f t="shared" ca="1" si="91"/>
        <v>1.6460152516259441</v>
      </c>
      <c r="T293">
        <f t="shared" ca="1" si="92"/>
        <v>62.207322902409118</v>
      </c>
      <c r="U293">
        <f>70</f>
        <v>70</v>
      </c>
      <c r="V293">
        <f>30</f>
        <v>30</v>
      </c>
      <c r="W293">
        <f t="shared" ca="1" si="90"/>
        <v>151.46646256230738</v>
      </c>
      <c r="X293">
        <f t="shared" ca="1" si="100"/>
        <v>150.03107289610526</v>
      </c>
      <c r="Y293">
        <f t="shared" ca="1" si="99"/>
        <v>1.5463267514845711</v>
      </c>
      <c r="Z293">
        <f t="shared" ca="1" si="80"/>
        <v>0.58304946124213708</v>
      </c>
      <c r="AA293">
        <f t="shared" ca="1" si="81"/>
        <v>0.96327729024243403</v>
      </c>
      <c r="AB293">
        <f t="shared" ca="1" si="82"/>
        <v>157.37530000000004</v>
      </c>
    </row>
    <row r="294" spans="1:28" x14ac:dyDescent="0.25">
      <c r="A294" s="20">
        <f t="shared" ca="1" si="83"/>
        <v>45719</v>
      </c>
      <c r="B294" vm="859">
        <f ca="1"/>
        <v>45720</v>
      </c>
      <c r="C294" vm="860">
        <f ca="1"/>
        <v>154.19</v>
      </c>
      <c r="D294" vm="861">
        <f ca="1"/>
        <v>10274235</v>
      </c>
      <c r="E294">
        <f t="shared" ca="1" si="84"/>
        <v>1584184294.6500001</v>
      </c>
      <c r="F294">
        <f ca="1">SUM($E$2:E294)/SUM($D$2:D294)</f>
        <v>165.0344543269174</v>
      </c>
      <c r="G294">
        <f ca="1">_xlfn.STDEV.P($C$2:C294)</f>
        <v>9.4047989506214869</v>
      </c>
      <c r="H294">
        <f t="shared" ca="1" si="85"/>
        <v>174.43925327753888</v>
      </c>
      <c r="I294">
        <f t="shared" ca="1" si="86"/>
        <v>155.62965537629591</v>
      </c>
      <c r="J294">
        <f t="shared" ca="1" si="95"/>
        <v>148.54949999999997</v>
      </c>
      <c r="K294">
        <f t="shared" ca="1" si="96"/>
        <v>4.7215011829981179</v>
      </c>
      <c r="L294">
        <f t="shared" ca="1" si="97"/>
        <v>157.99250236599619</v>
      </c>
      <c r="M294">
        <f t="shared" ca="1" si="98"/>
        <v>139.10649763400374</v>
      </c>
      <c r="N294">
        <f t="shared" ca="1" si="87"/>
        <v>-1.8000000000000114</v>
      </c>
      <c r="O294">
        <f t="shared" ca="1" si="88"/>
        <v>0</v>
      </c>
      <c r="P294">
        <f t="shared" ca="1" si="89"/>
        <v>1.8000000000000114</v>
      </c>
      <c r="Q294">
        <f t="shared" ca="1" si="93"/>
        <v>1.0862564270709876</v>
      </c>
      <c r="R294">
        <f t="shared" ca="1" si="94"/>
        <v>0.78850238972016518</v>
      </c>
      <c r="S294">
        <f t="shared" ca="1" si="91"/>
        <v>1.3776197018965199</v>
      </c>
      <c r="T294">
        <f t="shared" ca="1" si="92"/>
        <v>57.941129138425914</v>
      </c>
      <c r="U294">
        <f>70</f>
        <v>70</v>
      </c>
      <c r="V294">
        <f>30</f>
        <v>30</v>
      </c>
      <c r="W294">
        <f t="shared" ca="1" si="90"/>
        <v>151.8854683219524</v>
      </c>
      <c r="X294">
        <f t="shared" ca="1" si="100"/>
        <v>150.33914157046783</v>
      </c>
      <c r="Y294">
        <f t="shared" ca="1" si="99"/>
        <v>1.5908919692815005</v>
      </c>
      <c r="Z294">
        <f t="shared" ref="Z294:Z357" ca="1" si="101">Y294*(2/(9+1)) + Z293*(1-(2/(9+1)))</f>
        <v>0.78461796285000984</v>
      </c>
      <c r="AA294">
        <f t="shared" ref="AA294:AA357" ca="1" si="102">Y294-Z294</f>
        <v>0.80627400643149061</v>
      </c>
      <c r="AB294">
        <f t="shared" ref="AB294:AB357" ca="1" si="103">AVERAGE(C195:C294)</f>
        <v>157.24510000000004</v>
      </c>
    </row>
    <row r="295" spans="1:28" x14ac:dyDescent="0.25">
      <c r="A295" s="20">
        <f t="shared" ca="1" si="83"/>
        <v>45719</v>
      </c>
      <c r="B295" vm="862">
        <f ca="1"/>
        <v>45721</v>
      </c>
      <c r="C295" vm="863">
        <f ca="1"/>
        <v>153.88</v>
      </c>
      <c r="D295" vm="864">
        <f ca="1"/>
        <v>5578701</v>
      </c>
      <c r="E295">
        <f t="shared" ca="1" si="84"/>
        <v>858450509.88</v>
      </c>
      <c r="F295">
        <f ca="1">SUM($E$2:E295)/SUM($D$2:D295)</f>
        <v>164.99807468573644</v>
      </c>
      <c r="G295">
        <f ca="1">_xlfn.STDEV.P($C$2:C295)</f>
        <v>9.4163050228551306</v>
      </c>
      <c r="H295">
        <f t="shared" ca="1" si="85"/>
        <v>174.41437970859158</v>
      </c>
      <c r="I295">
        <f t="shared" ca="1" si="86"/>
        <v>155.5817696628813</v>
      </c>
      <c r="J295">
        <f t="shared" ca="1" si="95"/>
        <v>149.06899999999999</v>
      </c>
      <c r="K295">
        <f t="shared" ca="1" si="96"/>
        <v>4.7070886073978606</v>
      </c>
      <c r="L295">
        <f t="shared" ca="1" si="97"/>
        <v>158.48317721479572</v>
      </c>
      <c r="M295">
        <f t="shared" ca="1" si="98"/>
        <v>139.65482278520426</v>
      </c>
      <c r="N295">
        <f t="shared" ca="1" si="87"/>
        <v>-0.31000000000000227</v>
      </c>
      <c r="O295">
        <f t="shared" ca="1" si="88"/>
        <v>0</v>
      </c>
      <c r="P295">
        <f t="shared" ca="1" si="89"/>
        <v>0.31000000000000227</v>
      </c>
      <c r="Q295">
        <f t="shared" ca="1" si="93"/>
        <v>1.0086666822802026</v>
      </c>
      <c r="R295">
        <f t="shared" ca="1" si="94"/>
        <v>0.75432364759729631</v>
      </c>
      <c r="S295">
        <f t="shared" ca="1" si="91"/>
        <v>1.3371802481508441</v>
      </c>
      <c r="T295">
        <f t="shared" ca="1" si="92"/>
        <v>57.213398462048829</v>
      </c>
      <c r="U295">
        <f>70</f>
        <v>70</v>
      </c>
      <c r="V295">
        <f>30</f>
        <v>30</v>
      </c>
      <c r="W295">
        <f t="shared" ca="1" si="90"/>
        <v>152.19231934934433</v>
      </c>
      <c r="X295">
        <f t="shared" ca="1" si="100"/>
        <v>150.60142738006283</v>
      </c>
      <c r="Y295">
        <f t="shared" ca="1" si="99"/>
        <v>1.6659115334326202</v>
      </c>
      <c r="Z295">
        <f t="shared" ca="1" si="101"/>
        <v>0.96087667696653201</v>
      </c>
      <c r="AA295">
        <f t="shared" ca="1" si="102"/>
        <v>0.70503485646608821</v>
      </c>
      <c r="AB295">
        <f t="shared" ca="1" si="103"/>
        <v>157.07970000000006</v>
      </c>
    </row>
    <row r="296" spans="1:28" x14ac:dyDescent="0.25">
      <c r="A296" s="20">
        <f t="shared" ca="1" si="83"/>
        <v>45719</v>
      </c>
      <c r="B296" vm="865">
        <f ca="1"/>
        <v>45722</v>
      </c>
      <c r="C296" vm="786">
        <f ca="1"/>
        <v>154.61000000000001</v>
      </c>
      <c r="D296" vm="866">
        <f ca="1"/>
        <v>8421031</v>
      </c>
      <c r="E296">
        <f t="shared" ca="1" si="84"/>
        <v>1301975602.9100001</v>
      </c>
      <c r="F296">
        <f ca="1">SUM($E$2:E296)/SUM($D$2:D296)</f>
        <v>164.94718327630326</v>
      </c>
      <c r="G296">
        <f ca="1">_xlfn.STDEV.P($C$2:C296)</f>
        <v>9.4244078315301696</v>
      </c>
      <c r="H296">
        <f t="shared" ca="1" si="85"/>
        <v>174.37159110783344</v>
      </c>
      <c r="I296">
        <f t="shared" ca="1" si="86"/>
        <v>155.52277544477309</v>
      </c>
      <c r="J296">
        <f t="shared" ca="1" si="95"/>
        <v>149.51650000000001</v>
      </c>
      <c r="K296">
        <f t="shared" ca="1" si="96"/>
        <v>4.7906337071194951</v>
      </c>
      <c r="L296">
        <f t="shared" ca="1" si="97"/>
        <v>159.097767414239</v>
      </c>
      <c r="M296">
        <f t="shared" ca="1" si="98"/>
        <v>139.93523258576101</v>
      </c>
      <c r="N296">
        <f t="shared" ca="1" si="87"/>
        <v>0.73000000000001819</v>
      </c>
      <c r="O296">
        <f t="shared" ca="1" si="88"/>
        <v>0.73000000000001819</v>
      </c>
      <c r="P296">
        <f t="shared" ca="1" si="89"/>
        <v>0</v>
      </c>
      <c r="Q296">
        <f t="shared" ca="1" si="93"/>
        <v>0.98876191926018941</v>
      </c>
      <c r="R296">
        <f t="shared" ca="1" si="94"/>
        <v>0.70044338705463238</v>
      </c>
      <c r="S296">
        <f t="shared" ca="1" si="91"/>
        <v>1.4116228913487752</v>
      </c>
      <c r="T296">
        <f t="shared" ca="1" si="92"/>
        <v>58.534147126099022</v>
      </c>
      <c r="U296">
        <f>70</f>
        <v>70</v>
      </c>
      <c r="V296">
        <f>30</f>
        <v>30</v>
      </c>
      <c r="W296">
        <f t="shared" ca="1" si="90"/>
        <v>152.56427021867597</v>
      </c>
      <c r="X296">
        <f t="shared" ca="1" si="100"/>
        <v>150.89835868524335</v>
      </c>
      <c r="Y296">
        <f t="shared" ca="1" si="99"/>
        <v>1.6921415448508981</v>
      </c>
      <c r="Z296">
        <f t="shared" ca="1" si="101"/>
        <v>1.1071296505434054</v>
      </c>
      <c r="AA296">
        <f t="shared" ca="1" si="102"/>
        <v>0.58501189430749267</v>
      </c>
      <c r="AB296">
        <f t="shared" ca="1" si="103"/>
        <v>156.90040000000008</v>
      </c>
    </row>
    <row r="297" spans="1:28" x14ac:dyDescent="0.25">
      <c r="A297" s="20">
        <f t="shared" ca="1" si="83"/>
        <v>45719</v>
      </c>
      <c r="B297" vm="867">
        <f ca="1"/>
        <v>45723</v>
      </c>
      <c r="C297" vm="868">
        <f ca="1"/>
        <v>154.44</v>
      </c>
      <c r="D297" vm="869">
        <f ca="1"/>
        <v>8997748</v>
      </c>
      <c r="E297">
        <f t="shared" ca="1" si="84"/>
        <v>1389612201.1199999</v>
      </c>
      <c r="F297">
        <f ca="1">SUM($E$2:E297)/SUM($D$2:D297)</f>
        <v>164.89246947574762</v>
      </c>
      <c r="G297">
        <f ca="1">_xlfn.STDEV.P($C$2:C297)</f>
        <v>9.4329928403568459</v>
      </c>
      <c r="H297">
        <f t="shared" ca="1" si="85"/>
        <v>174.32546231610445</v>
      </c>
      <c r="I297">
        <f t="shared" ca="1" si="86"/>
        <v>155.45947663539079</v>
      </c>
      <c r="J297">
        <f t="shared" ca="1" si="95"/>
        <v>149.97100000000003</v>
      </c>
      <c r="K297">
        <f t="shared" ca="1" si="96"/>
        <v>4.8057146902630965</v>
      </c>
      <c r="L297">
        <f t="shared" ca="1" si="97"/>
        <v>159.58242938052624</v>
      </c>
      <c r="M297">
        <f t="shared" ca="1" si="98"/>
        <v>140.35957061947383</v>
      </c>
      <c r="N297">
        <f t="shared" ca="1" si="87"/>
        <v>-0.17000000000001592</v>
      </c>
      <c r="O297">
        <f t="shared" ca="1" si="88"/>
        <v>0</v>
      </c>
      <c r="P297">
        <f t="shared" ca="1" si="89"/>
        <v>0.17000000000001592</v>
      </c>
      <c r="Q297">
        <f t="shared" ca="1" si="93"/>
        <v>0.91813606788446156</v>
      </c>
      <c r="R297">
        <f t="shared" ca="1" si="94"/>
        <v>0.66255457369358839</v>
      </c>
      <c r="S297">
        <f t="shared" ca="1" si="91"/>
        <v>1.3857516110198522</v>
      </c>
      <c r="T297">
        <f t="shared" ca="1" si="92"/>
        <v>58.084488117666048</v>
      </c>
      <c r="U297">
        <f>70</f>
        <v>70</v>
      </c>
      <c r="V297">
        <f>30</f>
        <v>30</v>
      </c>
      <c r="W297">
        <f t="shared" ca="1" si="90"/>
        <v>152.85284403118735</v>
      </c>
      <c r="X297">
        <f t="shared" ca="1" si="100"/>
        <v>151.16070248633645</v>
      </c>
      <c r="Y297">
        <f t="shared" ca="1" si="99"/>
        <v>1.837795923656131</v>
      </c>
      <c r="Z297">
        <f t="shared" ca="1" si="101"/>
        <v>1.2532629051659505</v>
      </c>
      <c r="AA297">
        <f t="shared" ca="1" si="102"/>
        <v>0.58453301849018047</v>
      </c>
      <c r="AB297">
        <f t="shared" ca="1" si="103"/>
        <v>156.71490000000006</v>
      </c>
    </row>
    <row r="298" spans="1:28" x14ac:dyDescent="0.25">
      <c r="A298" s="20">
        <f t="shared" ca="1" si="83"/>
        <v>45726</v>
      </c>
      <c r="B298" vm="870">
        <f ca="1"/>
        <v>45726</v>
      </c>
      <c r="C298" vm="871">
        <f ca="1"/>
        <v>156.25</v>
      </c>
      <c r="D298" vm="872">
        <f ca="1"/>
        <v>11156892</v>
      </c>
      <c r="E298">
        <f t="shared" ca="1" si="84"/>
        <v>1743264375</v>
      </c>
      <c r="F298">
        <f ca="1">SUM($E$2:E298)/SUM($D$2:D298)</f>
        <v>164.83702443875561</v>
      </c>
      <c r="G298">
        <f ca="1">_xlfn.STDEV.P($C$2:C298)</f>
        <v>9.4344178629690649</v>
      </c>
      <c r="H298">
        <f t="shared" ca="1" si="85"/>
        <v>174.27144230172468</v>
      </c>
      <c r="I298">
        <f t="shared" ca="1" si="86"/>
        <v>155.40260657578654</v>
      </c>
      <c r="J298">
        <f t="shared" ca="1" si="95"/>
        <v>150.55450000000002</v>
      </c>
      <c r="K298">
        <f t="shared" ca="1" si="96"/>
        <v>4.8251342768335155</v>
      </c>
      <c r="L298">
        <f t="shared" ca="1" si="97"/>
        <v>160.20476855366704</v>
      </c>
      <c r="M298">
        <f t="shared" ca="1" si="98"/>
        <v>140.904231446333</v>
      </c>
      <c r="N298">
        <f t="shared" ca="1" si="87"/>
        <v>1.8100000000000023</v>
      </c>
      <c r="O298">
        <f t="shared" ca="1" si="88"/>
        <v>1.8100000000000023</v>
      </c>
      <c r="P298">
        <f t="shared" ca="1" si="89"/>
        <v>0</v>
      </c>
      <c r="Q298">
        <f t="shared" ca="1" si="93"/>
        <v>0.98184063446414294</v>
      </c>
      <c r="R298">
        <f t="shared" ca="1" si="94"/>
        <v>0.61522924700118931</v>
      </c>
      <c r="S298">
        <f t="shared" ca="1" si="91"/>
        <v>1.5958939521323585</v>
      </c>
      <c r="T298">
        <f t="shared" ca="1" si="92"/>
        <v>61.47762510950939</v>
      </c>
      <c r="U298">
        <f>70</f>
        <v>70</v>
      </c>
      <c r="V298">
        <f>30</f>
        <v>30</v>
      </c>
      <c r="W298">
        <f t="shared" ca="1" si="90"/>
        <v>153.37548341100469</v>
      </c>
      <c r="X298">
        <f t="shared" ca="1" si="100"/>
        <v>151.53768748734856</v>
      </c>
      <c r="Y298">
        <f t="shared" ca="1" si="99"/>
        <v>1.6182625062111242</v>
      </c>
      <c r="Z298">
        <f t="shared" ca="1" si="101"/>
        <v>1.3262628253749853</v>
      </c>
      <c r="AA298">
        <f t="shared" ca="1" si="102"/>
        <v>0.29199968083613892</v>
      </c>
      <c r="AB298">
        <f t="shared" ca="1" si="103"/>
        <v>156.52930000000006</v>
      </c>
    </row>
    <row r="299" spans="1:28" x14ac:dyDescent="0.25">
      <c r="A299" s="20">
        <f t="shared" ca="1" si="83"/>
        <v>45726</v>
      </c>
      <c r="B299" vm="873">
        <f ca="1"/>
        <v>45727</v>
      </c>
      <c r="C299" vm="874">
        <f ca="1"/>
        <v>152.33000000000001</v>
      </c>
      <c r="D299" vm="875">
        <f ca="1"/>
        <v>7981566</v>
      </c>
      <c r="E299">
        <f t="shared" ca="1" si="84"/>
        <v>1215831948.7800002</v>
      </c>
      <c r="F299">
        <f ca="1">SUM($E$2:E299)/SUM($D$2:D299)</f>
        <v>164.77988512141474</v>
      </c>
      <c r="G299">
        <f ca="1">_xlfn.STDEV.P($C$2:C299)</f>
        <v>9.4520853054166274</v>
      </c>
      <c r="H299">
        <f t="shared" ca="1" si="85"/>
        <v>174.23197042683137</v>
      </c>
      <c r="I299">
        <f t="shared" ca="1" si="86"/>
        <v>155.32779981599811</v>
      </c>
      <c r="J299">
        <f t="shared" ca="1" si="95"/>
        <v>150.95350000000002</v>
      </c>
      <c r="K299">
        <f t="shared" ca="1" si="96"/>
        <v>4.6102235075399207</v>
      </c>
      <c r="L299">
        <f t="shared" ca="1" si="97"/>
        <v>160.17394701507988</v>
      </c>
      <c r="M299">
        <f t="shared" ca="1" si="98"/>
        <v>141.73305298492016</v>
      </c>
      <c r="N299">
        <f t="shared" ca="1" si="87"/>
        <v>-3.9199999999999875</v>
      </c>
      <c r="O299">
        <f t="shared" ca="1" si="88"/>
        <v>0</v>
      </c>
      <c r="P299">
        <f t="shared" ca="1" si="89"/>
        <v>3.9199999999999875</v>
      </c>
      <c r="Q299">
        <f t="shared" ca="1" si="93"/>
        <v>0.91170916057384699</v>
      </c>
      <c r="R299">
        <f t="shared" ca="1" si="94"/>
        <v>0.85128430078681772</v>
      </c>
      <c r="S299">
        <f t="shared" ca="1" si="91"/>
        <v>1.0709808224246358</v>
      </c>
      <c r="T299">
        <f t="shared" ca="1" si="92"/>
        <v>51.713700620885845</v>
      </c>
      <c r="U299">
        <f>70</f>
        <v>70</v>
      </c>
      <c r="V299">
        <f>30</f>
        <v>30</v>
      </c>
      <c r="W299">
        <f t="shared" ca="1" si="90"/>
        <v>153.21463980931165</v>
      </c>
      <c r="X299">
        <f t="shared" ca="1" si="100"/>
        <v>151.59637730310052</v>
      </c>
      <c r="Y299">
        <f t="shared" ca="1" si="99"/>
        <v>1.0959698001649087</v>
      </c>
      <c r="Z299">
        <f t="shared" ca="1" si="101"/>
        <v>1.28020422033297</v>
      </c>
      <c r="AA299">
        <f t="shared" ca="1" si="102"/>
        <v>-0.18423442016806124</v>
      </c>
      <c r="AB299">
        <f t="shared" ca="1" si="103"/>
        <v>156.29160000000005</v>
      </c>
    </row>
    <row r="300" spans="1:28" x14ac:dyDescent="0.25">
      <c r="A300" s="20">
        <f t="shared" ca="1" si="83"/>
        <v>45726</v>
      </c>
      <c r="B300" vm="876">
        <f ca="1"/>
        <v>45728</v>
      </c>
      <c r="C300" vm="877">
        <f ca="1"/>
        <v>148.16999999999999</v>
      </c>
      <c r="D300" vm="878">
        <f ca="1"/>
        <v>8330241</v>
      </c>
      <c r="E300">
        <f t="shared" ca="1" si="84"/>
        <v>1234291808.9699998</v>
      </c>
      <c r="F300">
        <f ca="1">SUM($E$2:E300)/SUM($D$2:D300)</f>
        <v>164.70106242783254</v>
      </c>
      <c r="G300">
        <f ca="1">_xlfn.STDEV.P($C$2:C300)</f>
        <v>9.4924651768212502</v>
      </c>
      <c r="H300">
        <f t="shared" ca="1" si="85"/>
        <v>174.19352760465378</v>
      </c>
      <c r="I300">
        <f t="shared" ca="1" si="86"/>
        <v>155.2085972510113</v>
      </c>
      <c r="J300">
        <f t="shared" ca="1" si="95"/>
        <v>151.08000000000001</v>
      </c>
      <c r="K300">
        <f t="shared" ca="1" si="96"/>
        <v>4.4898927428286379</v>
      </c>
      <c r="L300">
        <f t="shared" ca="1" si="97"/>
        <v>160.0597854856573</v>
      </c>
      <c r="M300">
        <f t="shared" ca="1" si="98"/>
        <v>142.10021451434272</v>
      </c>
      <c r="N300">
        <f t="shared" ca="1" si="87"/>
        <v>-4.160000000000025</v>
      </c>
      <c r="O300">
        <f t="shared" ca="1" si="88"/>
        <v>0</v>
      </c>
      <c r="P300">
        <f t="shared" ca="1" si="89"/>
        <v>4.160000000000025</v>
      </c>
      <c r="Q300">
        <f t="shared" ca="1" si="93"/>
        <v>0.84658707767571506</v>
      </c>
      <c r="R300">
        <f t="shared" ca="1" si="94"/>
        <v>1.087621136444904</v>
      </c>
      <c r="S300">
        <f t="shared" ca="1" si="91"/>
        <v>0.77838417193963838</v>
      </c>
      <c r="T300">
        <f t="shared" ca="1" si="92"/>
        <v>43.769180147992131</v>
      </c>
      <c r="U300">
        <f>70</f>
        <v>70</v>
      </c>
      <c r="V300">
        <f>30</f>
        <v>30</v>
      </c>
      <c r="W300">
        <f t="shared" ca="1" si="90"/>
        <v>152.43854137710986</v>
      </c>
      <c r="X300">
        <f t="shared" ca="1" si="100"/>
        <v>151.34257157694495</v>
      </c>
      <c r="Y300">
        <f t="shared" ca="1" si="99"/>
        <v>0.68783768232057696</v>
      </c>
      <c r="Z300">
        <f t="shared" ca="1" si="101"/>
        <v>1.1617309127304913</v>
      </c>
      <c r="AA300">
        <f t="shared" ca="1" si="102"/>
        <v>-0.47389323040991438</v>
      </c>
      <c r="AB300">
        <f t="shared" ca="1" si="103"/>
        <v>156.01430000000005</v>
      </c>
    </row>
    <row r="301" spans="1:28" x14ac:dyDescent="0.25">
      <c r="A301" s="20">
        <f t="shared" ca="1" si="83"/>
        <v>45726</v>
      </c>
      <c r="B301" vm="879">
        <f ca="1"/>
        <v>45729</v>
      </c>
      <c r="C301" vm="880">
        <f ca="1"/>
        <v>148.34</v>
      </c>
      <c r="D301" vm="881">
        <f ca="1"/>
        <v>5351093</v>
      </c>
      <c r="E301">
        <f t="shared" ca="1" si="84"/>
        <v>793781135.62</v>
      </c>
      <c r="F301">
        <f ca="1">SUM($E$2:E301)/SUM($D$2:D301)</f>
        <v>164.65133921352893</v>
      </c>
      <c r="G301">
        <f ca="1">_xlfn.STDEV.P($C$2:C301)</f>
        <v>9.5309857931905455</v>
      </c>
      <c r="H301">
        <f t="shared" ca="1" si="85"/>
        <v>174.18232500671948</v>
      </c>
      <c r="I301">
        <f t="shared" ca="1" si="86"/>
        <v>155.12035342033838</v>
      </c>
      <c r="J301">
        <f t="shared" ca="1" si="95"/>
        <v>151.29750000000004</v>
      </c>
      <c r="K301">
        <f t="shared" ca="1" si="96"/>
        <v>4.2259659437689212</v>
      </c>
      <c r="L301">
        <f t="shared" ca="1" si="97"/>
        <v>159.7494318875379</v>
      </c>
      <c r="M301">
        <f t="shared" ca="1" si="98"/>
        <v>142.84556811246219</v>
      </c>
      <c r="N301">
        <f t="shared" ca="1" si="87"/>
        <v>0.17000000000001592</v>
      </c>
      <c r="O301">
        <f t="shared" ca="1" si="88"/>
        <v>0.17000000000001592</v>
      </c>
      <c r="P301">
        <f t="shared" ca="1" si="89"/>
        <v>0</v>
      </c>
      <c r="Q301">
        <f t="shared" ca="1" si="93"/>
        <v>0.79825942927030802</v>
      </c>
      <c r="R301">
        <f t="shared" ca="1" si="94"/>
        <v>1.0099339124131252</v>
      </c>
      <c r="S301">
        <f t="shared" ca="1" si="91"/>
        <v>0.79040758950549106</v>
      </c>
      <c r="T301">
        <f t="shared" ca="1" si="92"/>
        <v>44.146796189788326</v>
      </c>
      <c r="U301">
        <f>70</f>
        <v>70</v>
      </c>
      <c r="V301">
        <f>30</f>
        <v>30</v>
      </c>
      <c r="W301">
        <f t="shared" ca="1" si="90"/>
        <v>151.8079965498622</v>
      </c>
      <c r="X301">
        <f t="shared" ca="1" si="100"/>
        <v>151.12015886754162</v>
      </c>
      <c r="Y301">
        <f t="shared" ca="1" si="99"/>
        <v>0.38018046540756245</v>
      </c>
      <c r="Z301">
        <f t="shared" ca="1" si="101"/>
        <v>1.0054208232659056</v>
      </c>
      <c r="AA301">
        <f t="shared" ca="1" si="102"/>
        <v>-0.6252403578583432</v>
      </c>
      <c r="AB301">
        <f t="shared" ca="1" si="103"/>
        <v>155.75290000000007</v>
      </c>
    </row>
    <row r="302" spans="1:28" x14ac:dyDescent="0.25">
      <c r="A302" s="20">
        <f t="shared" ca="1" si="83"/>
        <v>45726</v>
      </c>
      <c r="B302" vm="882">
        <f ca="1"/>
        <v>45730</v>
      </c>
      <c r="C302" vm="883">
        <f ca="1"/>
        <v>148.59</v>
      </c>
      <c r="D302" vm="884">
        <f ca="1"/>
        <v>5277544</v>
      </c>
      <c r="E302">
        <f t="shared" ca="1" si="84"/>
        <v>784190262.96000004</v>
      </c>
      <c r="F302">
        <f ca="1">SUM($E$2:E302)/SUM($D$2:D302)</f>
        <v>164.60334166818512</v>
      </c>
      <c r="G302">
        <f ca="1">_xlfn.STDEV.P($C$2:C302)</f>
        <v>9.5672296037297251</v>
      </c>
      <c r="H302">
        <f t="shared" ca="1" si="85"/>
        <v>174.17057127191484</v>
      </c>
      <c r="I302">
        <f t="shared" ca="1" si="86"/>
        <v>155.03611206445541</v>
      </c>
      <c r="J302">
        <f t="shared" ca="1" si="95"/>
        <v>151.49800000000002</v>
      </c>
      <c r="K302">
        <f t="shared" ca="1" si="96"/>
        <v>3.9783540632567638</v>
      </c>
      <c r="L302">
        <f t="shared" ca="1" si="97"/>
        <v>159.45470812651354</v>
      </c>
      <c r="M302">
        <f t="shared" ca="1" si="98"/>
        <v>143.5412918734865</v>
      </c>
      <c r="N302">
        <f t="shared" ca="1" si="87"/>
        <v>0.25</v>
      </c>
      <c r="O302">
        <f t="shared" ca="1" si="88"/>
        <v>0.25</v>
      </c>
      <c r="P302">
        <f t="shared" ca="1" si="89"/>
        <v>0</v>
      </c>
      <c r="Q302">
        <f t="shared" ca="1" si="93"/>
        <v>0.75909804146528603</v>
      </c>
      <c r="R302">
        <f t="shared" ca="1" si="94"/>
        <v>0.93779577581218765</v>
      </c>
      <c r="S302">
        <f t="shared" ca="1" si="91"/>
        <v>0.80944920103512019</v>
      </c>
      <c r="T302">
        <f t="shared" ca="1" si="92"/>
        <v>44.734563455667264</v>
      </c>
      <c r="U302">
        <f>70</f>
        <v>70</v>
      </c>
      <c r="V302">
        <f>30</f>
        <v>30</v>
      </c>
      <c r="W302">
        <f t="shared" ca="1" si="90"/>
        <v>151.31292015757572</v>
      </c>
      <c r="X302">
        <f t="shared" ca="1" si="100"/>
        <v>150.93273969216816</v>
      </c>
      <c r="Y302">
        <f t="shared" ca="1" si="99"/>
        <v>0.3541791648015078</v>
      </c>
      <c r="Z302">
        <f t="shared" ca="1" si="101"/>
        <v>0.87517249157302612</v>
      </c>
      <c r="AA302">
        <f t="shared" ca="1" si="102"/>
        <v>-0.52099332677151833</v>
      </c>
      <c r="AB302">
        <f t="shared" ca="1" si="103"/>
        <v>155.49210000000005</v>
      </c>
    </row>
    <row r="303" spans="1:28" x14ac:dyDescent="0.25">
      <c r="A303" s="20">
        <f t="shared" ca="1" si="83"/>
        <v>45733</v>
      </c>
      <c r="B303" vm="885">
        <f ca="1"/>
        <v>45733</v>
      </c>
      <c r="C303" vm="886">
        <f ca="1"/>
        <v>151.34</v>
      </c>
      <c r="D303" vm="887">
        <f ca="1"/>
        <v>5449712</v>
      </c>
      <c r="E303">
        <f t="shared" ca="1" si="84"/>
        <v>824759414.08000004</v>
      </c>
      <c r="F303">
        <f ca="1">SUM($E$2:E303)/SUM($D$2:D303)</f>
        <v>164.5625385077829</v>
      </c>
      <c r="G303">
        <f ca="1">_xlfn.STDEV.P($C$2:C303)</f>
        <v>9.5877233827915074</v>
      </c>
      <c r="H303">
        <f t="shared" ca="1" si="85"/>
        <v>174.1502618905744</v>
      </c>
      <c r="I303">
        <f t="shared" ca="1" si="86"/>
        <v>154.97481512499141</v>
      </c>
      <c r="J303">
        <f t="shared" ca="1" si="95"/>
        <v>151.89550000000003</v>
      </c>
      <c r="K303">
        <f t="shared" ca="1" si="96"/>
        <v>3.4931805368686435</v>
      </c>
      <c r="L303">
        <f t="shared" ca="1" si="97"/>
        <v>158.88186107373733</v>
      </c>
      <c r="M303">
        <f t="shared" ca="1" si="98"/>
        <v>144.90913892626273</v>
      </c>
      <c r="N303">
        <f t="shared" ca="1" si="87"/>
        <v>2.75</v>
      </c>
      <c r="O303">
        <f t="shared" ca="1" si="88"/>
        <v>2.75</v>
      </c>
      <c r="P303">
        <f t="shared" ca="1" si="89"/>
        <v>0</v>
      </c>
      <c r="Q303">
        <f t="shared" ca="1" si="93"/>
        <v>0.90130532421776555</v>
      </c>
      <c r="R303">
        <f t="shared" ca="1" si="94"/>
        <v>0.87081036325417416</v>
      </c>
      <c r="S303">
        <f t="shared" ca="1" si="91"/>
        <v>1.0350190606938039</v>
      </c>
      <c r="T303">
        <f t="shared" ca="1" si="92"/>
        <v>50.86041112268169</v>
      </c>
      <c r="U303">
        <f>70</f>
        <v>70</v>
      </c>
      <c r="V303">
        <f>30</f>
        <v>30</v>
      </c>
      <c r="W303">
        <f t="shared" ca="1" si="90"/>
        <v>151.31708628717945</v>
      </c>
      <c r="X303">
        <f t="shared" ca="1" si="100"/>
        <v>150.96290712237794</v>
      </c>
      <c r="Y303">
        <f t="shared" ca="1" si="99"/>
        <v>0.14230715817512873</v>
      </c>
      <c r="Z303">
        <f t="shared" ca="1" si="101"/>
        <v>0.72859942489344676</v>
      </c>
      <c r="AA303">
        <f t="shared" ca="1" si="102"/>
        <v>-0.58629226671831802</v>
      </c>
      <c r="AB303">
        <f t="shared" ca="1" si="103"/>
        <v>155.25490000000008</v>
      </c>
    </row>
    <row r="304" spans="1:28" x14ac:dyDescent="0.25">
      <c r="A304" s="20">
        <f t="shared" ca="1" si="83"/>
        <v>45733</v>
      </c>
      <c r="B304" vm="888">
        <f ca="1"/>
        <v>45734</v>
      </c>
      <c r="C304" vm="889">
        <f ca="1"/>
        <v>148.99</v>
      </c>
      <c r="D304" vm="890">
        <f ca="1"/>
        <v>8158556</v>
      </c>
      <c r="E304">
        <f t="shared" ca="1" si="84"/>
        <v>1215543258.4400001</v>
      </c>
      <c r="F304">
        <f ca="1">SUM($E$2:E304)/SUM($D$2:D304)</f>
        <v>164.49114734807981</v>
      </c>
      <c r="G304">
        <f ca="1">_xlfn.STDEV.P($C$2:C304)</f>
        <v>9.6203799689675638</v>
      </c>
      <c r="H304">
        <f t="shared" ca="1" si="85"/>
        <v>174.11152731704738</v>
      </c>
      <c r="I304">
        <f t="shared" ca="1" si="86"/>
        <v>154.87076737911224</v>
      </c>
      <c r="J304">
        <f t="shared" ca="1" si="95"/>
        <v>152.14000000000004</v>
      </c>
      <c r="K304">
        <f t="shared" ca="1" si="96"/>
        <v>3.0635411227085423</v>
      </c>
      <c r="L304">
        <f t="shared" ca="1" si="97"/>
        <v>158.26708224541713</v>
      </c>
      <c r="M304">
        <f t="shared" ca="1" si="98"/>
        <v>146.01291775458296</v>
      </c>
      <c r="N304">
        <f t="shared" ca="1" si="87"/>
        <v>-2.3499999999999943</v>
      </c>
      <c r="O304">
        <f t="shared" ca="1" si="88"/>
        <v>0</v>
      </c>
      <c r="P304">
        <f t="shared" ca="1" si="89"/>
        <v>2.3499999999999943</v>
      </c>
      <c r="Q304">
        <f t="shared" ca="1" si="93"/>
        <v>0.83692637248792512</v>
      </c>
      <c r="R304">
        <f t="shared" ca="1" si="94"/>
        <v>0.9764667658788756</v>
      </c>
      <c r="S304">
        <f t="shared" ca="1" si="91"/>
        <v>0.85709662810146314</v>
      </c>
      <c r="T304">
        <f t="shared" ca="1" si="92"/>
        <v>46.152505751824314</v>
      </c>
      <c r="U304">
        <f>70</f>
        <v>70</v>
      </c>
      <c r="V304">
        <f>30</f>
        <v>30</v>
      </c>
      <c r="W304">
        <f t="shared" ca="1" si="90"/>
        <v>150.95907301222877</v>
      </c>
      <c r="X304">
        <f t="shared" ca="1" si="100"/>
        <v>150.81676585405364</v>
      </c>
      <c r="Y304">
        <f t="shared" ca="1" si="99"/>
        <v>-9.5510592408800221E-2</v>
      </c>
      <c r="Z304">
        <f t="shared" ca="1" si="101"/>
        <v>0.56377742143299736</v>
      </c>
      <c r="AA304">
        <f t="shared" ca="1" si="102"/>
        <v>-0.65928801384179758</v>
      </c>
      <c r="AB304">
        <f t="shared" ca="1" si="103"/>
        <v>154.99470000000008</v>
      </c>
    </row>
    <row r="305" spans="1:28" x14ac:dyDescent="0.25">
      <c r="A305" s="20">
        <f t="shared" ca="1" si="83"/>
        <v>45733</v>
      </c>
      <c r="B305" vm="891">
        <f ca="1"/>
        <v>45735</v>
      </c>
      <c r="C305" vm="892">
        <f ca="1"/>
        <v>148.11000000000001</v>
      </c>
      <c r="D305" vm="893">
        <f ca="1"/>
        <v>6080054</v>
      </c>
      <c r="E305">
        <f t="shared" ca="1" si="84"/>
        <v>900516797.94000006</v>
      </c>
      <c r="F305">
        <f ca="1">SUM($E$2:E305)/SUM($D$2:D305)</f>
        <v>164.43537200539245</v>
      </c>
      <c r="G305">
        <f ca="1">_xlfn.STDEV.P($C$2:C305)</f>
        <v>9.6575375373138517</v>
      </c>
      <c r="H305">
        <f t="shared" ca="1" si="85"/>
        <v>174.09290954270631</v>
      </c>
      <c r="I305">
        <f t="shared" ca="1" si="86"/>
        <v>154.77783446807859</v>
      </c>
      <c r="J305">
        <f t="shared" ca="1" si="95"/>
        <v>152.25500000000005</v>
      </c>
      <c r="K305">
        <f t="shared" ca="1" si="96"/>
        <v>2.8490801839781268</v>
      </c>
      <c r="L305">
        <f t="shared" ca="1" si="97"/>
        <v>157.95316036795631</v>
      </c>
      <c r="M305">
        <f t="shared" ca="1" si="98"/>
        <v>146.55683963204379</v>
      </c>
      <c r="N305">
        <f t="shared" ca="1" si="87"/>
        <v>-0.87999999999999545</v>
      </c>
      <c r="O305">
        <f t="shared" ca="1" si="88"/>
        <v>0</v>
      </c>
      <c r="P305">
        <f t="shared" ca="1" si="89"/>
        <v>0.87999999999999545</v>
      </c>
      <c r="Q305">
        <f t="shared" ca="1" si="93"/>
        <v>0.77714591731021621</v>
      </c>
      <c r="R305">
        <f t="shared" ca="1" si="94"/>
        <v>0.96957628260181272</v>
      </c>
      <c r="S305">
        <f t="shared" ca="1" si="91"/>
        <v>0.80153148468605417</v>
      </c>
      <c r="T305">
        <f t="shared" ca="1" si="92"/>
        <v>44.49167230767182</v>
      </c>
      <c r="U305">
        <f>70</f>
        <v>70</v>
      </c>
      <c r="V305">
        <f>30</f>
        <v>30</v>
      </c>
      <c r="W305">
        <f t="shared" ca="1" si="90"/>
        <v>150.52075408727049</v>
      </c>
      <c r="X305">
        <f t="shared" ca="1" si="100"/>
        <v>150.61626467967929</v>
      </c>
      <c r="Y305">
        <f t="shared" ca="1" si="99"/>
        <v>-0.3573277976536815</v>
      </c>
      <c r="Z305">
        <f t="shared" ca="1" si="101"/>
        <v>0.37955637761566163</v>
      </c>
      <c r="AA305">
        <f t="shared" ca="1" si="102"/>
        <v>-0.73688417526934313</v>
      </c>
      <c r="AB305">
        <f t="shared" ca="1" si="103"/>
        <v>154.73210000000009</v>
      </c>
    </row>
    <row r="306" spans="1:28" x14ac:dyDescent="0.25">
      <c r="A306" s="20">
        <f t="shared" ca="1" si="83"/>
        <v>45733</v>
      </c>
      <c r="B306" vm="894">
        <f ca="1"/>
        <v>45736</v>
      </c>
      <c r="C306" vm="895">
        <f ca="1"/>
        <v>147.15</v>
      </c>
      <c r="D306" vm="896">
        <f ca="1"/>
        <v>4536367</v>
      </c>
      <c r="E306">
        <f t="shared" ca="1" si="84"/>
        <v>667526404.05000007</v>
      </c>
      <c r="F306">
        <f ca="1">SUM($E$2:E306)/SUM($D$2:D306)</f>
        <v>164.39157186191798</v>
      </c>
      <c r="G306">
        <f ca="1">_xlfn.STDEV.P($C$2:C306)</f>
        <v>9.6998114189965374</v>
      </c>
      <c r="H306">
        <f t="shared" ca="1" si="85"/>
        <v>174.09138328091453</v>
      </c>
      <c r="I306">
        <f t="shared" ca="1" si="86"/>
        <v>154.69176044292144</v>
      </c>
      <c r="J306">
        <f t="shared" ca="1" si="95"/>
        <v>152.15750000000003</v>
      </c>
      <c r="K306">
        <f t="shared" ca="1" si="96"/>
        <v>2.9924886228513428</v>
      </c>
      <c r="L306">
        <f t="shared" ca="1" si="97"/>
        <v>158.14247724570271</v>
      </c>
      <c r="M306">
        <f t="shared" ca="1" si="98"/>
        <v>146.17252275429735</v>
      </c>
      <c r="N306">
        <f t="shared" ca="1" si="87"/>
        <v>-0.96000000000000796</v>
      </c>
      <c r="O306">
        <f t="shared" ca="1" si="88"/>
        <v>0</v>
      </c>
      <c r="P306">
        <f t="shared" ca="1" si="89"/>
        <v>0.96000000000000796</v>
      </c>
      <c r="Q306">
        <f t="shared" ca="1" si="93"/>
        <v>0.72163549464520071</v>
      </c>
      <c r="R306">
        <f t="shared" ca="1" si="94"/>
        <v>0.96889226241596949</v>
      </c>
      <c r="S306">
        <f t="shared" ca="1" si="91"/>
        <v>0.74480468328416138</v>
      </c>
      <c r="T306">
        <f t="shared" ca="1" si="92"/>
        <v>42.686994734691545</v>
      </c>
      <c r="U306">
        <f>70</f>
        <v>70</v>
      </c>
      <c r="V306">
        <f>30</f>
        <v>30</v>
      </c>
      <c r="W306">
        <f t="shared" ca="1" si="90"/>
        <v>150.00217653538272</v>
      </c>
      <c r="X306">
        <f t="shared" ca="1" si="100"/>
        <v>150.3595043330364</v>
      </c>
      <c r="Y306">
        <f t="shared" ca="1" si="99"/>
        <v>-0.6939956616186862</v>
      </c>
      <c r="Z306">
        <f t="shared" ca="1" si="101"/>
        <v>0.16484596976879207</v>
      </c>
      <c r="AA306">
        <f t="shared" ca="1" si="102"/>
        <v>-0.85884163138747827</v>
      </c>
      <c r="AB306">
        <f t="shared" ca="1" si="103"/>
        <v>154.47410000000008</v>
      </c>
    </row>
    <row r="307" spans="1:28" x14ac:dyDescent="0.25">
      <c r="A307" s="20">
        <f t="shared" ca="1" si="83"/>
        <v>45733</v>
      </c>
      <c r="B307" vm="897">
        <f ca="1"/>
        <v>45737</v>
      </c>
      <c r="C307" vm="898">
        <f ca="1"/>
        <v>145.44999999999999</v>
      </c>
      <c r="D307" vm="899">
        <f ca="1"/>
        <v>11574777</v>
      </c>
      <c r="E307">
        <f t="shared" ca="1" si="84"/>
        <v>1683551314.6499999</v>
      </c>
      <c r="F307">
        <f ca="1">SUM($E$2:E307)/SUM($D$2:D307)</f>
        <v>164.26989209150275</v>
      </c>
      <c r="G307">
        <f ca="1">_xlfn.STDEV.P($C$2:C307)</f>
        <v>9.7522367467343418</v>
      </c>
      <c r="H307">
        <f t="shared" ca="1" si="85"/>
        <v>174.02212883823711</v>
      </c>
      <c r="I307">
        <f t="shared" ca="1" si="86"/>
        <v>154.5176553447684</v>
      </c>
      <c r="J307">
        <f t="shared" ca="1" si="95"/>
        <v>151.75500000000002</v>
      </c>
      <c r="K307">
        <f t="shared" ca="1" si="96"/>
        <v>3.3252851084728929</v>
      </c>
      <c r="L307">
        <f t="shared" ca="1" si="97"/>
        <v>158.40557021694582</v>
      </c>
      <c r="M307">
        <f t="shared" ca="1" si="98"/>
        <v>145.10442978305423</v>
      </c>
      <c r="N307">
        <f t="shared" ca="1" si="87"/>
        <v>-1.7000000000000171</v>
      </c>
      <c r="O307">
        <f t="shared" ca="1" si="88"/>
        <v>0</v>
      </c>
      <c r="P307">
        <f t="shared" ca="1" si="89"/>
        <v>1.7000000000000171</v>
      </c>
      <c r="Q307">
        <f t="shared" ca="1" si="93"/>
        <v>0.67009010217054343</v>
      </c>
      <c r="R307">
        <f t="shared" ca="1" si="94"/>
        <v>1.0211142436719729</v>
      </c>
      <c r="S307">
        <f t="shared" ca="1" si="91"/>
        <v>0.6562342130894866</v>
      </c>
      <c r="T307">
        <f t="shared" ca="1" si="92"/>
        <v>39.622066003899782</v>
      </c>
      <c r="U307">
        <f>70</f>
        <v>70</v>
      </c>
      <c r="V307">
        <f>30</f>
        <v>30</v>
      </c>
      <c r="W307">
        <f t="shared" ca="1" si="90"/>
        <v>149.30184168378537</v>
      </c>
      <c r="X307">
        <f t="shared" ca="1" si="100"/>
        <v>149.99583734540406</v>
      </c>
      <c r="Y307">
        <f t="shared" ca="1" si="99"/>
        <v>-0.87008591786911893</v>
      </c>
      <c r="Z307">
        <f t="shared" ca="1" si="101"/>
        <v>-4.2140407758790133E-2</v>
      </c>
      <c r="AA307">
        <f t="shared" ca="1" si="102"/>
        <v>-0.8279455101103288</v>
      </c>
      <c r="AB307">
        <f t="shared" ca="1" si="103"/>
        <v>154.20700000000008</v>
      </c>
    </row>
    <row r="308" spans="1:28" x14ac:dyDescent="0.25">
      <c r="A308" s="20">
        <f t="shared" ca="1" si="83"/>
        <v>45740</v>
      </c>
      <c r="B308" vm="900">
        <f ca="1"/>
        <v>45740</v>
      </c>
      <c r="C308" vm="901">
        <f ca="1"/>
        <v>146.44999999999999</v>
      </c>
      <c r="D308" vm="902">
        <f ca="1"/>
        <v>5968852</v>
      </c>
      <c r="E308">
        <f t="shared" ca="1" si="84"/>
        <v>874138375.39999998</v>
      </c>
      <c r="F308">
        <f ca="1">SUM($E$2:E308)/SUM($D$2:D308)</f>
        <v>164.21105525566912</v>
      </c>
      <c r="G308">
        <f ca="1">_xlfn.STDEV.P($C$2:C308)</f>
        <v>9.7971035923557857</v>
      </c>
      <c r="H308">
        <f t="shared" ca="1" si="85"/>
        <v>174.00815884802492</v>
      </c>
      <c r="I308">
        <f t="shared" ca="1" si="86"/>
        <v>154.41395166331333</v>
      </c>
      <c r="J308">
        <f t="shared" ca="1" si="95"/>
        <v>151.38499999999999</v>
      </c>
      <c r="K308">
        <f t="shared" ca="1" si="96"/>
        <v>3.4876390747595258</v>
      </c>
      <c r="L308">
        <f t="shared" ca="1" si="97"/>
        <v>158.36027814951905</v>
      </c>
      <c r="M308">
        <f t="shared" ca="1" si="98"/>
        <v>144.40972185048093</v>
      </c>
      <c r="N308">
        <f t="shared" ca="1" si="87"/>
        <v>1</v>
      </c>
      <c r="O308">
        <f t="shared" ca="1" si="88"/>
        <v>1</v>
      </c>
      <c r="P308">
        <f t="shared" ca="1" si="89"/>
        <v>0</v>
      </c>
      <c r="Q308">
        <f t="shared" ca="1" si="93"/>
        <v>0.69365509487264743</v>
      </c>
      <c r="R308">
        <f t="shared" ca="1" si="94"/>
        <v>0.94817751198111766</v>
      </c>
      <c r="S308">
        <f t="shared" ca="1" si="91"/>
        <v>0.73156670149593372</v>
      </c>
      <c r="T308">
        <f t="shared" ca="1" si="92"/>
        <v>42.248831700443255</v>
      </c>
      <c r="U308">
        <f>70</f>
        <v>70</v>
      </c>
      <c r="V308">
        <f>30</f>
        <v>30</v>
      </c>
      <c r="W308">
        <f t="shared" ca="1" si="90"/>
        <v>148.86309680935685</v>
      </c>
      <c r="X308">
        <f t="shared" ca="1" si="100"/>
        <v>149.73318272722597</v>
      </c>
      <c r="Y308">
        <f t="shared" ca="1" si="99"/>
        <v>-1.0707254529044121</v>
      </c>
      <c r="Z308">
        <f t="shared" ca="1" si="101"/>
        <v>-0.24785741678791454</v>
      </c>
      <c r="AA308">
        <f t="shared" ca="1" si="102"/>
        <v>-0.82286803611649761</v>
      </c>
      <c r="AB308">
        <f t="shared" ca="1" si="103"/>
        <v>153.95360000000011</v>
      </c>
    </row>
    <row r="309" spans="1:28" x14ac:dyDescent="0.25">
      <c r="A309" s="20">
        <f t="shared" ca="1" si="83"/>
        <v>45740</v>
      </c>
      <c r="B309" vm="903">
        <f ca="1"/>
        <v>45741</v>
      </c>
      <c r="C309" vm="904">
        <f ca="1"/>
        <v>145.54</v>
      </c>
      <c r="D309" vm="905">
        <f ca="1"/>
        <v>4763277</v>
      </c>
      <c r="E309">
        <f t="shared" ca="1" si="84"/>
        <v>693247334.57999992</v>
      </c>
      <c r="F309">
        <f ca="1">SUM($E$2:E309)/SUM($D$2:D309)</f>
        <v>164.16198872790326</v>
      </c>
      <c r="G309">
        <f ca="1">_xlfn.STDEV.P($C$2:C309)</f>
        <v>9.8469236811426661</v>
      </c>
      <c r="H309">
        <f t="shared" ca="1" si="85"/>
        <v>174.00891240904593</v>
      </c>
      <c r="I309">
        <f t="shared" ca="1" si="86"/>
        <v>154.31506504676059</v>
      </c>
      <c r="J309">
        <f t="shared" ca="1" si="95"/>
        <v>150.84099999999998</v>
      </c>
      <c r="K309">
        <f t="shared" ca="1" si="96"/>
        <v>3.5094082572122463</v>
      </c>
      <c r="L309">
        <f t="shared" ca="1" si="97"/>
        <v>157.85981651442447</v>
      </c>
      <c r="M309">
        <f t="shared" ca="1" si="98"/>
        <v>143.82218348557549</v>
      </c>
      <c r="N309">
        <f t="shared" ca="1" si="87"/>
        <v>-0.90999999999999659</v>
      </c>
      <c r="O309">
        <f t="shared" ca="1" si="88"/>
        <v>0</v>
      </c>
      <c r="P309">
        <f t="shared" ca="1" si="89"/>
        <v>0.90999999999999659</v>
      </c>
      <c r="Q309">
        <f t="shared" ca="1" si="93"/>
        <v>0.64410830238174399</v>
      </c>
      <c r="R309">
        <f t="shared" ca="1" si="94"/>
        <v>0.94545054683960905</v>
      </c>
      <c r="S309">
        <f t="shared" ca="1" si="91"/>
        <v>0.68127127805343979</v>
      </c>
      <c r="T309">
        <f t="shared" ca="1" si="92"/>
        <v>40.521198865789778</v>
      </c>
      <c r="U309">
        <f>70</f>
        <v>70</v>
      </c>
      <c r="V309">
        <f>30</f>
        <v>30</v>
      </c>
      <c r="W309">
        <f t="shared" ca="1" si="90"/>
        <v>148.35185114637886</v>
      </c>
      <c r="X309">
        <f t="shared" ca="1" si="100"/>
        <v>149.42257659928327</v>
      </c>
      <c r="Y309">
        <f t="shared" ca="1" si="99"/>
        <v>-0.96842622305567261</v>
      </c>
      <c r="Z309">
        <f t="shared" ca="1" si="101"/>
        <v>-0.3919711780414662</v>
      </c>
      <c r="AA309">
        <f t="shared" ca="1" si="102"/>
        <v>-0.57645504501420641</v>
      </c>
      <c r="AB309">
        <f t="shared" ca="1" si="103"/>
        <v>153.71060000000011</v>
      </c>
    </row>
    <row r="310" spans="1:28" x14ac:dyDescent="0.25">
      <c r="A310" s="20">
        <f t="shared" ca="1" si="83"/>
        <v>45740</v>
      </c>
      <c r="B310" vm="906">
        <f ca="1"/>
        <v>45742</v>
      </c>
      <c r="C310" vm="907">
        <f ca="1"/>
        <v>148.63999999999999</v>
      </c>
      <c r="D310" vm="908">
        <f ca="1"/>
        <v>5885290</v>
      </c>
      <c r="E310">
        <f t="shared" ca="1" si="84"/>
        <v>874789505.5999999</v>
      </c>
      <c r="F310">
        <f ca="1">SUM($E$2:E310)/SUM($D$2:D310)</f>
        <v>164.11175238713065</v>
      </c>
      <c r="G310">
        <f ca="1">_xlfn.STDEV.P($C$2:C310)</f>
        <v>9.8771889555998857</v>
      </c>
      <c r="H310">
        <f t="shared" ca="1" si="85"/>
        <v>173.98894134273053</v>
      </c>
      <c r="I310">
        <f t="shared" ca="1" si="86"/>
        <v>154.23456343153077</v>
      </c>
      <c r="J310">
        <f t="shared" ca="1" si="95"/>
        <v>150.69749999999996</v>
      </c>
      <c r="K310">
        <f t="shared" ca="1" si="96"/>
        <v>3.539164151990815</v>
      </c>
      <c r="L310">
        <f t="shared" ca="1" si="97"/>
        <v>157.7758283039816</v>
      </c>
      <c r="M310">
        <f t="shared" ca="1" si="98"/>
        <v>143.61917169601833</v>
      </c>
      <c r="N310">
        <f t="shared" ca="1" si="87"/>
        <v>3.0999999999999943</v>
      </c>
      <c r="O310">
        <f t="shared" ca="1" si="88"/>
        <v>3.0999999999999943</v>
      </c>
      <c r="P310">
        <f t="shared" ca="1" si="89"/>
        <v>0</v>
      </c>
      <c r="Q310">
        <f t="shared" ca="1" si="93"/>
        <v>0.81952913792590476</v>
      </c>
      <c r="R310">
        <f t="shared" ca="1" si="94"/>
        <v>0.87791836492249409</v>
      </c>
      <c r="S310">
        <f t="shared" ca="1" si="91"/>
        <v>0.93349127967980927</v>
      </c>
      <c r="T310">
        <f t="shared" ca="1" si="92"/>
        <v>48.280087398914858</v>
      </c>
      <c r="U310">
        <f>70</f>
        <v>70</v>
      </c>
      <c r="V310">
        <f>30</f>
        <v>30</v>
      </c>
      <c r="W310">
        <f t="shared" ca="1" si="90"/>
        <v>148.39618173924364</v>
      </c>
      <c r="X310">
        <f t="shared" ca="1" si="100"/>
        <v>149.36460796229932</v>
      </c>
      <c r="Y310">
        <f t="shared" ca="1" si="99"/>
        <v>-0.79507581536159933</v>
      </c>
      <c r="Z310">
        <f t="shared" ca="1" si="101"/>
        <v>-0.47259210550549285</v>
      </c>
      <c r="AA310">
        <f t="shared" ca="1" si="102"/>
        <v>-0.32248370985610647</v>
      </c>
      <c r="AB310">
        <f t="shared" ca="1" si="103"/>
        <v>153.52200000000008</v>
      </c>
    </row>
    <row r="311" spans="1:28" x14ac:dyDescent="0.25">
      <c r="A311" s="20">
        <f t="shared" ca="1" si="83"/>
        <v>45740</v>
      </c>
      <c r="B311" vm="909">
        <f ca="1"/>
        <v>45743</v>
      </c>
      <c r="C311" vm="910">
        <f ca="1"/>
        <v>149.66999999999999</v>
      </c>
      <c r="D311" vm="911">
        <f ca="1"/>
        <v>5397532</v>
      </c>
      <c r="E311">
        <f t="shared" ca="1" si="84"/>
        <v>807848614.43999994</v>
      </c>
      <c r="F311">
        <f ca="1">SUM($E$2:E311)/SUM($D$2:D311)</f>
        <v>164.06901276199216</v>
      </c>
      <c r="G311">
        <f ca="1">_xlfn.STDEV.P($C$2:C311)</f>
        <v>9.9014434951799508</v>
      </c>
      <c r="H311">
        <f t="shared" ca="1" si="85"/>
        <v>173.97045625717212</v>
      </c>
      <c r="I311">
        <f t="shared" ca="1" si="86"/>
        <v>154.16756926681219</v>
      </c>
      <c r="J311">
        <f t="shared" ca="1" si="95"/>
        <v>150.57999999999998</v>
      </c>
      <c r="K311">
        <f t="shared" ca="1" si="96"/>
        <v>3.5319489177923793</v>
      </c>
      <c r="L311">
        <f t="shared" ca="1" si="97"/>
        <v>157.64389783558474</v>
      </c>
      <c r="M311">
        <f t="shared" ca="1" si="98"/>
        <v>143.51610216441523</v>
      </c>
      <c r="N311">
        <f t="shared" ca="1" si="87"/>
        <v>1.0300000000000011</v>
      </c>
      <c r="O311">
        <f t="shared" ca="1" si="88"/>
        <v>1.0300000000000011</v>
      </c>
      <c r="P311">
        <f t="shared" ca="1" si="89"/>
        <v>0</v>
      </c>
      <c r="Q311">
        <f t="shared" ca="1" si="93"/>
        <v>0.83456277093119735</v>
      </c>
      <c r="R311">
        <f t="shared" ca="1" si="94"/>
        <v>0.81520991028517309</v>
      </c>
      <c r="S311">
        <f t="shared" ca="1" si="91"/>
        <v>1.0237397269118751</v>
      </c>
      <c r="T311">
        <f t="shared" ca="1" si="92"/>
        <v>50.586531128390227</v>
      </c>
      <c r="U311">
        <f>70</f>
        <v>70</v>
      </c>
      <c r="V311">
        <f>30</f>
        <v>30</v>
      </c>
      <c r="W311">
        <f t="shared" ca="1" si="90"/>
        <v>148.59215377935999</v>
      </c>
      <c r="X311">
        <f t="shared" ca="1" si="100"/>
        <v>149.38722959472159</v>
      </c>
      <c r="Y311">
        <f t="shared" ca="1" si="99"/>
        <v>-0.68210810773391017</v>
      </c>
      <c r="Z311">
        <f t="shared" ca="1" si="101"/>
        <v>-0.51449530595117632</v>
      </c>
      <c r="AA311">
        <f t="shared" ca="1" si="102"/>
        <v>-0.16761280178273386</v>
      </c>
      <c r="AB311">
        <f t="shared" ca="1" si="103"/>
        <v>153.35660000000007</v>
      </c>
    </row>
    <row r="312" spans="1:28" x14ac:dyDescent="0.25">
      <c r="A312" s="20">
        <f t="shared" ca="1" si="83"/>
        <v>45740</v>
      </c>
      <c r="B312" vm="912">
        <f ca="1"/>
        <v>45744</v>
      </c>
      <c r="C312" vm="913">
        <f ca="1"/>
        <v>149.27000000000001</v>
      </c>
      <c r="D312" vm="914">
        <f ca="1"/>
        <v>8550883</v>
      </c>
      <c r="E312">
        <f t="shared" ca="1" si="84"/>
        <v>1276390305.4100001</v>
      </c>
      <c r="F312">
        <f ca="1">SUM($E$2:E312)/SUM($D$2:D312)</f>
        <v>163.99995255106654</v>
      </c>
      <c r="G312">
        <f ca="1">_xlfn.STDEV.P($C$2:C312)</f>
        <v>9.9272762402541623</v>
      </c>
      <c r="H312">
        <f t="shared" ca="1" si="85"/>
        <v>173.92722879132072</v>
      </c>
      <c r="I312">
        <f t="shared" ca="1" si="86"/>
        <v>154.07267631081237</v>
      </c>
      <c r="J312">
        <f t="shared" ca="1" si="95"/>
        <v>150.36999999999998</v>
      </c>
      <c r="K312">
        <f t="shared" ca="1" si="96"/>
        <v>3.4754825488510863</v>
      </c>
      <c r="L312">
        <f t="shared" ca="1" si="97"/>
        <v>157.32096509770216</v>
      </c>
      <c r="M312">
        <f t="shared" ca="1" si="98"/>
        <v>143.4190349022978</v>
      </c>
      <c r="N312">
        <f t="shared" ca="1" si="87"/>
        <v>-0.39999999999997726</v>
      </c>
      <c r="O312">
        <f t="shared" ca="1" si="88"/>
        <v>0</v>
      </c>
      <c r="P312">
        <f t="shared" ca="1" si="89"/>
        <v>0.39999999999997726</v>
      </c>
      <c r="Q312">
        <f t="shared" ca="1" si="93"/>
        <v>0.77495114443611179</v>
      </c>
      <c r="R312">
        <f t="shared" ca="1" si="94"/>
        <v>0.78555205955051632</v>
      </c>
      <c r="S312">
        <f t="shared" ca="1" si="91"/>
        <v>0.98650513993882183</v>
      </c>
      <c r="T312">
        <f t="shared" ca="1" si="92"/>
        <v>49.66033664374023</v>
      </c>
      <c r="U312">
        <f>70</f>
        <v>70</v>
      </c>
      <c r="V312">
        <f>30</f>
        <v>30</v>
      </c>
      <c r="W312">
        <f t="shared" ca="1" si="90"/>
        <v>148.69643781330461</v>
      </c>
      <c r="X312">
        <f t="shared" ca="1" si="100"/>
        <v>149.37854592103852</v>
      </c>
      <c r="Y312">
        <f t="shared" ca="1" si="99"/>
        <v>-0.53238003927648947</v>
      </c>
      <c r="Z312">
        <f t="shared" ca="1" si="101"/>
        <v>-0.51807225261623902</v>
      </c>
      <c r="AA312">
        <f t="shared" ca="1" si="102"/>
        <v>-1.4307786660250454E-2</v>
      </c>
      <c r="AB312">
        <f t="shared" ca="1" si="103"/>
        <v>153.18850000000009</v>
      </c>
    </row>
    <row r="313" spans="1:28" x14ac:dyDescent="0.25">
      <c r="A313" s="20">
        <f t="shared" ca="1" si="83"/>
        <v>45747</v>
      </c>
      <c r="B313" vm="915">
        <f ca="1"/>
        <v>45747</v>
      </c>
      <c r="C313" vm="916">
        <f ca="1"/>
        <v>149.94</v>
      </c>
      <c r="D313" vm="917">
        <f ca="1"/>
        <v>9985702</v>
      </c>
      <c r="E313">
        <f t="shared" ca="1" si="84"/>
        <v>1497256157.8799999</v>
      </c>
      <c r="F313">
        <f ca="1">SUM($E$2:E313)/SUM($D$2:D313)</f>
        <v>163.92374704484891</v>
      </c>
      <c r="G313">
        <f ca="1">_xlfn.STDEV.P($C$2:C313)</f>
        <v>9.9492381946956758</v>
      </c>
      <c r="H313">
        <f t="shared" ca="1" si="85"/>
        <v>173.87298523954459</v>
      </c>
      <c r="I313">
        <f t="shared" ca="1" si="86"/>
        <v>153.97450885015323</v>
      </c>
      <c r="J313">
        <f t="shared" ca="1" si="95"/>
        <v>150.06749999999997</v>
      </c>
      <c r="K313">
        <f t="shared" ca="1" si="96"/>
        <v>3.2140397190746555</v>
      </c>
      <c r="L313">
        <f t="shared" ca="1" si="97"/>
        <v>156.49557943814926</v>
      </c>
      <c r="M313">
        <f t="shared" ca="1" si="98"/>
        <v>143.63942056185067</v>
      </c>
      <c r="N313">
        <f t="shared" ca="1" si="87"/>
        <v>0.66999999999998749</v>
      </c>
      <c r="O313">
        <f t="shared" ca="1" si="88"/>
        <v>0.66999999999998749</v>
      </c>
      <c r="P313">
        <f t="shared" ca="1" si="89"/>
        <v>0</v>
      </c>
      <c r="Q313">
        <f t="shared" ca="1" si="93"/>
        <v>0.76745463411924575</v>
      </c>
      <c r="R313">
        <f t="shared" ca="1" si="94"/>
        <v>0.72944119815405084</v>
      </c>
      <c r="S313">
        <f t="shared" ca="1" si="91"/>
        <v>1.0521130915848913</v>
      </c>
      <c r="T313">
        <f t="shared" ca="1" si="92"/>
        <v>51.269742193999726</v>
      </c>
      <c r="U313">
        <f>70</f>
        <v>70</v>
      </c>
      <c r="V313">
        <f>30</f>
        <v>30</v>
      </c>
      <c r="W313">
        <f t="shared" ca="1" si="90"/>
        <v>148.88775507279621</v>
      </c>
      <c r="X313">
        <f t="shared" ca="1" si="100"/>
        <v>149.4201351120727</v>
      </c>
      <c r="Y313">
        <f t="shared" ca="1" si="99"/>
        <v>-0.43054317607735015</v>
      </c>
      <c r="Z313">
        <f t="shared" ca="1" si="101"/>
        <v>-0.50056643730846129</v>
      </c>
      <c r="AA313">
        <f t="shared" ca="1" si="102"/>
        <v>7.0023261231111134E-2</v>
      </c>
      <c r="AB313">
        <f t="shared" ca="1" si="103"/>
        <v>153.03200000000007</v>
      </c>
    </row>
    <row r="314" spans="1:28" x14ac:dyDescent="0.25">
      <c r="A314" s="20">
        <f t="shared" ca="1" si="83"/>
        <v>45747</v>
      </c>
      <c r="B314" vm="918">
        <f ca="1"/>
        <v>45748</v>
      </c>
      <c r="C314" vm="910">
        <f ca="1"/>
        <v>149.66999999999999</v>
      </c>
      <c r="D314" vm="919">
        <f ca="1"/>
        <v>6072838</v>
      </c>
      <c r="E314">
        <f t="shared" ca="1" si="84"/>
        <v>908921663.45999992</v>
      </c>
      <c r="F314">
        <f ca="1">SUM($E$2:E314)/SUM($D$2:D314)</f>
        <v>163.87691798217</v>
      </c>
      <c r="G314">
        <f ca="1">_xlfn.STDEV.P($C$2:C314)</f>
        <v>9.9721023270992184</v>
      </c>
      <c r="H314">
        <f t="shared" ca="1" si="85"/>
        <v>173.84902030926921</v>
      </c>
      <c r="I314">
        <f t="shared" ca="1" si="86"/>
        <v>153.90481565507079</v>
      </c>
      <c r="J314">
        <f t="shared" ca="1" si="95"/>
        <v>149.8415</v>
      </c>
      <c r="K314">
        <f t="shared" ca="1" si="96"/>
        <v>3.0643317722672156</v>
      </c>
      <c r="L314">
        <f t="shared" ca="1" si="97"/>
        <v>155.97016354453442</v>
      </c>
      <c r="M314">
        <f t="shared" ca="1" si="98"/>
        <v>143.71283645546558</v>
      </c>
      <c r="N314">
        <f t="shared" ca="1" si="87"/>
        <v>-0.27000000000001023</v>
      </c>
      <c r="O314">
        <f t="shared" ca="1" si="88"/>
        <v>0</v>
      </c>
      <c r="P314">
        <f t="shared" ca="1" si="89"/>
        <v>0.27000000000001023</v>
      </c>
      <c r="Q314">
        <f t="shared" ca="1" si="93"/>
        <v>0.71263644596787112</v>
      </c>
      <c r="R314">
        <f t="shared" ca="1" si="94"/>
        <v>0.69662396971447649</v>
      </c>
      <c r="S314">
        <f t="shared" ca="1" si="91"/>
        <v>1.0229858244182406</v>
      </c>
      <c r="T314">
        <f t="shared" ca="1" si="92"/>
        <v>50.568116299699007</v>
      </c>
      <c r="U314">
        <f>70</f>
        <v>70</v>
      </c>
      <c r="V314">
        <f>30</f>
        <v>30</v>
      </c>
      <c r="W314">
        <f t="shared" ca="1" si="90"/>
        <v>149.00810044621218</v>
      </c>
      <c r="X314">
        <f t="shared" ca="1" si="100"/>
        <v>149.43864362228953</v>
      </c>
      <c r="Y314">
        <f t="shared" ca="1" si="99"/>
        <v>-0.38972462882929904</v>
      </c>
      <c r="Z314">
        <f t="shared" ca="1" si="101"/>
        <v>-0.47839807561262887</v>
      </c>
      <c r="AA314">
        <f t="shared" ca="1" si="102"/>
        <v>8.8673446783329835E-2</v>
      </c>
      <c r="AB314">
        <f t="shared" ca="1" si="103"/>
        <v>152.86530000000008</v>
      </c>
    </row>
    <row r="315" spans="1:28" x14ac:dyDescent="0.25">
      <c r="A315" s="20">
        <f t="shared" ca="1" si="83"/>
        <v>45747</v>
      </c>
      <c r="B315" vm="920">
        <f ca="1"/>
        <v>45749</v>
      </c>
      <c r="C315" vm="783">
        <f ca="1"/>
        <v>149.12</v>
      </c>
      <c r="D315" vm="921">
        <f ca="1"/>
        <v>5866172</v>
      </c>
      <c r="E315">
        <f t="shared" ca="1" si="84"/>
        <v>874763568.63999999</v>
      </c>
      <c r="F315">
        <f ca="1">SUM($E$2:E315)/SUM($D$2:D315)</f>
        <v>163.83023387128634</v>
      </c>
      <c r="G315">
        <f ca="1">_xlfn.STDEV.P($C$2:C315)</f>
        <v>9.9972823606500096</v>
      </c>
      <c r="H315">
        <f t="shared" ca="1" si="85"/>
        <v>173.82751623193636</v>
      </c>
      <c r="I315">
        <f t="shared" ca="1" si="86"/>
        <v>153.83295151063632</v>
      </c>
      <c r="J315">
        <f t="shared" ca="1" si="95"/>
        <v>149.6035</v>
      </c>
      <c r="K315">
        <f t="shared" ca="1" si="96"/>
        <v>2.9153915959772467</v>
      </c>
      <c r="L315">
        <f t="shared" ca="1" si="97"/>
        <v>155.43428319195448</v>
      </c>
      <c r="M315">
        <f t="shared" ca="1" si="98"/>
        <v>143.77271680804552</v>
      </c>
      <c r="N315">
        <f t="shared" ca="1" si="87"/>
        <v>-0.54999999999998295</v>
      </c>
      <c r="O315">
        <f t="shared" ca="1" si="88"/>
        <v>0</v>
      </c>
      <c r="P315">
        <f t="shared" ca="1" si="89"/>
        <v>0.54999999999998295</v>
      </c>
      <c r="Q315">
        <f t="shared" ca="1" si="93"/>
        <v>0.66173384268445179</v>
      </c>
      <c r="R315">
        <f t="shared" ca="1" si="94"/>
        <v>0.68615082902058411</v>
      </c>
      <c r="S315">
        <f t="shared" ca="1" si="91"/>
        <v>0.96441454953718375</v>
      </c>
      <c r="T315">
        <f t="shared" ca="1" si="92"/>
        <v>49.094247940914507</v>
      </c>
      <c r="U315">
        <f>70</f>
        <v>70</v>
      </c>
      <c r="V315">
        <f>30</f>
        <v>30</v>
      </c>
      <c r="W315">
        <f t="shared" ca="1" si="90"/>
        <v>149.02531576217953</v>
      </c>
      <c r="X315">
        <f t="shared" ca="1" si="100"/>
        <v>149.41504039100883</v>
      </c>
      <c r="Y315">
        <f t="shared" ca="1" si="99"/>
        <v>-0.17381579974511396</v>
      </c>
      <c r="Z315">
        <f t="shared" ca="1" si="101"/>
        <v>-0.4174816204391259</v>
      </c>
      <c r="AA315">
        <f t="shared" ca="1" si="102"/>
        <v>0.24366582069401194</v>
      </c>
      <c r="AB315">
        <f t="shared" ca="1" si="103"/>
        <v>152.67800000000008</v>
      </c>
    </row>
    <row r="316" spans="1:28" x14ac:dyDescent="0.25">
      <c r="A316" s="20">
        <f t="shared" ca="1" si="83"/>
        <v>45747</v>
      </c>
      <c r="B316" vm="922">
        <f ca="1"/>
        <v>45750</v>
      </c>
      <c r="C316" vm="923">
        <f ca="1"/>
        <v>151.37</v>
      </c>
      <c r="D316" vm="924">
        <f ca="1"/>
        <v>8216247</v>
      </c>
      <c r="E316">
        <f t="shared" ca="1" si="84"/>
        <v>1243693308.3900001</v>
      </c>
      <c r="F316">
        <f ca="1">SUM($E$2:E316)/SUM($D$2:D316)</f>
        <v>163.77526735018114</v>
      </c>
      <c r="G316">
        <f ca="1">_xlfn.STDEV.P($C$2:C316)</f>
        <v>10.011396102360919</v>
      </c>
      <c r="H316">
        <f t="shared" ca="1" si="85"/>
        <v>173.78666345254206</v>
      </c>
      <c r="I316">
        <f t="shared" ca="1" si="86"/>
        <v>153.76387124782022</v>
      </c>
      <c r="J316">
        <f t="shared" ca="1" si="95"/>
        <v>149.44149999999999</v>
      </c>
      <c r="K316">
        <f t="shared" ca="1" si="96"/>
        <v>2.7049784024821251</v>
      </c>
      <c r="L316">
        <f t="shared" ca="1" si="97"/>
        <v>154.85145680496424</v>
      </c>
      <c r="M316">
        <f t="shared" ca="1" si="98"/>
        <v>144.03154319503574</v>
      </c>
      <c r="N316">
        <f t="shared" ca="1" si="87"/>
        <v>2.25</v>
      </c>
      <c r="O316">
        <f t="shared" ca="1" si="88"/>
        <v>2.25</v>
      </c>
      <c r="P316">
        <f t="shared" ca="1" si="89"/>
        <v>0</v>
      </c>
      <c r="Q316">
        <f t="shared" ca="1" si="93"/>
        <v>0.77518142534984802</v>
      </c>
      <c r="R316">
        <f t="shared" ca="1" si="94"/>
        <v>0.6371400555191139</v>
      </c>
      <c r="S316">
        <f t="shared" ca="1" si="91"/>
        <v>1.2166578111593753</v>
      </c>
      <c r="T316">
        <f t="shared" ca="1" si="92"/>
        <v>54.887037820376456</v>
      </c>
      <c r="U316">
        <f>70</f>
        <v>70</v>
      </c>
      <c r="V316">
        <f>30</f>
        <v>30</v>
      </c>
      <c r="W316">
        <f t="shared" ca="1" si="90"/>
        <v>149.38603641415193</v>
      </c>
      <c r="X316">
        <f t="shared" ca="1" si="100"/>
        <v>149.55985221389705</v>
      </c>
      <c r="Y316">
        <f t="shared" ca="1" si="99"/>
        <v>-0.38239075359950903</v>
      </c>
      <c r="Z316">
        <f t="shared" ca="1" si="101"/>
        <v>-0.41046344707120258</v>
      </c>
      <c r="AA316">
        <f t="shared" ca="1" si="102"/>
        <v>2.8072693471693555E-2</v>
      </c>
      <c r="AB316">
        <f t="shared" ca="1" si="103"/>
        <v>152.54460000000009</v>
      </c>
    </row>
    <row r="317" spans="1:28" x14ac:dyDescent="0.25">
      <c r="A317" s="20">
        <f t="shared" ca="1" si="83"/>
        <v>45747</v>
      </c>
      <c r="B317" vm="925">
        <f ca="1"/>
        <v>45751</v>
      </c>
      <c r="C317" vm="926">
        <f ca="1"/>
        <v>146.61000000000001</v>
      </c>
      <c r="D317" vm="927">
        <f ca="1"/>
        <v>12911386</v>
      </c>
      <c r="E317">
        <f t="shared" ca="1" si="84"/>
        <v>1892938301.4600003</v>
      </c>
      <c r="F317">
        <f ca="1">SUM($E$2:E317)/SUM($D$2:D317)</f>
        <v>163.65709339376656</v>
      </c>
      <c r="G317">
        <f ca="1">_xlfn.STDEV.P($C$2:C317)</f>
        <v>10.049300977490729</v>
      </c>
      <c r="H317">
        <f t="shared" ca="1" si="85"/>
        <v>173.70639437125729</v>
      </c>
      <c r="I317">
        <f t="shared" ca="1" si="86"/>
        <v>153.60779241627583</v>
      </c>
      <c r="J317">
        <f t="shared" ca="1" si="95"/>
        <v>149.05000000000001</v>
      </c>
      <c r="K317">
        <f t="shared" ca="1" si="96"/>
        <v>2.5025061123012815</v>
      </c>
      <c r="L317">
        <f t="shared" ca="1" si="97"/>
        <v>154.05501222460256</v>
      </c>
      <c r="M317">
        <f t="shared" ca="1" si="98"/>
        <v>144.04498777539746</v>
      </c>
      <c r="N317">
        <f t="shared" ca="1" si="87"/>
        <v>-4.7599999999999909</v>
      </c>
      <c r="O317">
        <f t="shared" ca="1" si="88"/>
        <v>0</v>
      </c>
      <c r="P317">
        <f t="shared" ca="1" si="89"/>
        <v>4.7599999999999909</v>
      </c>
      <c r="Q317">
        <f t="shared" ca="1" si="93"/>
        <v>0.71981132353914457</v>
      </c>
      <c r="R317">
        <f t="shared" ca="1" si="94"/>
        <v>0.93163005155346224</v>
      </c>
      <c r="S317">
        <f t="shared" ca="1" si="91"/>
        <v>0.77263643689776107</v>
      </c>
      <c r="T317">
        <f t="shared" ca="1" si="92"/>
        <v>43.586852939225899</v>
      </c>
      <c r="U317">
        <f>70</f>
        <v>70</v>
      </c>
      <c r="V317">
        <f>30</f>
        <v>30</v>
      </c>
      <c r="W317">
        <f t="shared" ca="1" si="90"/>
        <v>148.95895388889778</v>
      </c>
      <c r="X317">
        <f t="shared" ca="1" si="100"/>
        <v>149.34134464249729</v>
      </c>
      <c r="Y317">
        <f t="shared" ca="1" si="99"/>
        <v>-0.81426696241874197</v>
      </c>
      <c r="Z317">
        <f t="shared" ca="1" si="101"/>
        <v>-0.49122415014071052</v>
      </c>
      <c r="AA317">
        <f t="shared" ca="1" si="102"/>
        <v>-0.32304281227803144</v>
      </c>
      <c r="AB317">
        <f t="shared" ca="1" si="103"/>
        <v>152.37070000000008</v>
      </c>
    </row>
    <row r="318" spans="1:28" x14ac:dyDescent="0.25">
      <c r="A318" s="20">
        <f t="shared" ca="1" si="83"/>
        <v>45754</v>
      </c>
      <c r="B318" vm="928">
        <f ca="1"/>
        <v>45754</v>
      </c>
      <c r="C318" vm="929">
        <f ca="1"/>
        <v>143.19</v>
      </c>
      <c r="D318" vm="930">
        <f ca="1"/>
        <v>14423214</v>
      </c>
      <c r="E318">
        <f t="shared" ca="1" si="84"/>
        <v>2065260012.6600001</v>
      </c>
      <c r="F318">
        <f ca="1">SUM($E$2:E318)/SUM($D$2:D318)</f>
        <v>163.50089040162618</v>
      </c>
      <c r="G318">
        <f ca="1">_xlfn.STDEV.P($C$2:C318)</f>
        <v>10.107934310669961</v>
      </c>
      <c r="H318">
        <f t="shared" ca="1" si="85"/>
        <v>173.60882471229615</v>
      </c>
      <c r="I318">
        <f t="shared" ca="1" si="86"/>
        <v>153.3929560909562</v>
      </c>
      <c r="J318">
        <f t="shared" ca="1" si="95"/>
        <v>148.39700000000002</v>
      </c>
      <c r="K318">
        <f t="shared" ca="1" si="96"/>
        <v>2.2119248583411188</v>
      </c>
      <c r="L318">
        <f t="shared" ca="1" si="97"/>
        <v>152.82084971668226</v>
      </c>
      <c r="M318">
        <f t="shared" ca="1" si="98"/>
        <v>143.97315028331778</v>
      </c>
      <c r="N318">
        <f t="shared" ca="1" si="87"/>
        <v>-3.4200000000000159</v>
      </c>
      <c r="O318">
        <f t="shared" ca="1" si="88"/>
        <v>0</v>
      </c>
      <c r="P318">
        <f t="shared" ca="1" si="89"/>
        <v>3.4200000000000159</v>
      </c>
      <c r="Q318">
        <f t="shared" ca="1" si="93"/>
        <v>0.66839622900063422</v>
      </c>
      <c r="R318">
        <f t="shared" ca="1" si="94"/>
        <v>1.1093707621567874</v>
      </c>
      <c r="S318">
        <f t="shared" ca="1" si="91"/>
        <v>0.60250031080787558</v>
      </c>
      <c r="T318">
        <f t="shared" ca="1" si="92"/>
        <v>37.597516003234617</v>
      </c>
      <c r="U318">
        <f>70</f>
        <v>70</v>
      </c>
      <c r="V318">
        <f>30</f>
        <v>30</v>
      </c>
      <c r="W318">
        <f t="shared" ca="1" si="90"/>
        <v>148.07142252137504</v>
      </c>
      <c r="X318">
        <f t="shared" ca="1" si="100"/>
        <v>148.88568948379378</v>
      </c>
      <c r="Y318">
        <f t="shared" ca="1" si="99"/>
        <v>-1.3738934284461379</v>
      </c>
      <c r="Z318">
        <f t="shared" ca="1" si="101"/>
        <v>-0.66775800580179601</v>
      </c>
      <c r="AA318">
        <f t="shared" ca="1" si="102"/>
        <v>-0.70613542264434193</v>
      </c>
      <c r="AB318">
        <f t="shared" ca="1" si="103"/>
        <v>152.15150000000006</v>
      </c>
    </row>
    <row r="319" spans="1:28" x14ac:dyDescent="0.25">
      <c r="A319" s="20">
        <f t="shared" ca="1" si="83"/>
        <v>45754</v>
      </c>
      <c r="B319" vm="931">
        <f ca="1"/>
        <v>45755</v>
      </c>
      <c r="C319" vm="932">
        <f ca="1"/>
        <v>140.30000000000001</v>
      </c>
      <c r="D319" vm="933">
        <f ca="1"/>
        <v>9488865</v>
      </c>
      <c r="E319">
        <f t="shared" ca="1" si="84"/>
        <v>1331287759.5</v>
      </c>
      <c r="F319">
        <f ca="1">SUM($E$2:E319)/SUM($D$2:D319)</f>
        <v>163.38498199433488</v>
      </c>
      <c r="G319">
        <f ca="1">_xlfn.STDEV.P($C$2:C319)</f>
        <v>10.186073892617921</v>
      </c>
      <c r="H319">
        <f t="shared" ca="1" si="85"/>
        <v>173.57105588695279</v>
      </c>
      <c r="I319">
        <f t="shared" ca="1" si="86"/>
        <v>153.19890810171697</v>
      </c>
      <c r="J319">
        <f t="shared" ca="1" si="95"/>
        <v>147.7955</v>
      </c>
      <c r="K319">
        <f t="shared" ca="1" si="96"/>
        <v>2.6736186300494249</v>
      </c>
      <c r="L319">
        <f t="shared" ca="1" si="97"/>
        <v>153.14273726009884</v>
      </c>
      <c r="M319">
        <f t="shared" ca="1" si="98"/>
        <v>142.44826273990117</v>
      </c>
      <c r="N319">
        <f t="shared" ca="1" si="87"/>
        <v>-2.8899999999999864</v>
      </c>
      <c r="O319">
        <f t="shared" ca="1" si="88"/>
        <v>0</v>
      </c>
      <c r="P319">
        <f t="shared" ca="1" si="89"/>
        <v>2.8899999999999864</v>
      </c>
      <c r="Q319">
        <f t="shared" ca="1" si="93"/>
        <v>0.62065364121487465</v>
      </c>
      <c r="R319">
        <f t="shared" ca="1" si="94"/>
        <v>1.2365585648598731</v>
      </c>
      <c r="S319">
        <f t="shared" ca="1" si="91"/>
        <v>0.50192013451882656</v>
      </c>
      <c r="T319">
        <f t="shared" ca="1" si="92"/>
        <v>33.418563542969466</v>
      </c>
      <c r="U319">
        <f>70</f>
        <v>70</v>
      </c>
      <c r="V319">
        <f>30</f>
        <v>30</v>
      </c>
      <c r="W319">
        <f t="shared" ca="1" si="90"/>
        <v>146.8758190565481</v>
      </c>
      <c r="X319">
        <f t="shared" ca="1" si="100"/>
        <v>148.24971248499423</v>
      </c>
      <c r="Y319">
        <f t="shared" ca="1" si="99"/>
        <v>-1.3746960052089321</v>
      </c>
      <c r="Z319">
        <f t="shared" ca="1" si="101"/>
        <v>-0.80914560568322336</v>
      </c>
      <c r="AA319">
        <f t="shared" ca="1" si="102"/>
        <v>-0.56555039952570874</v>
      </c>
      <c r="AB319">
        <f t="shared" ca="1" si="103"/>
        <v>151.91190000000006</v>
      </c>
    </row>
    <row r="320" spans="1:28" x14ac:dyDescent="0.25">
      <c r="A320" s="20">
        <f t="shared" ca="1" si="83"/>
        <v>45754</v>
      </c>
      <c r="B320" vm="934">
        <f ca="1"/>
        <v>45756</v>
      </c>
      <c r="C320" vm="935">
        <f ca="1"/>
        <v>145.59</v>
      </c>
      <c r="D320" vm="936">
        <f ca="1"/>
        <v>14067005</v>
      </c>
      <c r="E320">
        <f t="shared" ca="1" si="84"/>
        <v>2048015257.95</v>
      </c>
      <c r="F320">
        <f ca="1">SUM($E$2:E320)/SUM($D$2:D320)</f>
        <v>163.25415704452465</v>
      </c>
      <c r="G320">
        <f ca="1">_xlfn.STDEV.P($C$2:C320)</f>
        <v>10.227147428339217</v>
      </c>
      <c r="H320">
        <f t="shared" ca="1" si="85"/>
        <v>173.48130447286385</v>
      </c>
      <c r="I320">
        <f t="shared" ca="1" si="86"/>
        <v>153.02700961618544</v>
      </c>
      <c r="J320">
        <f t="shared" ca="1" si="95"/>
        <v>147.66650000000001</v>
      </c>
      <c r="K320">
        <f t="shared" ca="1" si="96"/>
        <v>2.7164959530906523</v>
      </c>
      <c r="L320">
        <f t="shared" ca="1" si="97"/>
        <v>153.09949190618133</v>
      </c>
      <c r="M320">
        <f t="shared" ca="1" si="98"/>
        <v>142.2335080938187</v>
      </c>
      <c r="N320">
        <f t="shared" ca="1" si="87"/>
        <v>5.289999999999992</v>
      </c>
      <c r="O320">
        <f t="shared" ca="1" si="88"/>
        <v>5.289999999999992</v>
      </c>
      <c r="P320">
        <f t="shared" ca="1" si="89"/>
        <v>0</v>
      </c>
      <c r="Q320">
        <f t="shared" ca="1" si="93"/>
        <v>0.95417838112809739</v>
      </c>
      <c r="R320">
        <f t="shared" ca="1" si="94"/>
        <v>1.148232953084168</v>
      </c>
      <c r="S320">
        <f t="shared" ca="1" si="91"/>
        <v>0.83099721059664977</v>
      </c>
      <c r="T320">
        <f t="shared" ca="1" si="92"/>
        <v>45.384952297434722</v>
      </c>
      <c r="U320">
        <f>70</f>
        <v>70</v>
      </c>
      <c r="V320">
        <f>30</f>
        <v>30</v>
      </c>
      <c r="W320">
        <f t="shared" ca="1" si="90"/>
        <v>146.67800074015608</v>
      </c>
      <c r="X320">
        <f t="shared" ca="1" si="100"/>
        <v>148.05269674536501</v>
      </c>
      <c r="Y320">
        <f t="shared" ca="1" si="99"/>
        <v>-1.4753282689950709</v>
      </c>
      <c r="Z320">
        <f t="shared" ca="1" si="101"/>
        <v>-0.94238213834559292</v>
      </c>
      <c r="AA320">
        <f t="shared" ca="1" si="102"/>
        <v>-0.53294613064947793</v>
      </c>
      <c r="AB320">
        <f t="shared" ca="1" si="103"/>
        <v>151.72440000000003</v>
      </c>
    </row>
    <row r="321" spans="1:28" x14ac:dyDescent="0.25">
      <c r="A321" s="20">
        <f t="shared" ca="1" si="83"/>
        <v>45754</v>
      </c>
      <c r="B321" vm="937">
        <f ca="1"/>
        <v>45757</v>
      </c>
      <c r="C321" vm="938">
        <f ca="1"/>
        <v>144.13999999999999</v>
      </c>
      <c r="D321" vm="939">
        <f ca="1"/>
        <v>10980259</v>
      </c>
      <c r="E321">
        <f t="shared" ca="1" si="84"/>
        <v>1582694532.2599998</v>
      </c>
      <c r="F321">
        <f ca="1">SUM($E$2:E321)/SUM($D$2:D321)</f>
        <v>163.1450949060449</v>
      </c>
      <c r="G321">
        <f ca="1">_xlfn.STDEV.P($C$2:C321)</f>
        <v>10.276226731628871</v>
      </c>
      <c r="H321">
        <f t="shared" ca="1" si="85"/>
        <v>173.42132163767377</v>
      </c>
      <c r="I321">
        <f t="shared" ca="1" si="86"/>
        <v>152.86886817441604</v>
      </c>
      <c r="J321">
        <f t="shared" ca="1" si="95"/>
        <v>147.45650000000001</v>
      </c>
      <c r="K321">
        <f t="shared" ca="1" si="96"/>
        <v>2.8219837647337829</v>
      </c>
      <c r="L321">
        <f t="shared" ca="1" si="97"/>
        <v>153.10046752946758</v>
      </c>
      <c r="M321">
        <f t="shared" ca="1" si="98"/>
        <v>141.81253247053243</v>
      </c>
      <c r="N321">
        <f t="shared" ca="1" si="87"/>
        <v>-1.4500000000000171</v>
      </c>
      <c r="O321">
        <f t="shared" ca="1" si="88"/>
        <v>0</v>
      </c>
      <c r="P321">
        <f t="shared" ca="1" si="89"/>
        <v>1.4500000000000171</v>
      </c>
      <c r="Q321">
        <f t="shared" ca="1" si="93"/>
        <v>0.88602278247609045</v>
      </c>
      <c r="R321">
        <f t="shared" ca="1" si="94"/>
        <v>1.1697877421495857</v>
      </c>
      <c r="S321">
        <f t="shared" ca="1" si="91"/>
        <v>0.75742183863881773</v>
      </c>
      <c r="T321">
        <f t="shared" ca="1" si="92"/>
        <v>43.09846514855343</v>
      </c>
      <c r="U321">
        <f>70</f>
        <v>70</v>
      </c>
      <c r="V321">
        <f>30</f>
        <v>30</v>
      </c>
      <c r="W321">
        <f t="shared" ca="1" si="90"/>
        <v>146.28753908782437</v>
      </c>
      <c r="X321">
        <f t="shared" ca="1" si="100"/>
        <v>147.76286735681944</v>
      </c>
      <c r="Y321">
        <f t="shared" ca="1" si="99"/>
        <v>-1.5142244498076423</v>
      </c>
      <c r="Z321">
        <f t="shared" ca="1" si="101"/>
        <v>-1.056750600638003</v>
      </c>
      <c r="AA321">
        <f t="shared" ca="1" si="102"/>
        <v>-0.45747384916963929</v>
      </c>
      <c r="AB321">
        <f t="shared" ca="1" si="103"/>
        <v>151.51840000000004</v>
      </c>
    </row>
    <row r="322" spans="1:28" x14ac:dyDescent="0.25">
      <c r="A322" s="20">
        <f t="shared" ca="1" si="83"/>
        <v>45754</v>
      </c>
      <c r="B322" vm="940">
        <f ca="1"/>
        <v>45758</v>
      </c>
      <c r="C322" vm="941">
        <f ca="1"/>
        <v>144.43</v>
      </c>
      <c r="D322" vm="942">
        <f ca="1"/>
        <v>8563304</v>
      </c>
      <c r="E322">
        <f t="shared" ca="1" si="84"/>
        <v>1236797996.72</v>
      </c>
      <c r="F322">
        <f ca="1">SUM($E$2:E322)/SUM($D$2:D322)</f>
        <v>163.06218404941737</v>
      </c>
      <c r="G322">
        <f ca="1">_xlfn.STDEV.P($C$2:C322)</f>
        <v>10.322581705364508</v>
      </c>
      <c r="H322">
        <f t="shared" ca="1" si="85"/>
        <v>173.38476575478188</v>
      </c>
      <c r="I322">
        <f t="shared" ca="1" si="86"/>
        <v>152.73960234405286</v>
      </c>
      <c r="J322">
        <f t="shared" ca="1" si="95"/>
        <v>147.24850000000001</v>
      </c>
      <c r="K322">
        <f t="shared" ca="1" si="96"/>
        <v>2.8866102411324124</v>
      </c>
      <c r="L322">
        <f t="shared" ca="1" si="97"/>
        <v>153.02172048226484</v>
      </c>
      <c r="M322">
        <f t="shared" ca="1" si="98"/>
        <v>141.47527951773517</v>
      </c>
      <c r="N322">
        <f t="shared" ca="1" si="87"/>
        <v>0.29000000000002046</v>
      </c>
      <c r="O322">
        <f t="shared" ca="1" si="88"/>
        <v>0.29000000000002046</v>
      </c>
      <c r="P322">
        <f t="shared" ca="1" si="89"/>
        <v>0</v>
      </c>
      <c r="Q322">
        <f t="shared" ca="1" si="93"/>
        <v>0.84344972658494266</v>
      </c>
      <c r="R322">
        <f t="shared" ca="1" si="94"/>
        <v>1.0862314748531867</v>
      </c>
      <c r="S322">
        <f t="shared" ca="1" si="91"/>
        <v>0.77649170191734862</v>
      </c>
      <c r="T322">
        <f t="shared" ca="1" si="92"/>
        <v>43.709278297179175</v>
      </c>
      <c r="U322">
        <f>70</f>
        <v>70</v>
      </c>
      <c r="V322">
        <f>30</f>
        <v>30</v>
      </c>
      <c r="W322">
        <f t="shared" ca="1" si="90"/>
        <v>146.0017638435437</v>
      </c>
      <c r="X322">
        <f t="shared" ca="1" si="100"/>
        <v>147.51598829335134</v>
      </c>
      <c r="Y322">
        <f t="shared" ca="1" si="99"/>
        <v>-1.3423713213866506</v>
      </c>
      <c r="Z322">
        <f t="shared" ca="1" si="101"/>
        <v>-1.1138747447877324</v>
      </c>
      <c r="AA322">
        <f t="shared" ca="1" si="102"/>
        <v>-0.2284965765989182</v>
      </c>
      <c r="AB322">
        <f t="shared" ca="1" si="103"/>
        <v>151.31120000000004</v>
      </c>
    </row>
    <row r="323" spans="1:28" x14ac:dyDescent="0.25">
      <c r="A323" s="20">
        <f t="shared" ref="A323:A386" ca="1" si="104">B323 - WEEKDAY(B323, 2) + 1</f>
        <v>45761</v>
      </c>
      <c r="B323" vm="943">
        <f ca="1"/>
        <v>45761</v>
      </c>
      <c r="C323" vm="944">
        <f ca="1"/>
        <v>146.75</v>
      </c>
      <c r="D323" vm="945">
        <f ca="1"/>
        <v>5393999</v>
      </c>
      <c r="E323">
        <f t="shared" ref="E323:E386" ca="1" si="105">C323*D323</f>
        <v>791569353.25</v>
      </c>
      <c r="F323">
        <f ca="1">SUM($E$2:E323)/SUM($D$2:D323)</f>
        <v>163.01679085447748</v>
      </c>
      <c r="G323">
        <f ca="1">_xlfn.STDEV.P($C$2:C323)</f>
        <v>10.354813759554633</v>
      </c>
      <c r="H323">
        <f t="shared" ref="H323:H386" ca="1" si="106">F323 + G323</f>
        <v>173.37160461403212</v>
      </c>
      <c r="I323">
        <f t="shared" ref="I323:I386" ca="1" si="107">F323 - G323</f>
        <v>152.66197709492283</v>
      </c>
      <c r="J323">
        <f t="shared" ca="1" si="95"/>
        <v>147.01900000000001</v>
      </c>
      <c r="K323">
        <f t="shared" ca="1" si="96"/>
        <v>2.7219631073720918</v>
      </c>
      <c r="L323">
        <f t="shared" ca="1" si="97"/>
        <v>152.46292621474419</v>
      </c>
      <c r="M323">
        <f t="shared" ca="1" si="98"/>
        <v>141.57507378525582</v>
      </c>
      <c r="N323">
        <f t="shared" ca="1" si="87"/>
        <v>2.3199999999999932</v>
      </c>
      <c r="O323">
        <f t="shared" ca="1" si="88"/>
        <v>2.3199999999999932</v>
      </c>
      <c r="P323">
        <f t="shared" ca="1" si="89"/>
        <v>0</v>
      </c>
      <c r="Q323">
        <f t="shared" ca="1" si="93"/>
        <v>0.94891760325744634</v>
      </c>
      <c r="R323">
        <f t="shared" ca="1" si="94"/>
        <v>1.0086435123636732</v>
      </c>
      <c r="S323">
        <f t="shared" ca="1" si="91"/>
        <v>0.94078590862467937</v>
      </c>
      <c r="T323">
        <f t="shared" ca="1" si="92"/>
        <v>48.474481623341909</v>
      </c>
      <c r="U323">
        <f>70</f>
        <v>70</v>
      </c>
      <c r="V323">
        <f>30</f>
        <v>30</v>
      </c>
      <c r="W323">
        <f t="shared" ca="1" si="90"/>
        <v>146.11687709838313</v>
      </c>
      <c r="X323">
        <f t="shared" ca="1" si="100"/>
        <v>147.45924841976978</v>
      </c>
      <c r="Y323">
        <f t="shared" ca="1" si="99"/>
        <v>-1.5043397099868514</v>
      </c>
      <c r="Z323">
        <f t="shared" ca="1" si="101"/>
        <v>-1.1919677378275564</v>
      </c>
      <c r="AA323">
        <f t="shared" ca="1" si="102"/>
        <v>-0.31237197215929502</v>
      </c>
      <c r="AB323">
        <f t="shared" ca="1" si="103"/>
        <v>151.19250000000002</v>
      </c>
    </row>
    <row r="324" spans="1:28" x14ac:dyDescent="0.25">
      <c r="A324" s="20">
        <f t="shared" ca="1" si="104"/>
        <v>45761</v>
      </c>
      <c r="B324" vm="946">
        <f ca="1"/>
        <v>45762</v>
      </c>
      <c r="C324" vm="947">
        <f ca="1"/>
        <v>142.84</v>
      </c>
      <c r="D324" vm="948">
        <f ca="1"/>
        <v>5459551</v>
      </c>
      <c r="E324">
        <f t="shared" ca="1" si="105"/>
        <v>779842264.84000003</v>
      </c>
      <c r="F324">
        <f ca="1">SUM($E$2:E324)/SUM($D$2:D324)</f>
        <v>162.96012058431688</v>
      </c>
      <c r="G324">
        <f ca="1">_xlfn.STDEV.P($C$2:C324)</f>
        <v>10.409486289980235</v>
      </c>
      <c r="H324">
        <f t="shared" ca="1" si="106"/>
        <v>173.36960687429712</v>
      </c>
      <c r="I324">
        <f t="shared" ca="1" si="107"/>
        <v>152.55063429433665</v>
      </c>
      <c r="J324">
        <f t="shared" ca="1" si="95"/>
        <v>146.71150000000003</v>
      </c>
      <c r="K324">
        <f t="shared" ca="1" si="96"/>
        <v>2.8327098333574505</v>
      </c>
      <c r="L324">
        <f t="shared" ca="1" si="97"/>
        <v>152.37691966671494</v>
      </c>
      <c r="M324">
        <f t="shared" ca="1" si="98"/>
        <v>141.04608033328512</v>
      </c>
      <c r="N324">
        <f t="shared" ref="N324:N387" ca="1" si="108">C324-C323</f>
        <v>-3.9099999999999966</v>
      </c>
      <c r="O324">
        <f t="shared" ref="O324:O387" ca="1" si="109">MAX(N324,0)</f>
        <v>0</v>
      </c>
      <c r="P324">
        <f t="shared" ref="P324:P387" ca="1" si="110">MAX(-N324,0)</f>
        <v>3.9099999999999966</v>
      </c>
      <c r="Q324">
        <f t="shared" ca="1" si="93"/>
        <v>0.88113777445334307</v>
      </c>
      <c r="R324">
        <f t="shared" ca="1" si="94"/>
        <v>1.2158832614805537</v>
      </c>
      <c r="S324">
        <f t="shared" ca="1" si="91"/>
        <v>0.72468945199591073</v>
      </c>
      <c r="T324">
        <f t="shared" ca="1" si="92"/>
        <v>42.018547232213777</v>
      </c>
      <c r="U324">
        <f>70</f>
        <v>70</v>
      </c>
      <c r="V324">
        <f>30</f>
        <v>30</v>
      </c>
      <c r="W324">
        <f t="shared" ca="1" si="90"/>
        <v>145.61274216017034</v>
      </c>
      <c r="X324">
        <f t="shared" ca="1" si="100"/>
        <v>147.11708187015719</v>
      </c>
      <c r="Y324">
        <f t="shared" ca="1" si="99"/>
        <v>-1.8334677670384565</v>
      </c>
      <c r="Z324">
        <f t="shared" ca="1" si="101"/>
        <v>-1.3202677436697365</v>
      </c>
      <c r="AA324">
        <f t="shared" ca="1" si="102"/>
        <v>-0.51320002336871995</v>
      </c>
      <c r="AB324">
        <f t="shared" ca="1" si="103"/>
        <v>151.03760000000005</v>
      </c>
    </row>
    <row r="325" spans="1:28" x14ac:dyDescent="0.25">
      <c r="A325" s="20">
        <f t="shared" ca="1" si="104"/>
        <v>45761</v>
      </c>
      <c r="B325" vm="949">
        <f ca="1"/>
        <v>45763</v>
      </c>
      <c r="C325" vm="950">
        <f ca="1"/>
        <v>140.09</v>
      </c>
      <c r="D325" vm="951">
        <f ca="1"/>
        <v>7878593</v>
      </c>
      <c r="E325">
        <f t="shared" ca="1" si="105"/>
        <v>1103712093.3700001</v>
      </c>
      <c r="F325">
        <f ca="1">SUM($E$2:E325)/SUM($D$2:D325)</f>
        <v>162.86779827234767</v>
      </c>
      <c r="G325">
        <f ca="1">_xlfn.STDEV.P($C$2:C325)</f>
        <v>10.481779620436271</v>
      </c>
      <c r="H325">
        <f t="shared" ca="1" si="106"/>
        <v>173.34957789278394</v>
      </c>
      <c r="I325">
        <f t="shared" ca="1" si="107"/>
        <v>152.3860186519114</v>
      </c>
      <c r="J325">
        <f t="shared" ca="1" si="95"/>
        <v>146.31050000000002</v>
      </c>
      <c r="K325">
        <f t="shared" ca="1" si="96"/>
        <v>3.1716930146133873</v>
      </c>
      <c r="L325">
        <f t="shared" ca="1" si="97"/>
        <v>152.65388602922678</v>
      </c>
      <c r="M325">
        <f t="shared" ca="1" si="98"/>
        <v>139.96711397077326</v>
      </c>
      <c r="N325">
        <f t="shared" ca="1" si="108"/>
        <v>-2.75</v>
      </c>
      <c r="O325">
        <f t="shared" ca="1" si="109"/>
        <v>0</v>
      </c>
      <c r="P325">
        <f t="shared" ca="1" si="110"/>
        <v>2.75</v>
      </c>
      <c r="Q325">
        <f t="shared" ca="1" si="93"/>
        <v>0.81819936199238996</v>
      </c>
      <c r="R325">
        <f t="shared" ca="1" si="94"/>
        <v>1.325463028517657</v>
      </c>
      <c r="S325">
        <f t="shared" ca="1" si="91"/>
        <v>0.61729323593991925</v>
      </c>
      <c r="T325">
        <f t="shared" ca="1" si="92"/>
        <v>38.168293926065182</v>
      </c>
      <c r="U325">
        <f>70</f>
        <v>70</v>
      </c>
      <c r="V325">
        <f>30</f>
        <v>30</v>
      </c>
      <c r="W325">
        <f t="shared" ca="1" si="90"/>
        <v>144.76308952014415</v>
      </c>
      <c r="X325">
        <f t="shared" ca="1" si="100"/>
        <v>146.59655728718261</v>
      </c>
      <c r="Y325">
        <f t="shared" ca="1" si="99"/>
        <v>-1.8510641904601925</v>
      </c>
      <c r="Z325">
        <f t="shared" ca="1" si="101"/>
        <v>-1.4264270330278279</v>
      </c>
      <c r="AA325">
        <f t="shared" ca="1" si="102"/>
        <v>-0.42463715743236463</v>
      </c>
      <c r="AB325">
        <f t="shared" ca="1" si="103"/>
        <v>150.87130000000005</v>
      </c>
    </row>
    <row r="326" spans="1:28" x14ac:dyDescent="0.25">
      <c r="A326" s="20">
        <f t="shared" ca="1" si="104"/>
        <v>45761</v>
      </c>
      <c r="B326" vm="952">
        <f ca="1"/>
        <v>45764</v>
      </c>
      <c r="C326" vm="947">
        <f ca="1"/>
        <v>142.84</v>
      </c>
      <c r="D326" vm="953">
        <f ca="1"/>
        <v>6131364</v>
      </c>
      <c r="E326">
        <f t="shared" ca="1" si="105"/>
        <v>875804033.75999999</v>
      </c>
      <c r="F326">
        <f ca="1">SUM($E$2:E326)/SUM($D$2:D326)</f>
        <v>162.805076599659</v>
      </c>
      <c r="G326">
        <f ca="1">_xlfn.STDEV.P($C$2:C326)</f>
        <v>10.534171425475371</v>
      </c>
      <c r="H326">
        <f t="shared" ca="1" si="106"/>
        <v>173.33924802513437</v>
      </c>
      <c r="I326">
        <f t="shared" ca="1" si="107"/>
        <v>152.27090517418364</v>
      </c>
      <c r="J326">
        <f t="shared" ca="1" si="95"/>
        <v>146.095</v>
      </c>
      <c r="K326">
        <f t="shared" ca="1" si="96"/>
        <v>3.2569270308391172</v>
      </c>
      <c r="L326">
        <f t="shared" ca="1" si="97"/>
        <v>152.60885406167824</v>
      </c>
      <c r="M326">
        <f t="shared" ca="1" si="98"/>
        <v>139.58114593832175</v>
      </c>
      <c r="N326">
        <f t="shared" ca="1" si="108"/>
        <v>2.75</v>
      </c>
      <c r="O326">
        <f t="shared" ca="1" si="109"/>
        <v>2.75</v>
      </c>
      <c r="P326">
        <f t="shared" ca="1" si="110"/>
        <v>0</v>
      </c>
      <c r="Q326">
        <f t="shared" ca="1" si="93"/>
        <v>0.95618512185007642</v>
      </c>
      <c r="R326">
        <f t="shared" ca="1" si="94"/>
        <v>1.230787097909253</v>
      </c>
      <c r="S326">
        <f t="shared" ca="1" si="91"/>
        <v>0.77688913336380849</v>
      </c>
      <c r="T326">
        <f t="shared" ca="1" si="92"/>
        <v>43.72186867354457</v>
      </c>
      <c r="U326">
        <f>70</f>
        <v>70</v>
      </c>
      <c r="V326">
        <f>30</f>
        <v>30</v>
      </c>
      <c r="W326">
        <f t="shared" ca="1" si="90"/>
        <v>144.46722959396814</v>
      </c>
      <c r="X326">
        <f t="shared" ca="1" si="100"/>
        <v>146.31829378442833</v>
      </c>
      <c r="Y326">
        <f t="shared" ca="1" si="99"/>
        <v>-1.9323028220247238</v>
      </c>
      <c r="Z326">
        <f t="shared" ca="1" si="101"/>
        <v>-1.5276021908272073</v>
      </c>
      <c r="AA326">
        <f t="shared" ca="1" si="102"/>
        <v>-0.40470063119751654</v>
      </c>
      <c r="AB326">
        <f t="shared" ca="1" si="103"/>
        <v>150.71230000000006</v>
      </c>
    </row>
    <row r="327" spans="1:28" x14ac:dyDescent="0.25">
      <c r="A327" s="20">
        <f t="shared" ca="1" si="104"/>
        <v>45768</v>
      </c>
      <c r="B327" vm="954">
        <f ca="1"/>
        <v>45768</v>
      </c>
      <c r="C327" vm="955">
        <f ca="1"/>
        <v>141.72999999999999</v>
      </c>
      <c r="D327" vm="956">
        <f ca="1"/>
        <v>7412800</v>
      </c>
      <c r="E327">
        <f t="shared" ca="1" si="105"/>
        <v>1050616143.9999999</v>
      </c>
      <c r="F327">
        <f ca="1">SUM($E$2:E327)/SUM($D$2:D327)</f>
        <v>162.72558201860716</v>
      </c>
      <c r="G327">
        <f ca="1">_xlfn.STDEV.P($C$2:C327)</f>
        <v>10.592669075459487</v>
      </c>
      <c r="H327">
        <f t="shared" ca="1" si="106"/>
        <v>173.31825109406665</v>
      </c>
      <c r="I327">
        <f t="shared" ca="1" si="107"/>
        <v>152.13291294314766</v>
      </c>
      <c r="J327">
        <f t="shared" ca="1" si="95"/>
        <v>145.90900000000002</v>
      </c>
      <c r="K327">
        <f t="shared" ca="1" si="96"/>
        <v>3.3988324620762271</v>
      </c>
      <c r="L327">
        <f t="shared" ca="1" si="97"/>
        <v>152.70666492415248</v>
      </c>
      <c r="M327">
        <f t="shared" ca="1" si="98"/>
        <v>139.11133507584756</v>
      </c>
      <c r="N327">
        <f t="shared" ca="1" si="108"/>
        <v>-1.1100000000000136</v>
      </c>
      <c r="O327">
        <f t="shared" ca="1" si="109"/>
        <v>0</v>
      </c>
      <c r="P327">
        <f t="shared" ca="1" si="110"/>
        <v>1.1100000000000136</v>
      </c>
      <c r="Q327">
        <f t="shared" ca="1" si="93"/>
        <v>0.88788618457507096</v>
      </c>
      <c r="R327">
        <f t="shared" ca="1" si="94"/>
        <v>1.2221594480585929</v>
      </c>
      <c r="S327">
        <f t="shared" ca="1" si="91"/>
        <v>0.7264896458358876</v>
      </c>
      <c r="T327">
        <f t="shared" ca="1" si="92"/>
        <v>42.079003924993387</v>
      </c>
      <c r="U327">
        <f>70</f>
        <v>70</v>
      </c>
      <c r="V327">
        <f>30</f>
        <v>30</v>
      </c>
      <c r="W327">
        <f t="shared" ca="1" si="90"/>
        <v>144.04611734874226</v>
      </c>
      <c r="X327">
        <f t="shared" ca="1" si="100"/>
        <v>145.97842017076698</v>
      </c>
      <c r="Y327">
        <f t="shared" ca="1" si="99"/>
        <v>-1.8359250795521973</v>
      </c>
      <c r="Z327">
        <f t="shared" ca="1" si="101"/>
        <v>-1.5892667685722055</v>
      </c>
      <c r="AA327">
        <f t="shared" ca="1" si="102"/>
        <v>-0.2466583109799918</v>
      </c>
      <c r="AB327">
        <f t="shared" ca="1" si="103"/>
        <v>150.52620000000005</v>
      </c>
    </row>
    <row r="328" spans="1:28" x14ac:dyDescent="0.25">
      <c r="A328" s="20">
        <f t="shared" ca="1" si="104"/>
        <v>45768</v>
      </c>
      <c r="B328" vm="957">
        <f ca="1"/>
        <v>45769</v>
      </c>
      <c r="C328" vm="958">
        <f ca="1"/>
        <v>143.46</v>
      </c>
      <c r="D328" vm="959">
        <f ca="1"/>
        <v>7144709</v>
      </c>
      <c r="E328">
        <f t="shared" ca="1" si="105"/>
        <v>1024979953.1400001</v>
      </c>
      <c r="F328">
        <f ca="1">SUM($E$2:E328)/SUM($D$2:D328)</f>
        <v>162.65579466643979</v>
      </c>
      <c r="G328">
        <f ca="1">_xlfn.STDEV.P($C$2:C328)</f>
        <v>10.63925312228128</v>
      </c>
      <c r="H328">
        <f t="shared" ca="1" si="106"/>
        <v>173.29504778872106</v>
      </c>
      <c r="I328">
        <f t="shared" ca="1" si="107"/>
        <v>152.01654154415851</v>
      </c>
      <c r="J328">
        <f t="shared" ca="1" si="95"/>
        <v>145.7595</v>
      </c>
      <c r="K328">
        <f t="shared" ca="1" si="96"/>
        <v>3.4393014514119287</v>
      </c>
      <c r="L328">
        <f t="shared" ca="1" si="97"/>
        <v>152.63810290282385</v>
      </c>
      <c r="M328">
        <f t="shared" ca="1" si="98"/>
        <v>138.88089709717616</v>
      </c>
      <c r="N328">
        <f t="shared" ca="1" si="108"/>
        <v>1.7300000000000182</v>
      </c>
      <c r="O328">
        <f t="shared" ca="1" si="109"/>
        <v>1.7300000000000182</v>
      </c>
      <c r="P328">
        <f t="shared" ca="1" si="110"/>
        <v>0</v>
      </c>
      <c r="Q328">
        <f t="shared" ca="1" si="93"/>
        <v>0.94803717139113863</v>
      </c>
      <c r="R328">
        <f t="shared" ca="1" si="94"/>
        <v>1.1348623446258361</v>
      </c>
      <c r="S328">
        <f t="shared" ca="1" si="91"/>
        <v>0.83537635721247439</v>
      </c>
      <c r="T328">
        <f t="shared" ca="1" si="92"/>
        <v>45.515261975000264</v>
      </c>
      <c r="U328">
        <f>70</f>
        <v>70</v>
      </c>
      <c r="V328">
        <f>30</f>
        <v>30</v>
      </c>
      <c r="W328">
        <f t="shared" ca="1" si="90"/>
        <v>143.95594544893575</v>
      </c>
      <c r="X328">
        <f t="shared" ca="1" si="100"/>
        <v>145.79187052848795</v>
      </c>
      <c r="Y328">
        <f t="shared" ca="1" si="99"/>
        <v>-1.8352197248565858</v>
      </c>
      <c r="Z328">
        <f t="shared" ca="1" si="101"/>
        <v>-1.6384573598290817</v>
      </c>
      <c r="AA328">
        <f t="shared" ca="1" si="102"/>
        <v>-0.1967623650275041</v>
      </c>
      <c r="AB328">
        <f t="shared" ca="1" si="103"/>
        <v>150.34080000000003</v>
      </c>
    </row>
    <row r="329" spans="1:28" x14ac:dyDescent="0.25">
      <c r="A329" s="20">
        <f t="shared" ca="1" si="104"/>
        <v>45768</v>
      </c>
      <c r="B329" vm="960">
        <f ca="1"/>
        <v>45770</v>
      </c>
      <c r="C329" vm="961">
        <f ca="1"/>
        <v>142.26</v>
      </c>
      <c r="D329" vm="962">
        <f ca="1"/>
        <v>7760035</v>
      </c>
      <c r="E329">
        <f t="shared" ca="1" si="105"/>
        <v>1103942579.0999999</v>
      </c>
      <c r="F329">
        <f ca="1">SUM($E$2:E329)/SUM($D$2:D329)</f>
        <v>162.57586480934614</v>
      </c>
      <c r="G329">
        <f ca="1">_xlfn.STDEV.P($C$2:C329)</f>
        <v>10.69228904185816</v>
      </c>
      <c r="H329">
        <f t="shared" ca="1" si="106"/>
        <v>173.26815385120432</v>
      </c>
      <c r="I329">
        <f t="shared" ca="1" si="107"/>
        <v>151.88357576748797</v>
      </c>
      <c r="J329">
        <f t="shared" ca="1" si="95"/>
        <v>145.59549999999999</v>
      </c>
      <c r="K329">
        <f t="shared" ca="1" si="96"/>
        <v>3.5273927675894128</v>
      </c>
      <c r="L329">
        <f t="shared" ca="1" si="97"/>
        <v>152.65028553517882</v>
      </c>
      <c r="M329">
        <f t="shared" ca="1" si="98"/>
        <v>138.54071446482115</v>
      </c>
      <c r="N329">
        <f t="shared" ca="1" si="108"/>
        <v>-1.2000000000000171</v>
      </c>
      <c r="O329">
        <f t="shared" ca="1" si="109"/>
        <v>0</v>
      </c>
      <c r="P329">
        <f t="shared" ca="1" si="110"/>
        <v>1.2000000000000171</v>
      </c>
      <c r="Q329">
        <f t="shared" ca="1" si="93"/>
        <v>0.88032023057748587</v>
      </c>
      <c r="R329">
        <f t="shared" ca="1" si="94"/>
        <v>1.1395150342954206</v>
      </c>
      <c r="S329">
        <f t="shared" ca="1" si="91"/>
        <v>0.77253937340265211</v>
      </c>
      <c r="T329">
        <f t="shared" ca="1" si="92"/>
        <v>43.583763779511884</v>
      </c>
      <c r="U329">
        <f>70</f>
        <v>70</v>
      </c>
      <c r="V329">
        <f>30</f>
        <v>30</v>
      </c>
      <c r="W329">
        <f t="shared" ca="1" si="90"/>
        <v>143.6950307644841</v>
      </c>
      <c r="X329">
        <f t="shared" ca="1" si="100"/>
        <v>145.53025048934069</v>
      </c>
      <c r="Y329">
        <f t="shared" ca="1" si="99"/>
        <v>-2.3681688660511213</v>
      </c>
      <c r="Z329">
        <f t="shared" ca="1" si="101"/>
        <v>-1.7843996610734898</v>
      </c>
      <c r="AA329">
        <f t="shared" ca="1" si="102"/>
        <v>-0.58376920497763152</v>
      </c>
      <c r="AB329">
        <f t="shared" ca="1" si="103"/>
        <v>150.13290000000003</v>
      </c>
    </row>
    <row r="330" spans="1:28" x14ac:dyDescent="0.25">
      <c r="A330" s="20">
        <f t="shared" ca="1" si="104"/>
        <v>45768</v>
      </c>
      <c r="B330" vm="963">
        <f ca="1"/>
        <v>45771</v>
      </c>
      <c r="C330" vm="964">
        <f ca="1"/>
        <v>135.31</v>
      </c>
      <c r="D330" vm="965">
        <f ca="1"/>
        <v>15577256</v>
      </c>
      <c r="E330">
        <f t="shared" ca="1" si="105"/>
        <v>2107758509.3600001</v>
      </c>
      <c r="F330">
        <f ca="1">SUM($E$2:E330)/SUM($D$2:D330)</f>
        <v>162.36304510320332</v>
      </c>
      <c r="G330">
        <f ca="1">_xlfn.STDEV.P($C$2:C330)</f>
        <v>10.794092468172307</v>
      </c>
      <c r="H330">
        <f t="shared" ca="1" si="106"/>
        <v>173.15713757137561</v>
      </c>
      <c r="I330">
        <f t="shared" ca="1" si="107"/>
        <v>151.56895263503102</v>
      </c>
      <c r="J330">
        <f t="shared" ca="1" si="95"/>
        <v>144.92900000000003</v>
      </c>
      <c r="K330">
        <f t="shared" ca="1" si="96"/>
        <v>4.1297736652649357</v>
      </c>
      <c r="L330">
        <f t="shared" ca="1" si="97"/>
        <v>153.1885473305299</v>
      </c>
      <c r="M330">
        <f t="shared" ca="1" si="98"/>
        <v>136.66945266947016</v>
      </c>
      <c r="N330">
        <f t="shared" ca="1" si="108"/>
        <v>-6.9499999999999886</v>
      </c>
      <c r="O330">
        <f t="shared" ca="1" si="109"/>
        <v>0</v>
      </c>
      <c r="P330">
        <f t="shared" ca="1" si="110"/>
        <v>6.9499999999999886</v>
      </c>
      <c r="Q330">
        <f t="shared" ca="1" si="93"/>
        <v>0.81744021410766543</v>
      </c>
      <c r="R330">
        <f t="shared" ca="1" si="94"/>
        <v>1.5545496747028895</v>
      </c>
      <c r="S330">
        <f t="shared" ca="1" si="91"/>
        <v>0.52583730671964357</v>
      </c>
      <c r="T330">
        <f t="shared" ca="1" si="92"/>
        <v>34.462213265064733</v>
      </c>
      <c r="U330">
        <f>70</f>
        <v>70</v>
      </c>
      <c r="V330">
        <f>30</f>
        <v>30</v>
      </c>
      <c r="W330">
        <f t="shared" ca="1" si="90"/>
        <v>142.40502603148656</v>
      </c>
      <c r="X330">
        <f t="shared" ca="1" si="100"/>
        <v>144.77319489753768</v>
      </c>
      <c r="Y330">
        <f t="shared" ca="1" si="99"/>
        <v>-2.9126940465761493</v>
      </c>
      <c r="Z330">
        <f t="shared" ca="1" si="101"/>
        <v>-2.0100585381740217</v>
      </c>
      <c r="AA330">
        <f t="shared" ca="1" si="102"/>
        <v>-0.90263550840212758</v>
      </c>
      <c r="AB330">
        <f t="shared" ca="1" si="103"/>
        <v>149.86440000000005</v>
      </c>
    </row>
    <row r="331" spans="1:28" x14ac:dyDescent="0.25">
      <c r="A331" s="20">
        <f t="shared" ca="1" si="104"/>
        <v>45768</v>
      </c>
      <c r="B331" vm="966">
        <f ca="1"/>
        <v>45772</v>
      </c>
      <c r="C331" vm="967">
        <f ca="1"/>
        <v>133.38</v>
      </c>
      <c r="D331" vm="968">
        <f ca="1"/>
        <v>11544686</v>
      </c>
      <c r="E331">
        <f t="shared" ca="1" si="105"/>
        <v>1539830218.6799998</v>
      </c>
      <c r="F331">
        <f ca="1">SUM($E$2:E331)/SUM($D$2:D331)</f>
        <v>162.1963500541153</v>
      </c>
      <c r="G331">
        <f ca="1">_xlfn.STDEV.P($C$2:C331)</f>
        <v>10.909571773450757</v>
      </c>
      <c r="H331">
        <f t="shared" ca="1" si="106"/>
        <v>173.10592182756605</v>
      </c>
      <c r="I331">
        <f t="shared" ca="1" si="107"/>
        <v>151.28677828066455</v>
      </c>
      <c r="J331">
        <f t="shared" ca="1" si="95"/>
        <v>144.11449999999996</v>
      </c>
      <c r="K331">
        <f t="shared" ca="1" si="96"/>
        <v>4.7110156185152627</v>
      </c>
      <c r="L331">
        <f t="shared" ca="1" si="97"/>
        <v>153.53653123703049</v>
      </c>
      <c r="M331">
        <f t="shared" ca="1" si="98"/>
        <v>134.69246876296944</v>
      </c>
      <c r="N331">
        <f t="shared" ca="1" si="108"/>
        <v>-1.9300000000000068</v>
      </c>
      <c r="O331">
        <f t="shared" ca="1" si="109"/>
        <v>0</v>
      </c>
      <c r="P331">
        <f t="shared" ca="1" si="110"/>
        <v>1.9300000000000068</v>
      </c>
      <c r="Q331">
        <f t="shared" ca="1" si="93"/>
        <v>0.75905162738568932</v>
      </c>
      <c r="R331">
        <f t="shared" ca="1" si="94"/>
        <v>1.5813675550812551</v>
      </c>
      <c r="S331">
        <f t="shared" ca="1" si="91"/>
        <v>0.47999696525118546</v>
      </c>
      <c r="T331">
        <f t="shared" ca="1" si="92"/>
        <v>32.432293884448626</v>
      </c>
      <c r="U331">
        <f>70</f>
        <v>70</v>
      </c>
      <c r="V331">
        <f>30</f>
        <v>30</v>
      </c>
      <c r="W331">
        <f t="shared" ca="1" si="90"/>
        <v>141.01656048818094</v>
      </c>
      <c r="X331">
        <f t="shared" ca="1" si="100"/>
        <v>143.92925453475709</v>
      </c>
      <c r="Y331">
        <f t="shared" ca="1" si="99"/>
        <v>-3.2758098541490313</v>
      </c>
      <c r="Z331">
        <f t="shared" ca="1" si="101"/>
        <v>-2.2632088013690237</v>
      </c>
      <c r="AA331">
        <f t="shared" ca="1" si="102"/>
        <v>-1.0126010527800076</v>
      </c>
      <c r="AB331">
        <f t="shared" ca="1" si="103"/>
        <v>149.57100000000003</v>
      </c>
    </row>
    <row r="332" spans="1:28" x14ac:dyDescent="0.25">
      <c r="A332" s="20">
        <f t="shared" ca="1" si="104"/>
        <v>45775</v>
      </c>
      <c r="B332" vm="969">
        <f ca="1"/>
        <v>45775</v>
      </c>
      <c r="C332" vm="970">
        <f ca="1"/>
        <v>133.76</v>
      </c>
      <c r="D332" vm="971">
        <f ca="1"/>
        <v>8498608</v>
      </c>
      <c r="E332">
        <f t="shared" ca="1" si="105"/>
        <v>1136773806.0799999</v>
      </c>
      <c r="F332">
        <f ca="1">SUM($E$2:E332)/SUM($D$2:D332)</f>
        <v>162.07645995497188</v>
      </c>
      <c r="G332">
        <f ca="1">_xlfn.STDEV.P($C$2:C332)</f>
        <v>11.019207550654654</v>
      </c>
      <c r="H332">
        <f t="shared" ca="1" si="106"/>
        <v>173.09566750562652</v>
      </c>
      <c r="I332">
        <f t="shared" ca="1" si="107"/>
        <v>151.05725240431724</v>
      </c>
      <c r="J332">
        <f t="shared" ca="1" si="95"/>
        <v>143.339</v>
      </c>
      <c r="K332">
        <f t="shared" ca="1" si="96"/>
        <v>5.0798268723088968</v>
      </c>
      <c r="L332">
        <f t="shared" ca="1" si="97"/>
        <v>153.4986537446178</v>
      </c>
      <c r="M332">
        <f t="shared" ca="1" si="98"/>
        <v>133.1793462553822</v>
      </c>
      <c r="N332">
        <f t="shared" ca="1" si="108"/>
        <v>0.37999999999999545</v>
      </c>
      <c r="O332">
        <f t="shared" ca="1" si="109"/>
        <v>0.37999999999999545</v>
      </c>
      <c r="P332">
        <f t="shared" ca="1" si="110"/>
        <v>0</v>
      </c>
      <c r="Q332">
        <f t="shared" ca="1" si="93"/>
        <v>0.73197651114385398</v>
      </c>
      <c r="R332">
        <f t="shared" ca="1" si="94"/>
        <v>1.4684127297183083</v>
      </c>
      <c r="S332">
        <f t="shared" ca="1" si="91"/>
        <v>0.49848145302054969</v>
      </c>
      <c r="T332">
        <f t="shared" ca="1" si="92"/>
        <v>33.265773961749105</v>
      </c>
      <c r="U332">
        <f>70</f>
        <v>70</v>
      </c>
      <c r="V332">
        <f>30</f>
        <v>30</v>
      </c>
      <c r="W332">
        <f t="shared" ca="1" si="90"/>
        <v>139.90016656692234</v>
      </c>
      <c r="X332">
        <f t="shared" ca="1" si="100"/>
        <v>143.17597642107137</v>
      </c>
      <c r="Y332">
        <f t="shared" ca="1" si="99"/>
        <v>-3.4790964856759388</v>
      </c>
      <c r="Z332">
        <f t="shared" ca="1" si="101"/>
        <v>-2.5063863382304068</v>
      </c>
      <c r="AA332">
        <f t="shared" ca="1" si="102"/>
        <v>-0.97271014744553197</v>
      </c>
      <c r="AB332">
        <f t="shared" ca="1" si="103"/>
        <v>149.27410000000003</v>
      </c>
    </row>
    <row r="333" spans="1:28" x14ac:dyDescent="0.25">
      <c r="A333" s="20">
        <f t="shared" ca="1" si="104"/>
        <v>45775</v>
      </c>
      <c r="B333" vm="972">
        <f ca="1"/>
        <v>45776</v>
      </c>
      <c r="C333" vm="973">
        <f ca="1"/>
        <v>134.31</v>
      </c>
      <c r="D333" vm="974">
        <f ca="1"/>
        <v>7010733</v>
      </c>
      <c r="E333">
        <f t="shared" ca="1" si="105"/>
        <v>941611549.23000002</v>
      </c>
      <c r="F333">
        <f ca="1">SUM($E$2:E333)/SUM($D$2:D333)</f>
        <v>161.98022390902977</v>
      </c>
      <c r="G333">
        <f ca="1">_xlfn.STDEV.P($C$2:C333)</f>
        <v>11.121923461731118</v>
      </c>
      <c r="H333">
        <f t="shared" ca="1" si="106"/>
        <v>173.10214737076089</v>
      </c>
      <c r="I333">
        <f t="shared" ca="1" si="107"/>
        <v>150.85830044729866</v>
      </c>
      <c r="J333">
        <f t="shared" ca="1" si="95"/>
        <v>142.55749999999995</v>
      </c>
      <c r="K333">
        <f t="shared" ca="1" si="96"/>
        <v>5.2114397192492241</v>
      </c>
      <c r="L333">
        <f t="shared" ca="1" si="97"/>
        <v>152.9803794384984</v>
      </c>
      <c r="M333">
        <f t="shared" ca="1" si="98"/>
        <v>132.13462056150149</v>
      </c>
      <c r="N333">
        <f t="shared" ca="1" si="108"/>
        <v>0.55000000000001137</v>
      </c>
      <c r="O333">
        <f t="shared" ca="1" si="109"/>
        <v>0.55000000000001137</v>
      </c>
      <c r="P333">
        <f t="shared" ca="1" si="110"/>
        <v>0</v>
      </c>
      <c r="Q333">
        <f t="shared" ca="1" si="93"/>
        <v>0.71897818891929377</v>
      </c>
      <c r="R333">
        <f t="shared" ca="1" si="94"/>
        <v>1.3635261061670005</v>
      </c>
      <c r="S333">
        <f t="shared" ca="1" si="91"/>
        <v>0.52729330642623973</v>
      </c>
      <c r="T333">
        <f t="shared" ca="1" si="92"/>
        <v>34.524691767298421</v>
      </c>
      <c r="U333">
        <f>70</f>
        <v>70</v>
      </c>
      <c r="V333">
        <f>30</f>
        <v>30</v>
      </c>
      <c r="W333">
        <f t="shared" ca="1" si="90"/>
        <v>139.04014094124199</v>
      </c>
      <c r="X333">
        <f t="shared" ca="1" si="100"/>
        <v>142.51923742691793</v>
      </c>
      <c r="Y333">
        <f t="shared" ca="1" si="99"/>
        <v>-3.4974082740725123</v>
      </c>
      <c r="Z333">
        <f t="shared" ca="1" si="101"/>
        <v>-2.7045907253988282</v>
      </c>
      <c r="AA333">
        <f t="shared" ca="1" si="102"/>
        <v>-0.79281754867368415</v>
      </c>
      <c r="AB333">
        <f t="shared" ca="1" si="103"/>
        <v>148.98670000000004</v>
      </c>
    </row>
    <row r="334" spans="1:28" x14ac:dyDescent="0.25">
      <c r="A334" s="20">
        <f t="shared" ca="1" si="104"/>
        <v>45775</v>
      </c>
      <c r="B334" vm="975">
        <f ca="1"/>
        <v>45777</v>
      </c>
      <c r="C334" vm="976">
        <f ca="1"/>
        <v>135.58000000000001</v>
      </c>
      <c r="D334" vm="977">
        <f ca="1"/>
        <v>7923472</v>
      </c>
      <c r="E334">
        <f t="shared" ca="1" si="105"/>
        <v>1074264333.76</v>
      </c>
      <c r="F334">
        <f ca="1">SUM($E$2:E334)/SUM($D$2:D334)</f>
        <v>161.87721397774342</v>
      </c>
      <c r="G334">
        <f ca="1">_xlfn.STDEV.P($C$2:C334)</f>
        <v>11.212581730651689</v>
      </c>
      <c r="H334">
        <f t="shared" ca="1" si="106"/>
        <v>173.08979570839512</v>
      </c>
      <c r="I334">
        <f t="shared" ca="1" si="107"/>
        <v>150.66463224709173</v>
      </c>
      <c r="J334">
        <f t="shared" ca="1" si="95"/>
        <v>141.85300000000001</v>
      </c>
      <c r="K334">
        <f t="shared" ca="1" si="96"/>
        <v>5.1513637438112099</v>
      </c>
      <c r="L334">
        <f t="shared" ca="1" si="97"/>
        <v>152.15572748762241</v>
      </c>
      <c r="M334">
        <f t="shared" ca="1" si="98"/>
        <v>131.5502725123776</v>
      </c>
      <c r="N334">
        <f t="shared" ca="1" si="108"/>
        <v>1.2700000000000102</v>
      </c>
      <c r="O334">
        <f t="shared" ca="1" si="109"/>
        <v>1.2700000000000102</v>
      </c>
      <c r="P334">
        <f t="shared" ca="1" si="110"/>
        <v>0</v>
      </c>
      <c r="Q334">
        <f t="shared" ca="1" si="93"/>
        <v>0.75833688971077351</v>
      </c>
      <c r="R334">
        <f t="shared" ca="1" si="94"/>
        <v>1.2661313842979289</v>
      </c>
      <c r="S334">
        <f t="shared" ca="1" si="91"/>
        <v>0.59894012510500405</v>
      </c>
      <c r="T334">
        <f t="shared" ca="1" si="92"/>
        <v>37.458571193569298</v>
      </c>
      <c r="U334">
        <f>70</f>
        <v>70</v>
      </c>
      <c r="V334">
        <f>30</f>
        <v>30</v>
      </c>
      <c r="W334">
        <f t="shared" ca="1" si="90"/>
        <v>138.50781156566632</v>
      </c>
      <c r="X334">
        <f t="shared" ca="1" si="100"/>
        <v>142.00521983973883</v>
      </c>
      <c r="Y334">
        <f t="shared" ca="1" si="99"/>
        <v>-3.6338359342228728</v>
      </c>
      <c r="Z334">
        <f t="shared" ca="1" si="101"/>
        <v>-2.8904397671636373</v>
      </c>
      <c r="AA334">
        <f t="shared" ca="1" si="102"/>
        <v>-0.7433961670592355</v>
      </c>
      <c r="AB334">
        <f t="shared" ca="1" si="103"/>
        <v>148.72550000000004</v>
      </c>
    </row>
    <row r="335" spans="1:28" x14ac:dyDescent="0.25">
      <c r="A335" s="20">
        <f t="shared" ca="1" si="104"/>
        <v>45775</v>
      </c>
      <c r="B335" vm="978">
        <f ca="1"/>
        <v>45778</v>
      </c>
      <c r="C335" vm="979">
        <f ca="1"/>
        <v>133.55000000000001</v>
      </c>
      <c r="D335" vm="980">
        <f ca="1"/>
        <v>6807019</v>
      </c>
      <c r="E335">
        <f t="shared" ca="1" si="105"/>
        <v>909077387.45000005</v>
      </c>
      <c r="F335">
        <f ca="1">SUM($E$2:E335)/SUM($D$2:D335)</f>
        <v>161.78257643940563</v>
      </c>
      <c r="G335">
        <f ca="1">_xlfn.STDEV.P($C$2:C335)</f>
        <v>11.31700050441065</v>
      </c>
      <c r="H335">
        <f t="shared" ca="1" si="106"/>
        <v>173.09957694381629</v>
      </c>
      <c r="I335">
        <f t="shared" ca="1" si="107"/>
        <v>150.46557593499497</v>
      </c>
      <c r="J335">
        <f t="shared" ca="1" si="95"/>
        <v>141.0745</v>
      </c>
      <c r="K335">
        <f t="shared" ca="1" si="96"/>
        <v>5.1718046071692276</v>
      </c>
      <c r="L335">
        <f t="shared" ca="1" si="97"/>
        <v>151.41810921433844</v>
      </c>
      <c r="M335">
        <f t="shared" ca="1" si="98"/>
        <v>130.73089078566156</v>
      </c>
      <c r="N335">
        <f t="shared" ca="1" si="108"/>
        <v>-2.0300000000000011</v>
      </c>
      <c r="O335">
        <f t="shared" ca="1" si="109"/>
        <v>0</v>
      </c>
      <c r="P335">
        <f t="shared" ca="1" si="110"/>
        <v>2.0300000000000011</v>
      </c>
      <c r="Q335">
        <f t="shared" ca="1" si="93"/>
        <v>0.70416996901714679</v>
      </c>
      <c r="R335">
        <f t="shared" ca="1" si="94"/>
        <v>1.3206934282766483</v>
      </c>
      <c r="S335">
        <f t="shared" ca="1" si="91"/>
        <v>0.53318200419608885</v>
      </c>
      <c r="T335">
        <f t="shared" ca="1" si="92"/>
        <v>34.776171565857794</v>
      </c>
      <c r="U335">
        <f>70</f>
        <v>70</v>
      </c>
      <c r="V335">
        <f>30</f>
        <v>30</v>
      </c>
      <c r="W335">
        <f t="shared" ref="W335:W398" ca="1" si="111">C335*(2/(12+1)) + W334*(1-(2/(12+1)))</f>
        <v>137.74507132479457</v>
      </c>
      <c r="X335">
        <f t="shared" ca="1" si="100"/>
        <v>141.37890725901744</v>
      </c>
      <c r="Y335">
        <f t="shared" ca="1" si="99"/>
        <v>-3.6833580504749079</v>
      </c>
      <c r="Z335">
        <f t="shared" ca="1" si="101"/>
        <v>-3.0490234238258913</v>
      </c>
      <c r="AA335">
        <f t="shared" ca="1" si="102"/>
        <v>-0.63433462664901663</v>
      </c>
      <c r="AB335">
        <f t="shared" ca="1" si="103"/>
        <v>148.45920000000004</v>
      </c>
    </row>
    <row r="336" spans="1:28" x14ac:dyDescent="0.25">
      <c r="A336" s="20">
        <f t="shared" ca="1" si="104"/>
        <v>45775</v>
      </c>
      <c r="B336" vm="981">
        <f ca="1"/>
        <v>45779</v>
      </c>
      <c r="C336" vm="982">
        <f ca="1"/>
        <v>133.75</v>
      </c>
      <c r="D336" vm="983">
        <f ca="1"/>
        <v>7169731</v>
      </c>
      <c r="E336">
        <f t="shared" ca="1" si="105"/>
        <v>958951521.25</v>
      </c>
      <c r="F336">
        <f ca="1">SUM($E$2:E336)/SUM($D$2:D336)</f>
        <v>161.68427883478489</v>
      </c>
      <c r="G336">
        <f ca="1">_xlfn.STDEV.P($C$2:C336)</f>
        <v>11.417572233952878</v>
      </c>
      <c r="H336">
        <f t="shared" ca="1" si="106"/>
        <v>173.10185106873777</v>
      </c>
      <c r="I336">
        <f t="shared" ca="1" si="107"/>
        <v>150.26670660083201</v>
      </c>
      <c r="J336">
        <f t="shared" ca="1" si="95"/>
        <v>140.19349999999997</v>
      </c>
      <c r="K336">
        <f t="shared" ca="1" si="96"/>
        <v>4.8140772466633832</v>
      </c>
      <c r="L336">
        <f t="shared" ca="1" si="97"/>
        <v>149.82165449332675</v>
      </c>
      <c r="M336">
        <f t="shared" ca="1" si="98"/>
        <v>130.5653455066732</v>
      </c>
      <c r="N336">
        <f t="shared" ca="1" si="108"/>
        <v>0.19999999999998863</v>
      </c>
      <c r="O336">
        <f t="shared" ca="1" si="109"/>
        <v>0.19999999999998863</v>
      </c>
      <c r="P336">
        <f t="shared" ca="1" si="110"/>
        <v>0</v>
      </c>
      <c r="Q336">
        <f t="shared" ca="1" si="93"/>
        <v>0.66815782837306414</v>
      </c>
      <c r="R336">
        <f t="shared" ca="1" si="94"/>
        <v>1.2263581833997448</v>
      </c>
      <c r="S336">
        <f t="shared" ref="S336:S399" ca="1" si="112">IF(R336=0,NA(),Q336/R336)</f>
        <v>0.54483089640318472</v>
      </c>
      <c r="T336">
        <f t="shared" ref="T336:T399" ca="1" si="113">100-(100/(1+S336))</f>
        <v>35.267995848070456</v>
      </c>
      <c r="U336">
        <f>70</f>
        <v>70</v>
      </c>
      <c r="V336">
        <f>30</f>
        <v>30</v>
      </c>
      <c r="W336">
        <f t="shared" ca="1" si="111"/>
        <v>137.13044496713385</v>
      </c>
      <c r="X336">
        <f t="shared" ca="1" si="100"/>
        <v>140.81380301760876</v>
      </c>
      <c r="Y336">
        <f t="shared" ca="1" si="99"/>
        <v>-3.820580699384891</v>
      </c>
      <c r="Z336">
        <f t="shared" ca="1" si="101"/>
        <v>-3.2033348789376914</v>
      </c>
      <c r="AA336">
        <f t="shared" ca="1" si="102"/>
        <v>-0.61724582044719956</v>
      </c>
      <c r="AB336">
        <f t="shared" ca="1" si="103"/>
        <v>148.19180000000003</v>
      </c>
    </row>
    <row r="337" spans="1:28" x14ac:dyDescent="0.25">
      <c r="A337" s="20">
        <f t="shared" ca="1" si="104"/>
        <v>45782</v>
      </c>
      <c r="B337" vm="984">
        <f ca="1"/>
        <v>45782</v>
      </c>
      <c r="C337" vm="985">
        <f ca="1"/>
        <v>131.99</v>
      </c>
      <c r="D337" vm="986">
        <f ca="1"/>
        <v>8972159</v>
      </c>
      <c r="E337">
        <f t="shared" ca="1" si="105"/>
        <v>1184235266.4100001</v>
      </c>
      <c r="F337">
        <f ca="1">SUM($E$2:E337)/SUM($D$2:D337)</f>
        <v>161.55454739022395</v>
      </c>
      <c r="G337">
        <f ca="1">_xlfn.STDEV.P($C$2:C337)</f>
        <v>11.529917545681986</v>
      </c>
      <c r="H337">
        <f t="shared" ca="1" si="106"/>
        <v>173.08446493590594</v>
      </c>
      <c r="I337">
        <f t="shared" ca="1" si="107"/>
        <v>150.02462984454195</v>
      </c>
      <c r="J337">
        <f t="shared" ca="1" si="95"/>
        <v>139.46250000000001</v>
      </c>
      <c r="K337">
        <f t="shared" ca="1" si="96"/>
        <v>4.8977447817713422</v>
      </c>
      <c r="L337">
        <f t="shared" ca="1" si="97"/>
        <v>149.25798956354268</v>
      </c>
      <c r="M337">
        <f t="shared" ca="1" si="98"/>
        <v>129.66701043645733</v>
      </c>
      <c r="N337">
        <f t="shared" ca="1" si="108"/>
        <v>-1.7599999999999909</v>
      </c>
      <c r="O337">
        <f t="shared" ca="1" si="109"/>
        <v>0</v>
      </c>
      <c r="P337">
        <f t="shared" ca="1" si="110"/>
        <v>1.7599999999999909</v>
      </c>
      <c r="Q337">
        <f t="shared" ref="Q337:Q400" ca="1" si="114">(Q336*13+O337)/14</f>
        <v>0.62043226920355965</v>
      </c>
      <c r="R337">
        <f t="shared" ref="R337:R400" ca="1" si="115">(R336*13+P337)/14</f>
        <v>1.2644754560140481</v>
      </c>
      <c r="S337">
        <f t="shared" ca="1" si="112"/>
        <v>0.49066375013661534</v>
      </c>
      <c r="T337">
        <f t="shared" ca="1" si="113"/>
        <v>32.915790035925099</v>
      </c>
      <c r="U337">
        <f>70</f>
        <v>70</v>
      </c>
      <c r="V337">
        <f>30</f>
        <v>30</v>
      </c>
      <c r="W337">
        <f t="shared" ca="1" si="111"/>
        <v>136.3396072798825</v>
      </c>
      <c r="X337">
        <f t="shared" ca="1" si="100"/>
        <v>140.16018797926739</v>
      </c>
      <c r="Y337">
        <f t="shared" ca="1" si="99"/>
        <v>-3.9842670402757676</v>
      </c>
      <c r="Z337">
        <f t="shared" ca="1" si="101"/>
        <v>-3.3595213112053068</v>
      </c>
      <c r="AA337">
        <f t="shared" ca="1" si="102"/>
        <v>-0.62474572907046078</v>
      </c>
      <c r="AB337">
        <f t="shared" ca="1" si="103"/>
        <v>147.93380000000005</v>
      </c>
    </row>
    <row r="338" spans="1:28" x14ac:dyDescent="0.25">
      <c r="A338" s="20">
        <f t="shared" ca="1" si="104"/>
        <v>45782</v>
      </c>
      <c r="B338" vm="987">
        <f ca="1"/>
        <v>45783</v>
      </c>
      <c r="C338" vm="988">
        <f ca="1"/>
        <v>130.74</v>
      </c>
      <c r="D338" vm="989">
        <f ca="1"/>
        <v>6889893</v>
      </c>
      <c r="E338">
        <f t="shared" ca="1" si="105"/>
        <v>900784610.82000005</v>
      </c>
      <c r="F338">
        <f ca="1">SUM($E$2:E338)/SUM($D$2:D338)</f>
        <v>161.45151134601392</v>
      </c>
      <c r="G338">
        <f ca="1">_xlfn.STDEV.P($C$2:C338)</f>
        <v>11.649976849920598</v>
      </c>
      <c r="H338">
        <f t="shared" ca="1" si="106"/>
        <v>173.10148819593451</v>
      </c>
      <c r="I338">
        <f t="shared" ca="1" si="107"/>
        <v>149.80153449609332</v>
      </c>
      <c r="J338">
        <f t="shared" ca="1" si="95"/>
        <v>138.84</v>
      </c>
      <c r="K338">
        <f t="shared" ca="1" si="96"/>
        <v>5.1819920981475009</v>
      </c>
      <c r="L338">
        <f t="shared" ca="1" si="97"/>
        <v>149.20398419629501</v>
      </c>
      <c r="M338">
        <f t="shared" ca="1" si="98"/>
        <v>128.476015803705</v>
      </c>
      <c r="N338">
        <f t="shared" ca="1" si="108"/>
        <v>-1.25</v>
      </c>
      <c r="O338">
        <f t="shared" ca="1" si="109"/>
        <v>0</v>
      </c>
      <c r="P338">
        <f t="shared" ca="1" si="110"/>
        <v>1.25</v>
      </c>
      <c r="Q338">
        <f t="shared" ca="1" si="114"/>
        <v>0.57611567854616264</v>
      </c>
      <c r="R338">
        <f t="shared" ca="1" si="115"/>
        <v>1.2634414948701875</v>
      </c>
      <c r="S338">
        <f t="shared" ca="1" si="112"/>
        <v>0.45598920162532397</v>
      </c>
      <c r="T338">
        <f t="shared" ca="1" si="113"/>
        <v>31.318171942230222</v>
      </c>
      <c r="U338">
        <f>70</f>
        <v>70</v>
      </c>
      <c r="V338">
        <f>30</f>
        <v>30</v>
      </c>
      <c r="W338">
        <f t="shared" ca="1" si="111"/>
        <v>135.47812923682366</v>
      </c>
      <c r="X338">
        <f t="shared" ca="1" si="100"/>
        <v>139.46239627709943</v>
      </c>
      <c r="Y338">
        <f t="shared" ca="1" si="99"/>
        <v>-3.9733743781216333</v>
      </c>
      <c r="Z338">
        <f t="shared" ca="1" si="101"/>
        <v>-3.482291924588572</v>
      </c>
      <c r="AA338">
        <f t="shared" ca="1" si="102"/>
        <v>-0.49108245353306135</v>
      </c>
      <c r="AB338">
        <f t="shared" ca="1" si="103"/>
        <v>147.64650000000006</v>
      </c>
    </row>
    <row r="339" spans="1:28" x14ac:dyDescent="0.25">
      <c r="A339" s="20">
        <f t="shared" ca="1" si="104"/>
        <v>45782</v>
      </c>
      <c r="B339" vm="990">
        <f ca="1"/>
        <v>45784</v>
      </c>
      <c r="C339" vm="991">
        <f ca="1"/>
        <v>131.91499999999999</v>
      </c>
      <c r="D339" vm="992">
        <f ca="1"/>
        <v>6313815</v>
      </c>
      <c r="E339">
        <f t="shared" ca="1" si="105"/>
        <v>832886905.7249999</v>
      </c>
      <c r="F339">
        <f ca="1">SUM($E$2:E339)/SUM($D$2:D339)</f>
        <v>161.36128294942858</v>
      </c>
      <c r="G339">
        <f ca="1">_xlfn.STDEV.P($C$2:C339)</f>
        <v>11.757860343356075</v>
      </c>
      <c r="H339">
        <f t="shared" ca="1" si="106"/>
        <v>173.11914329278466</v>
      </c>
      <c r="I339">
        <f t="shared" ca="1" si="107"/>
        <v>149.60342260607251</v>
      </c>
      <c r="J339">
        <f t="shared" ca="1" si="95"/>
        <v>138.42075</v>
      </c>
      <c r="K339">
        <f t="shared" ca="1" si="96"/>
        <v>5.3925700041816782</v>
      </c>
      <c r="L339">
        <f t="shared" ca="1" si="97"/>
        <v>149.20589000836335</v>
      </c>
      <c r="M339">
        <f t="shared" ca="1" si="98"/>
        <v>127.63560999163664</v>
      </c>
      <c r="N339">
        <f t="shared" ca="1" si="108"/>
        <v>1.1749999999999829</v>
      </c>
      <c r="O339">
        <f t="shared" ca="1" si="109"/>
        <v>1.1749999999999829</v>
      </c>
      <c r="P339">
        <f t="shared" ca="1" si="110"/>
        <v>0</v>
      </c>
      <c r="Q339">
        <f t="shared" ca="1" si="114"/>
        <v>0.61889313007857838</v>
      </c>
      <c r="R339">
        <f t="shared" ca="1" si="115"/>
        <v>1.1731956738080314</v>
      </c>
      <c r="S339">
        <f t="shared" ca="1" si="112"/>
        <v>0.52752762722840307</v>
      </c>
      <c r="T339">
        <f t="shared" ca="1" si="113"/>
        <v>34.534735596603696</v>
      </c>
      <c r="U339">
        <f>70</f>
        <v>70</v>
      </c>
      <c r="V339">
        <f>30</f>
        <v>30</v>
      </c>
      <c r="W339">
        <f t="shared" ca="1" si="111"/>
        <v>134.92995550808155</v>
      </c>
      <c r="X339">
        <f t="shared" ca="1" si="100"/>
        <v>138.90332988620318</v>
      </c>
      <c r="Y339">
        <f t="shared" ca="1" si="99"/>
        <v>-3.9582490801020072</v>
      </c>
      <c r="Z339">
        <f t="shared" ca="1" si="101"/>
        <v>-3.5774833556912591</v>
      </c>
      <c r="AA339">
        <f t="shared" ca="1" si="102"/>
        <v>-0.38076572441074807</v>
      </c>
      <c r="AB339">
        <f t="shared" ca="1" si="103"/>
        <v>147.36725000000007</v>
      </c>
    </row>
    <row r="340" spans="1:28" x14ac:dyDescent="0.25">
      <c r="A340" s="20">
        <f t="shared" ca="1" si="104"/>
        <v>45782</v>
      </c>
      <c r="B340" vm="993">
        <f ca="1"/>
        <v>45785</v>
      </c>
      <c r="C340" vm="994">
        <f ca="1"/>
        <v>131.43</v>
      </c>
      <c r="D340" vm="995">
        <f ca="1"/>
        <v>6392355</v>
      </c>
      <c r="E340">
        <f t="shared" ca="1" si="105"/>
        <v>840147217.6500001</v>
      </c>
      <c r="F340">
        <f ca="1">SUM($E$2:E340)/SUM($D$2:D340)</f>
        <v>161.26899663755509</v>
      </c>
      <c r="G340">
        <f ca="1">_xlfn.STDEV.P($C$2:C340)</f>
        <v>11.867214290999289</v>
      </c>
      <c r="H340">
        <f t="shared" ca="1" si="106"/>
        <v>173.13621092855439</v>
      </c>
      <c r="I340">
        <f t="shared" ca="1" si="107"/>
        <v>149.40178234655579</v>
      </c>
      <c r="J340">
        <f t="shared" ca="1" si="95"/>
        <v>137.71274999999997</v>
      </c>
      <c r="K340">
        <f t="shared" ca="1" si="96"/>
        <v>5.3309600880635282</v>
      </c>
      <c r="L340">
        <f t="shared" ca="1" si="97"/>
        <v>148.37467017612704</v>
      </c>
      <c r="M340">
        <f t="shared" ca="1" si="98"/>
        <v>127.05082982387292</v>
      </c>
      <c r="N340">
        <f t="shared" ca="1" si="108"/>
        <v>-0.48499999999998522</v>
      </c>
      <c r="O340">
        <f t="shared" ca="1" si="109"/>
        <v>0</v>
      </c>
      <c r="P340">
        <f t="shared" ca="1" si="110"/>
        <v>0.48499999999998522</v>
      </c>
      <c r="Q340">
        <f t="shared" ca="1" si="114"/>
        <v>0.57468647793010852</v>
      </c>
      <c r="R340">
        <f t="shared" ca="1" si="115"/>
        <v>1.1240388399645995</v>
      </c>
      <c r="S340">
        <f t="shared" ca="1" si="112"/>
        <v>0.51126923509885802</v>
      </c>
      <c r="T340">
        <f t="shared" ca="1" si="113"/>
        <v>33.830453450963944</v>
      </c>
      <c r="U340">
        <f>70</f>
        <v>70</v>
      </c>
      <c r="V340">
        <f>30</f>
        <v>30</v>
      </c>
      <c r="W340">
        <f t="shared" ca="1" si="111"/>
        <v>134.39150081453056</v>
      </c>
      <c r="X340">
        <f t="shared" ca="1" si="100"/>
        <v>138.34974989463257</v>
      </c>
      <c r="Y340">
        <f t="shared" ca="1" si="99"/>
        <v>-3.9802648827350708</v>
      </c>
      <c r="Z340">
        <f t="shared" ca="1" si="101"/>
        <v>-3.6580396611000219</v>
      </c>
      <c r="AA340">
        <f t="shared" ca="1" si="102"/>
        <v>-0.32222522163504896</v>
      </c>
      <c r="AB340">
        <f t="shared" ca="1" si="103"/>
        <v>147.11385000000007</v>
      </c>
    </row>
    <row r="341" spans="1:28" x14ac:dyDescent="0.25">
      <c r="A341" s="20">
        <f t="shared" ca="1" si="104"/>
        <v>45782</v>
      </c>
      <c r="B341" vm="996">
        <f ca="1"/>
        <v>45786</v>
      </c>
      <c r="C341" vm="997">
        <f ca="1"/>
        <v>130.44</v>
      </c>
      <c r="D341" vm="998">
        <f ca="1"/>
        <v>4770504</v>
      </c>
      <c r="E341">
        <f t="shared" ca="1" si="105"/>
        <v>622264541.75999999</v>
      </c>
      <c r="F341">
        <f ca="1">SUM($E$2:E341)/SUM($D$2:D341)</f>
        <v>161.19822217727162</v>
      </c>
      <c r="G341">
        <f ca="1">_xlfn.STDEV.P($C$2:C341)</f>
        <v>11.982029477237251</v>
      </c>
      <c r="H341">
        <f t="shared" ca="1" si="106"/>
        <v>173.18025165450888</v>
      </c>
      <c r="I341">
        <f t="shared" ca="1" si="107"/>
        <v>149.21619270003436</v>
      </c>
      <c r="J341">
        <f t="shared" ca="1" si="95"/>
        <v>137.02774999999997</v>
      </c>
      <c r="K341">
        <f t="shared" ca="1" si="96"/>
        <v>5.3418034789661375</v>
      </c>
      <c r="L341">
        <f t="shared" ca="1" si="97"/>
        <v>147.71135695793225</v>
      </c>
      <c r="M341">
        <f t="shared" ca="1" si="98"/>
        <v>126.3441430420677</v>
      </c>
      <c r="N341">
        <f t="shared" ca="1" si="108"/>
        <v>-0.99000000000000909</v>
      </c>
      <c r="O341">
        <f t="shared" ca="1" si="109"/>
        <v>0</v>
      </c>
      <c r="P341">
        <f t="shared" ca="1" si="110"/>
        <v>0.99000000000000909</v>
      </c>
      <c r="Q341">
        <f t="shared" ca="1" si="114"/>
        <v>0.53363744379224365</v>
      </c>
      <c r="R341">
        <f t="shared" ca="1" si="115"/>
        <v>1.1144646371099858</v>
      </c>
      <c r="S341">
        <f t="shared" ca="1" si="112"/>
        <v>0.47882851193561859</v>
      </c>
      <c r="T341">
        <f t="shared" ca="1" si="113"/>
        <v>32.378907227646465</v>
      </c>
      <c r="U341">
        <f>70</f>
        <v>70</v>
      </c>
      <c r="V341">
        <f>30</f>
        <v>30</v>
      </c>
      <c r="W341">
        <f t="shared" ca="1" si="111"/>
        <v>133.78357761229509</v>
      </c>
      <c r="X341">
        <f t="shared" ca="1" si="100"/>
        <v>137.76384249503016</v>
      </c>
      <c r="Y341">
        <f t="shared" ca="1" si="99"/>
        <v>-3.8532372080716755</v>
      </c>
      <c r="Z341">
        <f t="shared" ca="1" si="101"/>
        <v>-3.6970791704943529</v>
      </c>
      <c r="AA341">
        <f t="shared" ca="1" si="102"/>
        <v>-0.15615803757732261</v>
      </c>
      <c r="AB341">
        <f t="shared" ca="1" si="103"/>
        <v>146.82925000000006</v>
      </c>
    </row>
    <row r="342" spans="1:28" x14ac:dyDescent="0.25">
      <c r="A342" s="20">
        <f t="shared" ca="1" si="104"/>
        <v>45789</v>
      </c>
      <c r="B342" vm="999">
        <f ca="1"/>
        <v>45789</v>
      </c>
      <c r="C342" vm="1000">
        <f ca="1"/>
        <v>131.68</v>
      </c>
      <c r="D342" vm="1001">
        <f ca="1"/>
        <v>8392720</v>
      </c>
      <c r="E342">
        <f t="shared" ca="1" si="105"/>
        <v>1105153369.6000001</v>
      </c>
      <c r="F342">
        <f ca="1">SUM($E$2:E342)/SUM($D$2:D342)</f>
        <v>161.07948264501732</v>
      </c>
      <c r="G342">
        <f ca="1">_xlfn.STDEV.P($C$2:C342)</f>
        <v>12.084710690961566</v>
      </c>
      <c r="H342">
        <f t="shared" ca="1" si="106"/>
        <v>173.16419333597889</v>
      </c>
      <c r="I342">
        <f t="shared" ca="1" si="107"/>
        <v>148.99477195405575</v>
      </c>
      <c r="J342">
        <f t="shared" ref="J342:J405" ca="1" si="116">AVERAGE(C323:C342)</f>
        <v>136.39024999999998</v>
      </c>
      <c r="K342">
        <f t="shared" ref="K342:K405" ca="1" si="117">_xlfn.STDEV.S(C323:C342)</f>
        <v>5.1699507467367809</v>
      </c>
      <c r="L342">
        <f t="shared" ref="L342:L405" ca="1" si="118">J342 + 2*K342</f>
        <v>146.73015149347356</v>
      </c>
      <c r="M342">
        <f t="shared" ref="M342:M405" ca="1" si="119">J342-2*K342</f>
        <v>126.05034850652642</v>
      </c>
      <c r="N342">
        <f t="shared" ca="1" si="108"/>
        <v>1.2400000000000091</v>
      </c>
      <c r="O342">
        <f t="shared" ca="1" si="109"/>
        <v>1.2400000000000091</v>
      </c>
      <c r="P342">
        <f t="shared" ca="1" si="110"/>
        <v>0</v>
      </c>
      <c r="Q342">
        <f t="shared" ca="1" si="114"/>
        <v>0.58409191209279832</v>
      </c>
      <c r="R342">
        <f t="shared" ca="1" si="115"/>
        <v>1.0348600201735583</v>
      </c>
      <c r="S342">
        <f t="shared" ca="1" si="112"/>
        <v>0.56441634685514197</v>
      </c>
      <c r="T342">
        <f t="shared" ca="1" si="113"/>
        <v>36.078397415736312</v>
      </c>
      <c r="U342">
        <f>70</f>
        <v>70</v>
      </c>
      <c r="V342">
        <f>30</f>
        <v>30</v>
      </c>
      <c r="W342">
        <f t="shared" ca="1" si="111"/>
        <v>133.45995028732662</v>
      </c>
      <c r="X342">
        <f t="shared" ca="1" si="100"/>
        <v>137.3131874953983</v>
      </c>
      <c r="Y342">
        <f t="shared" ca="1" si="99"/>
        <v>-3.8190903152946873</v>
      </c>
      <c r="Z342">
        <f t="shared" ca="1" si="101"/>
        <v>-3.7214813994544196</v>
      </c>
      <c r="AA342">
        <f t="shared" ca="1" si="102"/>
        <v>-9.7608915840267763E-2</v>
      </c>
      <c r="AB342">
        <f t="shared" ca="1" si="103"/>
        <v>146.56635000000006</v>
      </c>
    </row>
    <row r="343" spans="1:28" x14ac:dyDescent="0.25">
      <c r="A343" s="20">
        <f t="shared" ca="1" si="104"/>
        <v>45789</v>
      </c>
      <c r="B343" vm="1002">
        <f ca="1"/>
        <v>45790</v>
      </c>
      <c r="C343" vm="1003">
        <f ca="1"/>
        <v>130.31</v>
      </c>
      <c r="D343" vm="1004">
        <f ca="1"/>
        <v>8650220</v>
      </c>
      <c r="E343">
        <f t="shared" ca="1" si="105"/>
        <v>1127210168.2</v>
      </c>
      <c r="F343">
        <f ca="1">SUM($E$2:E343)/SUM($D$2:D343)</f>
        <v>160.9524390175464</v>
      </c>
      <c r="G343">
        <f ca="1">_xlfn.STDEV.P($C$2:C343)</f>
        <v>12.195740700517895</v>
      </c>
      <c r="H343">
        <f t="shared" ca="1" si="106"/>
        <v>173.14817971806428</v>
      </c>
      <c r="I343">
        <f t="shared" ca="1" si="107"/>
        <v>148.75669831702851</v>
      </c>
      <c r="J343">
        <f t="shared" ca="1" si="116"/>
        <v>135.56824999999998</v>
      </c>
      <c r="K343">
        <f t="shared" ca="1" si="117"/>
        <v>4.7237962195340524</v>
      </c>
      <c r="L343">
        <f t="shared" ca="1" si="118"/>
        <v>145.01584243906808</v>
      </c>
      <c r="M343">
        <f t="shared" ca="1" si="119"/>
        <v>126.12065756093187</v>
      </c>
      <c r="N343">
        <f t="shared" ca="1" si="108"/>
        <v>-1.3700000000000045</v>
      </c>
      <c r="O343">
        <f t="shared" ca="1" si="109"/>
        <v>0</v>
      </c>
      <c r="P343">
        <f t="shared" ca="1" si="110"/>
        <v>1.3700000000000045</v>
      </c>
      <c r="Q343">
        <f t="shared" ca="1" si="114"/>
        <v>0.54237106122902701</v>
      </c>
      <c r="R343">
        <f t="shared" ca="1" si="115"/>
        <v>1.0587985901611616</v>
      </c>
      <c r="S343">
        <f t="shared" ca="1" si="112"/>
        <v>0.5122514010398066</v>
      </c>
      <c r="T343">
        <f t="shared" ca="1" si="113"/>
        <v>33.873428762412686</v>
      </c>
      <c r="U343">
        <f>70</f>
        <v>70</v>
      </c>
      <c r="V343">
        <f>30</f>
        <v>30</v>
      </c>
      <c r="W343">
        <f t="shared" ca="1" si="111"/>
        <v>132.97534255081484</v>
      </c>
      <c r="X343">
        <f t="shared" ca="1" si="100"/>
        <v>136.79443286610953</v>
      </c>
      <c r="Y343">
        <f t="shared" ca="1" si="99"/>
        <v>-3.8971907233435559</v>
      </c>
      <c r="Z343">
        <f t="shared" ca="1" si="101"/>
        <v>-3.756623264232247</v>
      </c>
      <c r="AA343">
        <f t="shared" ca="1" si="102"/>
        <v>-0.14056745911130886</v>
      </c>
      <c r="AB343">
        <f t="shared" ca="1" si="103"/>
        <v>146.30925000000005</v>
      </c>
    </row>
    <row r="344" spans="1:28" x14ac:dyDescent="0.25">
      <c r="A344" s="20">
        <f t="shared" ca="1" si="104"/>
        <v>45789</v>
      </c>
      <c r="B344" vm="1005">
        <f ca="1"/>
        <v>45791</v>
      </c>
      <c r="C344" vm="1006">
        <f ca="1"/>
        <v>128.44999999999999</v>
      </c>
      <c r="D344" vm="1007">
        <f ca="1"/>
        <v>10463015</v>
      </c>
      <c r="E344">
        <f t="shared" ca="1" si="105"/>
        <v>1343974276.75</v>
      </c>
      <c r="F344">
        <f ca="1">SUM($E$2:E344)/SUM($D$2:D344)</f>
        <v>160.7909232963857</v>
      </c>
      <c r="G344">
        <f ca="1">_xlfn.STDEV.P($C$2:C344)</f>
        <v>12.319132205284316</v>
      </c>
      <c r="H344">
        <f t="shared" ca="1" si="106"/>
        <v>173.11005550167002</v>
      </c>
      <c r="I344">
        <f t="shared" ca="1" si="107"/>
        <v>148.47179109110138</v>
      </c>
      <c r="J344">
        <f t="shared" ca="1" si="116"/>
        <v>134.84874999999997</v>
      </c>
      <c r="K344">
        <f t="shared" ca="1" si="117"/>
        <v>4.6532857307611426</v>
      </c>
      <c r="L344">
        <f t="shared" ca="1" si="118"/>
        <v>144.15532146152225</v>
      </c>
      <c r="M344">
        <f t="shared" ca="1" si="119"/>
        <v>125.54217853847769</v>
      </c>
      <c r="N344">
        <f t="shared" ca="1" si="108"/>
        <v>-1.8600000000000136</v>
      </c>
      <c r="O344">
        <f t="shared" ca="1" si="109"/>
        <v>0</v>
      </c>
      <c r="P344">
        <f t="shared" ca="1" si="110"/>
        <v>1.8600000000000136</v>
      </c>
      <c r="Q344">
        <f t="shared" ca="1" si="114"/>
        <v>0.50363027114123937</v>
      </c>
      <c r="R344">
        <f t="shared" ca="1" si="115"/>
        <v>1.1160272622925083</v>
      </c>
      <c r="S344">
        <f t="shared" ca="1" si="112"/>
        <v>0.45127058106689782</v>
      </c>
      <c r="T344">
        <f t="shared" ca="1" si="113"/>
        <v>31.094861768309769</v>
      </c>
      <c r="U344">
        <f>70</f>
        <v>70</v>
      </c>
      <c r="V344">
        <f>30</f>
        <v>30</v>
      </c>
      <c r="W344">
        <f t="shared" ca="1" si="111"/>
        <v>132.27913600453564</v>
      </c>
      <c r="X344">
        <f t="shared" ca="1" si="100"/>
        <v>136.1763267278792</v>
      </c>
      <c r="Y344">
        <f t="shared" ca="1" si="99"/>
        <v>-3.6706632285289231</v>
      </c>
      <c r="Z344">
        <f t="shared" ca="1" si="101"/>
        <v>-3.7394312570915824</v>
      </c>
      <c r="AA344">
        <f t="shared" ca="1" si="102"/>
        <v>6.8768028562659289E-2</v>
      </c>
      <c r="AB344">
        <f t="shared" ca="1" si="103"/>
        <v>146.03235000000006</v>
      </c>
    </row>
    <row r="345" spans="1:28" x14ac:dyDescent="0.25">
      <c r="A345" s="20">
        <f t="shared" ca="1" si="104"/>
        <v>45789</v>
      </c>
      <c r="B345" vm="1008">
        <f ca="1"/>
        <v>45792</v>
      </c>
      <c r="C345" vm="1009">
        <f ca="1"/>
        <v>131.5</v>
      </c>
      <c r="D345" vm="1010">
        <f ca="1"/>
        <v>9165089</v>
      </c>
      <c r="E345">
        <f t="shared" ca="1" si="105"/>
        <v>1205209203.5</v>
      </c>
      <c r="F345">
        <f ca="1">SUM($E$2:E345)/SUM($D$2:D345)</f>
        <v>160.66397542853048</v>
      </c>
      <c r="G345">
        <f ca="1">_xlfn.STDEV.P($C$2:C345)</f>
        <v>12.416407804426003</v>
      </c>
      <c r="H345">
        <f t="shared" ca="1" si="106"/>
        <v>173.08038323295648</v>
      </c>
      <c r="I345">
        <f t="shared" ca="1" si="107"/>
        <v>148.24756762410448</v>
      </c>
      <c r="J345">
        <f t="shared" ca="1" si="116"/>
        <v>134.41924999999998</v>
      </c>
      <c r="K345">
        <f t="shared" ca="1" si="117"/>
        <v>4.5390835717193667</v>
      </c>
      <c r="L345">
        <f t="shared" ca="1" si="118"/>
        <v>143.49741714343872</v>
      </c>
      <c r="M345">
        <f t="shared" ca="1" si="119"/>
        <v>125.34108285656124</v>
      </c>
      <c r="N345">
        <f t="shared" ca="1" si="108"/>
        <v>3.0500000000000114</v>
      </c>
      <c r="O345">
        <f t="shared" ca="1" si="109"/>
        <v>3.0500000000000114</v>
      </c>
      <c r="P345">
        <f t="shared" ca="1" si="110"/>
        <v>0</v>
      </c>
      <c r="Q345">
        <f t="shared" ca="1" si="114"/>
        <v>0.68551382320258014</v>
      </c>
      <c r="R345">
        <f t="shared" ca="1" si="115"/>
        <v>1.0363110292716147</v>
      </c>
      <c r="S345">
        <f t="shared" ca="1" si="112"/>
        <v>0.66149428486195194</v>
      </c>
      <c r="T345">
        <f t="shared" ca="1" si="113"/>
        <v>39.813214579724743</v>
      </c>
      <c r="U345">
        <f>70</f>
        <v>70</v>
      </c>
      <c r="V345">
        <f>30</f>
        <v>30</v>
      </c>
      <c r="W345">
        <f t="shared" ca="1" si="111"/>
        <v>132.15926892691479</v>
      </c>
      <c r="X345">
        <f t="shared" ca="1" si="100"/>
        <v>135.82993215544371</v>
      </c>
      <c r="Y345">
        <f t="shared" ca="1" si="99"/>
        <v>-3.4130629037763924</v>
      </c>
      <c r="Z345">
        <f t="shared" ca="1" si="101"/>
        <v>-3.674157586428545</v>
      </c>
      <c r="AA345">
        <f t="shared" ca="1" si="102"/>
        <v>0.26109468265215252</v>
      </c>
      <c r="AB345">
        <f t="shared" ca="1" si="103"/>
        <v>145.80305000000007</v>
      </c>
    </row>
    <row r="346" spans="1:28" x14ac:dyDescent="0.25">
      <c r="A346" s="20">
        <f t="shared" ca="1" si="104"/>
        <v>45789</v>
      </c>
      <c r="B346" vm="1011">
        <f ca="1"/>
        <v>45793</v>
      </c>
      <c r="C346" vm="1012">
        <f ca="1"/>
        <v>131.97999999999999</v>
      </c>
      <c r="D346" vm="1013">
        <f ca="1"/>
        <v>8896370</v>
      </c>
      <c r="E346">
        <f t="shared" ca="1" si="105"/>
        <v>1174142912.5999999</v>
      </c>
      <c r="F346">
        <f ca="1">SUM($E$2:E346)/SUM($D$2:D346)</f>
        <v>160.54380859592263</v>
      </c>
      <c r="G346">
        <f ca="1">_xlfn.STDEV.P($C$2:C346)</f>
        <v>12.508273193109904</v>
      </c>
      <c r="H346">
        <f t="shared" ca="1" si="106"/>
        <v>173.05208178903254</v>
      </c>
      <c r="I346">
        <f t="shared" ca="1" si="107"/>
        <v>148.03553540281271</v>
      </c>
      <c r="J346">
        <f t="shared" ca="1" si="116"/>
        <v>133.87624999999997</v>
      </c>
      <c r="K346">
        <f t="shared" ca="1" si="117"/>
        <v>4.1077990248973197</v>
      </c>
      <c r="L346">
        <f t="shared" ca="1" si="118"/>
        <v>142.09184804979461</v>
      </c>
      <c r="M346">
        <f t="shared" ca="1" si="119"/>
        <v>125.66065195020533</v>
      </c>
      <c r="N346">
        <f t="shared" ca="1" si="108"/>
        <v>0.47999999999998977</v>
      </c>
      <c r="O346">
        <f t="shared" ca="1" si="109"/>
        <v>0.47999999999998977</v>
      </c>
      <c r="P346">
        <f t="shared" ca="1" si="110"/>
        <v>0</v>
      </c>
      <c r="Q346">
        <f t="shared" ca="1" si="114"/>
        <v>0.67083426440239513</v>
      </c>
      <c r="R346">
        <f t="shared" ca="1" si="115"/>
        <v>0.96228881289507073</v>
      </c>
      <c r="S346">
        <f t="shared" ca="1" si="112"/>
        <v>0.69712362381536264</v>
      </c>
      <c r="T346">
        <f t="shared" ca="1" si="113"/>
        <v>41.076773314140475</v>
      </c>
      <c r="U346">
        <f>70</f>
        <v>70</v>
      </c>
      <c r="V346">
        <f>30</f>
        <v>30</v>
      </c>
      <c r="W346">
        <f t="shared" ca="1" si="111"/>
        <v>132.13168909200482</v>
      </c>
      <c r="X346">
        <f t="shared" ca="1" si="100"/>
        <v>135.54475199578121</v>
      </c>
      <c r="Y346">
        <f t="shared" ca="1" si="99"/>
        <v>-3.1875006789272504</v>
      </c>
      <c r="Z346">
        <f t="shared" ca="1" si="101"/>
        <v>-3.5768262049282864</v>
      </c>
      <c r="AA346">
        <f t="shared" ca="1" si="102"/>
        <v>0.38932552600103598</v>
      </c>
      <c r="AB346">
        <f t="shared" ca="1" si="103"/>
        <v>145.60815000000005</v>
      </c>
    </row>
    <row r="347" spans="1:28" x14ac:dyDescent="0.25">
      <c r="A347" s="20">
        <f t="shared" ca="1" si="104"/>
        <v>45796</v>
      </c>
      <c r="B347" vm="1014">
        <f ca="1"/>
        <v>45796</v>
      </c>
      <c r="C347" vm="1015">
        <f ca="1"/>
        <v>131.79</v>
      </c>
      <c r="D347" vm="1016">
        <f ca="1"/>
        <v>9406194</v>
      </c>
      <c r="E347">
        <f t="shared" ca="1" si="105"/>
        <v>1239642307.26</v>
      </c>
      <c r="F347">
        <f ca="1">SUM($E$2:E347)/SUM($D$2:D347)</f>
        <v>160.41700770006915</v>
      </c>
      <c r="G347">
        <f ca="1">_xlfn.STDEV.P($C$2:C347)</f>
        <v>12.599655129237895</v>
      </c>
      <c r="H347">
        <f t="shared" ca="1" si="106"/>
        <v>173.01666282930705</v>
      </c>
      <c r="I347">
        <f t="shared" ca="1" si="107"/>
        <v>147.81735257083125</v>
      </c>
      <c r="J347">
        <f t="shared" ca="1" si="116"/>
        <v>133.37925000000001</v>
      </c>
      <c r="K347">
        <f t="shared" ca="1" si="117"/>
        <v>3.6873690074860184</v>
      </c>
      <c r="L347">
        <f t="shared" ca="1" si="118"/>
        <v>140.75398801497204</v>
      </c>
      <c r="M347">
        <f t="shared" ca="1" si="119"/>
        <v>126.00451198502797</v>
      </c>
      <c r="N347">
        <f t="shared" ca="1" si="108"/>
        <v>-0.18999999999999773</v>
      </c>
      <c r="O347">
        <f t="shared" ca="1" si="109"/>
        <v>0</v>
      </c>
      <c r="P347">
        <f t="shared" ca="1" si="110"/>
        <v>0.18999999999999773</v>
      </c>
      <c r="Q347">
        <f t="shared" ca="1" si="114"/>
        <v>0.62291753123079552</v>
      </c>
      <c r="R347">
        <f t="shared" ca="1" si="115"/>
        <v>0.90712532625970843</v>
      </c>
      <c r="S347">
        <f t="shared" ca="1" si="112"/>
        <v>0.68669401371388383</v>
      </c>
      <c r="T347">
        <f t="shared" ca="1" si="113"/>
        <v>40.712423719455302</v>
      </c>
      <c r="U347">
        <f>70</f>
        <v>70</v>
      </c>
      <c r="V347">
        <f>30</f>
        <v>30</v>
      </c>
      <c r="W347">
        <f t="shared" ca="1" si="111"/>
        <v>132.07912153938869</v>
      </c>
      <c r="X347">
        <f t="shared" ca="1" si="100"/>
        <v>135.26662221831594</v>
      </c>
      <c r="Y347">
        <f t="shared" ca="1" si="99"/>
        <v>-2.9736556232314513</v>
      </c>
      <c r="Z347">
        <f t="shared" ca="1" si="101"/>
        <v>-3.4561920885889199</v>
      </c>
      <c r="AA347">
        <f t="shared" ca="1" si="102"/>
        <v>0.48253646535746864</v>
      </c>
      <c r="AB347">
        <f t="shared" ca="1" si="103"/>
        <v>145.39815000000007</v>
      </c>
    </row>
    <row r="348" spans="1:28" x14ac:dyDescent="0.25">
      <c r="A348" s="20">
        <f t="shared" ca="1" si="104"/>
        <v>45796</v>
      </c>
      <c r="B348" vm="1017">
        <f ca="1"/>
        <v>45797</v>
      </c>
      <c r="C348" vm="1018">
        <f ca="1"/>
        <v>131.80000000000001</v>
      </c>
      <c r="D348" vm="1019">
        <f ca="1"/>
        <v>7624244</v>
      </c>
      <c r="E348">
        <f t="shared" ca="1" si="105"/>
        <v>1004875359.2</v>
      </c>
      <c r="F348">
        <f ca="1">SUM($E$2:E348)/SUM($D$2:D348)</f>
        <v>160.31508183136313</v>
      </c>
      <c r="G348">
        <f ca="1">_xlfn.STDEV.P($C$2:C348)</f>
        <v>12.689166342488402</v>
      </c>
      <c r="H348">
        <f t="shared" ca="1" si="106"/>
        <v>173.00424817385152</v>
      </c>
      <c r="I348">
        <f t="shared" ca="1" si="107"/>
        <v>147.62591548887474</v>
      </c>
      <c r="J348">
        <f t="shared" ca="1" si="116"/>
        <v>132.79625000000001</v>
      </c>
      <c r="K348">
        <f t="shared" ca="1" si="117"/>
        <v>2.8322563420075704</v>
      </c>
      <c r="L348">
        <f t="shared" ca="1" si="118"/>
        <v>138.46076268401515</v>
      </c>
      <c r="M348">
        <f t="shared" ca="1" si="119"/>
        <v>127.13173731598488</v>
      </c>
      <c r="N348">
        <f t="shared" ca="1" si="108"/>
        <v>1.0000000000019327E-2</v>
      </c>
      <c r="O348">
        <f t="shared" ca="1" si="109"/>
        <v>1.0000000000019327E-2</v>
      </c>
      <c r="P348">
        <f t="shared" ca="1" si="110"/>
        <v>0</v>
      </c>
      <c r="Q348">
        <f t="shared" ca="1" si="114"/>
        <v>0.57913770757145433</v>
      </c>
      <c r="R348">
        <f t="shared" ca="1" si="115"/>
        <v>0.84233066009830071</v>
      </c>
      <c r="S348">
        <f t="shared" ca="1" si="112"/>
        <v>0.68754200102827612</v>
      </c>
      <c r="T348">
        <f t="shared" ca="1" si="113"/>
        <v>40.742215637260209</v>
      </c>
      <c r="U348">
        <f>70</f>
        <v>70</v>
      </c>
      <c r="V348">
        <f>30</f>
        <v>30</v>
      </c>
      <c r="W348">
        <f t="shared" ca="1" si="111"/>
        <v>132.03617976409814</v>
      </c>
      <c r="X348">
        <f t="shared" ca="1" si="100"/>
        <v>135.00983538732959</v>
      </c>
      <c r="Y348">
        <f t="shared" ref="Y348:Y411" ca="1" si="120">W349-X349</f>
        <v>-2.9038493189315204</v>
      </c>
      <c r="Z348">
        <f t="shared" ca="1" si="101"/>
        <v>-3.3457235346574405</v>
      </c>
      <c r="AA348">
        <f t="shared" ca="1" si="102"/>
        <v>0.44187421572592012</v>
      </c>
      <c r="AB348">
        <f t="shared" ca="1" si="103"/>
        <v>145.20325000000005</v>
      </c>
    </row>
    <row r="349" spans="1:28" x14ac:dyDescent="0.25">
      <c r="A349" s="20">
        <f t="shared" ca="1" si="104"/>
        <v>45796</v>
      </c>
      <c r="B349" vm="1020">
        <f ca="1"/>
        <v>45798</v>
      </c>
      <c r="C349" vm="1021">
        <f ca="1"/>
        <v>130.15</v>
      </c>
      <c r="D349" vm="1022">
        <f ca="1"/>
        <v>9243724</v>
      </c>
      <c r="E349">
        <f t="shared" ca="1" si="105"/>
        <v>1203070678.6000001</v>
      </c>
      <c r="F349">
        <f ca="1">SUM($E$2:E349)/SUM($D$2:D349)</f>
        <v>160.18538077106652</v>
      </c>
      <c r="G349">
        <f ca="1">_xlfn.STDEV.P($C$2:C349)</f>
        <v>12.788585009378648</v>
      </c>
      <c r="H349">
        <f t="shared" ca="1" si="106"/>
        <v>172.97396578044516</v>
      </c>
      <c r="I349">
        <f t="shared" ca="1" si="107"/>
        <v>147.39679576168788</v>
      </c>
      <c r="J349">
        <f t="shared" ca="1" si="116"/>
        <v>132.19075000000004</v>
      </c>
      <c r="K349">
        <f t="shared" ca="1" si="117"/>
        <v>1.8139708369674599</v>
      </c>
      <c r="L349">
        <f t="shared" ca="1" si="118"/>
        <v>135.81869167393495</v>
      </c>
      <c r="M349">
        <f t="shared" ca="1" si="119"/>
        <v>128.56280832606512</v>
      </c>
      <c r="N349">
        <f t="shared" ca="1" si="108"/>
        <v>-1.6500000000000057</v>
      </c>
      <c r="O349">
        <f t="shared" ca="1" si="109"/>
        <v>0</v>
      </c>
      <c r="P349">
        <f t="shared" ca="1" si="110"/>
        <v>1.6500000000000057</v>
      </c>
      <c r="Q349">
        <f t="shared" ca="1" si="114"/>
        <v>0.53777072845920759</v>
      </c>
      <c r="R349">
        <f t="shared" ca="1" si="115"/>
        <v>0.90002132723413675</v>
      </c>
      <c r="S349">
        <f t="shared" ca="1" si="112"/>
        <v>0.59750887249731677</v>
      </c>
      <c r="T349">
        <f t="shared" ca="1" si="113"/>
        <v>37.402538588925452</v>
      </c>
      <c r="U349">
        <f>70</f>
        <v>70</v>
      </c>
      <c r="V349">
        <f>30</f>
        <v>30</v>
      </c>
      <c r="W349">
        <f t="shared" ca="1" si="111"/>
        <v>131.7459982619292</v>
      </c>
      <c r="X349">
        <f t="shared" ref="X349:X412" ca="1" si="121">C349*(2/(26+1)) + X348*(1-(2/(26+1)))</f>
        <v>134.64984758086072</v>
      </c>
      <c r="Y349">
        <f t="shared" ca="1" si="120"/>
        <v>-2.818458632440894</v>
      </c>
      <c r="Z349">
        <f t="shared" ca="1" si="101"/>
        <v>-3.2402705542141317</v>
      </c>
      <c r="AA349">
        <f t="shared" ca="1" si="102"/>
        <v>0.42181192177323767</v>
      </c>
      <c r="AB349">
        <f t="shared" ca="1" si="103"/>
        <v>144.97665000000006</v>
      </c>
    </row>
    <row r="350" spans="1:28" x14ac:dyDescent="0.25">
      <c r="A350" s="20">
        <f t="shared" ca="1" si="104"/>
        <v>45796</v>
      </c>
      <c r="B350" vm="1023">
        <f ca="1"/>
        <v>45799</v>
      </c>
      <c r="C350" vm="1024">
        <f ca="1"/>
        <v>130.12</v>
      </c>
      <c r="D350" vm="1025">
        <f ca="1"/>
        <v>7140231</v>
      </c>
      <c r="E350">
        <f t="shared" ca="1" si="105"/>
        <v>929086857.72000003</v>
      </c>
      <c r="F350">
        <f ca="1">SUM($E$2:E350)/SUM($D$2:D350)</f>
        <v>160.08585604293674</v>
      </c>
      <c r="G350">
        <f ca="1">_xlfn.STDEV.P($C$2:C350)</f>
        <v>12.88622391462204</v>
      </c>
      <c r="H350">
        <f t="shared" ca="1" si="106"/>
        <v>172.97207995755878</v>
      </c>
      <c r="I350">
        <f t="shared" ca="1" si="107"/>
        <v>147.1996321283147</v>
      </c>
      <c r="J350">
        <f t="shared" ca="1" si="116"/>
        <v>131.93125000000001</v>
      </c>
      <c r="K350">
        <f t="shared" ca="1" si="117"/>
        <v>1.7126586557316776</v>
      </c>
      <c r="L350">
        <f t="shared" ca="1" si="118"/>
        <v>135.35656731146335</v>
      </c>
      <c r="M350">
        <f t="shared" ca="1" si="119"/>
        <v>128.50593268853666</v>
      </c>
      <c r="N350">
        <f t="shared" ca="1" si="108"/>
        <v>-3.0000000000001137E-2</v>
      </c>
      <c r="O350">
        <f t="shared" ca="1" si="109"/>
        <v>0</v>
      </c>
      <c r="P350">
        <f t="shared" ca="1" si="110"/>
        <v>3.0000000000001137E-2</v>
      </c>
      <c r="Q350">
        <f t="shared" ca="1" si="114"/>
        <v>0.49935853356926418</v>
      </c>
      <c r="R350">
        <f t="shared" ca="1" si="115"/>
        <v>0.83787694671741275</v>
      </c>
      <c r="S350">
        <f t="shared" ca="1" si="112"/>
        <v>0.59598075293230468</v>
      </c>
      <c r="T350">
        <f t="shared" ca="1" si="113"/>
        <v>37.342602774958642</v>
      </c>
      <c r="U350">
        <f>70</f>
        <v>70</v>
      </c>
      <c r="V350">
        <f>30</f>
        <v>30</v>
      </c>
      <c r="W350">
        <f t="shared" ca="1" si="111"/>
        <v>131.49584468317087</v>
      </c>
      <c r="X350">
        <f t="shared" ca="1" si="121"/>
        <v>134.31430331561177</v>
      </c>
      <c r="Y350">
        <f t="shared" ca="1" si="120"/>
        <v>-2.7816601329688808</v>
      </c>
      <c r="Z350">
        <f t="shared" ca="1" si="101"/>
        <v>-3.1485484699650819</v>
      </c>
      <c r="AA350">
        <f t="shared" ca="1" si="102"/>
        <v>0.36688833699620105</v>
      </c>
      <c r="AB350">
        <f t="shared" ca="1" si="103"/>
        <v>144.75345000000007</v>
      </c>
    </row>
    <row r="351" spans="1:28" x14ac:dyDescent="0.25">
      <c r="A351" s="20">
        <f t="shared" ca="1" si="104"/>
        <v>45796</v>
      </c>
      <c r="B351" vm="1026">
        <f ca="1"/>
        <v>45800</v>
      </c>
      <c r="C351" vm="1027">
        <f ca="1"/>
        <v>129.34</v>
      </c>
      <c r="D351" vm="1028">
        <f ca="1"/>
        <v>8122494</v>
      </c>
      <c r="E351">
        <f t="shared" ca="1" si="105"/>
        <v>1050563373.96</v>
      </c>
      <c r="F351">
        <f ca="1">SUM($E$2:E351)/SUM($D$2:D351)</f>
        <v>159.97051186378408</v>
      </c>
      <c r="G351">
        <f ca="1">_xlfn.STDEV.P($C$2:C351)</f>
        <v>12.987497695586208</v>
      </c>
      <c r="H351">
        <f t="shared" ca="1" si="106"/>
        <v>172.95800955937028</v>
      </c>
      <c r="I351">
        <f t="shared" ca="1" si="107"/>
        <v>146.98301416819788</v>
      </c>
      <c r="J351">
        <f t="shared" ca="1" si="116"/>
        <v>131.72925000000004</v>
      </c>
      <c r="K351">
        <f t="shared" ca="1" si="117"/>
        <v>1.770079001359159</v>
      </c>
      <c r="L351">
        <f t="shared" ca="1" si="118"/>
        <v>135.26940800271836</v>
      </c>
      <c r="M351">
        <f t="shared" ca="1" si="119"/>
        <v>128.18909199728171</v>
      </c>
      <c r="N351">
        <f t="shared" ca="1" si="108"/>
        <v>-0.78000000000000114</v>
      </c>
      <c r="O351">
        <f t="shared" ca="1" si="109"/>
        <v>0</v>
      </c>
      <c r="P351">
        <f t="shared" ca="1" si="110"/>
        <v>0.78000000000000114</v>
      </c>
      <c r="Q351">
        <f t="shared" ca="1" si="114"/>
        <v>0.46369006688574527</v>
      </c>
      <c r="R351">
        <f t="shared" ca="1" si="115"/>
        <v>0.83374287909474043</v>
      </c>
      <c r="S351">
        <f t="shared" ca="1" si="112"/>
        <v>0.55615475527564284</v>
      </c>
      <c r="T351">
        <f t="shared" ca="1" si="113"/>
        <v>35.739039024889962</v>
      </c>
      <c r="U351">
        <f>70</f>
        <v>70</v>
      </c>
      <c r="V351">
        <f>30</f>
        <v>30</v>
      </c>
      <c r="W351">
        <f t="shared" ca="1" si="111"/>
        <v>131.16417627037535</v>
      </c>
      <c r="X351">
        <f t="shared" ca="1" si="121"/>
        <v>133.94583640334423</v>
      </c>
      <c r="Y351">
        <f t="shared" ca="1" si="120"/>
        <v>-2.5591922472518434</v>
      </c>
      <c r="Z351">
        <f t="shared" ca="1" si="101"/>
        <v>-3.0306772254224343</v>
      </c>
      <c r="AA351">
        <f t="shared" ca="1" si="102"/>
        <v>0.47148497817059098</v>
      </c>
      <c r="AB351">
        <f t="shared" ca="1" si="103"/>
        <v>144.51795000000004</v>
      </c>
    </row>
    <row r="352" spans="1:28" x14ac:dyDescent="0.25">
      <c r="A352" s="20">
        <f t="shared" ca="1" si="104"/>
        <v>45803</v>
      </c>
      <c r="B352" vm="1029">
        <f ca="1"/>
        <v>45804</v>
      </c>
      <c r="C352" vm="1030">
        <f ca="1"/>
        <v>131.37</v>
      </c>
      <c r="D352" vm="1031">
        <f ca="1"/>
        <v>13974764</v>
      </c>
      <c r="E352">
        <f t="shared" ca="1" si="105"/>
        <v>1835864746.6800001</v>
      </c>
      <c r="F352">
        <f ca="1">SUM($E$2:E352)/SUM($D$2:D352)</f>
        <v>159.78709307288443</v>
      </c>
      <c r="G352">
        <f ca="1">_xlfn.STDEV.P($C$2:C352)</f>
        <v>13.072702839130665</v>
      </c>
      <c r="H352">
        <f t="shared" ca="1" si="106"/>
        <v>172.8597959120151</v>
      </c>
      <c r="I352">
        <f t="shared" ca="1" si="107"/>
        <v>146.71439023375376</v>
      </c>
      <c r="J352">
        <f t="shared" ca="1" si="116"/>
        <v>131.60975000000002</v>
      </c>
      <c r="K352">
        <f t="shared" ca="1" si="117"/>
        <v>1.7052538590146098</v>
      </c>
      <c r="L352">
        <f t="shared" ca="1" si="118"/>
        <v>135.02025771802923</v>
      </c>
      <c r="M352">
        <f t="shared" ca="1" si="119"/>
        <v>128.19924228197081</v>
      </c>
      <c r="N352">
        <f t="shared" ca="1" si="108"/>
        <v>2.0300000000000011</v>
      </c>
      <c r="O352">
        <f t="shared" ca="1" si="109"/>
        <v>2.0300000000000011</v>
      </c>
      <c r="P352">
        <f t="shared" ca="1" si="110"/>
        <v>0</v>
      </c>
      <c r="Q352">
        <f t="shared" ca="1" si="114"/>
        <v>0.57556934782247793</v>
      </c>
      <c r="R352">
        <f t="shared" ca="1" si="115"/>
        <v>0.77418981630225903</v>
      </c>
      <c r="S352">
        <f t="shared" ca="1" si="112"/>
        <v>0.74344732480666509</v>
      </c>
      <c r="T352">
        <f t="shared" ca="1" si="113"/>
        <v>42.642373774562287</v>
      </c>
      <c r="U352">
        <f>70</f>
        <v>70</v>
      </c>
      <c r="V352">
        <f>30</f>
        <v>30</v>
      </c>
      <c r="W352">
        <f t="shared" ca="1" si="111"/>
        <v>131.19584145954838</v>
      </c>
      <c r="X352">
        <f t="shared" ca="1" si="121"/>
        <v>133.75503370680022</v>
      </c>
      <c r="Y352">
        <f t="shared" ca="1" si="120"/>
        <v>-2.4115699180176762</v>
      </c>
      <c r="Z352">
        <f t="shared" ca="1" si="101"/>
        <v>-2.9068557639414827</v>
      </c>
      <c r="AA352">
        <f t="shared" ca="1" si="102"/>
        <v>0.49528584592380653</v>
      </c>
      <c r="AB352">
        <f t="shared" ca="1" si="103"/>
        <v>144.31445000000005</v>
      </c>
    </row>
    <row r="353" spans="1:28" x14ac:dyDescent="0.25">
      <c r="A353" s="20">
        <f t="shared" ca="1" si="104"/>
        <v>45803</v>
      </c>
      <c r="B353" vm="1032">
        <f ca="1"/>
        <v>45805</v>
      </c>
      <c r="C353" vm="1033">
        <f ca="1"/>
        <v>130.66999999999999</v>
      </c>
      <c r="D353" vm="1034">
        <f ca="1"/>
        <v>9431450</v>
      </c>
      <c r="E353">
        <f t="shared" ca="1" si="105"/>
        <v>1232407571.5</v>
      </c>
      <c r="F353">
        <f ca="1">SUM($E$2:E353)/SUM($D$2:D353)</f>
        <v>159.66161253359667</v>
      </c>
      <c r="G353">
        <f ca="1">_xlfn.STDEV.P($C$2:C353)</f>
        <v>13.160981414168276</v>
      </c>
      <c r="H353">
        <f t="shared" ca="1" si="106"/>
        <v>172.82259394776494</v>
      </c>
      <c r="I353">
        <f t="shared" ca="1" si="107"/>
        <v>146.50063111942839</v>
      </c>
      <c r="J353">
        <f t="shared" ca="1" si="116"/>
        <v>131.42775</v>
      </c>
      <c r="K353">
        <f t="shared" ca="1" si="117"/>
        <v>1.5924034094478268</v>
      </c>
      <c r="L353">
        <f t="shared" ca="1" si="118"/>
        <v>134.61255681889565</v>
      </c>
      <c r="M353">
        <f t="shared" ca="1" si="119"/>
        <v>128.24294318110435</v>
      </c>
      <c r="N353">
        <f t="shared" ca="1" si="108"/>
        <v>-0.70000000000001705</v>
      </c>
      <c r="O353">
        <f t="shared" ca="1" si="109"/>
        <v>0</v>
      </c>
      <c r="P353">
        <f t="shared" ca="1" si="110"/>
        <v>0.70000000000001705</v>
      </c>
      <c r="Q353">
        <f t="shared" ca="1" si="114"/>
        <v>0.53445725154944379</v>
      </c>
      <c r="R353">
        <f t="shared" ca="1" si="115"/>
        <v>0.76889054370924181</v>
      </c>
      <c r="S353">
        <f t="shared" ca="1" si="112"/>
        <v>0.69510186582753752</v>
      </c>
      <c r="T353">
        <f t="shared" ca="1" si="113"/>
        <v>41.006495234325833</v>
      </c>
      <c r="U353">
        <f>70</f>
        <v>70</v>
      </c>
      <c r="V353">
        <f>30</f>
        <v>30</v>
      </c>
      <c r="W353">
        <f t="shared" ca="1" si="111"/>
        <v>131.11494277346401</v>
      </c>
      <c r="X353">
        <f t="shared" ca="1" si="121"/>
        <v>133.52651269148168</v>
      </c>
      <c r="Y353">
        <f t="shared" ca="1" si="120"/>
        <v>-2.1687140199793191</v>
      </c>
      <c r="Z353">
        <f t="shared" ca="1" si="101"/>
        <v>-2.7592274151490499</v>
      </c>
      <c r="AA353">
        <f t="shared" ca="1" si="102"/>
        <v>0.59051339516973078</v>
      </c>
      <c r="AB353">
        <f t="shared" ca="1" si="103"/>
        <v>144.10055000000003</v>
      </c>
    </row>
    <row r="354" spans="1:28" x14ac:dyDescent="0.25">
      <c r="A354" s="20">
        <f t="shared" ca="1" si="104"/>
        <v>45803</v>
      </c>
      <c r="B354" vm="1035">
        <f ca="1"/>
        <v>45806</v>
      </c>
      <c r="C354" vm="1036">
        <f ca="1"/>
        <v>131.91999999999999</v>
      </c>
      <c r="D354" vm="1037">
        <f ca="1"/>
        <v>6659069</v>
      </c>
      <c r="E354">
        <f t="shared" ca="1" si="105"/>
        <v>878464382.4799999</v>
      </c>
      <c r="F354">
        <f ca="1">SUM($E$2:E354)/SUM($D$2:D354)</f>
        <v>159.57745835656041</v>
      </c>
      <c r="G354">
        <f ca="1">_xlfn.STDEV.P($C$2:C354)</f>
        <v>13.239385248085549</v>
      </c>
      <c r="H354">
        <f t="shared" ca="1" si="106"/>
        <v>172.81684360464595</v>
      </c>
      <c r="I354">
        <f t="shared" ca="1" si="107"/>
        <v>146.33807310847487</v>
      </c>
      <c r="J354">
        <f t="shared" ca="1" si="116"/>
        <v>131.24475000000001</v>
      </c>
      <c r="K354">
        <f t="shared" ca="1" si="117"/>
        <v>1.267209403000402</v>
      </c>
      <c r="L354">
        <f t="shared" ca="1" si="118"/>
        <v>133.77916880600083</v>
      </c>
      <c r="M354">
        <f t="shared" ca="1" si="119"/>
        <v>128.7103311939992</v>
      </c>
      <c r="N354">
        <f t="shared" ca="1" si="108"/>
        <v>1.25</v>
      </c>
      <c r="O354">
        <f t="shared" ca="1" si="109"/>
        <v>1.25</v>
      </c>
      <c r="P354">
        <f t="shared" ca="1" si="110"/>
        <v>0</v>
      </c>
      <c r="Q354">
        <f t="shared" ca="1" si="114"/>
        <v>0.58556744786734072</v>
      </c>
      <c r="R354">
        <f t="shared" ca="1" si="115"/>
        <v>0.71396979058715304</v>
      </c>
      <c r="S354">
        <f t="shared" ca="1" si="112"/>
        <v>0.82015717693851298</v>
      </c>
      <c r="T354">
        <f t="shared" ca="1" si="113"/>
        <v>45.059689752618482</v>
      </c>
      <c r="U354">
        <f>70</f>
        <v>70</v>
      </c>
      <c r="V354">
        <f>30</f>
        <v>30</v>
      </c>
      <c r="W354">
        <f t="shared" ca="1" si="111"/>
        <v>131.23879773139262</v>
      </c>
      <c r="X354">
        <f t="shared" ca="1" si="121"/>
        <v>133.40751175137194</v>
      </c>
      <c r="Y354">
        <f t="shared" ca="1" si="120"/>
        <v>-1.9912204927985044</v>
      </c>
      <c r="Z354">
        <f t="shared" ca="1" si="101"/>
        <v>-2.6056260306789407</v>
      </c>
      <c r="AA354">
        <f t="shared" ca="1" si="102"/>
        <v>0.61440553788043628</v>
      </c>
      <c r="AB354">
        <f t="shared" ca="1" si="103"/>
        <v>143.91765000000004</v>
      </c>
    </row>
    <row r="355" spans="1:28" x14ac:dyDescent="0.25">
      <c r="A355" s="20">
        <f t="shared" ca="1" si="104"/>
        <v>45803</v>
      </c>
      <c r="B355" vm="1038">
        <f ca="1"/>
        <v>45807</v>
      </c>
      <c r="C355" vm="1039">
        <f ca="1"/>
        <v>131.44999999999999</v>
      </c>
      <c r="D355" vm="1040">
        <f ca="1"/>
        <v>12992075</v>
      </c>
      <c r="E355">
        <f t="shared" ca="1" si="105"/>
        <v>1707808258.7499998</v>
      </c>
      <c r="F355">
        <f ca="1">SUM($E$2:E355)/SUM($D$2:D355)</f>
        <v>159.41196647629366</v>
      </c>
      <c r="G355">
        <f ca="1">_xlfn.STDEV.P($C$2:C355)</f>
        <v>13.319354650972066</v>
      </c>
      <c r="H355">
        <f t="shared" ca="1" si="106"/>
        <v>172.73132112726572</v>
      </c>
      <c r="I355">
        <f t="shared" ca="1" si="107"/>
        <v>146.0926118253216</v>
      </c>
      <c r="J355">
        <f t="shared" ca="1" si="116"/>
        <v>131.13974999999999</v>
      </c>
      <c r="K355">
        <f t="shared" ca="1" si="117"/>
        <v>1.1474920880360193</v>
      </c>
      <c r="L355">
        <f t="shared" ca="1" si="118"/>
        <v>133.43473417607203</v>
      </c>
      <c r="M355">
        <f t="shared" ca="1" si="119"/>
        <v>128.84476582392796</v>
      </c>
      <c r="N355">
        <f t="shared" ca="1" si="108"/>
        <v>-0.46999999999999886</v>
      </c>
      <c r="O355">
        <f t="shared" ca="1" si="109"/>
        <v>0</v>
      </c>
      <c r="P355">
        <f t="shared" ca="1" si="110"/>
        <v>0.46999999999999886</v>
      </c>
      <c r="Q355">
        <f t="shared" ca="1" si="114"/>
        <v>0.54374120159110206</v>
      </c>
      <c r="R355">
        <f t="shared" ca="1" si="115"/>
        <v>0.69654337697378488</v>
      </c>
      <c r="S355">
        <f t="shared" ca="1" si="112"/>
        <v>0.78062791143525057</v>
      </c>
      <c r="T355">
        <f t="shared" ca="1" si="113"/>
        <v>43.840035665061329</v>
      </c>
      <c r="U355">
        <f>70</f>
        <v>70</v>
      </c>
      <c r="V355">
        <f>30</f>
        <v>30</v>
      </c>
      <c r="W355">
        <f t="shared" ca="1" si="111"/>
        <v>131.27129038810145</v>
      </c>
      <c r="X355">
        <f t="shared" ca="1" si="121"/>
        <v>133.26251088089995</v>
      </c>
      <c r="Y355">
        <f t="shared" ca="1" si="120"/>
        <v>-1.8725435641776471</v>
      </c>
      <c r="Z355">
        <f t="shared" ca="1" si="101"/>
        <v>-2.459009537378682</v>
      </c>
      <c r="AA355">
        <f t="shared" ca="1" si="102"/>
        <v>0.58646597320103488</v>
      </c>
      <c r="AB355">
        <f t="shared" ca="1" si="103"/>
        <v>143.73565000000005</v>
      </c>
    </row>
    <row r="356" spans="1:28" x14ac:dyDescent="0.25">
      <c r="A356" s="20">
        <f t="shared" ca="1" si="104"/>
        <v>45810</v>
      </c>
      <c r="B356" vm="1041">
        <f ca="1"/>
        <v>45810</v>
      </c>
      <c r="C356" vm="1042">
        <f ca="1"/>
        <v>130.91</v>
      </c>
      <c r="D356" vm="1043">
        <f ca="1"/>
        <v>6723720</v>
      </c>
      <c r="E356">
        <f t="shared" ca="1" si="105"/>
        <v>880202185.19999993</v>
      </c>
      <c r="F356">
        <f ca="1">SUM($E$2:E356)/SUM($D$2:D356)</f>
        <v>159.32544344259557</v>
      </c>
      <c r="G356">
        <f ca="1">_xlfn.STDEV.P($C$2:C356)</f>
        <v>13.401323693484617</v>
      </c>
      <c r="H356">
        <f t="shared" ca="1" si="106"/>
        <v>172.72676713608018</v>
      </c>
      <c r="I356">
        <f t="shared" ca="1" si="107"/>
        <v>145.92411974911096</v>
      </c>
      <c r="J356">
        <f t="shared" ca="1" si="116"/>
        <v>130.99775</v>
      </c>
      <c r="K356">
        <f t="shared" ca="1" si="117"/>
        <v>0.96937646128024524</v>
      </c>
      <c r="L356">
        <f t="shared" ca="1" si="118"/>
        <v>132.93650292256049</v>
      </c>
      <c r="M356">
        <f t="shared" ca="1" si="119"/>
        <v>129.0589970774395</v>
      </c>
      <c r="N356">
        <f t="shared" ca="1" si="108"/>
        <v>-0.53999999999999204</v>
      </c>
      <c r="O356">
        <f t="shared" ca="1" si="109"/>
        <v>0</v>
      </c>
      <c r="P356">
        <f t="shared" ca="1" si="110"/>
        <v>0.53999999999999204</v>
      </c>
      <c r="Q356">
        <f t="shared" ca="1" si="114"/>
        <v>0.5049025443345948</v>
      </c>
      <c r="R356">
        <f t="shared" ca="1" si="115"/>
        <v>0.68536170718994249</v>
      </c>
      <c r="S356">
        <f t="shared" ca="1" si="112"/>
        <v>0.73669500212486361</v>
      </c>
      <c r="T356">
        <f t="shared" ca="1" si="113"/>
        <v>42.419365589439131</v>
      </c>
      <c r="U356">
        <f>70</f>
        <v>70</v>
      </c>
      <c r="V356">
        <f>30</f>
        <v>30</v>
      </c>
      <c r="W356">
        <f t="shared" ca="1" si="111"/>
        <v>131.21570725147046</v>
      </c>
      <c r="X356">
        <f t="shared" ca="1" si="121"/>
        <v>133.08825081564811</v>
      </c>
      <c r="Y356">
        <f t="shared" ca="1" si="120"/>
        <v>-1.6832377817632675</v>
      </c>
      <c r="Z356">
        <f t="shared" ca="1" si="101"/>
        <v>-2.3038551862555994</v>
      </c>
      <c r="AA356">
        <f t="shared" ca="1" si="102"/>
        <v>0.62061740449233183</v>
      </c>
      <c r="AB356">
        <f t="shared" ca="1" si="103"/>
        <v>143.58205000000001</v>
      </c>
    </row>
    <row r="357" spans="1:28" x14ac:dyDescent="0.25">
      <c r="A357" s="20">
        <f t="shared" ca="1" si="104"/>
        <v>45810</v>
      </c>
      <c r="B357" vm="1044">
        <f ca="1"/>
        <v>45811</v>
      </c>
      <c r="C357" vm="1045">
        <f ca="1"/>
        <v>131.85</v>
      </c>
      <c r="D357" vm="1046">
        <f ca="1"/>
        <v>7339524</v>
      </c>
      <c r="E357">
        <f t="shared" ca="1" si="105"/>
        <v>967716239.39999998</v>
      </c>
      <c r="F357">
        <f ca="1">SUM($E$2:E357)/SUM($D$2:D357)</f>
        <v>159.23469834955117</v>
      </c>
      <c r="G357">
        <f ca="1">_xlfn.STDEV.P($C$2:C357)</f>
        <v>13.475842882671877</v>
      </c>
      <c r="H357">
        <f t="shared" ca="1" si="106"/>
        <v>172.71054123222305</v>
      </c>
      <c r="I357">
        <f t="shared" ca="1" si="107"/>
        <v>145.75885546687928</v>
      </c>
      <c r="J357">
        <f t="shared" ca="1" si="116"/>
        <v>130.99074999999999</v>
      </c>
      <c r="K357">
        <f t="shared" ca="1" si="117"/>
        <v>0.96231392596452747</v>
      </c>
      <c r="L357">
        <f t="shared" ca="1" si="118"/>
        <v>132.91537785192904</v>
      </c>
      <c r="M357">
        <f t="shared" ca="1" si="119"/>
        <v>129.06612214807095</v>
      </c>
      <c r="N357">
        <f t="shared" ca="1" si="108"/>
        <v>0.93999999999999773</v>
      </c>
      <c r="O357">
        <f t="shared" ca="1" si="109"/>
        <v>0.93999999999999773</v>
      </c>
      <c r="P357">
        <f t="shared" ca="1" si="110"/>
        <v>0</v>
      </c>
      <c r="Q357">
        <f t="shared" ca="1" si="114"/>
        <v>0.5359809340249807</v>
      </c>
      <c r="R357">
        <f t="shared" ca="1" si="115"/>
        <v>0.63640729953351804</v>
      </c>
      <c r="S357">
        <f t="shared" ca="1" si="112"/>
        <v>0.8421979672732397</v>
      </c>
      <c r="T357">
        <f t="shared" ca="1" si="113"/>
        <v>45.717017510329427</v>
      </c>
      <c r="U357">
        <f>70</f>
        <v>70</v>
      </c>
      <c r="V357">
        <f>30</f>
        <v>30</v>
      </c>
      <c r="W357">
        <f t="shared" ca="1" si="111"/>
        <v>131.31329075124424</v>
      </c>
      <c r="X357">
        <f t="shared" ca="1" si="121"/>
        <v>132.99652853300751</v>
      </c>
      <c r="Y357">
        <f t="shared" ca="1" si="120"/>
        <v>-1.5245140174014296</v>
      </c>
      <c r="Z357">
        <f t="shared" ca="1" si="101"/>
        <v>-2.1479869524847657</v>
      </c>
      <c r="AA357">
        <f t="shared" ca="1" si="102"/>
        <v>0.62347293508333612</v>
      </c>
      <c r="AB357">
        <f t="shared" ca="1" si="103"/>
        <v>143.44655000000003</v>
      </c>
    </row>
    <row r="358" spans="1:28" x14ac:dyDescent="0.25">
      <c r="A358" s="20">
        <f t="shared" ca="1" si="104"/>
        <v>45810</v>
      </c>
      <c r="B358" vm="1047">
        <f ca="1"/>
        <v>45812</v>
      </c>
      <c r="C358" vm="1048">
        <f ca="1"/>
        <v>131.74</v>
      </c>
      <c r="D358" vm="1049">
        <f ca="1"/>
        <v>6519728</v>
      </c>
      <c r="E358">
        <f t="shared" ca="1" si="105"/>
        <v>858908966.72000003</v>
      </c>
      <c r="F358">
        <f ca="1">SUM($E$2:E358)/SUM($D$2:D358)</f>
        <v>159.15426860560908</v>
      </c>
      <c r="G358">
        <f ca="1">_xlfn.STDEV.P($C$2:C358)</f>
        <v>13.549699108515799</v>
      </c>
      <c r="H358">
        <f t="shared" ca="1" si="106"/>
        <v>172.70396771412487</v>
      </c>
      <c r="I358">
        <f t="shared" ca="1" si="107"/>
        <v>145.60456949709328</v>
      </c>
      <c r="J358">
        <f t="shared" ca="1" si="116"/>
        <v>131.04074999999997</v>
      </c>
      <c r="K358">
        <f t="shared" ca="1" si="117"/>
        <v>0.9745015932583988</v>
      </c>
      <c r="L358">
        <f t="shared" ca="1" si="118"/>
        <v>132.98975318651677</v>
      </c>
      <c r="M358">
        <f t="shared" ca="1" si="119"/>
        <v>129.09174681348318</v>
      </c>
      <c r="N358">
        <f t="shared" ca="1" si="108"/>
        <v>-0.10999999999998522</v>
      </c>
      <c r="O358">
        <f t="shared" ca="1" si="109"/>
        <v>0</v>
      </c>
      <c r="P358">
        <f t="shared" ca="1" si="110"/>
        <v>0.10999999999998522</v>
      </c>
      <c r="Q358">
        <f t="shared" ca="1" si="114"/>
        <v>0.49769658159462493</v>
      </c>
      <c r="R358">
        <f t="shared" ca="1" si="115"/>
        <v>0.59880677813826566</v>
      </c>
      <c r="S358">
        <f t="shared" ca="1" si="112"/>
        <v>0.8311472076885974</v>
      </c>
      <c r="T358">
        <f t="shared" ca="1" si="113"/>
        <v>45.389426049352409</v>
      </c>
      <c r="U358">
        <f>70</f>
        <v>70</v>
      </c>
      <c r="V358">
        <f>30</f>
        <v>30</v>
      </c>
      <c r="W358">
        <f t="shared" ca="1" si="111"/>
        <v>131.3789383279759</v>
      </c>
      <c r="X358">
        <f t="shared" ca="1" si="121"/>
        <v>132.90345234537733</v>
      </c>
      <c r="Y358">
        <f t="shared" ca="1" si="120"/>
        <v>-1.4330408229025409</v>
      </c>
      <c r="Z358">
        <f t="shared" ref="Z358:Z421" ca="1" si="122">Y358*(2/(9+1)) + Z357*(1-(2/(9+1)))</f>
        <v>-2.004997726568321</v>
      </c>
      <c r="AA358">
        <f t="shared" ref="AA358:AA421" ca="1" si="123">Y358-Z358</f>
        <v>0.57195690366578011</v>
      </c>
      <c r="AB358">
        <f t="shared" ref="AB358:AB421" ca="1" si="124">AVERAGE(C259:C358)</f>
        <v>143.29855000000001</v>
      </c>
    </row>
    <row r="359" spans="1:28" x14ac:dyDescent="0.25">
      <c r="A359" s="20">
        <f t="shared" ca="1" si="104"/>
        <v>45810</v>
      </c>
      <c r="B359" vm="1050">
        <f ca="1"/>
        <v>45813</v>
      </c>
      <c r="C359" vm="1051">
        <f ca="1"/>
        <v>131.11000000000001</v>
      </c>
      <c r="D359" vm="1052">
        <f ca="1"/>
        <v>9566619</v>
      </c>
      <c r="E359">
        <f t="shared" ca="1" si="105"/>
        <v>1254279417.0900002</v>
      </c>
      <c r="F359">
        <f ca="1">SUM($E$2:E359)/SUM($D$2:D359)</f>
        <v>159.03440683632851</v>
      </c>
      <c r="G359">
        <f ca="1">_xlfn.STDEV.P($C$2:C359)</f>
        <v>13.626120310006206</v>
      </c>
      <c r="H359">
        <f t="shared" ca="1" si="106"/>
        <v>172.66052714633472</v>
      </c>
      <c r="I359">
        <f t="shared" ca="1" si="107"/>
        <v>145.40828652632231</v>
      </c>
      <c r="J359">
        <f t="shared" ca="1" si="116"/>
        <v>131.00049999999999</v>
      </c>
      <c r="K359">
        <f t="shared" ca="1" si="117"/>
        <v>0.9528763933756742</v>
      </c>
      <c r="L359">
        <f t="shared" ca="1" si="118"/>
        <v>132.90625278675134</v>
      </c>
      <c r="M359">
        <f t="shared" ca="1" si="119"/>
        <v>129.09474721324864</v>
      </c>
      <c r="N359">
        <f t="shared" ca="1" si="108"/>
        <v>-0.62999999999999545</v>
      </c>
      <c r="O359">
        <f t="shared" ca="1" si="109"/>
        <v>0</v>
      </c>
      <c r="P359">
        <f t="shared" ca="1" si="110"/>
        <v>0.62999999999999545</v>
      </c>
      <c r="Q359">
        <f t="shared" ca="1" si="114"/>
        <v>0.46214682576643745</v>
      </c>
      <c r="R359">
        <f t="shared" ca="1" si="115"/>
        <v>0.60103486541410356</v>
      </c>
      <c r="S359">
        <f t="shared" ca="1" si="112"/>
        <v>0.76891849767820963</v>
      </c>
      <c r="T359">
        <f t="shared" ca="1" si="113"/>
        <v>43.468282947317924</v>
      </c>
      <c r="U359">
        <f>70</f>
        <v>70</v>
      </c>
      <c r="V359">
        <f>30</f>
        <v>30</v>
      </c>
      <c r="W359">
        <f t="shared" ca="1" si="111"/>
        <v>131.33756320059499</v>
      </c>
      <c r="X359">
        <f t="shared" ca="1" si="121"/>
        <v>132.77060402349753</v>
      </c>
      <c r="Y359">
        <f t="shared" ca="1" si="120"/>
        <v>-1.431196686780595</v>
      </c>
      <c r="Z359">
        <f t="shared" ca="1" si="122"/>
        <v>-1.8902375186107758</v>
      </c>
      <c r="AA359">
        <f t="shared" ca="1" si="123"/>
        <v>0.45904083183018085</v>
      </c>
      <c r="AB359">
        <f t="shared" ca="1" si="124"/>
        <v>143.18325000000002</v>
      </c>
    </row>
    <row r="360" spans="1:28" x14ac:dyDescent="0.25">
      <c r="A360" s="20">
        <f t="shared" ca="1" si="104"/>
        <v>45810</v>
      </c>
      <c r="B360" vm="1053">
        <f ca="1"/>
        <v>45814</v>
      </c>
      <c r="C360" vm="1054">
        <f ca="1"/>
        <v>130.03</v>
      </c>
      <c r="D360" vm="1055">
        <f ca="1"/>
        <v>7628224</v>
      </c>
      <c r="E360">
        <f t="shared" ca="1" si="105"/>
        <v>991897966.72000003</v>
      </c>
      <c r="F360">
        <f ca="1">SUM($E$2:E360)/SUM($D$2:D360)</f>
        <v>158.93589510593674</v>
      </c>
      <c r="G360">
        <f ca="1">_xlfn.STDEV.P($C$2:C360)</f>
        <v>13.707942188747873</v>
      </c>
      <c r="H360">
        <f t="shared" ca="1" si="106"/>
        <v>172.6438372946846</v>
      </c>
      <c r="I360">
        <f t="shared" ca="1" si="107"/>
        <v>145.22795291718887</v>
      </c>
      <c r="J360">
        <f t="shared" ca="1" si="116"/>
        <v>130.93050000000002</v>
      </c>
      <c r="K360">
        <f t="shared" ca="1" si="117"/>
        <v>0.97091641463646428</v>
      </c>
      <c r="L360">
        <f t="shared" ca="1" si="118"/>
        <v>132.87233282927295</v>
      </c>
      <c r="M360">
        <f t="shared" ca="1" si="119"/>
        <v>128.9886671707271</v>
      </c>
      <c r="N360">
        <f t="shared" ca="1" si="108"/>
        <v>-1.0800000000000125</v>
      </c>
      <c r="O360">
        <f t="shared" ca="1" si="109"/>
        <v>0</v>
      </c>
      <c r="P360">
        <f t="shared" ca="1" si="110"/>
        <v>1.0800000000000125</v>
      </c>
      <c r="Q360">
        <f t="shared" ca="1" si="114"/>
        <v>0.42913633821169189</v>
      </c>
      <c r="R360">
        <f t="shared" ca="1" si="115"/>
        <v>0.63524666074166858</v>
      </c>
      <c r="S360">
        <f t="shared" ca="1" si="112"/>
        <v>0.67554284773518214</v>
      </c>
      <c r="T360">
        <f t="shared" ca="1" si="113"/>
        <v>40.317849743341867</v>
      </c>
      <c r="U360">
        <f>70</f>
        <v>70</v>
      </c>
      <c r="V360">
        <f>30</f>
        <v>30</v>
      </c>
      <c r="W360">
        <f t="shared" ca="1" si="111"/>
        <v>131.13639963127267</v>
      </c>
      <c r="X360">
        <f t="shared" ca="1" si="121"/>
        <v>132.56759631805326</v>
      </c>
      <c r="Y360">
        <f t="shared" ca="1" si="120"/>
        <v>-1.4190259626191732</v>
      </c>
      <c r="Z360">
        <f t="shared" ca="1" si="122"/>
        <v>-1.7959952074124554</v>
      </c>
      <c r="AA360">
        <f t="shared" ca="1" si="123"/>
        <v>0.3769692447932822</v>
      </c>
      <c r="AB360">
        <f t="shared" ca="1" si="124"/>
        <v>143.03855000000004</v>
      </c>
    </row>
    <row r="361" spans="1:28" x14ac:dyDescent="0.25">
      <c r="A361" s="20">
        <f t="shared" ca="1" si="104"/>
        <v>45817</v>
      </c>
      <c r="B361" vm="1056">
        <f ca="1"/>
        <v>45817</v>
      </c>
      <c r="C361" vm="1057">
        <f ca="1"/>
        <v>129.96</v>
      </c>
      <c r="D361" vm="1058">
        <f ca="1"/>
        <v>8453146</v>
      </c>
      <c r="E361">
        <f t="shared" ca="1" si="105"/>
        <v>1098570854.1600001</v>
      </c>
      <c r="F361">
        <f ca="1">SUM($E$2:E361)/SUM($D$2:D361)</f>
        <v>158.827246476461</v>
      </c>
      <c r="G361">
        <f ca="1">_xlfn.STDEV.P($C$2:C361)</f>
        <v>13.788716847675234</v>
      </c>
      <c r="H361">
        <f t="shared" ca="1" si="106"/>
        <v>172.61596332413623</v>
      </c>
      <c r="I361">
        <f t="shared" ca="1" si="107"/>
        <v>145.03852962878577</v>
      </c>
      <c r="J361">
        <f t="shared" ca="1" si="116"/>
        <v>130.90650000000005</v>
      </c>
      <c r="K361">
        <f t="shared" ca="1" si="117"/>
        <v>0.98943511263006145</v>
      </c>
      <c r="L361">
        <f t="shared" ca="1" si="118"/>
        <v>132.88537022526017</v>
      </c>
      <c r="M361">
        <f t="shared" ca="1" si="119"/>
        <v>128.92762977473993</v>
      </c>
      <c r="N361">
        <f t="shared" ca="1" si="108"/>
        <v>-6.9999999999993179E-2</v>
      </c>
      <c r="O361">
        <f t="shared" ca="1" si="109"/>
        <v>0</v>
      </c>
      <c r="P361">
        <f t="shared" ca="1" si="110"/>
        <v>6.9999999999993179E-2</v>
      </c>
      <c r="Q361">
        <f t="shared" ca="1" si="114"/>
        <v>0.39848374262514247</v>
      </c>
      <c r="R361">
        <f t="shared" ca="1" si="115"/>
        <v>0.5948718992601203</v>
      </c>
      <c r="S361">
        <f t="shared" ca="1" si="112"/>
        <v>0.66986479462345061</v>
      </c>
      <c r="T361">
        <f t="shared" ca="1" si="113"/>
        <v>40.114912104276264</v>
      </c>
      <c r="U361">
        <f>70</f>
        <v>70</v>
      </c>
      <c r="V361">
        <f>30</f>
        <v>30</v>
      </c>
      <c r="W361">
        <f t="shared" ca="1" si="111"/>
        <v>130.95541507261532</v>
      </c>
      <c r="X361">
        <f t="shared" ca="1" si="121"/>
        <v>132.3744410352345</v>
      </c>
      <c r="Y361">
        <f t="shared" ca="1" si="120"/>
        <v>-1.2441454697562904</v>
      </c>
      <c r="Z361">
        <f t="shared" ca="1" si="122"/>
        <v>-1.6856252598812225</v>
      </c>
      <c r="AA361">
        <f t="shared" ca="1" si="123"/>
        <v>0.4414797901249321</v>
      </c>
      <c r="AB361">
        <f t="shared" ca="1" si="124"/>
        <v>142.88864999999998</v>
      </c>
    </row>
    <row r="362" spans="1:28" x14ac:dyDescent="0.25">
      <c r="A362" s="20">
        <f t="shared" ca="1" si="104"/>
        <v>45817</v>
      </c>
      <c r="B362" vm="1059">
        <f ca="1"/>
        <v>45818</v>
      </c>
      <c r="C362" vm="1060">
        <f ca="1"/>
        <v>131.83000000000001</v>
      </c>
      <c r="D362" vm="1061">
        <f ca="1"/>
        <v>11852874</v>
      </c>
      <c r="E362">
        <f t="shared" ca="1" si="105"/>
        <v>1562564379.4200001</v>
      </c>
      <c r="F362">
        <f ca="1">SUM($E$2:E362)/SUM($D$2:D362)</f>
        <v>158.68604645305371</v>
      </c>
      <c r="G362">
        <f ca="1">_xlfn.STDEV.P($C$2:C362)</f>
        <v>13.856685784559243</v>
      </c>
      <c r="H362">
        <f t="shared" ca="1" si="106"/>
        <v>172.54273223761294</v>
      </c>
      <c r="I362">
        <f t="shared" ca="1" si="107"/>
        <v>144.82936066849447</v>
      </c>
      <c r="J362">
        <f t="shared" ca="1" si="116"/>
        <v>130.91400000000004</v>
      </c>
      <c r="K362">
        <f t="shared" ca="1" si="117"/>
        <v>0.99615259875181783</v>
      </c>
      <c r="L362">
        <f t="shared" ca="1" si="118"/>
        <v>132.90630519750368</v>
      </c>
      <c r="M362">
        <f t="shared" ca="1" si="119"/>
        <v>128.9216948024964</v>
      </c>
      <c r="N362">
        <f t="shared" ca="1" si="108"/>
        <v>1.8700000000000045</v>
      </c>
      <c r="O362">
        <f t="shared" ca="1" si="109"/>
        <v>1.8700000000000045</v>
      </c>
      <c r="P362">
        <f t="shared" ca="1" si="110"/>
        <v>0</v>
      </c>
      <c r="Q362">
        <f t="shared" ca="1" si="114"/>
        <v>0.5035920467233469</v>
      </c>
      <c r="R362">
        <f t="shared" ca="1" si="115"/>
        <v>0.55238104931296883</v>
      </c>
      <c r="S362">
        <f t="shared" ca="1" si="112"/>
        <v>0.91167509701807492</v>
      </c>
      <c r="T362">
        <f t="shared" ca="1" si="113"/>
        <v>47.689855794018065</v>
      </c>
      <c r="U362">
        <f>70</f>
        <v>70</v>
      </c>
      <c r="V362">
        <f>30</f>
        <v>30</v>
      </c>
      <c r="W362">
        <f t="shared" ca="1" si="111"/>
        <v>131.08996659990527</v>
      </c>
      <c r="X362">
        <f t="shared" ca="1" si="121"/>
        <v>132.33411206966156</v>
      </c>
      <c r="Y362">
        <f t="shared" ca="1" si="120"/>
        <v>-1.246912656604394</v>
      </c>
      <c r="Z362">
        <f t="shared" ca="1" si="122"/>
        <v>-1.597882739225857</v>
      </c>
      <c r="AA362">
        <f t="shared" ca="1" si="123"/>
        <v>0.35097008262146301</v>
      </c>
      <c r="AB362">
        <f t="shared" ca="1" si="124"/>
        <v>142.75914999999998</v>
      </c>
    </row>
    <row r="363" spans="1:28" x14ac:dyDescent="0.25">
      <c r="A363" s="20">
        <f t="shared" ca="1" si="104"/>
        <v>45817</v>
      </c>
      <c r="B363" vm="1062">
        <f ca="1"/>
        <v>45819</v>
      </c>
      <c r="C363" vm="1063">
        <f ca="1"/>
        <v>129.9</v>
      </c>
      <c r="D363" vm="1064">
        <f ca="1"/>
        <v>9168356</v>
      </c>
      <c r="E363">
        <f t="shared" ca="1" si="105"/>
        <v>1190969444.4000001</v>
      </c>
      <c r="F363">
        <f ca="1">SUM($E$2:E363)/SUM($D$2:D363)</f>
        <v>158.57005882113279</v>
      </c>
      <c r="G363">
        <f ca="1">_xlfn.STDEV.P($C$2:C363)</f>
        <v>13.935075410673106</v>
      </c>
      <c r="H363">
        <f t="shared" ca="1" si="106"/>
        <v>172.5051342318059</v>
      </c>
      <c r="I363">
        <f t="shared" ca="1" si="107"/>
        <v>144.63498341045968</v>
      </c>
      <c r="J363">
        <f t="shared" ca="1" si="116"/>
        <v>130.89350000000002</v>
      </c>
      <c r="K363">
        <f t="shared" ca="1" si="117"/>
        <v>1.0133076376012629</v>
      </c>
      <c r="L363">
        <f t="shared" ca="1" si="118"/>
        <v>132.92011527520253</v>
      </c>
      <c r="M363">
        <f t="shared" ca="1" si="119"/>
        <v>128.8668847247975</v>
      </c>
      <c r="N363">
        <f t="shared" ca="1" si="108"/>
        <v>-1.9300000000000068</v>
      </c>
      <c r="O363">
        <f t="shared" ca="1" si="109"/>
        <v>0</v>
      </c>
      <c r="P363">
        <f t="shared" ca="1" si="110"/>
        <v>1.9300000000000068</v>
      </c>
      <c r="Q363">
        <f t="shared" ca="1" si="114"/>
        <v>0.46762118624310783</v>
      </c>
      <c r="R363">
        <f t="shared" ca="1" si="115"/>
        <v>0.65078240293347156</v>
      </c>
      <c r="S363">
        <f t="shared" ca="1" si="112"/>
        <v>0.71855229049718483</v>
      </c>
      <c r="T363">
        <f t="shared" ca="1" si="113"/>
        <v>41.811488336459313</v>
      </c>
      <c r="U363">
        <f>70</f>
        <v>70</v>
      </c>
      <c r="V363">
        <f>30</f>
        <v>30</v>
      </c>
      <c r="W363">
        <f t="shared" ca="1" si="111"/>
        <v>130.90689481530447</v>
      </c>
      <c r="X363">
        <f t="shared" ca="1" si="121"/>
        <v>132.15380747190886</v>
      </c>
      <c r="Y363">
        <f t="shared" ca="1" si="120"/>
        <v>-1.0434178581907361</v>
      </c>
      <c r="Z363">
        <f t="shared" ca="1" si="122"/>
        <v>-1.4869897630188329</v>
      </c>
      <c r="AA363">
        <f t="shared" ca="1" si="123"/>
        <v>0.44357190482809683</v>
      </c>
      <c r="AB363">
        <f t="shared" ca="1" si="124"/>
        <v>142.59274999999997</v>
      </c>
    </row>
    <row r="364" spans="1:28" x14ac:dyDescent="0.25">
      <c r="A364" s="20">
        <f t="shared" ca="1" si="104"/>
        <v>45817</v>
      </c>
      <c r="B364" vm="1065">
        <f ca="1"/>
        <v>45820</v>
      </c>
      <c r="C364" vm="1066">
        <f ca="1"/>
        <v>132.30000000000001</v>
      </c>
      <c r="D364" vm="1067">
        <f ca="1"/>
        <v>11444911</v>
      </c>
      <c r="E364">
        <f t="shared" ca="1" si="105"/>
        <v>1514161725.3000002</v>
      </c>
      <c r="F364">
        <f ca="1">SUM($E$2:E364)/SUM($D$2:D364)</f>
        <v>158.43858698815501</v>
      </c>
      <c r="G364">
        <f ca="1">_xlfn.STDEV.P($C$2:C364)</f>
        <v>13.99790956105762</v>
      </c>
      <c r="H364">
        <f t="shared" ca="1" si="106"/>
        <v>172.43649654921262</v>
      </c>
      <c r="I364">
        <f t="shared" ca="1" si="107"/>
        <v>144.4406774270974</v>
      </c>
      <c r="J364">
        <f t="shared" ca="1" si="116"/>
        <v>131.08600000000004</v>
      </c>
      <c r="K364">
        <f t="shared" ca="1" si="117"/>
        <v>0.88184853694115795</v>
      </c>
      <c r="L364">
        <f t="shared" ca="1" si="118"/>
        <v>132.84969707388237</v>
      </c>
      <c r="M364">
        <f t="shared" ca="1" si="119"/>
        <v>129.32230292611771</v>
      </c>
      <c r="N364">
        <f t="shared" ca="1" si="108"/>
        <v>2.4000000000000057</v>
      </c>
      <c r="O364">
        <f t="shared" ca="1" si="109"/>
        <v>2.4000000000000057</v>
      </c>
      <c r="P364">
        <f t="shared" ca="1" si="110"/>
        <v>0</v>
      </c>
      <c r="Q364">
        <f t="shared" ca="1" si="114"/>
        <v>0.60564824436860054</v>
      </c>
      <c r="R364">
        <f t="shared" ca="1" si="115"/>
        <v>0.60429794558108074</v>
      </c>
      <c r="S364">
        <f t="shared" ca="1" si="112"/>
        <v>1.0022344917724673</v>
      </c>
      <c r="T364">
        <f t="shared" ca="1" si="113"/>
        <v>50.055799952044808</v>
      </c>
      <c r="U364">
        <f>70</f>
        <v>70</v>
      </c>
      <c r="V364">
        <f>30</f>
        <v>30</v>
      </c>
      <c r="W364">
        <f t="shared" ca="1" si="111"/>
        <v>131.12121868987302</v>
      </c>
      <c r="X364">
        <f t="shared" ca="1" si="121"/>
        <v>132.16463654806375</v>
      </c>
      <c r="Y364">
        <f t="shared" ca="1" si="120"/>
        <v>-0.98776332543712897</v>
      </c>
      <c r="Z364">
        <f t="shared" ca="1" si="122"/>
        <v>-1.3871444755024922</v>
      </c>
      <c r="AA364">
        <f t="shared" ca="1" si="123"/>
        <v>0.39938115006536323</v>
      </c>
      <c r="AB364">
        <f t="shared" ca="1" si="124"/>
        <v>142.43324999999996</v>
      </c>
    </row>
    <row r="365" spans="1:28" x14ac:dyDescent="0.25">
      <c r="A365" s="20">
        <f t="shared" ca="1" si="104"/>
        <v>45817</v>
      </c>
      <c r="B365" vm="1068">
        <f ca="1"/>
        <v>45821</v>
      </c>
      <c r="C365" vm="1069">
        <f ca="1"/>
        <v>130.85</v>
      </c>
      <c r="D365" vm="1070">
        <f ca="1"/>
        <v>9581034</v>
      </c>
      <c r="E365">
        <f t="shared" ca="1" si="105"/>
        <v>1253678298.8999999</v>
      </c>
      <c r="F365">
        <f ca="1">SUM($E$2:E365)/SUM($D$2:D365)</f>
        <v>158.32348432382571</v>
      </c>
      <c r="G365">
        <f ca="1">_xlfn.STDEV.P($C$2:C365)</f>
        <v>14.068011483158857</v>
      </c>
      <c r="H365">
        <f t="shared" ca="1" si="106"/>
        <v>172.39149580698458</v>
      </c>
      <c r="I365">
        <f t="shared" ca="1" si="107"/>
        <v>144.25547284066684</v>
      </c>
      <c r="J365">
        <f t="shared" ca="1" si="116"/>
        <v>131.05350000000001</v>
      </c>
      <c r="K365">
        <f t="shared" ca="1" si="117"/>
        <v>0.87775596056978578</v>
      </c>
      <c r="L365">
        <f t="shared" ca="1" si="118"/>
        <v>132.80901192113959</v>
      </c>
      <c r="M365">
        <f t="shared" ca="1" si="119"/>
        <v>129.29798807886044</v>
      </c>
      <c r="N365">
        <f t="shared" ca="1" si="108"/>
        <v>-1.4500000000000171</v>
      </c>
      <c r="O365">
        <f t="shared" ca="1" si="109"/>
        <v>0</v>
      </c>
      <c r="P365">
        <f t="shared" ca="1" si="110"/>
        <v>1.4500000000000171</v>
      </c>
      <c r="Q365">
        <f t="shared" ca="1" si="114"/>
        <v>0.56238765548512915</v>
      </c>
      <c r="R365">
        <f t="shared" ca="1" si="115"/>
        <v>0.6647052351824333</v>
      </c>
      <c r="S365">
        <f t="shared" ca="1" si="112"/>
        <v>0.84607074793201786</v>
      </c>
      <c r="T365">
        <f t="shared" ca="1" si="113"/>
        <v>45.830895098673359</v>
      </c>
      <c r="U365">
        <f>70</f>
        <v>70</v>
      </c>
      <c r="V365">
        <f>30</f>
        <v>30</v>
      </c>
      <c r="W365">
        <f t="shared" ca="1" si="111"/>
        <v>131.07949273758487</v>
      </c>
      <c r="X365">
        <f t="shared" ca="1" si="121"/>
        <v>132.067256063022</v>
      </c>
      <c r="Y365">
        <f t="shared" ca="1" si="120"/>
        <v>-0.88823041999842189</v>
      </c>
      <c r="Z365">
        <f t="shared" ca="1" si="122"/>
        <v>-1.2873616644016783</v>
      </c>
      <c r="AA365">
        <f t="shared" ca="1" si="123"/>
        <v>0.39913124440325642</v>
      </c>
      <c r="AB365">
        <f t="shared" ca="1" si="124"/>
        <v>142.25624999999997</v>
      </c>
    </row>
    <row r="366" spans="1:28" x14ac:dyDescent="0.25">
      <c r="A366" s="20">
        <f t="shared" ca="1" si="104"/>
        <v>45824</v>
      </c>
      <c r="B366" vm="1071">
        <f ca="1"/>
        <v>45824</v>
      </c>
      <c r="C366" vm="1072">
        <f ca="1"/>
        <v>131.41</v>
      </c>
      <c r="D366" vm="1073">
        <f ca="1"/>
        <v>11183692</v>
      </c>
      <c r="E366">
        <f t="shared" ca="1" si="105"/>
        <v>1469648965.72</v>
      </c>
      <c r="F366">
        <f ca="1">SUM($E$2:E366)/SUM($D$2:D366)</f>
        <v>158.19305093354535</v>
      </c>
      <c r="G366">
        <f ca="1">_xlfn.STDEV.P($C$2:C366)</f>
        <v>14.133666008755947</v>
      </c>
      <c r="H366">
        <f t="shared" ca="1" si="106"/>
        <v>172.32671694230129</v>
      </c>
      <c r="I366">
        <f t="shared" ca="1" si="107"/>
        <v>144.05938492478941</v>
      </c>
      <c r="J366">
        <f t="shared" ca="1" si="116"/>
        <v>131.02500000000003</v>
      </c>
      <c r="K366">
        <f t="shared" ca="1" si="117"/>
        <v>0.85505001392654711</v>
      </c>
      <c r="L366">
        <f t="shared" ca="1" si="118"/>
        <v>132.73510002785312</v>
      </c>
      <c r="M366">
        <f t="shared" ca="1" si="119"/>
        <v>129.31489997214695</v>
      </c>
      <c r="N366">
        <f t="shared" ca="1" si="108"/>
        <v>0.56000000000000227</v>
      </c>
      <c r="O366">
        <f t="shared" ca="1" si="109"/>
        <v>0.56000000000000227</v>
      </c>
      <c r="P366">
        <f t="shared" ca="1" si="110"/>
        <v>0</v>
      </c>
      <c r="Q366">
        <f t="shared" ca="1" si="114"/>
        <v>0.56221710866476293</v>
      </c>
      <c r="R366">
        <f t="shared" ca="1" si="115"/>
        <v>0.61722628981225947</v>
      </c>
      <c r="S366">
        <f t="shared" ca="1" si="112"/>
        <v>0.91087680149815298</v>
      </c>
      <c r="T366">
        <f t="shared" ca="1" si="113"/>
        <v>47.668002499376904</v>
      </c>
      <c r="U366">
        <f>70</f>
        <v>70</v>
      </c>
      <c r="V366">
        <f>30</f>
        <v>30</v>
      </c>
      <c r="W366">
        <f t="shared" ca="1" si="111"/>
        <v>131.13034000872565</v>
      </c>
      <c r="X366">
        <f t="shared" ca="1" si="121"/>
        <v>132.01857042872408</v>
      </c>
      <c r="Y366">
        <f t="shared" ca="1" si="120"/>
        <v>-0.96924332405640712</v>
      </c>
      <c r="Z366">
        <f t="shared" ca="1" si="122"/>
        <v>-1.223737996332624</v>
      </c>
      <c r="AA366">
        <f t="shared" ca="1" si="123"/>
        <v>0.25449467227621692</v>
      </c>
      <c r="AB366">
        <f t="shared" ca="1" si="124"/>
        <v>142.08944999999997</v>
      </c>
    </row>
    <row r="367" spans="1:28" x14ac:dyDescent="0.25">
      <c r="A367" s="20">
        <f t="shared" ca="1" si="104"/>
        <v>45824</v>
      </c>
      <c r="B367" vm="1074">
        <f ca="1"/>
        <v>45825</v>
      </c>
      <c r="C367" vm="1075">
        <f ca="1"/>
        <v>129.29</v>
      </c>
      <c r="D367" vm="1076">
        <f ca="1"/>
        <v>10235225</v>
      </c>
      <c r="E367">
        <f t="shared" ca="1" si="105"/>
        <v>1323312240.25</v>
      </c>
      <c r="F367">
        <f ca="1">SUM($E$2:E367)/SUM($D$2:D367)</f>
        <v>158.06542094287181</v>
      </c>
      <c r="G367">
        <f ca="1">_xlfn.STDEV.P($C$2:C367)</f>
        <v>14.210636638990753</v>
      </c>
      <c r="H367">
        <f t="shared" ca="1" si="106"/>
        <v>172.27605758186257</v>
      </c>
      <c r="I367">
        <f t="shared" ca="1" si="107"/>
        <v>143.85478430388105</v>
      </c>
      <c r="J367">
        <f t="shared" ca="1" si="116"/>
        <v>130.89999999999998</v>
      </c>
      <c r="K367">
        <f t="shared" ca="1" si="117"/>
        <v>0.91776616675605704</v>
      </c>
      <c r="L367">
        <f t="shared" ca="1" si="118"/>
        <v>132.73553233351208</v>
      </c>
      <c r="M367">
        <f t="shared" ca="1" si="119"/>
        <v>129.06446766648787</v>
      </c>
      <c r="N367">
        <f t="shared" ca="1" si="108"/>
        <v>-2.1200000000000045</v>
      </c>
      <c r="O367">
        <f t="shared" ca="1" si="109"/>
        <v>0</v>
      </c>
      <c r="P367">
        <f t="shared" ca="1" si="110"/>
        <v>2.1200000000000045</v>
      </c>
      <c r="Q367">
        <f t="shared" ca="1" si="114"/>
        <v>0.52205874376013706</v>
      </c>
      <c r="R367">
        <f t="shared" ca="1" si="115"/>
        <v>0.72456726911138414</v>
      </c>
      <c r="S367">
        <f t="shared" ca="1" si="112"/>
        <v>0.7205110774606126</v>
      </c>
      <c r="T367">
        <f t="shared" ca="1" si="113"/>
        <v>41.877735453121907</v>
      </c>
      <c r="U367">
        <f>70</f>
        <v>70</v>
      </c>
      <c r="V367">
        <f>30</f>
        <v>30</v>
      </c>
      <c r="W367">
        <f t="shared" ca="1" si="111"/>
        <v>130.84721077661402</v>
      </c>
      <c r="X367">
        <f t="shared" ca="1" si="121"/>
        <v>131.81645410067043</v>
      </c>
      <c r="Y367">
        <f t="shared" ca="1" si="120"/>
        <v>-1.0392193221183277</v>
      </c>
      <c r="Z367">
        <f t="shared" ca="1" si="122"/>
        <v>-1.1868342614897647</v>
      </c>
      <c r="AA367">
        <f t="shared" ca="1" si="123"/>
        <v>0.14761493937143699</v>
      </c>
      <c r="AB367">
        <f t="shared" ca="1" si="124"/>
        <v>141.89614999999998</v>
      </c>
    </row>
    <row r="368" spans="1:28" x14ac:dyDescent="0.25">
      <c r="A368" s="20">
        <f t="shared" ca="1" si="104"/>
        <v>45824</v>
      </c>
      <c r="B368" vm="1077">
        <f ca="1"/>
        <v>45826</v>
      </c>
      <c r="C368" vm="1078">
        <f ca="1"/>
        <v>129.07</v>
      </c>
      <c r="D368" vm="1079">
        <f ca="1"/>
        <v>8785766</v>
      </c>
      <c r="E368">
        <f t="shared" ca="1" si="105"/>
        <v>1133978817.6199999</v>
      </c>
      <c r="F368">
        <f ca="1">SUM($E$2:E368)/SUM($D$2:D368)</f>
        <v>157.95593013913734</v>
      </c>
      <c r="G368">
        <f ca="1">_xlfn.STDEV.P($C$2:C368)</f>
        <v>14.28758260135149</v>
      </c>
      <c r="H368">
        <f t="shared" ca="1" si="106"/>
        <v>172.24351274048882</v>
      </c>
      <c r="I368">
        <f t="shared" ca="1" si="107"/>
        <v>143.66834753778585</v>
      </c>
      <c r="J368">
        <f t="shared" ca="1" si="116"/>
        <v>130.76349999999999</v>
      </c>
      <c r="K368">
        <f t="shared" ca="1" si="117"/>
        <v>0.97791009704100029</v>
      </c>
      <c r="L368">
        <f t="shared" ca="1" si="118"/>
        <v>132.719320194082</v>
      </c>
      <c r="M368">
        <f t="shared" ca="1" si="119"/>
        <v>128.80767980591799</v>
      </c>
      <c r="N368">
        <f t="shared" ca="1" si="108"/>
        <v>-0.21999999999999886</v>
      </c>
      <c r="O368">
        <f t="shared" ca="1" si="109"/>
        <v>0</v>
      </c>
      <c r="P368">
        <f t="shared" ca="1" si="110"/>
        <v>0.21999999999999886</v>
      </c>
      <c r="Q368">
        <f t="shared" ca="1" si="114"/>
        <v>0.48476883349155581</v>
      </c>
      <c r="R368">
        <f t="shared" ca="1" si="115"/>
        <v>0.68852674988914231</v>
      </c>
      <c r="S368">
        <f t="shared" ca="1" si="112"/>
        <v>0.70406681159389528</v>
      </c>
      <c r="T368">
        <f t="shared" ca="1" si="113"/>
        <v>41.316854879378106</v>
      </c>
      <c r="U368">
        <f>70</f>
        <v>70</v>
      </c>
      <c r="V368">
        <f>30</f>
        <v>30</v>
      </c>
      <c r="W368">
        <f t="shared" ca="1" si="111"/>
        <v>130.573793734058</v>
      </c>
      <c r="X368">
        <f t="shared" ca="1" si="121"/>
        <v>131.61301305617633</v>
      </c>
      <c r="Y368">
        <f t="shared" ca="1" si="120"/>
        <v>-1.0822008667865646</v>
      </c>
      <c r="Z368">
        <f t="shared" ca="1" si="122"/>
        <v>-1.1659075825491247</v>
      </c>
      <c r="AA368">
        <f t="shared" ca="1" si="123"/>
        <v>8.3706715762560169E-2</v>
      </c>
      <c r="AB368">
        <f t="shared" ca="1" si="124"/>
        <v>141.69565</v>
      </c>
    </row>
    <row r="369" spans="1:28" x14ac:dyDescent="0.25">
      <c r="A369" s="20">
        <f t="shared" ca="1" si="104"/>
        <v>45824</v>
      </c>
      <c r="B369" vm="1080">
        <f ca="1"/>
        <v>45828</v>
      </c>
      <c r="C369" vm="1078">
        <f ca="1"/>
        <v>129.07</v>
      </c>
      <c r="D369" vm="1081">
        <f ca="1"/>
        <v>23000967</v>
      </c>
      <c r="E369">
        <f t="shared" ca="1" si="105"/>
        <v>2968734810.6900001</v>
      </c>
      <c r="F369">
        <f ca="1">SUM($E$2:E369)/SUM($D$2:D369)</f>
        <v>157.67316312144575</v>
      </c>
      <c r="G369">
        <f ca="1">_xlfn.STDEV.P($C$2:C369)</f>
        <v>14.363183995169056</v>
      </c>
      <c r="H369">
        <f t="shared" ca="1" si="106"/>
        <v>172.03634711661482</v>
      </c>
      <c r="I369">
        <f t="shared" ca="1" si="107"/>
        <v>143.30997912627669</v>
      </c>
      <c r="J369">
        <f t="shared" ca="1" si="116"/>
        <v>130.70949999999999</v>
      </c>
      <c r="K369">
        <f t="shared" ca="1" si="117"/>
        <v>1.0413325218452725</v>
      </c>
      <c r="L369">
        <f t="shared" ca="1" si="118"/>
        <v>132.79216504369055</v>
      </c>
      <c r="M369">
        <f t="shared" ca="1" si="119"/>
        <v>128.62683495630944</v>
      </c>
      <c r="N369">
        <f t="shared" ca="1" si="108"/>
        <v>0</v>
      </c>
      <c r="O369">
        <f t="shared" ca="1" si="109"/>
        <v>0</v>
      </c>
      <c r="P369">
        <f t="shared" ca="1" si="110"/>
        <v>0</v>
      </c>
      <c r="Q369">
        <f t="shared" ca="1" si="114"/>
        <v>0.45014248824215891</v>
      </c>
      <c r="R369">
        <f t="shared" ca="1" si="115"/>
        <v>0.63934626775420356</v>
      </c>
      <c r="S369">
        <f t="shared" ca="1" si="112"/>
        <v>0.70406681159389517</v>
      </c>
      <c r="T369">
        <f t="shared" ca="1" si="113"/>
        <v>41.316854879378106</v>
      </c>
      <c r="U369">
        <f>70</f>
        <v>70</v>
      </c>
      <c r="V369">
        <f>30</f>
        <v>30</v>
      </c>
      <c r="W369">
        <f t="shared" ca="1" si="111"/>
        <v>130.34244085189522</v>
      </c>
      <c r="X369">
        <f t="shared" ca="1" si="121"/>
        <v>131.42464171868178</v>
      </c>
      <c r="Y369">
        <f t="shared" ca="1" si="120"/>
        <v>-1.1019476511643802</v>
      </c>
      <c r="Z369">
        <f t="shared" ca="1" si="122"/>
        <v>-1.153115596272176</v>
      </c>
      <c r="AA369">
        <f t="shared" ca="1" si="123"/>
        <v>5.1167945107795765E-2</v>
      </c>
      <c r="AB369">
        <f t="shared" ca="1" si="124"/>
        <v>141.44024999999999</v>
      </c>
    </row>
    <row r="370" spans="1:28" x14ac:dyDescent="0.25">
      <c r="A370" s="20">
        <f t="shared" ca="1" si="104"/>
        <v>45831</v>
      </c>
      <c r="B370" vm="1082">
        <f ca="1"/>
        <v>45831</v>
      </c>
      <c r="C370" vm="1083">
        <f ca="1"/>
        <v>129.09</v>
      </c>
      <c r="D370" vm="1084">
        <f ca="1"/>
        <v>12840356</v>
      </c>
      <c r="E370">
        <f t="shared" ca="1" si="105"/>
        <v>1657561556.04</v>
      </c>
      <c r="F370">
        <f ca="1">SUM($E$2:E370)/SUM($D$2:D370)</f>
        <v>157.51781114377138</v>
      </c>
      <c r="G370">
        <f ca="1">_xlfn.STDEV.P($C$2:C370)</f>
        <v>14.437355388954664</v>
      </c>
      <c r="H370">
        <f t="shared" ca="1" si="106"/>
        <v>171.95516653272605</v>
      </c>
      <c r="I370">
        <f t="shared" ca="1" si="107"/>
        <v>143.08045575481671</v>
      </c>
      <c r="J370">
        <f t="shared" ca="1" si="116"/>
        <v>130.65800000000002</v>
      </c>
      <c r="K370">
        <f t="shared" ca="1" si="117"/>
        <v>1.0960532065456268</v>
      </c>
      <c r="L370">
        <f t="shared" ca="1" si="118"/>
        <v>132.85010641309128</v>
      </c>
      <c r="M370">
        <f t="shared" ca="1" si="119"/>
        <v>128.46589358690875</v>
      </c>
      <c r="N370">
        <f t="shared" ca="1" si="108"/>
        <v>2.0000000000010232E-2</v>
      </c>
      <c r="O370">
        <f t="shared" ca="1" si="109"/>
        <v>2.0000000000010232E-2</v>
      </c>
      <c r="P370">
        <f t="shared" ca="1" si="110"/>
        <v>0</v>
      </c>
      <c r="Q370">
        <f t="shared" ca="1" si="114"/>
        <v>0.41941802479629114</v>
      </c>
      <c r="R370">
        <f t="shared" ca="1" si="115"/>
        <v>0.59367867720033185</v>
      </c>
      <c r="S370">
        <f t="shared" ca="1" si="112"/>
        <v>0.70647311568301796</v>
      </c>
      <c r="T370">
        <f t="shared" ca="1" si="113"/>
        <v>41.399604200635252</v>
      </c>
      <c r="U370">
        <f>70</f>
        <v>70</v>
      </c>
      <c r="V370">
        <f>30</f>
        <v>30</v>
      </c>
      <c r="W370">
        <f t="shared" ca="1" si="111"/>
        <v>130.14975764391136</v>
      </c>
      <c r="X370">
        <f t="shared" ca="1" si="121"/>
        <v>131.25170529507574</v>
      </c>
      <c r="Y370">
        <f t="shared" ca="1" si="120"/>
        <v>-0.94850769418218306</v>
      </c>
      <c r="Z370">
        <f t="shared" ca="1" si="122"/>
        <v>-1.1121940158541774</v>
      </c>
      <c r="AA370">
        <f t="shared" ca="1" si="123"/>
        <v>0.16368632167199437</v>
      </c>
      <c r="AB370">
        <f t="shared" ca="1" si="124"/>
        <v>141.22864999999999</v>
      </c>
    </row>
    <row r="371" spans="1:28" x14ac:dyDescent="0.25">
      <c r="A371" s="20">
        <f t="shared" ca="1" si="104"/>
        <v>45831</v>
      </c>
      <c r="B371" vm="1085">
        <f ca="1"/>
        <v>45832</v>
      </c>
      <c r="C371" vm="1086">
        <f ca="1"/>
        <v>131.05000000000001</v>
      </c>
      <c r="D371" vm="1087">
        <f ca="1"/>
        <v>9226773</v>
      </c>
      <c r="E371">
        <f t="shared" ca="1" si="105"/>
        <v>1209168601.6500001</v>
      </c>
      <c r="F371">
        <f ca="1">SUM($E$2:E371)/SUM($D$2:D371)</f>
        <v>157.41484262787347</v>
      </c>
      <c r="G371">
        <f ca="1">_xlfn.STDEV.P($C$2:C371)</f>
        <v>14.499135266077934</v>
      </c>
      <c r="H371">
        <f t="shared" ca="1" si="106"/>
        <v>171.9139778939514</v>
      </c>
      <c r="I371">
        <f t="shared" ca="1" si="107"/>
        <v>142.91570736179554</v>
      </c>
      <c r="J371">
        <f t="shared" ca="1" si="116"/>
        <v>130.74350000000004</v>
      </c>
      <c r="K371">
        <f t="shared" ca="1" si="117"/>
        <v>1.0537066155144663</v>
      </c>
      <c r="L371">
        <f t="shared" ca="1" si="118"/>
        <v>132.85091323102898</v>
      </c>
      <c r="M371">
        <f t="shared" ca="1" si="119"/>
        <v>128.6360867689711</v>
      </c>
      <c r="N371">
        <f t="shared" ca="1" si="108"/>
        <v>1.960000000000008</v>
      </c>
      <c r="O371">
        <f t="shared" ca="1" si="109"/>
        <v>1.960000000000008</v>
      </c>
      <c r="P371">
        <f t="shared" ca="1" si="110"/>
        <v>0</v>
      </c>
      <c r="Q371">
        <f t="shared" ca="1" si="114"/>
        <v>0.5294595944536995</v>
      </c>
      <c r="R371">
        <f t="shared" ca="1" si="115"/>
        <v>0.55127305740030808</v>
      </c>
      <c r="S371">
        <f t="shared" ca="1" si="112"/>
        <v>0.96043074724261612</v>
      </c>
      <c r="T371">
        <f t="shared" ca="1" si="113"/>
        <v>48.990802077221069</v>
      </c>
      <c r="U371">
        <f>70</f>
        <v>70</v>
      </c>
      <c r="V371">
        <f>30</f>
        <v>30</v>
      </c>
      <c r="W371">
        <f t="shared" ca="1" si="111"/>
        <v>130.28825646792498</v>
      </c>
      <c r="X371">
        <f t="shared" ca="1" si="121"/>
        <v>131.23676416210716</v>
      </c>
      <c r="Y371">
        <f t="shared" ca="1" si="120"/>
        <v>-1.0591914008863625</v>
      </c>
      <c r="Z371">
        <f t="shared" ca="1" si="122"/>
        <v>-1.1015934928606146</v>
      </c>
      <c r="AA371">
        <f t="shared" ca="1" si="123"/>
        <v>4.2402091974252043E-2</v>
      </c>
      <c r="AB371">
        <f t="shared" ca="1" si="124"/>
        <v>141.03545</v>
      </c>
    </row>
    <row r="372" spans="1:28" x14ac:dyDescent="0.25">
      <c r="A372" s="20">
        <f t="shared" ca="1" si="104"/>
        <v>45831</v>
      </c>
      <c r="B372" vm="1088">
        <f ca="1"/>
        <v>45833</v>
      </c>
      <c r="C372" vm="1089">
        <f ca="1"/>
        <v>128.02000000000001</v>
      </c>
      <c r="D372" vm="1090">
        <f ca="1"/>
        <v>10922565</v>
      </c>
      <c r="E372">
        <f t="shared" ca="1" si="105"/>
        <v>1398306771.3000002</v>
      </c>
      <c r="F372">
        <f ca="1">SUM($E$2:E372)/SUM($D$2:D372)</f>
        <v>157.28009011052313</v>
      </c>
      <c r="G372">
        <f ca="1">_xlfn.STDEV.P($C$2:C372)</f>
        <v>14.577202373782647</v>
      </c>
      <c r="H372">
        <f t="shared" ca="1" si="106"/>
        <v>171.85729248430579</v>
      </c>
      <c r="I372">
        <f t="shared" ca="1" si="107"/>
        <v>142.70288773674048</v>
      </c>
      <c r="J372">
        <f t="shared" ca="1" si="116"/>
        <v>130.57600000000002</v>
      </c>
      <c r="K372">
        <f t="shared" ca="1" si="117"/>
        <v>1.2043666166780038</v>
      </c>
      <c r="L372">
        <f t="shared" ca="1" si="118"/>
        <v>132.98473323335602</v>
      </c>
      <c r="M372">
        <f t="shared" ca="1" si="119"/>
        <v>128.16726676664402</v>
      </c>
      <c r="N372">
        <f t="shared" ca="1" si="108"/>
        <v>-3.0300000000000011</v>
      </c>
      <c r="O372">
        <f t="shared" ca="1" si="109"/>
        <v>0</v>
      </c>
      <c r="P372">
        <f t="shared" ca="1" si="110"/>
        <v>3.0300000000000011</v>
      </c>
      <c r="Q372">
        <f t="shared" ca="1" si="114"/>
        <v>0.49164105199272096</v>
      </c>
      <c r="R372">
        <f t="shared" ca="1" si="115"/>
        <v>0.72832498187171468</v>
      </c>
      <c r="S372">
        <f t="shared" ca="1" si="112"/>
        <v>0.67502977960368438</v>
      </c>
      <c r="T372">
        <f t="shared" ca="1" si="113"/>
        <v>40.299568868763508</v>
      </c>
      <c r="U372">
        <f>70</f>
        <v>70</v>
      </c>
      <c r="V372">
        <f>30</f>
        <v>30</v>
      </c>
      <c r="W372">
        <f t="shared" ca="1" si="111"/>
        <v>129.93929393439805</v>
      </c>
      <c r="X372">
        <f t="shared" ca="1" si="121"/>
        <v>130.99848533528441</v>
      </c>
      <c r="Y372">
        <f t="shared" ca="1" si="120"/>
        <v>-1.1178844314849243</v>
      </c>
      <c r="Z372">
        <f t="shared" ca="1" si="122"/>
        <v>-1.1048516805854767</v>
      </c>
      <c r="AA372">
        <f t="shared" ca="1" si="123"/>
        <v>-1.3032750899447665E-2</v>
      </c>
      <c r="AB372">
        <f t="shared" ca="1" si="124"/>
        <v>140.79665</v>
      </c>
    </row>
    <row r="373" spans="1:28" x14ac:dyDescent="0.25">
      <c r="A373" s="20">
        <f t="shared" ca="1" si="104"/>
        <v>45831</v>
      </c>
      <c r="B373" vm="1091">
        <f ca="1"/>
        <v>45834</v>
      </c>
      <c r="C373" vm="1092">
        <f ca="1"/>
        <v>128.22</v>
      </c>
      <c r="D373" vm="1093">
        <f ca="1"/>
        <v>11538069</v>
      </c>
      <c r="E373">
        <f t="shared" ca="1" si="105"/>
        <v>1479411207.1800001</v>
      </c>
      <c r="F373">
        <f ca="1">SUM($E$2:E373)/SUM($D$2:D373)</f>
        <v>157.1400433134848</v>
      </c>
      <c r="G373">
        <f ca="1">_xlfn.STDEV.P($C$2:C373)</f>
        <v>14.652736524655221</v>
      </c>
      <c r="H373">
        <f t="shared" ca="1" si="106"/>
        <v>171.79277983814001</v>
      </c>
      <c r="I373">
        <f t="shared" ca="1" si="107"/>
        <v>142.48730678882959</v>
      </c>
      <c r="J373">
        <f t="shared" ca="1" si="116"/>
        <v>130.45350000000002</v>
      </c>
      <c r="K373">
        <f t="shared" ca="1" si="117"/>
        <v>1.3139185066453949</v>
      </c>
      <c r="L373">
        <f t="shared" ca="1" si="118"/>
        <v>133.08133701329081</v>
      </c>
      <c r="M373">
        <f t="shared" ca="1" si="119"/>
        <v>127.82566298670923</v>
      </c>
      <c r="N373">
        <f t="shared" ca="1" si="108"/>
        <v>0.19999999999998863</v>
      </c>
      <c r="O373">
        <f t="shared" ca="1" si="109"/>
        <v>0.19999999999998863</v>
      </c>
      <c r="P373">
        <f t="shared" ca="1" si="110"/>
        <v>0</v>
      </c>
      <c r="Q373">
        <f t="shared" ca="1" si="114"/>
        <v>0.47080954827895433</v>
      </c>
      <c r="R373">
        <f t="shared" ca="1" si="115"/>
        <v>0.6763017688808779</v>
      </c>
      <c r="S373">
        <f t="shared" ca="1" si="112"/>
        <v>0.69615306353262185</v>
      </c>
      <c r="T373">
        <f t="shared" ca="1" si="113"/>
        <v>41.043056696942543</v>
      </c>
      <c r="U373">
        <f>70</f>
        <v>70</v>
      </c>
      <c r="V373">
        <f>30</f>
        <v>30</v>
      </c>
      <c r="W373">
        <f t="shared" ca="1" si="111"/>
        <v>129.67478717525989</v>
      </c>
      <c r="X373">
        <f t="shared" ca="1" si="121"/>
        <v>130.79267160674482</v>
      </c>
      <c r="Y373">
        <f t="shared" ca="1" si="120"/>
        <v>-0.926172310939819</v>
      </c>
      <c r="Z373">
        <f t="shared" ca="1" si="122"/>
        <v>-1.0691158066563453</v>
      </c>
      <c r="AA373">
        <f t="shared" ca="1" si="123"/>
        <v>0.14294349571652631</v>
      </c>
      <c r="AB373">
        <f t="shared" ca="1" si="124"/>
        <v>140.57194999999999</v>
      </c>
    </row>
    <row r="374" spans="1:28" x14ac:dyDescent="0.25">
      <c r="A374" s="20">
        <f t="shared" ca="1" si="104"/>
        <v>45831</v>
      </c>
      <c r="B374" vm="1094">
        <f ca="1"/>
        <v>45835</v>
      </c>
      <c r="C374" vm="1095">
        <f ca="1"/>
        <v>131.04</v>
      </c>
      <c r="D374" vm="1096">
        <f ca="1"/>
        <v>26536478</v>
      </c>
      <c r="E374">
        <f t="shared" ca="1" si="105"/>
        <v>3477340077.1199999</v>
      </c>
      <c r="F374">
        <f ca="1">SUM($E$2:E374)/SUM($D$2:D374)</f>
        <v>156.85392841351995</v>
      </c>
      <c r="G374">
        <f ca="1">_xlfn.STDEV.P($C$2:C374)</f>
        <v>14.711250470386004</v>
      </c>
      <c r="H374">
        <f t="shared" ca="1" si="106"/>
        <v>171.56517888390596</v>
      </c>
      <c r="I374">
        <f t="shared" ca="1" si="107"/>
        <v>142.14267794313395</v>
      </c>
      <c r="J374">
        <f t="shared" ca="1" si="116"/>
        <v>130.40950000000001</v>
      </c>
      <c r="K374">
        <f t="shared" ca="1" si="117"/>
        <v>1.2764237664580482</v>
      </c>
      <c r="L374">
        <f t="shared" ca="1" si="118"/>
        <v>132.96234753291611</v>
      </c>
      <c r="M374">
        <f t="shared" ca="1" si="119"/>
        <v>127.85665246708392</v>
      </c>
      <c r="N374">
        <f t="shared" ca="1" si="108"/>
        <v>2.8199999999999932</v>
      </c>
      <c r="O374">
        <f t="shared" ca="1" si="109"/>
        <v>2.8199999999999932</v>
      </c>
      <c r="P374">
        <f t="shared" ca="1" si="110"/>
        <v>0</v>
      </c>
      <c r="Q374">
        <f t="shared" ca="1" si="114"/>
        <v>0.63860886625902857</v>
      </c>
      <c r="R374">
        <f t="shared" ca="1" si="115"/>
        <v>0.6279944996751009</v>
      </c>
      <c r="S374">
        <f t="shared" ca="1" si="112"/>
        <v>1.0169020056535831</v>
      </c>
      <c r="T374">
        <f t="shared" ca="1" si="113"/>
        <v>50.419009094299213</v>
      </c>
      <c r="U374">
        <f>70</f>
        <v>70</v>
      </c>
      <c r="V374">
        <f>30</f>
        <v>30</v>
      </c>
      <c r="W374">
        <f t="shared" ca="1" si="111"/>
        <v>129.88481991752761</v>
      </c>
      <c r="X374">
        <f t="shared" ca="1" si="121"/>
        <v>130.81099222846743</v>
      </c>
      <c r="Y374">
        <f t="shared" ca="1" si="120"/>
        <v>-0.68564375711173398</v>
      </c>
      <c r="Z374">
        <f t="shared" ca="1" si="122"/>
        <v>-0.99242139674742313</v>
      </c>
      <c r="AA374">
        <f t="shared" ca="1" si="123"/>
        <v>0.30677763963568916</v>
      </c>
      <c r="AB374">
        <f t="shared" ca="1" si="124"/>
        <v>140.37965</v>
      </c>
    </row>
    <row r="375" spans="1:28" x14ac:dyDescent="0.25">
      <c r="A375" s="20">
        <f t="shared" ca="1" si="104"/>
        <v>45838</v>
      </c>
      <c r="B375" vm="1097">
        <f ca="1"/>
        <v>45838</v>
      </c>
      <c r="C375" vm="1098">
        <f ca="1"/>
        <v>132.04</v>
      </c>
      <c r="D375" vm="1099">
        <f ca="1"/>
        <v>11402443</v>
      </c>
      <c r="E375">
        <f t="shared" ca="1" si="105"/>
        <v>1505578573.7199998</v>
      </c>
      <c r="F375">
        <f ca="1">SUM($E$2:E375)/SUM($D$2:D375)</f>
        <v>156.73759391529092</v>
      </c>
      <c r="G375">
        <f ca="1">_xlfn.STDEV.P($C$2:C375)</f>
        <v>14.763622374409037</v>
      </c>
      <c r="H375">
        <f t="shared" ca="1" si="106"/>
        <v>171.50121628969995</v>
      </c>
      <c r="I375">
        <f t="shared" ca="1" si="107"/>
        <v>141.97397154088188</v>
      </c>
      <c r="J375">
        <f t="shared" ca="1" si="116"/>
        <v>130.43899999999999</v>
      </c>
      <c r="K375">
        <f t="shared" ca="1" si="117"/>
        <v>1.3081602187403267</v>
      </c>
      <c r="L375">
        <f t="shared" ca="1" si="118"/>
        <v>133.05532043748065</v>
      </c>
      <c r="M375">
        <f t="shared" ca="1" si="119"/>
        <v>127.82267956251934</v>
      </c>
      <c r="N375">
        <f t="shared" ca="1" si="108"/>
        <v>1</v>
      </c>
      <c r="O375">
        <f t="shared" ca="1" si="109"/>
        <v>1</v>
      </c>
      <c r="P375">
        <f t="shared" ca="1" si="110"/>
        <v>0</v>
      </c>
      <c r="Q375">
        <f t="shared" ca="1" si="114"/>
        <v>0.66442251866909796</v>
      </c>
      <c r="R375">
        <f t="shared" ca="1" si="115"/>
        <v>0.58313774969830789</v>
      </c>
      <c r="S375">
        <f t="shared" ca="1" si="112"/>
        <v>1.1393920544722813</v>
      </c>
      <c r="T375">
        <f t="shared" ca="1" si="113"/>
        <v>53.257749185823371</v>
      </c>
      <c r="U375">
        <f>70</f>
        <v>70</v>
      </c>
      <c r="V375">
        <f>30</f>
        <v>30</v>
      </c>
      <c r="W375">
        <f t="shared" ca="1" si="111"/>
        <v>130.21638608406181</v>
      </c>
      <c r="X375">
        <f t="shared" ca="1" si="121"/>
        <v>130.90202984117354</v>
      </c>
      <c r="Y375">
        <f t="shared" ca="1" si="120"/>
        <v>-0.23251575901721822</v>
      </c>
      <c r="Z375">
        <f t="shared" ca="1" si="122"/>
        <v>-0.84044026920138226</v>
      </c>
      <c r="AA375">
        <f t="shared" ca="1" si="123"/>
        <v>0.60792451018416405</v>
      </c>
      <c r="AB375">
        <f t="shared" ca="1" si="124"/>
        <v>140.26515000000003</v>
      </c>
    </row>
    <row r="376" spans="1:28" x14ac:dyDescent="0.25">
      <c r="A376" s="20">
        <f t="shared" ca="1" si="104"/>
        <v>45838</v>
      </c>
      <c r="B376" vm="1100">
        <f ca="1"/>
        <v>45839</v>
      </c>
      <c r="C376" vm="1101">
        <f ca="1"/>
        <v>135.26</v>
      </c>
      <c r="D376" vm="1102">
        <f ca="1"/>
        <v>12846685</v>
      </c>
      <c r="E376">
        <f t="shared" ca="1" si="105"/>
        <v>1737642613.0999999</v>
      </c>
      <c r="F376">
        <f ca="1">SUM($E$2:E376)/SUM($D$2:D376)</f>
        <v>156.62474332345661</v>
      </c>
      <c r="G376">
        <f ca="1">_xlfn.STDEV.P($C$2:C376)</f>
        <v>14.799809349222485</v>
      </c>
      <c r="H376">
        <f t="shared" ca="1" si="106"/>
        <v>171.42455267267911</v>
      </c>
      <c r="I376">
        <f t="shared" ca="1" si="107"/>
        <v>141.82493397423411</v>
      </c>
      <c r="J376">
        <f t="shared" ca="1" si="116"/>
        <v>130.65649999999997</v>
      </c>
      <c r="K376">
        <f t="shared" ca="1" si="117"/>
        <v>1.6950152149604341</v>
      </c>
      <c r="L376">
        <f t="shared" ca="1" si="118"/>
        <v>134.04653042992084</v>
      </c>
      <c r="M376">
        <f t="shared" ca="1" si="119"/>
        <v>127.2664695700791</v>
      </c>
      <c r="N376">
        <f t="shared" ca="1" si="108"/>
        <v>3.2199999999999989</v>
      </c>
      <c r="O376">
        <f t="shared" ca="1" si="109"/>
        <v>3.2199999999999989</v>
      </c>
      <c r="P376">
        <f t="shared" ca="1" si="110"/>
        <v>0</v>
      </c>
      <c r="Q376">
        <f t="shared" ca="1" si="114"/>
        <v>0.84696376733559098</v>
      </c>
      <c r="R376">
        <f t="shared" ca="1" si="115"/>
        <v>0.54148505329128593</v>
      </c>
      <c r="S376">
        <f t="shared" ca="1" si="112"/>
        <v>1.5641498545297354</v>
      </c>
      <c r="T376">
        <f t="shared" ca="1" si="113"/>
        <v>61.000719274131512</v>
      </c>
      <c r="U376">
        <f>70</f>
        <v>70</v>
      </c>
      <c r="V376">
        <f>30</f>
        <v>30</v>
      </c>
      <c r="W376">
        <f t="shared" ca="1" si="111"/>
        <v>130.99232668651385</v>
      </c>
      <c r="X376">
        <f t="shared" ca="1" si="121"/>
        <v>131.22484244553107</v>
      </c>
      <c r="Y376">
        <f t="shared" ca="1" si="120"/>
        <v>0.22247074386612553</v>
      </c>
      <c r="Z376">
        <f t="shared" ca="1" si="122"/>
        <v>-0.62785806658788079</v>
      </c>
      <c r="AA376">
        <f t="shared" ca="1" si="123"/>
        <v>0.85032881045400632</v>
      </c>
      <c r="AB376">
        <f t="shared" ca="1" si="124"/>
        <v>140.16115000000002</v>
      </c>
    </row>
    <row r="377" spans="1:28" x14ac:dyDescent="0.25">
      <c r="A377" s="20">
        <f t="shared" ca="1" si="104"/>
        <v>45838</v>
      </c>
      <c r="B377" vm="1103">
        <f ca="1"/>
        <v>45840</v>
      </c>
      <c r="C377" vm="1104">
        <f ca="1"/>
        <v>136.47999999999999</v>
      </c>
      <c r="D377" vm="1105">
        <f ca="1"/>
        <v>9388667</v>
      </c>
      <c r="E377">
        <f t="shared" ca="1" si="105"/>
        <v>1281365272.1599998</v>
      </c>
      <c r="F377">
        <f ca="1">SUM($E$2:E377)/SUM($D$2:D377)</f>
        <v>156.54768344560807</v>
      </c>
      <c r="G377">
        <f ca="1">_xlfn.STDEV.P($C$2:C377)</f>
        <v>14.83013279563748</v>
      </c>
      <c r="H377">
        <f t="shared" ca="1" si="106"/>
        <v>171.37781624124554</v>
      </c>
      <c r="I377">
        <f t="shared" ca="1" si="107"/>
        <v>141.7175506499706</v>
      </c>
      <c r="J377">
        <f t="shared" ca="1" si="116"/>
        <v>130.88799999999998</v>
      </c>
      <c r="K377">
        <f t="shared" ca="1" si="117"/>
        <v>2.1275797962646843</v>
      </c>
      <c r="L377">
        <f t="shared" ca="1" si="118"/>
        <v>135.14315959252934</v>
      </c>
      <c r="M377">
        <f t="shared" ca="1" si="119"/>
        <v>126.63284040747061</v>
      </c>
      <c r="N377">
        <f t="shared" ca="1" si="108"/>
        <v>1.2199999999999989</v>
      </c>
      <c r="O377">
        <f t="shared" ca="1" si="109"/>
        <v>1.2199999999999989</v>
      </c>
      <c r="P377">
        <f t="shared" ca="1" si="110"/>
        <v>0</v>
      </c>
      <c r="Q377">
        <f t="shared" ca="1" si="114"/>
        <v>0.87360921252590573</v>
      </c>
      <c r="R377">
        <f t="shared" ca="1" si="115"/>
        <v>0.50280754948476558</v>
      </c>
      <c r="S377">
        <f t="shared" ca="1" si="112"/>
        <v>1.7374624017103684</v>
      </c>
      <c r="T377">
        <f t="shared" ca="1" si="113"/>
        <v>63.469817909637797</v>
      </c>
      <c r="U377">
        <f>70</f>
        <v>70</v>
      </c>
      <c r="V377">
        <f>30</f>
        <v>30</v>
      </c>
      <c r="W377">
        <f t="shared" ca="1" si="111"/>
        <v>131.83658411935787</v>
      </c>
      <c r="X377">
        <f t="shared" ca="1" si="121"/>
        <v>131.61411337549174</v>
      </c>
      <c r="Y377">
        <f t="shared" ca="1" si="120"/>
        <v>0.48865708380191109</v>
      </c>
      <c r="Z377">
        <f t="shared" ca="1" si="122"/>
        <v>-0.40455503650992242</v>
      </c>
      <c r="AA377">
        <f t="shared" ca="1" si="123"/>
        <v>0.8932121203118335</v>
      </c>
      <c r="AB377">
        <f t="shared" ca="1" si="124"/>
        <v>140.07245000000003</v>
      </c>
    </row>
    <row r="378" spans="1:28" x14ac:dyDescent="0.25">
      <c r="A378" s="20">
        <f t="shared" ca="1" si="104"/>
        <v>45838</v>
      </c>
      <c r="B378" vm="1106">
        <f ca="1"/>
        <v>45841</v>
      </c>
      <c r="C378" vm="1107">
        <f ca="1"/>
        <v>135.38</v>
      </c>
      <c r="D378" vm="1108">
        <f ca="1"/>
        <v>4941378</v>
      </c>
      <c r="E378">
        <f t="shared" ca="1" si="105"/>
        <v>668963753.63999999</v>
      </c>
      <c r="F378">
        <f ca="1">SUM($E$2:E378)/SUM($D$2:D378)</f>
        <v>156.50515195914667</v>
      </c>
      <c r="G378">
        <f ca="1">_xlfn.STDEV.P($C$2:C378)</f>
        <v>14.864692331353693</v>
      </c>
      <c r="H378">
        <f t="shared" ca="1" si="106"/>
        <v>171.36984429050037</v>
      </c>
      <c r="I378">
        <f t="shared" ca="1" si="107"/>
        <v>141.64045962779298</v>
      </c>
      <c r="J378">
        <f t="shared" ca="1" si="116"/>
        <v>131.07</v>
      </c>
      <c r="K378">
        <f t="shared" ca="1" si="117"/>
        <v>2.3485157686908265</v>
      </c>
      <c r="L378">
        <f t="shared" ca="1" si="118"/>
        <v>135.76703153738165</v>
      </c>
      <c r="M378">
        <f t="shared" ca="1" si="119"/>
        <v>126.37296846261835</v>
      </c>
      <c r="N378">
        <f t="shared" ca="1" si="108"/>
        <v>-1.0999999999999943</v>
      </c>
      <c r="O378">
        <f t="shared" ca="1" si="109"/>
        <v>0</v>
      </c>
      <c r="P378">
        <f t="shared" ca="1" si="110"/>
        <v>1.0999999999999943</v>
      </c>
      <c r="Q378">
        <f t="shared" ca="1" si="114"/>
        <v>0.81120855448834106</v>
      </c>
      <c r="R378">
        <f t="shared" ca="1" si="115"/>
        <v>0.54546415309299623</v>
      </c>
      <c r="S378">
        <f t="shared" ca="1" si="112"/>
        <v>1.4871894878672953</v>
      </c>
      <c r="T378">
        <f t="shared" ca="1" si="113"/>
        <v>59.793976097194118</v>
      </c>
      <c r="U378">
        <f>70</f>
        <v>70</v>
      </c>
      <c r="V378">
        <f>30</f>
        <v>30</v>
      </c>
      <c r="W378">
        <f t="shared" ca="1" si="111"/>
        <v>132.38172502407204</v>
      </c>
      <c r="X378">
        <f t="shared" ca="1" si="121"/>
        <v>131.89306794027013</v>
      </c>
      <c r="Y378">
        <f t="shared" ca="1" si="120"/>
        <v>0.6174508591498693</v>
      </c>
      <c r="Z378">
        <f t="shared" ca="1" si="122"/>
        <v>-0.2001538573779641</v>
      </c>
      <c r="AA378">
        <f t="shared" ca="1" si="123"/>
        <v>0.8176047165278334</v>
      </c>
      <c r="AB378">
        <f t="shared" ca="1" si="124"/>
        <v>139.98045000000005</v>
      </c>
    </row>
    <row r="379" spans="1:28" x14ac:dyDescent="0.25">
      <c r="A379" s="20">
        <f t="shared" ca="1" si="104"/>
        <v>45845</v>
      </c>
      <c r="B379" vm="1109">
        <f ca="1"/>
        <v>45845</v>
      </c>
      <c r="C379" vm="1110">
        <f ca="1"/>
        <v>134.44999999999999</v>
      </c>
      <c r="D379" vm="1111">
        <f ca="1"/>
        <v>7773744</v>
      </c>
      <c r="E379">
        <f t="shared" ca="1" si="105"/>
        <v>1045179880.8</v>
      </c>
      <c r="F379">
        <f ca="1">SUM($E$2:E379)/SUM($D$2:D379)</f>
        <v>156.43565611775585</v>
      </c>
      <c r="G379">
        <f ca="1">_xlfn.STDEV.P($C$2:C379)</f>
        <v>14.902832235684254</v>
      </c>
      <c r="H379">
        <f t="shared" ca="1" si="106"/>
        <v>171.33848835344011</v>
      </c>
      <c r="I379">
        <f t="shared" ca="1" si="107"/>
        <v>141.5328238820716</v>
      </c>
      <c r="J379">
        <f t="shared" ca="1" si="116"/>
        <v>131.23699999999997</v>
      </c>
      <c r="K379">
        <f t="shared" ca="1" si="117"/>
        <v>2.467259506757284</v>
      </c>
      <c r="L379">
        <f t="shared" ca="1" si="118"/>
        <v>136.17151901351454</v>
      </c>
      <c r="M379">
        <f t="shared" ca="1" si="119"/>
        <v>126.30248098648539</v>
      </c>
      <c r="N379">
        <f t="shared" ca="1" si="108"/>
        <v>-0.93000000000000682</v>
      </c>
      <c r="O379">
        <f t="shared" ca="1" si="109"/>
        <v>0</v>
      </c>
      <c r="P379">
        <f t="shared" ca="1" si="110"/>
        <v>0.93000000000000682</v>
      </c>
      <c r="Q379">
        <f t="shared" ca="1" si="114"/>
        <v>0.75326508631060241</v>
      </c>
      <c r="R379">
        <f t="shared" ca="1" si="115"/>
        <v>0.57293099930063984</v>
      </c>
      <c r="S379">
        <f t="shared" ca="1" si="112"/>
        <v>1.3147570776063628</v>
      </c>
      <c r="T379">
        <f t="shared" ca="1" si="113"/>
        <v>56.798922458244427</v>
      </c>
      <c r="U379">
        <f>70</f>
        <v>70</v>
      </c>
      <c r="V379">
        <f>30</f>
        <v>30</v>
      </c>
      <c r="W379">
        <f t="shared" ca="1" si="111"/>
        <v>132.69992117421481</v>
      </c>
      <c r="X379">
        <f t="shared" ca="1" si="121"/>
        <v>132.08247031506494</v>
      </c>
      <c r="Y379">
        <f t="shared" ca="1" si="120"/>
        <v>0.75838671323560902</v>
      </c>
      <c r="Z379">
        <f t="shared" ca="1" si="122"/>
        <v>-8.445743255249466E-3</v>
      </c>
      <c r="AA379">
        <f t="shared" ca="1" si="123"/>
        <v>0.76683245649085852</v>
      </c>
      <c r="AB379">
        <f t="shared" ca="1" si="124"/>
        <v>139.88145000000006</v>
      </c>
    </row>
    <row r="380" spans="1:28" x14ac:dyDescent="0.25">
      <c r="A380" s="20">
        <f t="shared" ca="1" si="104"/>
        <v>45845</v>
      </c>
      <c r="B380" vm="1112">
        <f ca="1"/>
        <v>45846</v>
      </c>
      <c r="C380" vm="1113">
        <f ca="1"/>
        <v>135.04</v>
      </c>
      <c r="D380" vm="1114">
        <f ca="1"/>
        <v>7718265</v>
      </c>
      <c r="E380">
        <f t="shared" ca="1" si="105"/>
        <v>1042274505.5999999</v>
      </c>
      <c r="F380">
        <f ca="1">SUM($E$2:E380)/SUM($D$2:D380)</f>
        <v>156.36892825004233</v>
      </c>
      <c r="G380">
        <f ca="1">_xlfn.STDEV.P($C$2:C380)</f>
        <v>14.937755572072048</v>
      </c>
      <c r="H380">
        <f t="shared" ca="1" si="106"/>
        <v>171.30668382211437</v>
      </c>
      <c r="I380">
        <f t="shared" ca="1" si="107"/>
        <v>141.4311726779703</v>
      </c>
      <c r="J380">
        <f t="shared" ca="1" si="116"/>
        <v>131.48749999999998</v>
      </c>
      <c r="K380">
        <f t="shared" ca="1" si="117"/>
        <v>2.5895638222437514</v>
      </c>
      <c r="L380">
        <f t="shared" ca="1" si="118"/>
        <v>136.66662764448748</v>
      </c>
      <c r="M380">
        <f t="shared" ca="1" si="119"/>
        <v>126.30837235551247</v>
      </c>
      <c r="N380">
        <f t="shared" ca="1" si="108"/>
        <v>0.59000000000000341</v>
      </c>
      <c r="O380">
        <f t="shared" ca="1" si="109"/>
        <v>0.59000000000000341</v>
      </c>
      <c r="P380">
        <f t="shared" ca="1" si="110"/>
        <v>0</v>
      </c>
      <c r="Q380">
        <f t="shared" ca="1" si="114"/>
        <v>0.74160329443127382</v>
      </c>
      <c r="R380">
        <f t="shared" ca="1" si="115"/>
        <v>0.53200735649345121</v>
      </c>
      <c r="S380">
        <f t="shared" ca="1" si="112"/>
        <v>1.3939718791095375</v>
      </c>
      <c r="T380">
        <f t="shared" ca="1" si="113"/>
        <v>58.228414931425164</v>
      </c>
      <c r="U380">
        <f>70</f>
        <v>70</v>
      </c>
      <c r="V380">
        <f>30</f>
        <v>30</v>
      </c>
      <c r="W380">
        <f t="shared" ca="1" si="111"/>
        <v>133.0599333012587</v>
      </c>
      <c r="X380">
        <f t="shared" ca="1" si="121"/>
        <v>132.30154658802309</v>
      </c>
      <c r="Y380">
        <f t="shared" ca="1" si="120"/>
        <v>0.815491593636267</v>
      </c>
      <c r="Z380">
        <f t="shared" ca="1" si="122"/>
        <v>0.15634172412305383</v>
      </c>
      <c r="AA380">
        <f t="shared" ca="1" si="123"/>
        <v>0.65914986951321319</v>
      </c>
      <c r="AB380">
        <f t="shared" ca="1" si="124"/>
        <v>139.77545000000006</v>
      </c>
    </row>
    <row r="381" spans="1:28" x14ac:dyDescent="0.25">
      <c r="A381" s="20">
        <f t="shared" ca="1" si="104"/>
        <v>45845</v>
      </c>
      <c r="B381" vm="1115">
        <f ca="1"/>
        <v>45847</v>
      </c>
      <c r="C381" vm="1116">
        <f ca="1"/>
        <v>134.47999999999999</v>
      </c>
      <c r="D381" vm="1117">
        <f ca="1"/>
        <v>7762618</v>
      </c>
      <c r="E381">
        <f t="shared" ca="1" si="105"/>
        <v>1043916868.6399999</v>
      </c>
      <c r="F381">
        <f ca="1">SUM($E$2:E381)/SUM($D$2:D381)</f>
        <v>156.30048438055175</v>
      </c>
      <c r="G381">
        <f ca="1">_xlfn.STDEV.P($C$2:C381)</f>
        <v>14.974591540005127</v>
      </c>
      <c r="H381">
        <f t="shared" ca="1" si="106"/>
        <v>171.27507592055687</v>
      </c>
      <c r="I381">
        <f t="shared" ca="1" si="107"/>
        <v>141.32589284054663</v>
      </c>
      <c r="J381">
        <f t="shared" ca="1" si="116"/>
        <v>131.71349999999998</v>
      </c>
      <c r="K381">
        <f t="shared" ca="1" si="117"/>
        <v>2.6458632558053781</v>
      </c>
      <c r="L381">
        <f t="shared" ca="1" si="118"/>
        <v>137.00522651161074</v>
      </c>
      <c r="M381">
        <f t="shared" ca="1" si="119"/>
        <v>126.42177348838922</v>
      </c>
      <c r="N381">
        <f t="shared" ca="1" si="108"/>
        <v>-0.56000000000000227</v>
      </c>
      <c r="O381">
        <f t="shared" ca="1" si="109"/>
        <v>0</v>
      </c>
      <c r="P381">
        <f t="shared" ca="1" si="110"/>
        <v>0.56000000000000227</v>
      </c>
      <c r="Q381">
        <f t="shared" ca="1" si="114"/>
        <v>0.68863163054332577</v>
      </c>
      <c r="R381">
        <f t="shared" ca="1" si="115"/>
        <v>0.53400683102963342</v>
      </c>
      <c r="S381">
        <f t="shared" ca="1" si="112"/>
        <v>1.2895558455976228</v>
      </c>
      <c r="T381">
        <f t="shared" ca="1" si="113"/>
        <v>56.32340648415245</v>
      </c>
      <c r="U381">
        <f>70</f>
        <v>70</v>
      </c>
      <c r="V381">
        <f>30</f>
        <v>30</v>
      </c>
      <c r="W381">
        <f t="shared" ca="1" si="111"/>
        <v>133.27840510106506</v>
      </c>
      <c r="X381">
        <f t="shared" ca="1" si="121"/>
        <v>132.46291350742879</v>
      </c>
      <c r="Y381">
        <f t="shared" ca="1" si="120"/>
        <v>0.9785738606893517</v>
      </c>
      <c r="Z381">
        <f t="shared" ca="1" si="122"/>
        <v>0.32078815143631345</v>
      </c>
      <c r="AA381">
        <f t="shared" ca="1" si="123"/>
        <v>0.65778570925303825</v>
      </c>
      <c r="AB381">
        <f t="shared" ca="1" si="124"/>
        <v>139.68035000000006</v>
      </c>
    </row>
    <row r="382" spans="1:28" x14ac:dyDescent="0.25">
      <c r="A382" s="20">
        <f t="shared" ca="1" si="104"/>
        <v>45845</v>
      </c>
      <c r="B382" vm="1118">
        <f ca="1"/>
        <v>45848</v>
      </c>
      <c r="C382" vm="1119">
        <f ca="1"/>
        <v>136.08000000000001</v>
      </c>
      <c r="D382" vm="1120">
        <f ca="1"/>
        <v>8870905</v>
      </c>
      <c r="E382">
        <f t="shared" ca="1" si="105"/>
        <v>1207152752.4000001</v>
      </c>
      <c r="F382">
        <f ca="1">SUM($E$2:E382)/SUM($D$2:D382)</f>
        <v>156.2284877410932</v>
      </c>
      <c r="G382">
        <f ca="1">_xlfn.STDEV.P($C$2:C382)</f>
        <v>15.004011820111728</v>
      </c>
      <c r="H382">
        <f t="shared" ca="1" si="106"/>
        <v>171.23249956120492</v>
      </c>
      <c r="I382">
        <f t="shared" ca="1" si="107"/>
        <v>141.22447592098149</v>
      </c>
      <c r="J382">
        <f t="shared" ca="1" si="116"/>
        <v>131.92599999999999</v>
      </c>
      <c r="K382">
        <f t="shared" ca="1" si="117"/>
        <v>2.8206091167465361</v>
      </c>
      <c r="L382">
        <f t="shared" ca="1" si="118"/>
        <v>137.56721823349307</v>
      </c>
      <c r="M382">
        <f t="shared" ca="1" si="119"/>
        <v>126.28478176650691</v>
      </c>
      <c r="N382">
        <f t="shared" ca="1" si="108"/>
        <v>1.6000000000000227</v>
      </c>
      <c r="O382">
        <f t="shared" ca="1" si="109"/>
        <v>1.6000000000000227</v>
      </c>
      <c r="P382">
        <f t="shared" ca="1" si="110"/>
        <v>0</v>
      </c>
      <c r="Q382">
        <f t="shared" ca="1" si="114"/>
        <v>0.75372937121880412</v>
      </c>
      <c r="R382">
        <f t="shared" ca="1" si="115"/>
        <v>0.4958634859560882</v>
      </c>
      <c r="S382">
        <f t="shared" ca="1" si="112"/>
        <v>1.5200340266344023</v>
      </c>
      <c r="T382">
        <f t="shared" ca="1" si="113"/>
        <v>60.31799612898336</v>
      </c>
      <c r="U382">
        <f>70</f>
        <v>70</v>
      </c>
      <c r="V382">
        <f>30</f>
        <v>30</v>
      </c>
      <c r="W382">
        <f t="shared" ca="1" si="111"/>
        <v>133.70941970090121</v>
      </c>
      <c r="X382">
        <f t="shared" ca="1" si="121"/>
        <v>132.73084584021186</v>
      </c>
      <c r="Y382">
        <f t="shared" ca="1" si="120"/>
        <v>1.0297799233584044</v>
      </c>
      <c r="Z382">
        <f t="shared" ca="1" si="122"/>
        <v>0.46258650582073169</v>
      </c>
      <c r="AA382">
        <f t="shared" ca="1" si="123"/>
        <v>0.56719341753767272</v>
      </c>
      <c r="AB382">
        <f t="shared" ca="1" si="124"/>
        <v>139.59535000000008</v>
      </c>
    </row>
    <row r="383" spans="1:28" x14ac:dyDescent="0.25">
      <c r="A383" s="20">
        <f t="shared" ca="1" si="104"/>
        <v>45845</v>
      </c>
      <c r="B383" vm="1121">
        <f ca="1"/>
        <v>45849</v>
      </c>
      <c r="C383" vm="1101">
        <f ca="1"/>
        <v>135.26</v>
      </c>
      <c r="D383" vm="1122">
        <f ca="1"/>
        <v>7963646</v>
      </c>
      <c r="E383">
        <f t="shared" ca="1" si="105"/>
        <v>1077162757.96</v>
      </c>
      <c r="F383">
        <f ca="1">SUM($E$2:E383)/SUM($D$2:D383)</f>
        <v>156.16167707177655</v>
      </c>
      <c r="G383">
        <f ca="1">_xlfn.STDEV.P($C$2:C383)</f>
        <v>15.036390179995161</v>
      </c>
      <c r="H383">
        <f t="shared" ca="1" si="106"/>
        <v>171.1980672517717</v>
      </c>
      <c r="I383">
        <f t="shared" ca="1" si="107"/>
        <v>141.1252868917814</v>
      </c>
      <c r="J383">
        <f t="shared" ca="1" si="116"/>
        <v>132.19399999999996</v>
      </c>
      <c r="K383">
        <f t="shared" ca="1" si="117"/>
        <v>2.8721464557292133</v>
      </c>
      <c r="L383">
        <f t="shared" ca="1" si="118"/>
        <v>137.93829291145838</v>
      </c>
      <c r="M383">
        <f t="shared" ca="1" si="119"/>
        <v>126.44970708854153</v>
      </c>
      <c r="N383">
        <f t="shared" ca="1" si="108"/>
        <v>-0.8200000000000216</v>
      </c>
      <c r="O383">
        <f t="shared" ca="1" si="109"/>
        <v>0</v>
      </c>
      <c r="P383">
        <f t="shared" ca="1" si="110"/>
        <v>0.8200000000000216</v>
      </c>
      <c r="Q383">
        <f t="shared" ca="1" si="114"/>
        <v>0.69989155898888955</v>
      </c>
      <c r="R383">
        <f t="shared" ca="1" si="115"/>
        <v>0.51901609410208338</v>
      </c>
      <c r="S383">
        <f t="shared" ca="1" si="112"/>
        <v>1.3484968326458686</v>
      </c>
      <c r="T383">
        <f t="shared" ca="1" si="113"/>
        <v>57.419572123783631</v>
      </c>
      <c r="U383">
        <f>70</f>
        <v>70</v>
      </c>
      <c r="V383">
        <f>30</f>
        <v>30</v>
      </c>
      <c r="W383">
        <f t="shared" ca="1" si="111"/>
        <v>133.94797051614717</v>
      </c>
      <c r="X383">
        <f t="shared" ca="1" si="121"/>
        <v>132.91819059278876</v>
      </c>
      <c r="Y383">
        <f t="shared" ca="1" si="120"/>
        <v>1.082892594414119</v>
      </c>
      <c r="Z383">
        <f t="shared" ca="1" si="122"/>
        <v>0.58664772353940919</v>
      </c>
      <c r="AA383">
        <f t="shared" ca="1" si="123"/>
        <v>0.49624487087470981</v>
      </c>
      <c r="AB383">
        <f t="shared" ca="1" si="124"/>
        <v>139.51405000000005</v>
      </c>
    </row>
    <row r="384" spans="1:28" x14ac:dyDescent="0.25">
      <c r="A384" s="20">
        <f t="shared" ca="1" si="104"/>
        <v>45852</v>
      </c>
      <c r="B384" vm="1123">
        <f ca="1"/>
        <v>45852</v>
      </c>
      <c r="C384" vm="1124">
        <f ca="1"/>
        <v>135.57</v>
      </c>
      <c r="D384" vm="1125">
        <f ca="1"/>
        <v>8480302</v>
      </c>
      <c r="E384">
        <f t="shared" ca="1" si="105"/>
        <v>1149674542.1399999</v>
      </c>
      <c r="F384">
        <f ca="1">SUM($E$2:E384)/SUM($D$2:D384)</f>
        <v>156.09204669326093</v>
      </c>
      <c r="G384">
        <f ca="1">_xlfn.STDEV.P($C$2:C384)</f>
        <v>15.0669617710384</v>
      </c>
      <c r="H384">
        <f t="shared" ca="1" si="106"/>
        <v>171.15900846429932</v>
      </c>
      <c r="I384">
        <f t="shared" ca="1" si="107"/>
        <v>141.02508492222253</v>
      </c>
      <c r="J384">
        <f t="shared" ca="1" si="116"/>
        <v>132.35750000000002</v>
      </c>
      <c r="K384">
        <f t="shared" ca="1" si="117"/>
        <v>2.9699085135652505</v>
      </c>
      <c r="L384">
        <f t="shared" ca="1" si="118"/>
        <v>138.2973170271305</v>
      </c>
      <c r="M384">
        <f t="shared" ca="1" si="119"/>
        <v>126.41768297286951</v>
      </c>
      <c r="N384">
        <f t="shared" ca="1" si="108"/>
        <v>0.31000000000000227</v>
      </c>
      <c r="O384">
        <f t="shared" ca="1" si="109"/>
        <v>0.31000000000000227</v>
      </c>
      <c r="P384">
        <f t="shared" ca="1" si="110"/>
        <v>0</v>
      </c>
      <c r="Q384">
        <f t="shared" ca="1" si="114"/>
        <v>0.67204216191825483</v>
      </c>
      <c r="R384">
        <f t="shared" ca="1" si="115"/>
        <v>0.48194351595193458</v>
      </c>
      <c r="S384">
        <f t="shared" ca="1" si="112"/>
        <v>1.3944417544260088</v>
      </c>
      <c r="T384">
        <f t="shared" ca="1" si="113"/>
        <v>58.236612013988278</v>
      </c>
      <c r="U384">
        <f>70</f>
        <v>70</v>
      </c>
      <c r="V384">
        <f>30</f>
        <v>30</v>
      </c>
      <c r="W384">
        <f t="shared" ca="1" si="111"/>
        <v>134.19751351366298</v>
      </c>
      <c r="X384">
        <f t="shared" ca="1" si="121"/>
        <v>133.11462091924886</v>
      </c>
      <c r="Y384">
        <f t="shared" ca="1" si="120"/>
        <v>0.97176556923650992</v>
      </c>
      <c r="Z384">
        <f t="shared" ca="1" si="122"/>
        <v>0.66367129267882941</v>
      </c>
      <c r="AA384">
        <f t="shared" ca="1" si="123"/>
        <v>0.30809427655768051</v>
      </c>
      <c r="AB384">
        <f t="shared" ca="1" si="124"/>
        <v>139.42875000000006</v>
      </c>
    </row>
    <row r="385" spans="1:28" x14ac:dyDescent="0.25">
      <c r="A385" s="20">
        <f t="shared" ca="1" si="104"/>
        <v>45852</v>
      </c>
      <c r="B385" vm="1126">
        <f ca="1"/>
        <v>45853</v>
      </c>
      <c r="C385" vm="1127">
        <f ca="1"/>
        <v>133.81</v>
      </c>
      <c r="D385" vm="1128">
        <f ca="1"/>
        <v>8933520</v>
      </c>
      <c r="E385">
        <f t="shared" ca="1" si="105"/>
        <v>1195394311.2</v>
      </c>
      <c r="F385">
        <f ca="1">SUM($E$2:E385)/SUM($D$2:D385)</f>
        <v>156.01295531974836</v>
      </c>
      <c r="G385">
        <f ca="1">_xlfn.STDEV.P($C$2:C385)</f>
        <v>15.104591299206808</v>
      </c>
      <c r="H385">
        <f t="shared" ca="1" si="106"/>
        <v>171.11754661895517</v>
      </c>
      <c r="I385">
        <f t="shared" ca="1" si="107"/>
        <v>140.90836402054154</v>
      </c>
      <c r="J385">
        <f t="shared" ca="1" si="116"/>
        <v>132.50549999999998</v>
      </c>
      <c r="K385">
        <f t="shared" ca="1" si="117"/>
        <v>2.9645794500720442</v>
      </c>
      <c r="L385">
        <f t="shared" ca="1" si="118"/>
        <v>138.43465890014409</v>
      </c>
      <c r="M385">
        <f t="shared" ca="1" si="119"/>
        <v>126.5763410998559</v>
      </c>
      <c r="N385">
        <f t="shared" ca="1" si="108"/>
        <v>-1.7599999999999909</v>
      </c>
      <c r="O385">
        <f t="shared" ca="1" si="109"/>
        <v>0</v>
      </c>
      <c r="P385">
        <f t="shared" ca="1" si="110"/>
        <v>1.7599999999999909</v>
      </c>
      <c r="Q385">
        <f t="shared" ca="1" si="114"/>
        <v>0.62403915035266522</v>
      </c>
      <c r="R385">
        <f t="shared" ca="1" si="115"/>
        <v>0.57323326481251002</v>
      </c>
      <c r="S385">
        <f t="shared" ca="1" si="112"/>
        <v>1.088630386020554</v>
      </c>
      <c r="T385">
        <f t="shared" ca="1" si="113"/>
        <v>52.121734573378021</v>
      </c>
      <c r="U385">
        <f>70</f>
        <v>70</v>
      </c>
      <c r="V385">
        <f>30</f>
        <v>30</v>
      </c>
      <c r="W385">
        <f t="shared" ca="1" si="111"/>
        <v>134.1378960500225</v>
      </c>
      <c r="X385">
        <f t="shared" ca="1" si="121"/>
        <v>133.16613048078599</v>
      </c>
      <c r="Y385">
        <f t="shared" ca="1" si="120"/>
        <v>0.99647498746790575</v>
      </c>
      <c r="Z385">
        <f t="shared" ca="1" si="122"/>
        <v>0.73023203163664474</v>
      </c>
      <c r="AA385">
        <f t="shared" ca="1" si="123"/>
        <v>0.26624295583126101</v>
      </c>
      <c r="AB385">
        <f t="shared" ca="1" si="124"/>
        <v>139.30875000000003</v>
      </c>
    </row>
    <row r="386" spans="1:28" x14ac:dyDescent="0.25">
      <c r="A386" s="20">
        <f t="shared" ca="1" si="104"/>
        <v>45852</v>
      </c>
      <c r="B386" vm="1129">
        <f ca="1"/>
        <v>45854</v>
      </c>
      <c r="C386" vm="1130">
        <f ca="1"/>
        <v>135.35</v>
      </c>
      <c r="D386" vm="1131">
        <f ca="1"/>
        <v>10941629</v>
      </c>
      <c r="E386">
        <f t="shared" ca="1" si="105"/>
        <v>1480949485.1499999</v>
      </c>
      <c r="F386">
        <f ca="1">SUM($E$2:E386)/SUM($D$2:D386)</f>
        <v>155.92351324411388</v>
      </c>
      <c r="G386">
        <f ca="1">_xlfn.STDEV.P($C$2:C386)</f>
        <v>15.135063097113857</v>
      </c>
      <c r="H386">
        <f t="shared" ca="1" si="106"/>
        <v>171.05857634122773</v>
      </c>
      <c r="I386">
        <f t="shared" ca="1" si="107"/>
        <v>140.78845014700002</v>
      </c>
      <c r="J386">
        <f t="shared" ca="1" si="116"/>
        <v>132.70249999999999</v>
      </c>
      <c r="K386">
        <f t="shared" ca="1" si="117"/>
        <v>3.0183715982733386</v>
      </c>
      <c r="L386">
        <f t="shared" ca="1" si="118"/>
        <v>138.73924319654665</v>
      </c>
      <c r="M386">
        <f t="shared" ca="1" si="119"/>
        <v>126.66575680345331</v>
      </c>
      <c r="N386">
        <f t="shared" ca="1" si="108"/>
        <v>1.539999999999992</v>
      </c>
      <c r="O386">
        <f t="shared" ca="1" si="109"/>
        <v>1.539999999999992</v>
      </c>
      <c r="P386">
        <f t="shared" ca="1" si="110"/>
        <v>0</v>
      </c>
      <c r="Q386">
        <f t="shared" ca="1" si="114"/>
        <v>0.68946492532747428</v>
      </c>
      <c r="R386">
        <f t="shared" ca="1" si="115"/>
        <v>0.53228803161161642</v>
      </c>
      <c r="S386">
        <f t="shared" ca="1" si="112"/>
        <v>1.295285417633703</v>
      </c>
      <c r="T386">
        <f t="shared" ca="1" si="113"/>
        <v>56.432433530164715</v>
      </c>
      <c r="U386">
        <f>70</f>
        <v>70</v>
      </c>
      <c r="V386">
        <f>30</f>
        <v>30</v>
      </c>
      <c r="W386">
        <f t="shared" ca="1" si="111"/>
        <v>134.32437358078826</v>
      </c>
      <c r="X386">
        <f t="shared" ca="1" si="121"/>
        <v>133.32789859332036</v>
      </c>
      <c r="Y386">
        <f t="shared" ca="1" si="120"/>
        <v>1.8093786628632529</v>
      </c>
      <c r="Z386">
        <f t="shared" ca="1" si="122"/>
        <v>0.94606135788196644</v>
      </c>
      <c r="AA386">
        <f t="shared" ca="1" si="123"/>
        <v>0.86331730498128645</v>
      </c>
      <c r="AB386">
        <f t="shared" ca="1" si="124"/>
        <v>139.17125000000004</v>
      </c>
    </row>
    <row r="387" spans="1:28" x14ac:dyDescent="0.25">
      <c r="A387" s="20">
        <f t="shared" ref="A387:A450" ca="1" si="125">B387 - WEEKDAY(B387, 2) + 1</f>
        <v>45852</v>
      </c>
      <c r="B387" vm="1132">
        <f ca="1"/>
        <v>45855</v>
      </c>
      <c r="C387" vm="1133">
        <f ca="1"/>
        <v>145.44</v>
      </c>
      <c r="D387" vm="1134">
        <f ca="1"/>
        <v>26161000</v>
      </c>
      <c r="E387">
        <f t="shared" ref="E387:E450" ca="1" si="126">C387*D387</f>
        <v>3804855840</v>
      </c>
      <c r="F387">
        <f ca="1">SUM($E$2:E387)/SUM($D$2:D387)</f>
        <v>155.81612494078388</v>
      </c>
      <c r="G387">
        <f ca="1">_xlfn.STDEV.P($C$2:C387)</f>
        <v>15.132242030864914</v>
      </c>
      <c r="H387">
        <f t="shared" ref="H387:H450" ca="1" si="127">F387 + G387</f>
        <v>170.9483669716488</v>
      </c>
      <c r="I387">
        <f t="shared" ref="I387:I450" ca="1" si="128">F387 - G387</f>
        <v>140.68388290991896</v>
      </c>
      <c r="J387">
        <f t="shared" ca="1" si="116"/>
        <v>133.51</v>
      </c>
      <c r="K387">
        <f t="shared" ca="1" si="117"/>
        <v>4.0435679919179224</v>
      </c>
      <c r="L387">
        <f t="shared" ca="1" si="118"/>
        <v>141.59713598383584</v>
      </c>
      <c r="M387">
        <f t="shared" ca="1" si="119"/>
        <v>125.42286401616414</v>
      </c>
      <c r="N387">
        <f t="shared" ca="1" si="108"/>
        <v>10.090000000000003</v>
      </c>
      <c r="O387">
        <f t="shared" ca="1" si="109"/>
        <v>10.090000000000003</v>
      </c>
      <c r="P387">
        <f t="shared" ca="1" si="110"/>
        <v>0</v>
      </c>
      <c r="Q387">
        <f t="shared" ca="1" si="114"/>
        <v>1.3609317163755121</v>
      </c>
      <c r="R387">
        <f t="shared" ca="1" si="115"/>
        <v>0.49426745792507237</v>
      </c>
      <c r="S387">
        <f t="shared" ca="1" si="112"/>
        <v>2.7534317595754407</v>
      </c>
      <c r="T387">
        <f t="shared" ca="1" si="113"/>
        <v>73.357714644767853</v>
      </c>
      <c r="U387">
        <f>70</f>
        <v>70</v>
      </c>
      <c r="V387">
        <f>30</f>
        <v>30</v>
      </c>
      <c r="W387">
        <f t="shared" ca="1" si="111"/>
        <v>136.03446995297469</v>
      </c>
      <c r="X387">
        <f t="shared" ca="1" si="121"/>
        <v>134.22509129011144</v>
      </c>
      <c r="Y387">
        <f t="shared" ca="1" si="120"/>
        <v>2.2501507314736955</v>
      </c>
      <c r="Z387">
        <f t="shared" ca="1" si="122"/>
        <v>1.2068792326003124</v>
      </c>
      <c r="AA387">
        <f t="shared" ca="1" si="123"/>
        <v>1.0432714988733831</v>
      </c>
      <c r="AB387">
        <f t="shared" ca="1" si="124"/>
        <v>139.09065000000007</v>
      </c>
    </row>
    <row r="388" spans="1:28" x14ac:dyDescent="0.25">
      <c r="A388" s="20">
        <f t="shared" ca="1" si="125"/>
        <v>45852</v>
      </c>
      <c r="B388" vm="1135">
        <f ca="1"/>
        <v>45856</v>
      </c>
      <c r="C388" vm="1136">
        <f ca="1"/>
        <v>143.24</v>
      </c>
      <c r="D388" vm="1137">
        <f ca="1"/>
        <v>13752825</v>
      </c>
      <c r="E388">
        <f t="shared" ca="1" si="126"/>
        <v>1969954653.0000002</v>
      </c>
      <c r="F388">
        <f ca="1">SUM($E$2:E388)/SUM($D$2:D388)</f>
        <v>155.74876493127121</v>
      </c>
      <c r="G388">
        <f ca="1">_xlfn.STDEV.P($C$2:C388)</f>
        <v>15.135001167953218</v>
      </c>
      <c r="H388">
        <f t="shared" ca="1" si="127"/>
        <v>170.88376609922443</v>
      </c>
      <c r="I388">
        <f t="shared" ca="1" si="128"/>
        <v>140.61376376331799</v>
      </c>
      <c r="J388">
        <f t="shared" ca="1" si="116"/>
        <v>134.21850000000001</v>
      </c>
      <c r="K388">
        <f t="shared" ca="1" si="117"/>
        <v>4.4460405507538239</v>
      </c>
      <c r="L388">
        <f t="shared" ca="1" si="118"/>
        <v>143.11058110150765</v>
      </c>
      <c r="M388">
        <f t="shared" ca="1" si="119"/>
        <v>125.32641889849236</v>
      </c>
      <c r="N388">
        <f t="shared" ref="N388:N451" ca="1" si="129">C388-C387</f>
        <v>-2.1999999999999886</v>
      </c>
      <c r="O388">
        <f t="shared" ref="O388:O451" ca="1" si="130">MAX(N388,0)</f>
        <v>0</v>
      </c>
      <c r="P388">
        <f t="shared" ref="P388:P451" ca="1" si="131">MAX(-N388,0)</f>
        <v>2.1999999999999886</v>
      </c>
      <c r="Q388">
        <f t="shared" ca="1" si="114"/>
        <v>1.2637223080629756</v>
      </c>
      <c r="R388">
        <f t="shared" ca="1" si="115"/>
        <v>0.61610549664470926</v>
      </c>
      <c r="S388">
        <f t="shared" ca="1" si="112"/>
        <v>2.0511459724757639</v>
      </c>
      <c r="T388">
        <f t="shared" ca="1" si="113"/>
        <v>67.225429100378989</v>
      </c>
      <c r="U388">
        <f>70</f>
        <v>70</v>
      </c>
      <c r="V388">
        <f>30</f>
        <v>30</v>
      </c>
      <c r="W388">
        <f t="shared" ca="1" si="111"/>
        <v>137.14301303713242</v>
      </c>
      <c r="X388">
        <f t="shared" ca="1" si="121"/>
        <v>134.89286230565872</v>
      </c>
      <c r="Y388">
        <f t="shared" ca="1" si="120"/>
        <v>2.4469932270348806</v>
      </c>
      <c r="Z388">
        <f t="shared" ca="1" si="122"/>
        <v>1.4549020314872261</v>
      </c>
      <c r="AA388">
        <f t="shared" ca="1" si="123"/>
        <v>0.99209119554765457</v>
      </c>
      <c r="AB388">
        <f t="shared" ca="1" si="124"/>
        <v>138.98455000000004</v>
      </c>
    </row>
    <row r="389" spans="1:28" x14ac:dyDescent="0.25">
      <c r="A389" s="20">
        <f t="shared" ca="1" si="125"/>
        <v>45859</v>
      </c>
      <c r="B389" vm="1138">
        <f ca="1"/>
        <v>45859</v>
      </c>
      <c r="C389" vm="1139">
        <f ca="1"/>
        <v>141.69999999999999</v>
      </c>
      <c r="D389" vm="1140">
        <f ca="1"/>
        <v>9025630</v>
      </c>
      <c r="E389">
        <f t="shared" ca="1" si="126"/>
        <v>1278931771</v>
      </c>
      <c r="F389">
        <f ca="1">SUM($E$2:E389)/SUM($D$2:D389)</f>
        <v>155.69955473146263</v>
      </c>
      <c r="G389">
        <f ca="1">_xlfn.STDEV.P($C$2:C389)</f>
        <v>15.142053677171868</v>
      </c>
      <c r="H389">
        <f t="shared" ca="1" si="127"/>
        <v>170.8416084086345</v>
      </c>
      <c r="I389">
        <f t="shared" ca="1" si="128"/>
        <v>140.55750105429075</v>
      </c>
      <c r="J389">
        <f t="shared" ca="1" si="116"/>
        <v>134.85</v>
      </c>
      <c r="K389">
        <f t="shared" ca="1" si="117"/>
        <v>4.5714687263274003</v>
      </c>
      <c r="L389">
        <f t="shared" ca="1" si="118"/>
        <v>143.99293745265479</v>
      </c>
      <c r="M389">
        <f t="shared" ca="1" si="119"/>
        <v>125.70706254734519</v>
      </c>
      <c r="N389">
        <f t="shared" ca="1" si="129"/>
        <v>-1.5400000000000205</v>
      </c>
      <c r="O389">
        <f t="shared" ca="1" si="130"/>
        <v>0</v>
      </c>
      <c r="P389">
        <f t="shared" ca="1" si="131"/>
        <v>1.5400000000000205</v>
      </c>
      <c r="Q389">
        <f t="shared" ca="1" si="114"/>
        <v>1.17345642891562</v>
      </c>
      <c r="R389">
        <f t="shared" ca="1" si="115"/>
        <v>0.6820979611700887</v>
      </c>
      <c r="S389">
        <f t="shared" ca="1" si="112"/>
        <v>1.7203634898756215</v>
      </c>
      <c r="T389">
        <f t="shared" ca="1" si="113"/>
        <v>63.240206548804949</v>
      </c>
      <c r="U389">
        <f>70</f>
        <v>70</v>
      </c>
      <c r="V389">
        <f>30</f>
        <v>30</v>
      </c>
      <c r="W389">
        <f t="shared" ca="1" si="111"/>
        <v>137.84408795449667</v>
      </c>
      <c r="X389">
        <f t="shared" ca="1" si="121"/>
        <v>135.39709472746179</v>
      </c>
      <c r="Y389">
        <f t="shared" ca="1" si="120"/>
        <v>2.919539418975603</v>
      </c>
      <c r="Z389">
        <f t="shared" ca="1" si="122"/>
        <v>1.7478295089849014</v>
      </c>
      <c r="AA389">
        <f t="shared" ca="1" si="123"/>
        <v>1.1717099099907016</v>
      </c>
      <c r="AB389">
        <f t="shared" ca="1" si="124"/>
        <v>138.83735000000004</v>
      </c>
    </row>
    <row r="390" spans="1:28" x14ac:dyDescent="0.25">
      <c r="A390" s="20">
        <f t="shared" ca="1" si="125"/>
        <v>45859</v>
      </c>
      <c r="B390" vm="1141">
        <f ca="1"/>
        <v>45860</v>
      </c>
      <c r="C390" vm="1142">
        <f ca="1"/>
        <v>146.04</v>
      </c>
      <c r="D390" vm="1143">
        <f ca="1"/>
        <v>8281528</v>
      </c>
      <c r="E390">
        <f t="shared" ca="1" si="126"/>
        <v>1209434349.1199999</v>
      </c>
      <c r="F390">
        <f ca="1">SUM($E$2:E390)/SUM($D$2:D390)</f>
        <v>155.66860809582391</v>
      </c>
      <c r="G390">
        <f ca="1">_xlfn.STDEV.P($C$2:C390)</f>
        <v>15.137563516804461</v>
      </c>
      <c r="H390">
        <f t="shared" ca="1" si="127"/>
        <v>170.80617161262836</v>
      </c>
      <c r="I390">
        <f t="shared" ca="1" si="128"/>
        <v>140.53104457901946</v>
      </c>
      <c r="J390">
        <f t="shared" ca="1" si="116"/>
        <v>135.69749999999999</v>
      </c>
      <c r="K390">
        <f t="shared" ca="1" si="117"/>
        <v>4.99863968337492</v>
      </c>
      <c r="L390">
        <f t="shared" ca="1" si="118"/>
        <v>145.69477936674983</v>
      </c>
      <c r="M390">
        <f t="shared" ca="1" si="119"/>
        <v>125.70022063325015</v>
      </c>
      <c r="N390">
        <f t="shared" ca="1" si="129"/>
        <v>4.3400000000000034</v>
      </c>
      <c r="O390">
        <f t="shared" ca="1" si="130"/>
        <v>4.3400000000000034</v>
      </c>
      <c r="P390">
        <f t="shared" ca="1" si="131"/>
        <v>0</v>
      </c>
      <c r="Q390">
        <f t="shared" ca="1" si="114"/>
        <v>1.3996381125645045</v>
      </c>
      <c r="R390">
        <f t="shared" ca="1" si="115"/>
        <v>0.63337667822936805</v>
      </c>
      <c r="S390">
        <f t="shared" ca="1" si="112"/>
        <v>2.2098036771376766</v>
      </c>
      <c r="T390">
        <f t="shared" ca="1" si="113"/>
        <v>68.845446619596871</v>
      </c>
      <c r="U390">
        <f>70</f>
        <v>70</v>
      </c>
      <c r="V390">
        <f>30</f>
        <v>30</v>
      </c>
      <c r="W390">
        <f t="shared" ca="1" si="111"/>
        <v>139.10499749995873</v>
      </c>
      <c r="X390">
        <f t="shared" ca="1" si="121"/>
        <v>136.18545808098312</v>
      </c>
      <c r="Y390">
        <f t="shared" ca="1" si="120"/>
        <v>3.2261834221316974</v>
      </c>
      <c r="Z390">
        <f t="shared" ca="1" si="122"/>
        <v>2.0435002916142606</v>
      </c>
      <c r="AA390">
        <f t="shared" ca="1" si="123"/>
        <v>1.1826831305174368</v>
      </c>
      <c r="AB390">
        <f t="shared" ca="1" si="124"/>
        <v>138.78265000000005</v>
      </c>
    </row>
    <row r="391" spans="1:28" x14ac:dyDescent="0.25">
      <c r="A391" s="20">
        <f t="shared" ca="1" si="125"/>
        <v>45859</v>
      </c>
      <c r="B391" vm="1144">
        <f ca="1"/>
        <v>45861</v>
      </c>
      <c r="C391" vm="807">
        <f ca="1"/>
        <v>145.66</v>
      </c>
      <c r="D391" vm="1145">
        <f ca="1"/>
        <v>6165951</v>
      </c>
      <c r="E391">
        <f t="shared" ca="1" si="126"/>
        <v>898132422.65999997</v>
      </c>
      <c r="F391">
        <f ca="1">SUM($E$2:E391)/SUM($D$2:D391)</f>
        <v>155.64479121318462</v>
      </c>
      <c r="G391">
        <f ca="1">_xlfn.STDEV.P($C$2:C391)</f>
        <v>15.133882448119001</v>
      </c>
      <c r="H391">
        <f t="shared" ca="1" si="127"/>
        <v>170.77867366130363</v>
      </c>
      <c r="I391">
        <f t="shared" ca="1" si="128"/>
        <v>140.51090876506561</v>
      </c>
      <c r="J391">
        <f t="shared" ca="1" si="116"/>
        <v>136.42799999999997</v>
      </c>
      <c r="K391">
        <f t="shared" ca="1" si="117"/>
        <v>5.3396290034736342</v>
      </c>
      <c r="L391">
        <f t="shared" ca="1" si="118"/>
        <v>147.10725800694723</v>
      </c>
      <c r="M391">
        <f t="shared" ca="1" si="119"/>
        <v>125.7487419930527</v>
      </c>
      <c r="N391">
        <f t="shared" ca="1" si="129"/>
        <v>-0.37999999999999545</v>
      </c>
      <c r="O391">
        <f t="shared" ca="1" si="130"/>
        <v>0</v>
      </c>
      <c r="P391">
        <f t="shared" ca="1" si="131"/>
        <v>0.37999999999999545</v>
      </c>
      <c r="Q391">
        <f t="shared" ca="1" si="114"/>
        <v>1.29966396166704</v>
      </c>
      <c r="R391">
        <f t="shared" ca="1" si="115"/>
        <v>0.61527834407012716</v>
      </c>
      <c r="S391">
        <f t="shared" ca="1" si="112"/>
        <v>2.1123187158995949</v>
      </c>
      <c r="T391">
        <f t="shared" ca="1" si="113"/>
        <v>67.869614545213551</v>
      </c>
      <c r="U391">
        <f>70</f>
        <v>70</v>
      </c>
      <c r="V391">
        <f>30</f>
        <v>30</v>
      </c>
      <c r="W391">
        <f t="shared" ca="1" si="111"/>
        <v>140.113459423042</v>
      </c>
      <c r="X391">
        <f t="shared" ca="1" si="121"/>
        <v>136.8872760009103</v>
      </c>
      <c r="Y391">
        <f t="shared" ca="1" si="120"/>
        <v>3.3379280579704584</v>
      </c>
      <c r="Z391">
        <f t="shared" ca="1" si="122"/>
        <v>2.3023858448855004</v>
      </c>
      <c r="AA391">
        <f t="shared" ca="1" si="123"/>
        <v>1.0355422130849581</v>
      </c>
      <c r="AB391">
        <f t="shared" ca="1" si="124"/>
        <v>138.71905000000007</v>
      </c>
    </row>
    <row r="392" spans="1:28" x14ac:dyDescent="0.25">
      <c r="A392" s="20">
        <f t="shared" ca="1" si="125"/>
        <v>45859</v>
      </c>
      <c r="B392" vm="1146">
        <f ca="1"/>
        <v>45862</v>
      </c>
      <c r="C392" vm="1147">
        <f ca="1"/>
        <v>144.51</v>
      </c>
      <c r="D392" vm="1148">
        <f ca="1"/>
        <v>9749426</v>
      </c>
      <c r="E392">
        <f t="shared" ca="1" si="126"/>
        <v>1408889551.26</v>
      </c>
      <c r="F392">
        <f ca="1">SUM($E$2:E392)/SUM($D$2:D392)</f>
        <v>155.60305228710024</v>
      </c>
      <c r="G392">
        <f ca="1">_xlfn.STDEV.P($C$2:C392)</f>
        <v>15.132889043991581</v>
      </c>
      <c r="H392">
        <f t="shared" ca="1" si="127"/>
        <v>170.73594133109182</v>
      </c>
      <c r="I392">
        <f t="shared" ca="1" si="128"/>
        <v>140.47016324310866</v>
      </c>
      <c r="J392">
        <f t="shared" ca="1" si="116"/>
        <v>137.25249999999997</v>
      </c>
      <c r="K392">
        <f t="shared" ca="1" si="117"/>
        <v>5.2452955112176474</v>
      </c>
      <c r="L392">
        <f t="shared" ca="1" si="118"/>
        <v>147.74309102243527</v>
      </c>
      <c r="M392">
        <f t="shared" ca="1" si="119"/>
        <v>126.76190897756467</v>
      </c>
      <c r="N392">
        <f t="shared" ca="1" si="129"/>
        <v>-1.1500000000000057</v>
      </c>
      <c r="O392">
        <f t="shared" ca="1" si="130"/>
        <v>0</v>
      </c>
      <c r="P392">
        <f t="shared" ca="1" si="131"/>
        <v>1.1500000000000057</v>
      </c>
      <c r="Q392">
        <f t="shared" ca="1" si="114"/>
        <v>1.2068308215479657</v>
      </c>
      <c r="R392">
        <f t="shared" ca="1" si="115"/>
        <v>0.65347274806511846</v>
      </c>
      <c r="S392">
        <f t="shared" ca="1" si="112"/>
        <v>1.8467959453876188</v>
      </c>
      <c r="T392">
        <f t="shared" ca="1" si="113"/>
        <v>64.872789649001689</v>
      </c>
      <c r="U392">
        <f>70</f>
        <v>70</v>
      </c>
      <c r="V392">
        <f>30</f>
        <v>30</v>
      </c>
      <c r="W392">
        <f t="shared" ca="1" si="111"/>
        <v>140.78985028103554</v>
      </c>
      <c r="X392">
        <f t="shared" ca="1" si="121"/>
        <v>137.45192222306508</v>
      </c>
      <c r="Y392">
        <f t="shared" ca="1" si="120"/>
        <v>3.3028798033373334</v>
      </c>
      <c r="Z392">
        <f t="shared" ca="1" si="122"/>
        <v>2.5024846365758671</v>
      </c>
      <c r="AA392">
        <f t="shared" ca="1" si="123"/>
        <v>0.80039516676146638</v>
      </c>
      <c r="AB392">
        <f t="shared" ca="1" si="124"/>
        <v>138.62945000000005</v>
      </c>
    </row>
    <row r="393" spans="1:28" x14ac:dyDescent="0.25">
      <c r="A393" s="20">
        <f t="shared" ca="1" si="125"/>
        <v>45859</v>
      </c>
      <c r="B393" vm="1149">
        <f ca="1"/>
        <v>45863</v>
      </c>
      <c r="C393" vm="1150">
        <f ca="1"/>
        <v>143.44999999999999</v>
      </c>
      <c r="D393" vm="1151">
        <f ca="1"/>
        <v>7021594</v>
      </c>
      <c r="E393">
        <f t="shared" ca="1" si="126"/>
        <v>1007247659.3</v>
      </c>
      <c r="F393">
        <f ca="1">SUM($E$2:E393)/SUM($D$2:D393)</f>
        <v>155.57033100288368</v>
      </c>
      <c r="G393">
        <f ca="1">_xlfn.STDEV.P($C$2:C393)</f>
        <v>15.134525472841977</v>
      </c>
      <c r="H393">
        <f t="shared" ca="1" si="127"/>
        <v>170.70485647572565</v>
      </c>
      <c r="I393">
        <f t="shared" ca="1" si="128"/>
        <v>140.4358055300417</v>
      </c>
      <c r="J393">
        <f t="shared" ca="1" si="116"/>
        <v>138.01399999999995</v>
      </c>
      <c r="K393">
        <f t="shared" ca="1" si="117"/>
        <v>4.9628868933101309</v>
      </c>
      <c r="L393">
        <f t="shared" ca="1" si="118"/>
        <v>147.93977378662021</v>
      </c>
      <c r="M393">
        <f t="shared" ca="1" si="119"/>
        <v>128.0882262133797</v>
      </c>
      <c r="N393">
        <f t="shared" ca="1" si="129"/>
        <v>-1.0600000000000023</v>
      </c>
      <c r="O393">
        <f t="shared" ca="1" si="130"/>
        <v>0</v>
      </c>
      <c r="P393">
        <f t="shared" ca="1" si="131"/>
        <v>1.0600000000000023</v>
      </c>
      <c r="Q393">
        <f t="shared" ca="1" si="114"/>
        <v>1.1206286200088253</v>
      </c>
      <c r="R393">
        <f t="shared" ca="1" si="115"/>
        <v>0.68251040891761006</v>
      </c>
      <c r="S393">
        <f t="shared" ca="1" si="112"/>
        <v>1.6419216547715731</v>
      </c>
      <c r="T393">
        <f t="shared" ca="1" si="113"/>
        <v>62.148764018270541</v>
      </c>
      <c r="U393">
        <f>70</f>
        <v>70</v>
      </c>
      <c r="V393">
        <f>30</f>
        <v>30</v>
      </c>
      <c r="W393">
        <f t="shared" ca="1" si="111"/>
        <v>141.19910408395313</v>
      </c>
      <c r="X393">
        <f t="shared" ca="1" si="121"/>
        <v>137.8962242806158</v>
      </c>
      <c r="Y393">
        <f t="shared" ca="1" si="120"/>
        <v>3.0878091787291737</v>
      </c>
      <c r="Z393">
        <f t="shared" ca="1" si="122"/>
        <v>2.6195495450065289</v>
      </c>
      <c r="AA393">
        <f t="shared" ca="1" si="123"/>
        <v>0.46825963372264479</v>
      </c>
      <c r="AB393">
        <f t="shared" ca="1" si="124"/>
        <v>138.50405000000006</v>
      </c>
    </row>
    <row r="394" spans="1:28" x14ac:dyDescent="0.25">
      <c r="A394" s="20">
        <f t="shared" ca="1" si="125"/>
        <v>45866</v>
      </c>
      <c r="B394" vm="1152">
        <f ca="1"/>
        <v>45866</v>
      </c>
      <c r="C394" vm="1153">
        <f ca="1"/>
        <v>141.57</v>
      </c>
      <c r="D394" vm="1154">
        <f ca="1"/>
        <v>10639129</v>
      </c>
      <c r="E394">
        <f t="shared" ca="1" si="126"/>
        <v>1506181492.53</v>
      </c>
      <c r="F394">
        <f ca="1">SUM($E$2:E394)/SUM($D$2:D394)</f>
        <v>155.51344760857233</v>
      </c>
      <c r="G394">
        <f ca="1">_xlfn.STDEV.P($C$2:C394)</f>
        <v>15.141304874699548</v>
      </c>
      <c r="H394">
        <f t="shared" ca="1" si="127"/>
        <v>170.65475248327189</v>
      </c>
      <c r="I394">
        <f t="shared" ca="1" si="128"/>
        <v>140.37214273387278</v>
      </c>
      <c r="J394">
        <f t="shared" ca="1" si="116"/>
        <v>138.54049999999995</v>
      </c>
      <c r="K394">
        <f t="shared" ca="1" si="117"/>
        <v>4.7375270864383294</v>
      </c>
      <c r="L394">
        <f t="shared" ca="1" si="118"/>
        <v>148.01555417287662</v>
      </c>
      <c r="M394">
        <f t="shared" ca="1" si="119"/>
        <v>129.06544582712328</v>
      </c>
      <c r="N394">
        <f t="shared" ca="1" si="129"/>
        <v>-1.8799999999999955</v>
      </c>
      <c r="O394">
        <f t="shared" ca="1" si="130"/>
        <v>0</v>
      </c>
      <c r="P394">
        <f t="shared" ca="1" si="131"/>
        <v>1.8799999999999955</v>
      </c>
      <c r="Q394">
        <f t="shared" ca="1" si="114"/>
        <v>1.0405837185796236</v>
      </c>
      <c r="R394">
        <f t="shared" ca="1" si="115"/>
        <v>0.76804537970920894</v>
      </c>
      <c r="S394">
        <f t="shared" ca="1" si="112"/>
        <v>1.3548466615001329</v>
      </c>
      <c r="T394">
        <f t="shared" ca="1" si="113"/>
        <v>57.534389973274976</v>
      </c>
      <c r="U394">
        <f>70</f>
        <v>70</v>
      </c>
      <c r="V394">
        <f>30</f>
        <v>30</v>
      </c>
      <c r="W394">
        <f t="shared" ca="1" si="111"/>
        <v>141.25616499411419</v>
      </c>
      <c r="X394">
        <f t="shared" ca="1" si="121"/>
        <v>138.16835581538501</v>
      </c>
      <c r="Y394">
        <f t="shared" ca="1" si="120"/>
        <v>3.0691890690934258</v>
      </c>
      <c r="Z394">
        <f t="shared" ca="1" si="122"/>
        <v>2.7094774498239085</v>
      </c>
      <c r="AA394">
        <f t="shared" ca="1" si="123"/>
        <v>0.35971161926951734</v>
      </c>
      <c r="AB394">
        <f t="shared" ca="1" si="124"/>
        <v>138.37785000000005</v>
      </c>
    </row>
    <row r="395" spans="1:28" x14ac:dyDescent="0.25">
      <c r="A395" s="20">
        <f t="shared" ca="1" si="125"/>
        <v>45866</v>
      </c>
      <c r="B395" vm="1155">
        <f ca="1"/>
        <v>45867</v>
      </c>
      <c r="C395" vm="1156">
        <f ca="1"/>
        <v>143.88999999999999</v>
      </c>
      <c r="D395" vm="1157">
        <f ca="1"/>
        <v>6282944</v>
      </c>
      <c r="E395">
        <f t="shared" ca="1" si="126"/>
        <v>904052812.15999997</v>
      </c>
      <c r="F395">
        <f ca="1">SUM($E$2:E395)/SUM($D$2:D395)</f>
        <v>155.48562495973513</v>
      </c>
      <c r="G395">
        <f ca="1">_xlfn.STDEV.P($C$2:C395)</f>
        <v>15.141548588403477</v>
      </c>
      <c r="H395">
        <f t="shared" ca="1" si="127"/>
        <v>170.62717354813861</v>
      </c>
      <c r="I395">
        <f t="shared" ca="1" si="128"/>
        <v>140.34407637133165</v>
      </c>
      <c r="J395">
        <f t="shared" ca="1" si="116"/>
        <v>139.13299999999998</v>
      </c>
      <c r="K395">
        <f t="shared" ca="1" si="117"/>
        <v>4.6213384937357933</v>
      </c>
      <c r="L395">
        <f t="shared" ca="1" si="118"/>
        <v>148.37567698747156</v>
      </c>
      <c r="M395">
        <f t="shared" ca="1" si="119"/>
        <v>129.8903230125284</v>
      </c>
      <c r="N395">
        <f t="shared" ca="1" si="129"/>
        <v>2.3199999999999932</v>
      </c>
      <c r="O395">
        <f t="shared" ca="1" si="130"/>
        <v>2.3199999999999932</v>
      </c>
      <c r="P395">
        <f t="shared" ca="1" si="131"/>
        <v>0</v>
      </c>
      <c r="Q395">
        <f t="shared" ca="1" si="114"/>
        <v>1.1319705958239357</v>
      </c>
      <c r="R395">
        <f t="shared" ca="1" si="115"/>
        <v>0.7131849954442655</v>
      </c>
      <c r="S395">
        <f t="shared" ca="1" si="112"/>
        <v>1.5872047267606848</v>
      </c>
      <c r="T395">
        <f t="shared" ca="1" si="113"/>
        <v>61.348246249841537</v>
      </c>
      <c r="U395">
        <f>70</f>
        <v>70</v>
      </c>
      <c r="V395">
        <f>30</f>
        <v>30</v>
      </c>
      <c r="W395">
        <f t="shared" ca="1" si="111"/>
        <v>141.66137037963509</v>
      </c>
      <c r="X395">
        <f t="shared" ca="1" si="121"/>
        <v>138.59218131054166</v>
      </c>
      <c r="Y395">
        <f t="shared" ca="1" si="120"/>
        <v>2.9374589083350031</v>
      </c>
      <c r="Z395">
        <f t="shared" ca="1" si="122"/>
        <v>2.7550737415261279</v>
      </c>
      <c r="AA395">
        <f t="shared" ca="1" si="123"/>
        <v>0.18238516680887518</v>
      </c>
      <c r="AB395">
        <f t="shared" ca="1" si="124"/>
        <v>138.27795000000003</v>
      </c>
    </row>
    <row r="396" spans="1:28" x14ac:dyDescent="0.25">
      <c r="A396" s="20">
        <f t="shared" ca="1" si="125"/>
        <v>45866</v>
      </c>
      <c r="B396" vm="1158">
        <f ca="1"/>
        <v>45868</v>
      </c>
      <c r="C396" vm="1159">
        <f ca="1"/>
        <v>142.86000000000001</v>
      </c>
      <c r="D396" vm="1160">
        <f ca="1"/>
        <v>9738383</v>
      </c>
      <c r="E396">
        <f t="shared" ca="1" si="126"/>
        <v>1391225395.3800001</v>
      </c>
      <c r="F396">
        <f ca="1">SUM($E$2:E396)/SUM($D$2:D396)</f>
        <v>155.4389556090602</v>
      </c>
      <c r="G396">
        <f ca="1">_xlfn.STDEV.P($C$2:C396)</f>
        <v>15.144395061947543</v>
      </c>
      <c r="H396">
        <f t="shared" ca="1" si="127"/>
        <v>170.58335067100774</v>
      </c>
      <c r="I396">
        <f t="shared" ca="1" si="128"/>
        <v>140.29456054711267</v>
      </c>
      <c r="J396">
        <f t="shared" ca="1" si="116"/>
        <v>139.51299999999998</v>
      </c>
      <c r="K396">
        <f t="shared" ca="1" si="117"/>
        <v>4.5985181823805172</v>
      </c>
      <c r="L396">
        <f t="shared" ca="1" si="118"/>
        <v>148.71003636476101</v>
      </c>
      <c r="M396">
        <f t="shared" ca="1" si="119"/>
        <v>130.31596363523894</v>
      </c>
      <c r="N396">
        <f t="shared" ca="1" si="129"/>
        <v>-1.0299999999999727</v>
      </c>
      <c r="O396">
        <f t="shared" ca="1" si="130"/>
        <v>0</v>
      </c>
      <c r="P396">
        <f t="shared" ca="1" si="131"/>
        <v>1.0299999999999727</v>
      </c>
      <c r="Q396">
        <f t="shared" ca="1" si="114"/>
        <v>1.0511155532650831</v>
      </c>
      <c r="R396">
        <f t="shared" ca="1" si="115"/>
        <v>0.73581463862681595</v>
      </c>
      <c r="S396">
        <f t="shared" ca="1" si="112"/>
        <v>1.4285059009245653</v>
      </c>
      <c r="T396">
        <f t="shared" ca="1" si="113"/>
        <v>58.822418359400061</v>
      </c>
      <c r="U396">
        <f>70</f>
        <v>70</v>
      </c>
      <c r="V396">
        <f>30</f>
        <v>30</v>
      </c>
      <c r="W396">
        <f t="shared" ca="1" si="111"/>
        <v>141.8457749366143</v>
      </c>
      <c r="X396">
        <f t="shared" ca="1" si="121"/>
        <v>138.9083160282793</v>
      </c>
      <c r="Y396">
        <f t="shared" ca="1" si="120"/>
        <v>2.4067021281586278</v>
      </c>
      <c r="Z396">
        <f t="shared" ca="1" si="122"/>
        <v>2.685399418852628</v>
      </c>
      <c r="AA396">
        <f t="shared" ca="1" si="123"/>
        <v>-0.27869729069400018</v>
      </c>
      <c r="AB396">
        <f t="shared" ca="1" si="124"/>
        <v>138.16045000000003</v>
      </c>
    </row>
    <row r="397" spans="1:28" x14ac:dyDescent="0.25">
      <c r="A397" s="20">
        <f t="shared" ca="1" si="125"/>
        <v>45866</v>
      </c>
      <c r="B397" vm="1161">
        <f ca="1"/>
        <v>45869</v>
      </c>
      <c r="C397" vm="1162">
        <f ca="1"/>
        <v>137.91999999999999</v>
      </c>
      <c r="D397" vm="1163">
        <f ca="1"/>
        <v>11689674</v>
      </c>
      <c r="E397">
        <f t="shared" ca="1" si="126"/>
        <v>1612239838.0799999</v>
      </c>
      <c r="F397">
        <f ca="1">SUM($E$2:E397)/SUM($D$2:D397)</f>
        <v>155.36156648864048</v>
      </c>
      <c r="G397">
        <f ca="1">_xlfn.STDEV.P($C$2:C397)</f>
        <v>15.162450655344143</v>
      </c>
      <c r="H397">
        <f t="shared" ca="1" si="127"/>
        <v>170.52401714398462</v>
      </c>
      <c r="I397">
        <f t="shared" ca="1" si="128"/>
        <v>140.19911583329633</v>
      </c>
      <c r="J397">
        <f t="shared" ca="1" si="116"/>
        <v>139.58500000000001</v>
      </c>
      <c r="K397">
        <f t="shared" ca="1" si="117"/>
        <v>4.5596392978300155</v>
      </c>
      <c r="L397">
        <f t="shared" ca="1" si="118"/>
        <v>148.70427859566004</v>
      </c>
      <c r="M397">
        <f t="shared" ca="1" si="119"/>
        <v>130.46572140433997</v>
      </c>
      <c r="N397">
        <f t="shared" ca="1" si="129"/>
        <v>-4.9400000000000261</v>
      </c>
      <c r="O397">
        <f t="shared" ca="1" si="130"/>
        <v>0</v>
      </c>
      <c r="P397">
        <f t="shared" ca="1" si="131"/>
        <v>4.9400000000000261</v>
      </c>
      <c r="Q397">
        <f t="shared" ca="1" si="114"/>
        <v>0.97603587088900579</v>
      </c>
      <c r="R397">
        <f t="shared" ca="1" si="115"/>
        <v>1.0361135930106167</v>
      </c>
      <c r="S397">
        <f t="shared" ca="1" si="112"/>
        <v>0.94201627840144042</v>
      </c>
      <c r="T397">
        <f t="shared" ca="1" si="113"/>
        <v>48.507125757815771</v>
      </c>
      <c r="U397">
        <f>70</f>
        <v>70</v>
      </c>
      <c r="V397">
        <f>30</f>
        <v>30</v>
      </c>
      <c r="W397">
        <f t="shared" ca="1" si="111"/>
        <v>141.24180956175056</v>
      </c>
      <c r="X397">
        <f t="shared" ca="1" si="121"/>
        <v>138.83510743359193</v>
      </c>
      <c r="Y397">
        <f t="shared" ca="1" si="120"/>
        <v>2.0719302675855715</v>
      </c>
      <c r="Z397">
        <f t="shared" ca="1" si="122"/>
        <v>2.5627055885992167</v>
      </c>
      <c r="AA397">
        <f t="shared" ca="1" si="123"/>
        <v>-0.49077532101364518</v>
      </c>
      <c r="AB397">
        <f t="shared" ca="1" si="124"/>
        <v>137.99525000000006</v>
      </c>
    </row>
    <row r="398" spans="1:28" x14ac:dyDescent="0.25">
      <c r="A398" s="20">
        <f t="shared" ca="1" si="125"/>
        <v>45866</v>
      </c>
      <c r="B398" vm="1164">
        <f ca="1"/>
        <v>45870</v>
      </c>
      <c r="C398" vm="1165">
        <f ca="1"/>
        <v>139.28</v>
      </c>
      <c r="D398" vm="1166">
        <f ca="1"/>
        <v>7630810</v>
      </c>
      <c r="E398">
        <f t="shared" ca="1" si="126"/>
        <v>1062819216.8</v>
      </c>
      <c r="F398">
        <f ca="1">SUM($E$2:E398)/SUM($D$2:D398)</f>
        <v>155.31532649710545</v>
      </c>
      <c r="G398">
        <f ca="1">_xlfn.STDEV.P($C$2:C398)</f>
        <v>15.175611850668869</v>
      </c>
      <c r="H398">
        <f t="shared" ca="1" si="127"/>
        <v>170.49093834777432</v>
      </c>
      <c r="I398">
        <f t="shared" ca="1" si="128"/>
        <v>140.13971464643657</v>
      </c>
      <c r="J398">
        <f t="shared" ca="1" si="116"/>
        <v>139.78000000000003</v>
      </c>
      <c r="K398">
        <f t="shared" ca="1" si="117"/>
        <v>4.4524765432757816</v>
      </c>
      <c r="L398">
        <f t="shared" ca="1" si="118"/>
        <v>148.68495308655159</v>
      </c>
      <c r="M398">
        <f t="shared" ca="1" si="119"/>
        <v>130.87504691344847</v>
      </c>
      <c r="N398">
        <f t="shared" ca="1" si="129"/>
        <v>1.3600000000000136</v>
      </c>
      <c r="O398">
        <f t="shared" ca="1" si="130"/>
        <v>1.3600000000000136</v>
      </c>
      <c r="P398">
        <f t="shared" ca="1" si="131"/>
        <v>0</v>
      </c>
      <c r="Q398">
        <f t="shared" ca="1" si="114"/>
        <v>1.0034618801112207</v>
      </c>
      <c r="R398">
        <f t="shared" ca="1" si="115"/>
        <v>0.96210547922414402</v>
      </c>
      <c r="S398">
        <f t="shared" ca="1" si="112"/>
        <v>1.0429853085551775</v>
      </c>
      <c r="T398">
        <f t="shared" ca="1" si="113"/>
        <v>51.05202196939873</v>
      </c>
      <c r="U398">
        <f>70</f>
        <v>70</v>
      </c>
      <c r="V398">
        <f>30</f>
        <v>30</v>
      </c>
      <c r="W398">
        <f t="shared" ca="1" si="111"/>
        <v>140.93999270609663</v>
      </c>
      <c r="X398">
        <f t="shared" ca="1" si="121"/>
        <v>138.86806243851106</v>
      </c>
      <c r="Y398">
        <f t="shared" ca="1" si="120"/>
        <v>1.808369063232476</v>
      </c>
      <c r="Z398">
        <f t="shared" ca="1" si="122"/>
        <v>2.4118382835258685</v>
      </c>
      <c r="AA398">
        <f t="shared" ca="1" si="123"/>
        <v>-0.60346922029339245</v>
      </c>
      <c r="AB398">
        <f t="shared" ca="1" si="124"/>
        <v>137.82555000000005</v>
      </c>
    </row>
    <row r="399" spans="1:28" x14ac:dyDescent="0.25">
      <c r="A399" s="20">
        <f t="shared" ca="1" si="125"/>
        <v>45873</v>
      </c>
      <c r="B399" vm="1167">
        <f ca="1"/>
        <v>45873</v>
      </c>
      <c r="C399" vm="1168">
        <f ca="1"/>
        <v>139.56</v>
      </c>
      <c r="D399" vm="1169">
        <f ca="1"/>
        <v>8384672</v>
      </c>
      <c r="E399">
        <f t="shared" ca="1" si="126"/>
        <v>1170164824.3199999</v>
      </c>
      <c r="F399">
        <f ca="1">SUM($E$2:E399)/SUM($D$2:D399)</f>
        <v>155.2657058649288</v>
      </c>
      <c r="G399">
        <f ca="1">_xlfn.STDEV.P($C$2:C399)</f>
        <v>15.187631165406774</v>
      </c>
      <c r="H399">
        <f t="shared" ca="1" si="127"/>
        <v>170.45333703033558</v>
      </c>
      <c r="I399">
        <f t="shared" ca="1" si="128"/>
        <v>140.07807469952203</v>
      </c>
      <c r="J399">
        <f t="shared" ca="1" si="116"/>
        <v>140.03550000000001</v>
      </c>
      <c r="K399">
        <f t="shared" ca="1" si="117"/>
        <v>4.2735434268359347</v>
      </c>
      <c r="L399">
        <f t="shared" ca="1" si="118"/>
        <v>148.58258685367187</v>
      </c>
      <c r="M399">
        <f t="shared" ca="1" si="119"/>
        <v>131.48841314632816</v>
      </c>
      <c r="N399">
        <f t="shared" ca="1" si="129"/>
        <v>0.28000000000000114</v>
      </c>
      <c r="O399">
        <f t="shared" ca="1" si="130"/>
        <v>0.28000000000000114</v>
      </c>
      <c r="P399">
        <f t="shared" ca="1" si="131"/>
        <v>0</v>
      </c>
      <c r="Q399">
        <f t="shared" ca="1" si="114"/>
        <v>0.95178603153184782</v>
      </c>
      <c r="R399">
        <f t="shared" ca="1" si="115"/>
        <v>0.89338365927956231</v>
      </c>
      <c r="S399">
        <f t="shared" ca="1" si="112"/>
        <v>1.0653721070960511</v>
      </c>
      <c r="T399">
        <f t="shared" ca="1" si="113"/>
        <v>51.58257456057072</v>
      </c>
      <c r="U399">
        <f>70</f>
        <v>70</v>
      </c>
      <c r="V399">
        <f>30</f>
        <v>30</v>
      </c>
      <c r="W399">
        <f t="shared" ref="W399:W462" ca="1" si="132">C399*(2/(12+1)) + W398*(1-(2/(12+1)))</f>
        <v>140.72768613592791</v>
      </c>
      <c r="X399">
        <f t="shared" ca="1" si="121"/>
        <v>138.91931707269543</v>
      </c>
      <c r="Y399">
        <f t="shared" ca="1" si="120"/>
        <v>1.5724921189303984</v>
      </c>
      <c r="Z399">
        <f t="shared" ca="1" si="122"/>
        <v>2.2439690506067747</v>
      </c>
      <c r="AA399">
        <f t="shared" ca="1" si="123"/>
        <v>-0.67147693167637623</v>
      </c>
      <c r="AB399">
        <f t="shared" ca="1" si="124"/>
        <v>137.69785000000005</v>
      </c>
    </row>
    <row r="400" spans="1:28" x14ac:dyDescent="0.25">
      <c r="A400" s="20">
        <f t="shared" ca="1" si="125"/>
        <v>45873</v>
      </c>
      <c r="B400" vm="1170">
        <f ca="1"/>
        <v>45874</v>
      </c>
      <c r="C400" vm="1171">
        <f ca="1"/>
        <v>139.44999999999999</v>
      </c>
      <c r="D400" vm="1172">
        <f ca="1"/>
        <v>5535084</v>
      </c>
      <c r="E400">
        <f t="shared" ca="1" si="126"/>
        <v>771867463.79999995</v>
      </c>
      <c r="F400">
        <f ca="1">SUM($E$2:E400)/SUM($D$2:D400)</f>
        <v>155.23289183245313</v>
      </c>
      <c r="G400">
        <f ca="1">_xlfn.STDEV.P($C$2:C400)</f>
        <v>15.19977676966306</v>
      </c>
      <c r="H400">
        <f t="shared" ca="1" si="127"/>
        <v>170.43266860211619</v>
      </c>
      <c r="I400">
        <f t="shared" ca="1" si="128"/>
        <v>140.03311506279007</v>
      </c>
      <c r="J400">
        <f t="shared" ca="1" si="116"/>
        <v>140.25600000000003</v>
      </c>
      <c r="K400">
        <f t="shared" ca="1" si="117"/>
        <v>4.1129812468381255</v>
      </c>
      <c r="L400">
        <f t="shared" ca="1" si="118"/>
        <v>148.48196249367629</v>
      </c>
      <c r="M400">
        <f t="shared" ca="1" si="119"/>
        <v>132.03003750632377</v>
      </c>
      <c r="N400">
        <f t="shared" ca="1" si="129"/>
        <v>-0.11000000000001364</v>
      </c>
      <c r="O400">
        <f t="shared" ca="1" si="130"/>
        <v>0</v>
      </c>
      <c r="P400">
        <f t="shared" ca="1" si="131"/>
        <v>0.11000000000001364</v>
      </c>
      <c r="Q400">
        <f t="shared" ca="1" si="114"/>
        <v>0.88380131499385872</v>
      </c>
      <c r="R400">
        <f t="shared" ca="1" si="115"/>
        <v>0.83742768361673736</v>
      </c>
      <c r="S400">
        <f t="shared" ref="S400:S463" ca="1" si="133">IF(R400=0,NA(),Q400/R400)</f>
        <v>1.055376281778553</v>
      </c>
      <c r="T400">
        <f t="shared" ref="T400:T463" ca="1" si="134">100-(100/(1+S400))</f>
        <v>51.347108124908281</v>
      </c>
      <c r="U400">
        <f>70</f>
        <v>70</v>
      </c>
      <c r="V400">
        <f>30</f>
        <v>30</v>
      </c>
      <c r="W400">
        <f t="shared" ca="1" si="132"/>
        <v>140.53111903809284</v>
      </c>
      <c r="X400">
        <f t="shared" ca="1" si="121"/>
        <v>138.95862691916244</v>
      </c>
      <c r="Y400">
        <f t="shared" ca="1" si="120"/>
        <v>1.4774604147742991</v>
      </c>
      <c r="Z400">
        <f t="shared" ca="1" si="122"/>
        <v>2.0906673234402797</v>
      </c>
      <c r="AA400">
        <f t="shared" ca="1" si="123"/>
        <v>-0.6132069086659806</v>
      </c>
      <c r="AB400">
        <f t="shared" ca="1" si="124"/>
        <v>137.61065000000005</v>
      </c>
    </row>
    <row r="401" spans="1:28" x14ac:dyDescent="0.25">
      <c r="A401" s="20">
        <f t="shared" ca="1" si="125"/>
        <v>45873</v>
      </c>
      <c r="B401" vm="1173">
        <f ca="1"/>
        <v>45875</v>
      </c>
      <c r="C401" vm="1174">
        <f ca="1"/>
        <v>140.80000000000001</v>
      </c>
      <c r="D401" vm="1175">
        <f ca="1"/>
        <v>6747448</v>
      </c>
      <c r="E401">
        <f t="shared" ca="1" si="126"/>
        <v>950040678.4000001</v>
      </c>
      <c r="F401">
        <f ca="1">SUM($E$2:E401)/SUM($D$2:D401)</f>
        <v>155.19647998855683</v>
      </c>
      <c r="G401">
        <f ca="1">_xlfn.STDEV.P($C$2:C401)</f>
        <v>15.207548553879212</v>
      </c>
      <c r="H401">
        <f t="shared" ca="1" si="127"/>
        <v>170.40402854243604</v>
      </c>
      <c r="I401">
        <f t="shared" ca="1" si="128"/>
        <v>139.98893143467762</v>
      </c>
      <c r="J401">
        <f t="shared" ca="1" si="116"/>
        <v>140.57200000000003</v>
      </c>
      <c r="K401">
        <f t="shared" ca="1" si="117"/>
        <v>3.8821610910473683</v>
      </c>
      <c r="L401">
        <f t="shared" ca="1" si="118"/>
        <v>148.33632218209476</v>
      </c>
      <c r="M401">
        <f t="shared" ca="1" si="119"/>
        <v>132.8076778179053</v>
      </c>
      <c r="N401">
        <f t="shared" ca="1" si="129"/>
        <v>1.3500000000000227</v>
      </c>
      <c r="O401">
        <f t="shared" ca="1" si="130"/>
        <v>1.3500000000000227</v>
      </c>
      <c r="P401">
        <f t="shared" ca="1" si="131"/>
        <v>0</v>
      </c>
      <c r="Q401">
        <f t="shared" ref="Q401:Q464" ca="1" si="135">(Q400*13+O401)/14</f>
        <v>0.91710122106572756</v>
      </c>
      <c r="R401">
        <f t="shared" ref="R401:R464" ca="1" si="136">(R400*13+P401)/14</f>
        <v>0.7776114205012562</v>
      </c>
      <c r="S401">
        <f t="shared" ca="1" si="133"/>
        <v>1.1793823970262098</v>
      </c>
      <c r="T401">
        <f t="shared" ca="1" si="134"/>
        <v>54.115441082551158</v>
      </c>
      <c r="U401">
        <f>70</f>
        <v>70</v>
      </c>
      <c r="V401">
        <f>30</f>
        <v>30</v>
      </c>
      <c r="W401">
        <f t="shared" ca="1" si="132"/>
        <v>140.5724853399247</v>
      </c>
      <c r="X401">
        <f t="shared" ca="1" si="121"/>
        <v>139.0950249251504</v>
      </c>
      <c r="Y401">
        <f t="shared" ca="1" si="120"/>
        <v>1.6350571090705444</v>
      </c>
      <c r="Z401">
        <f t="shared" ca="1" si="122"/>
        <v>1.9995452805663327</v>
      </c>
      <c r="AA401">
        <f t="shared" ca="1" si="123"/>
        <v>-0.36448817149578838</v>
      </c>
      <c r="AB401">
        <f t="shared" ca="1" si="124"/>
        <v>137.53525000000002</v>
      </c>
    </row>
    <row r="402" spans="1:28" x14ac:dyDescent="0.25">
      <c r="A402" s="20">
        <f t="shared" ca="1" si="125"/>
        <v>45873</v>
      </c>
      <c r="B402" vm="1176">
        <f ca="1"/>
        <v>45876</v>
      </c>
      <c r="C402" vm="1177">
        <f ca="1"/>
        <v>143.91999999999999</v>
      </c>
      <c r="D402" vm="1178">
        <f ca="1"/>
        <v>7674642</v>
      </c>
      <c r="E402">
        <f t="shared" ca="1" si="126"/>
        <v>1104534476.6399999</v>
      </c>
      <c r="F402">
        <f ca="1">SUM($E$2:E402)/SUM($D$2:D402)</f>
        <v>155.1642145910138</v>
      </c>
      <c r="G402">
        <f ca="1">_xlfn.STDEV.P($C$2:C402)</f>
        <v>15.20674573781657</v>
      </c>
      <c r="H402">
        <f t="shared" ca="1" si="127"/>
        <v>170.37096032883036</v>
      </c>
      <c r="I402">
        <f t="shared" ca="1" si="128"/>
        <v>139.95746885319724</v>
      </c>
      <c r="J402">
        <f t="shared" ca="1" si="116"/>
        <v>140.96400000000003</v>
      </c>
      <c r="K402">
        <f t="shared" ca="1" si="117"/>
        <v>3.7996542779019973</v>
      </c>
      <c r="L402">
        <f t="shared" ca="1" si="118"/>
        <v>148.56330855580401</v>
      </c>
      <c r="M402">
        <f t="shared" ca="1" si="119"/>
        <v>133.36469144419604</v>
      </c>
      <c r="N402">
        <f t="shared" ca="1" si="129"/>
        <v>3.1199999999999761</v>
      </c>
      <c r="O402">
        <f t="shared" ca="1" si="130"/>
        <v>3.1199999999999761</v>
      </c>
      <c r="P402">
        <f t="shared" ca="1" si="131"/>
        <v>0</v>
      </c>
      <c r="Q402">
        <f t="shared" ca="1" si="135"/>
        <v>1.0744511338467453</v>
      </c>
      <c r="R402">
        <f t="shared" ca="1" si="136"/>
        <v>0.72206774760830938</v>
      </c>
      <c r="S402">
        <f t="shared" ca="1" si="133"/>
        <v>1.4880198394203707</v>
      </c>
      <c r="T402">
        <f t="shared" ca="1" si="134"/>
        <v>59.807394452571245</v>
      </c>
      <c r="U402">
        <f>70</f>
        <v>70</v>
      </c>
      <c r="V402">
        <f>30</f>
        <v>30</v>
      </c>
      <c r="W402">
        <f t="shared" ca="1" si="132"/>
        <v>141.08748759532091</v>
      </c>
      <c r="X402">
        <f t="shared" ca="1" si="121"/>
        <v>139.45243048625036</v>
      </c>
      <c r="Y402">
        <f t="shared" ca="1" si="120"/>
        <v>1.8428031560654006</v>
      </c>
      <c r="Z402">
        <f t="shared" ca="1" si="122"/>
        <v>1.9681968556661462</v>
      </c>
      <c r="AA402">
        <f t="shared" ca="1" si="123"/>
        <v>-0.12539369960074565</v>
      </c>
      <c r="AB402">
        <f t="shared" ca="1" si="124"/>
        <v>137.48855000000003</v>
      </c>
    </row>
    <row r="403" spans="1:28" x14ac:dyDescent="0.25">
      <c r="A403" s="20">
        <f t="shared" ca="1" si="125"/>
        <v>45873</v>
      </c>
      <c r="B403" vm="1179">
        <f ca="1"/>
        <v>45877</v>
      </c>
      <c r="C403" vm="1180">
        <f ca="1"/>
        <v>145.21</v>
      </c>
      <c r="D403" vm="1181">
        <f ca="1"/>
        <v>5315087</v>
      </c>
      <c r="E403">
        <f t="shared" ca="1" si="126"/>
        <v>771803783.2700001</v>
      </c>
      <c r="F403">
        <f ca="1">SUM($E$2:E403)/SUM($D$2:D403)</f>
        <v>155.14452834211878</v>
      </c>
      <c r="G403">
        <f ca="1">_xlfn.STDEV.P($C$2:C403)</f>
        <v>15.202863308064705</v>
      </c>
      <c r="H403">
        <f t="shared" ca="1" si="127"/>
        <v>170.34739165018348</v>
      </c>
      <c r="I403">
        <f t="shared" ca="1" si="128"/>
        <v>139.94166503405407</v>
      </c>
      <c r="J403">
        <f t="shared" ca="1" si="116"/>
        <v>141.46150000000003</v>
      </c>
      <c r="K403">
        <f t="shared" ca="1" si="117"/>
        <v>3.6624183482904757</v>
      </c>
      <c r="L403">
        <f t="shared" ca="1" si="118"/>
        <v>148.78633669658097</v>
      </c>
      <c r="M403">
        <f t="shared" ca="1" si="119"/>
        <v>134.13666330341908</v>
      </c>
      <c r="N403">
        <f t="shared" ca="1" si="129"/>
        <v>1.2900000000000205</v>
      </c>
      <c r="O403">
        <f t="shared" ca="1" si="130"/>
        <v>1.2900000000000205</v>
      </c>
      <c r="P403">
        <f t="shared" ca="1" si="131"/>
        <v>0</v>
      </c>
      <c r="Q403">
        <f t="shared" ca="1" si="135"/>
        <v>1.0898474814291221</v>
      </c>
      <c r="R403">
        <f t="shared" ca="1" si="136"/>
        <v>0.67049147992200164</v>
      </c>
      <c r="S403">
        <f t="shared" ca="1" si="133"/>
        <v>1.6254456828532768</v>
      </c>
      <c r="T403">
        <f t="shared" ca="1" si="134"/>
        <v>61.911228766568051</v>
      </c>
      <c r="U403">
        <f>70</f>
        <v>70</v>
      </c>
      <c r="V403">
        <f>30</f>
        <v>30</v>
      </c>
      <c r="W403">
        <f t="shared" ca="1" si="132"/>
        <v>141.72172027296386</v>
      </c>
      <c r="X403">
        <f t="shared" ca="1" si="121"/>
        <v>139.87891711689846</v>
      </c>
      <c r="Y403">
        <f t="shared" ca="1" si="120"/>
        <v>1.9574440401090385</v>
      </c>
      <c r="Z403">
        <f t="shared" ca="1" si="122"/>
        <v>1.9660462925547249</v>
      </c>
      <c r="AA403">
        <f t="shared" ca="1" si="123"/>
        <v>-8.6022524456863536E-3</v>
      </c>
      <c r="AB403">
        <f t="shared" ca="1" si="124"/>
        <v>137.42725000000002</v>
      </c>
    </row>
    <row r="404" spans="1:28" x14ac:dyDescent="0.25">
      <c r="A404" s="20">
        <f t="shared" ca="1" si="125"/>
        <v>45880</v>
      </c>
      <c r="B404" vm="1182">
        <f ca="1"/>
        <v>45880</v>
      </c>
      <c r="C404" vm="1183">
        <f ca="1"/>
        <v>144.87</v>
      </c>
      <c r="D404" vm="1184">
        <f ca="1"/>
        <v>5773384</v>
      </c>
      <c r="E404">
        <f t="shared" ca="1" si="126"/>
        <v>836390140.08000004</v>
      </c>
      <c r="F404">
        <f ca="1">SUM($E$2:E404)/SUM($D$2:D404)</f>
        <v>155.12250384605645</v>
      </c>
      <c r="G404">
        <f ca="1">_xlfn.STDEV.P($C$2:C404)</f>
        <v>15.199683814963397</v>
      </c>
      <c r="H404">
        <f t="shared" ca="1" si="127"/>
        <v>170.32218766101985</v>
      </c>
      <c r="I404">
        <f t="shared" ca="1" si="128"/>
        <v>139.92282003109304</v>
      </c>
      <c r="J404">
        <f t="shared" ca="1" si="116"/>
        <v>141.9265</v>
      </c>
      <c r="K404">
        <f t="shared" ca="1" si="117"/>
        <v>3.4598178762533305</v>
      </c>
      <c r="L404">
        <f t="shared" ca="1" si="118"/>
        <v>148.84613575250665</v>
      </c>
      <c r="M404">
        <f t="shared" ca="1" si="119"/>
        <v>135.00686424749335</v>
      </c>
      <c r="N404">
        <f t="shared" ca="1" si="129"/>
        <v>-0.34000000000000341</v>
      </c>
      <c r="O404">
        <f t="shared" ca="1" si="130"/>
        <v>0</v>
      </c>
      <c r="P404">
        <f t="shared" ca="1" si="131"/>
        <v>0.34000000000000341</v>
      </c>
      <c r="Q404">
        <f t="shared" ca="1" si="135"/>
        <v>1.0120012327556134</v>
      </c>
      <c r="R404">
        <f t="shared" ca="1" si="136"/>
        <v>0.64688494564185894</v>
      </c>
      <c r="S404">
        <f t="shared" ca="1" si="133"/>
        <v>1.5644222973089519</v>
      </c>
      <c r="T404">
        <f t="shared" ca="1" si="134"/>
        <v>61.004862535730645</v>
      </c>
      <c r="U404">
        <f>70</f>
        <v>70</v>
      </c>
      <c r="V404">
        <f>30</f>
        <v>30</v>
      </c>
      <c r="W404">
        <f t="shared" ca="1" si="132"/>
        <v>142.20607100020021</v>
      </c>
      <c r="X404">
        <f t="shared" ca="1" si="121"/>
        <v>140.24862696009117</v>
      </c>
      <c r="Y404">
        <f t="shared" ca="1" si="120"/>
        <v>2.1844995015094923</v>
      </c>
      <c r="Z404">
        <f t="shared" ca="1" si="122"/>
        <v>2.0097369343456783</v>
      </c>
      <c r="AA404">
        <f t="shared" ca="1" si="123"/>
        <v>0.174762567163814</v>
      </c>
      <c r="AB404">
        <f t="shared" ca="1" si="124"/>
        <v>137.38605000000004</v>
      </c>
    </row>
    <row r="405" spans="1:28" x14ac:dyDescent="0.25">
      <c r="A405" s="20">
        <f t="shared" ca="1" si="125"/>
        <v>45880</v>
      </c>
      <c r="B405" vm="1185">
        <f ca="1"/>
        <v>45881</v>
      </c>
      <c r="C405" vm="1186">
        <f ca="1"/>
        <v>146.87</v>
      </c>
      <c r="D405" vm="1187">
        <f ca="1"/>
        <v>7670149</v>
      </c>
      <c r="E405">
        <f t="shared" ca="1" si="126"/>
        <v>1126514783.6300001</v>
      </c>
      <c r="F405">
        <f ca="1">SUM($E$2:E405)/SUM($D$2:D405)</f>
        <v>155.0990686749515</v>
      </c>
      <c r="G405">
        <f ca="1">_xlfn.STDEV.P($C$2:C405)</f>
        <v>15.192267112566675</v>
      </c>
      <c r="H405">
        <f t="shared" ca="1" si="127"/>
        <v>170.29133578751816</v>
      </c>
      <c r="I405">
        <f t="shared" ca="1" si="128"/>
        <v>139.90680156238483</v>
      </c>
      <c r="J405">
        <f t="shared" ca="1" si="116"/>
        <v>142.5795</v>
      </c>
      <c r="K405">
        <f t="shared" ca="1" si="117"/>
        <v>3.0562179499987798</v>
      </c>
      <c r="L405">
        <f t="shared" ca="1" si="118"/>
        <v>148.69193589999756</v>
      </c>
      <c r="M405">
        <f t="shared" ca="1" si="119"/>
        <v>136.46706410000243</v>
      </c>
      <c r="N405">
        <f t="shared" ca="1" si="129"/>
        <v>2</v>
      </c>
      <c r="O405">
        <f t="shared" ca="1" si="130"/>
        <v>2</v>
      </c>
      <c r="P405">
        <f t="shared" ca="1" si="131"/>
        <v>0</v>
      </c>
      <c r="Q405">
        <f t="shared" ca="1" si="135"/>
        <v>1.0825725732730695</v>
      </c>
      <c r="R405">
        <f t="shared" ca="1" si="136"/>
        <v>0.60067887809601195</v>
      </c>
      <c r="S405">
        <f t="shared" ca="1" si="133"/>
        <v>1.8022484438016684</v>
      </c>
      <c r="T405">
        <f t="shared" ca="1" si="134"/>
        <v>64.314370404525917</v>
      </c>
      <c r="U405">
        <f>70</f>
        <v>70</v>
      </c>
      <c r="V405">
        <f>30</f>
        <v>30</v>
      </c>
      <c r="W405">
        <f t="shared" ca="1" si="132"/>
        <v>142.92359853863096</v>
      </c>
      <c r="X405">
        <f t="shared" ca="1" si="121"/>
        <v>140.73909903712146</v>
      </c>
      <c r="Y405">
        <f t="shared" ca="1" si="120"/>
        <v>2.5353321336436636</v>
      </c>
      <c r="Z405">
        <f t="shared" ca="1" si="122"/>
        <v>2.1148559742052755</v>
      </c>
      <c r="AA405">
        <f t="shared" ca="1" si="123"/>
        <v>0.42047615943838812</v>
      </c>
      <c r="AB405">
        <f t="shared" ca="1" si="124"/>
        <v>137.37365000000003</v>
      </c>
    </row>
    <row r="406" spans="1:28" x14ac:dyDescent="0.25">
      <c r="A406" s="20">
        <f t="shared" ca="1" si="125"/>
        <v>45880</v>
      </c>
      <c r="B406" vm="1188">
        <f ca="1"/>
        <v>45882</v>
      </c>
      <c r="C406" vm="1189">
        <f ca="1"/>
        <v>149.35</v>
      </c>
      <c r="D406" vm="1190">
        <f ca="1"/>
        <v>6147005</v>
      </c>
      <c r="E406">
        <f t="shared" ca="1" si="126"/>
        <v>918055196.75</v>
      </c>
      <c r="F406">
        <f ca="1">SUM($E$2:E406)/SUM($D$2:D406)</f>
        <v>155.08601441090485</v>
      </c>
      <c r="G406">
        <f ca="1">_xlfn.STDEV.P($C$2:C406)</f>
        <v>15.180572264299025</v>
      </c>
      <c r="H406">
        <f t="shared" ca="1" si="127"/>
        <v>170.26658667520388</v>
      </c>
      <c r="I406">
        <f t="shared" ca="1" si="128"/>
        <v>139.90544214660582</v>
      </c>
      <c r="J406">
        <f t="shared" ref="J406:J469" ca="1" si="137">AVERAGE(C387:C406)</f>
        <v>143.27950000000001</v>
      </c>
      <c r="K406">
        <f t="shared" ref="K406:K469" ca="1" si="138">_xlfn.STDEV.S(C387:C406)</f>
        <v>2.9131543312867483</v>
      </c>
      <c r="L406">
        <f t="shared" ref="L406:L469" ca="1" si="139">J406 + 2*K406</f>
        <v>149.10580866257351</v>
      </c>
      <c r="M406">
        <f t="shared" ref="M406:M469" ca="1" si="140">J406-2*K406</f>
        <v>137.45319133742652</v>
      </c>
      <c r="N406">
        <f t="shared" ca="1" si="129"/>
        <v>2.4799999999999898</v>
      </c>
      <c r="O406">
        <f t="shared" ca="1" si="130"/>
        <v>2.4799999999999898</v>
      </c>
      <c r="P406">
        <f t="shared" ca="1" si="131"/>
        <v>0</v>
      </c>
      <c r="Q406">
        <f t="shared" ca="1" si="135"/>
        <v>1.1823888180392781</v>
      </c>
      <c r="R406">
        <f t="shared" ca="1" si="136"/>
        <v>0.55777324394629679</v>
      </c>
      <c r="S406">
        <f t="shared" ca="1" si="133"/>
        <v>2.1198378209642486</v>
      </c>
      <c r="T406">
        <f t="shared" ca="1" si="134"/>
        <v>67.947051821721629</v>
      </c>
      <c r="U406">
        <f>70</f>
        <v>70</v>
      </c>
      <c r="V406">
        <f>30</f>
        <v>30</v>
      </c>
      <c r="W406">
        <f t="shared" ca="1" si="132"/>
        <v>143.91227568653389</v>
      </c>
      <c r="X406">
        <f t="shared" ca="1" si="121"/>
        <v>141.37694355289022</v>
      </c>
      <c r="Y406">
        <f t="shared" ca="1" si="120"/>
        <v>2.7230747128525365</v>
      </c>
      <c r="Z406">
        <f t="shared" ca="1" si="122"/>
        <v>2.2364997219347278</v>
      </c>
      <c r="AA406">
        <f t="shared" ca="1" si="123"/>
        <v>0.48657499091780876</v>
      </c>
      <c r="AB406">
        <f t="shared" ca="1" si="124"/>
        <v>137.39565000000005</v>
      </c>
    </row>
    <row r="407" spans="1:28" x14ac:dyDescent="0.25">
      <c r="A407" s="20">
        <f t="shared" ca="1" si="125"/>
        <v>45880</v>
      </c>
      <c r="B407" vm="1191">
        <f ca="1"/>
        <v>45883</v>
      </c>
      <c r="C407" vm="780">
        <f ca="1"/>
        <v>148.62</v>
      </c>
      <c r="D407" vm="1192">
        <f ca="1"/>
        <v>6892466</v>
      </c>
      <c r="E407">
        <f t="shared" ca="1" si="126"/>
        <v>1024358296.9200001</v>
      </c>
      <c r="F407">
        <f ca="1">SUM($E$2:E407)/SUM($D$2:D407)</f>
        <v>155.06959345999235</v>
      </c>
      <c r="G407">
        <f ca="1">_xlfn.STDEV.P($C$2:C407)</f>
        <v>15.170035606337189</v>
      </c>
      <c r="H407">
        <f t="shared" ca="1" si="127"/>
        <v>170.23962906632954</v>
      </c>
      <c r="I407">
        <f t="shared" ca="1" si="128"/>
        <v>139.89955785365515</v>
      </c>
      <c r="J407">
        <f t="shared" ca="1" si="137"/>
        <v>143.43849999999998</v>
      </c>
      <c r="K407">
        <f t="shared" ca="1" si="138"/>
        <v>3.1169355311368192</v>
      </c>
      <c r="L407">
        <f t="shared" ca="1" si="139"/>
        <v>149.67237106227361</v>
      </c>
      <c r="M407">
        <f t="shared" ca="1" si="140"/>
        <v>137.20462893772634</v>
      </c>
      <c r="N407">
        <f t="shared" ca="1" si="129"/>
        <v>-0.72999999999998977</v>
      </c>
      <c r="O407">
        <f t="shared" ca="1" si="130"/>
        <v>0</v>
      </c>
      <c r="P407">
        <f t="shared" ca="1" si="131"/>
        <v>0.72999999999998977</v>
      </c>
      <c r="Q407">
        <f t="shared" ca="1" si="135"/>
        <v>1.0979324738936154</v>
      </c>
      <c r="R407">
        <f t="shared" ca="1" si="136"/>
        <v>0.57007515509298912</v>
      </c>
      <c r="S407">
        <f t="shared" ca="1" si="133"/>
        <v>1.925943384981448</v>
      </c>
      <c r="T407">
        <f t="shared" ca="1" si="134"/>
        <v>65.822988745001282</v>
      </c>
      <c r="U407">
        <f>70</f>
        <v>70</v>
      </c>
      <c r="V407">
        <f>30</f>
        <v>30</v>
      </c>
      <c r="W407">
        <f t="shared" ca="1" si="132"/>
        <v>144.63654096552867</v>
      </c>
      <c r="X407">
        <f t="shared" ca="1" si="121"/>
        <v>141.91346625267613</v>
      </c>
      <c r="Y407">
        <f t="shared" ca="1" si="120"/>
        <v>2.981128588724431</v>
      </c>
      <c r="Z407">
        <f t="shared" ca="1" si="122"/>
        <v>2.3854254952926688</v>
      </c>
      <c r="AA407">
        <f t="shared" ca="1" si="123"/>
        <v>0.5957030934317622</v>
      </c>
      <c r="AB407">
        <f t="shared" ca="1" si="124"/>
        <v>137.42735000000005</v>
      </c>
    </row>
    <row r="408" spans="1:28" x14ac:dyDescent="0.25">
      <c r="A408" s="20">
        <f t="shared" ca="1" si="125"/>
        <v>45880</v>
      </c>
      <c r="B408" vm="1193">
        <f ca="1"/>
        <v>45884</v>
      </c>
      <c r="C408" vm="1194">
        <f ca="1"/>
        <v>150.4</v>
      </c>
      <c r="D408" vm="1195">
        <f ca="1"/>
        <v>9162178</v>
      </c>
      <c r="E408">
        <f t="shared" ca="1" si="126"/>
        <v>1377991571.2</v>
      </c>
      <c r="F408">
        <f ca="1">SUM($E$2:E408)/SUM($D$2:D408)</f>
        <v>155.05388255701908</v>
      </c>
      <c r="G408">
        <f ca="1">_xlfn.STDEV.P($C$2:C408)</f>
        <v>15.156876159713356</v>
      </c>
      <c r="H408">
        <f t="shared" ca="1" si="127"/>
        <v>170.21075871673244</v>
      </c>
      <c r="I408">
        <f t="shared" ca="1" si="128"/>
        <v>139.89700639730572</v>
      </c>
      <c r="J408">
        <f t="shared" ca="1" si="137"/>
        <v>143.79649999999998</v>
      </c>
      <c r="K408">
        <f t="shared" ca="1" si="138"/>
        <v>3.482665759080779</v>
      </c>
      <c r="L408">
        <f t="shared" ca="1" si="139"/>
        <v>150.76183151816153</v>
      </c>
      <c r="M408">
        <f t="shared" ca="1" si="140"/>
        <v>136.83116848183843</v>
      </c>
      <c r="N408">
        <f t="shared" ca="1" si="129"/>
        <v>1.7800000000000011</v>
      </c>
      <c r="O408">
        <f t="shared" ca="1" si="130"/>
        <v>1.7800000000000011</v>
      </c>
      <c r="P408">
        <f t="shared" ca="1" si="131"/>
        <v>0</v>
      </c>
      <c r="Q408">
        <f t="shared" ca="1" si="135"/>
        <v>1.1466515829012143</v>
      </c>
      <c r="R408">
        <f t="shared" ca="1" si="136"/>
        <v>0.52935550115777563</v>
      </c>
      <c r="S408">
        <f t="shared" ca="1" si="133"/>
        <v>2.166127640863889</v>
      </c>
      <c r="T408">
        <f t="shared" ca="1" si="134"/>
        <v>68.41567638987712</v>
      </c>
      <c r="U408">
        <f>70</f>
        <v>70</v>
      </c>
      <c r="V408">
        <f>30</f>
        <v>30</v>
      </c>
      <c r="W408">
        <f t="shared" ca="1" si="132"/>
        <v>145.52322697083196</v>
      </c>
      <c r="X408">
        <f t="shared" ca="1" si="121"/>
        <v>142.54209838210753</v>
      </c>
      <c r="Y408">
        <f t="shared" ca="1" si="120"/>
        <v>3.0815283081257689</v>
      </c>
      <c r="Z408">
        <f t="shared" ca="1" si="122"/>
        <v>2.5246460578592891</v>
      </c>
      <c r="AA408">
        <f t="shared" ca="1" si="123"/>
        <v>0.55688225026647986</v>
      </c>
      <c r="AB408">
        <f t="shared" ca="1" si="124"/>
        <v>137.46685000000002</v>
      </c>
    </row>
    <row r="409" spans="1:28" x14ac:dyDescent="0.25">
      <c r="A409" s="20">
        <f t="shared" ca="1" si="125"/>
        <v>45887</v>
      </c>
      <c r="B409" vm="1196">
        <f ca="1"/>
        <v>45887</v>
      </c>
      <c r="C409" vm="1197">
        <f ca="1"/>
        <v>149.55000000000001</v>
      </c>
      <c r="D409" vm="1198">
        <f ca="1"/>
        <v>9900999</v>
      </c>
      <c r="E409">
        <f t="shared" ca="1" si="126"/>
        <v>1480694400.45</v>
      </c>
      <c r="F409">
        <f ca="1">SUM($E$2:E409)/SUM($D$2:D409)</f>
        <v>155.03394392438832</v>
      </c>
      <c r="G409">
        <f ca="1">_xlfn.STDEV.P($C$2:C409)</f>
        <v>15.144929077258316</v>
      </c>
      <c r="H409">
        <f t="shared" ca="1" si="127"/>
        <v>170.17887300164665</v>
      </c>
      <c r="I409">
        <f t="shared" ca="1" si="128"/>
        <v>139.88901484713</v>
      </c>
      <c r="J409">
        <f t="shared" ca="1" si="137"/>
        <v>144.18900000000002</v>
      </c>
      <c r="K409">
        <f t="shared" ca="1" si="138"/>
        <v>3.6712007214046642</v>
      </c>
      <c r="L409">
        <f t="shared" ca="1" si="139"/>
        <v>151.53140144280934</v>
      </c>
      <c r="M409">
        <f t="shared" ca="1" si="140"/>
        <v>136.8465985571907</v>
      </c>
      <c r="N409">
        <f t="shared" ca="1" si="129"/>
        <v>-0.84999999999999432</v>
      </c>
      <c r="O409">
        <f t="shared" ca="1" si="130"/>
        <v>0</v>
      </c>
      <c r="P409">
        <f t="shared" ca="1" si="131"/>
        <v>0.84999999999999432</v>
      </c>
      <c r="Q409">
        <f t="shared" ca="1" si="135"/>
        <v>1.0647478984082703</v>
      </c>
      <c r="R409">
        <f t="shared" ca="1" si="136"/>
        <v>0.55225867964650555</v>
      </c>
      <c r="S409">
        <f t="shared" ca="1" si="133"/>
        <v>1.9279876218329484</v>
      </c>
      <c r="T409">
        <f t="shared" ca="1" si="134"/>
        <v>65.846850152529328</v>
      </c>
      <c r="U409">
        <f>70</f>
        <v>70</v>
      </c>
      <c r="V409">
        <f>30</f>
        <v>30</v>
      </c>
      <c r="W409">
        <f t="shared" ca="1" si="132"/>
        <v>146.14273051378089</v>
      </c>
      <c r="X409">
        <f t="shared" ca="1" si="121"/>
        <v>143.06120220565512</v>
      </c>
      <c r="Y409">
        <f t="shared" ca="1" si="120"/>
        <v>3.3332770534330791</v>
      </c>
      <c r="Z409">
        <f t="shared" ca="1" si="122"/>
        <v>2.6863722569740474</v>
      </c>
      <c r="AA409">
        <f t="shared" ca="1" si="123"/>
        <v>0.64690479645903176</v>
      </c>
      <c r="AB409">
        <f t="shared" ca="1" si="124"/>
        <v>137.50695000000002</v>
      </c>
    </row>
    <row r="410" spans="1:28" x14ac:dyDescent="0.25">
      <c r="A410" s="20">
        <f t="shared" ca="1" si="125"/>
        <v>45887</v>
      </c>
      <c r="B410" vm="1199">
        <f ca="1"/>
        <v>45888</v>
      </c>
      <c r="C410" vm="1200">
        <f ca="1"/>
        <v>152.16</v>
      </c>
      <c r="D410" vm="1201">
        <f ca="1"/>
        <v>8596943</v>
      </c>
      <c r="E410">
        <f t="shared" ca="1" si="126"/>
        <v>1308110846.8799999</v>
      </c>
      <c r="F410">
        <f ca="1">SUM($E$2:E410)/SUM($D$2:D410)</f>
        <v>155.02493224774912</v>
      </c>
      <c r="G410">
        <f ca="1">_xlfn.STDEV.P($C$2:C410)</f>
        <v>15.129742072071588</v>
      </c>
      <c r="H410">
        <f t="shared" ca="1" si="127"/>
        <v>170.15467431982071</v>
      </c>
      <c r="I410">
        <f t="shared" ca="1" si="128"/>
        <v>139.89519017567753</v>
      </c>
      <c r="J410">
        <f t="shared" ca="1" si="137"/>
        <v>144.49499999999998</v>
      </c>
      <c r="K410">
        <f t="shared" ca="1" si="138"/>
        <v>4.0672925172714898</v>
      </c>
      <c r="L410">
        <f t="shared" ca="1" si="139"/>
        <v>152.62958503454297</v>
      </c>
      <c r="M410">
        <f t="shared" ca="1" si="140"/>
        <v>136.36041496545698</v>
      </c>
      <c r="N410">
        <f t="shared" ca="1" si="129"/>
        <v>2.6099999999999852</v>
      </c>
      <c r="O410">
        <f t="shared" ca="1" si="130"/>
        <v>2.6099999999999852</v>
      </c>
      <c r="P410">
        <f t="shared" ca="1" si="131"/>
        <v>0</v>
      </c>
      <c r="Q410">
        <f t="shared" ca="1" si="135"/>
        <v>1.1751230485219644</v>
      </c>
      <c r="R410">
        <f t="shared" ca="1" si="136"/>
        <v>0.51281163110032657</v>
      </c>
      <c r="S410">
        <f t="shared" ca="1" si="133"/>
        <v>2.2915296324315682</v>
      </c>
      <c r="T410">
        <f t="shared" ca="1" si="134"/>
        <v>69.618988383183265</v>
      </c>
      <c r="U410">
        <f>70</f>
        <v>70</v>
      </c>
      <c r="V410">
        <f>30</f>
        <v>30</v>
      </c>
      <c r="W410">
        <f t="shared" ca="1" si="132"/>
        <v>147.06846428089153</v>
      </c>
      <c r="X410">
        <f t="shared" ca="1" si="121"/>
        <v>143.73518722745845</v>
      </c>
      <c r="Y410">
        <f t="shared" ca="1" si="120"/>
        <v>3.378455961540709</v>
      </c>
      <c r="Z410">
        <f t="shared" ca="1" si="122"/>
        <v>2.8247889978873797</v>
      </c>
      <c r="AA410">
        <f t="shared" ca="1" si="123"/>
        <v>0.55366696365332935</v>
      </c>
      <c r="AB410">
        <f t="shared" ca="1" si="124"/>
        <v>137.54215000000005</v>
      </c>
    </row>
    <row r="411" spans="1:28" x14ac:dyDescent="0.25">
      <c r="A411" s="20">
        <f t="shared" ca="1" si="125"/>
        <v>45887</v>
      </c>
      <c r="B411" vm="1202">
        <f ca="1"/>
        <v>45889</v>
      </c>
      <c r="C411" vm="1203">
        <f ca="1"/>
        <v>150.72999999999999</v>
      </c>
      <c r="D411" vm="1204">
        <f ca="1"/>
        <v>10023466</v>
      </c>
      <c r="E411">
        <f t="shared" ca="1" si="126"/>
        <v>1510837030.1799998</v>
      </c>
      <c r="F411">
        <f ca="1">SUM($E$2:E411)/SUM($D$2:D411)</f>
        <v>155.00928735341287</v>
      </c>
      <c r="G411">
        <f ca="1">_xlfn.STDEV.P($C$2:C411)</f>
        <v>15.11624010242547</v>
      </c>
      <c r="H411">
        <f t="shared" ca="1" si="127"/>
        <v>170.12552745583835</v>
      </c>
      <c r="I411">
        <f t="shared" ca="1" si="128"/>
        <v>139.89304725098739</v>
      </c>
      <c r="J411">
        <f t="shared" ca="1" si="137"/>
        <v>144.74849999999998</v>
      </c>
      <c r="K411">
        <f t="shared" ca="1" si="138"/>
        <v>4.2953295014836526</v>
      </c>
      <c r="L411">
        <f t="shared" ca="1" si="139"/>
        <v>153.33915900296728</v>
      </c>
      <c r="M411">
        <f t="shared" ca="1" si="140"/>
        <v>136.15784099703268</v>
      </c>
      <c r="N411">
        <f t="shared" ca="1" si="129"/>
        <v>-1.4300000000000068</v>
      </c>
      <c r="O411">
        <f t="shared" ca="1" si="130"/>
        <v>0</v>
      </c>
      <c r="P411">
        <f t="shared" ca="1" si="131"/>
        <v>1.4300000000000068</v>
      </c>
      <c r="Q411">
        <f t="shared" ca="1" si="135"/>
        <v>1.0911856879132527</v>
      </c>
      <c r="R411">
        <f t="shared" ca="1" si="136"/>
        <v>0.57832508602173227</v>
      </c>
      <c r="S411">
        <f t="shared" ca="1" si="133"/>
        <v>1.8868033123367713</v>
      </c>
      <c r="T411">
        <f t="shared" ca="1" si="134"/>
        <v>65.359607434060564</v>
      </c>
      <c r="U411">
        <f>70</f>
        <v>70</v>
      </c>
      <c r="V411">
        <f>30</f>
        <v>30</v>
      </c>
      <c r="W411">
        <f t="shared" ca="1" si="132"/>
        <v>147.63177746844667</v>
      </c>
      <c r="X411">
        <f t="shared" ca="1" si="121"/>
        <v>144.25332150690596</v>
      </c>
      <c r="Y411">
        <f t="shared" ca="1" si="120"/>
        <v>3.2357504797271019</v>
      </c>
      <c r="Z411">
        <f t="shared" ca="1" si="122"/>
        <v>2.9069812942553241</v>
      </c>
      <c r="AA411">
        <f t="shared" ca="1" si="123"/>
        <v>0.3287691854717778</v>
      </c>
      <c r="AB411">
        <f t="shared" ca="1" si="124"/>
        <v>137.55275</v>
      </c>
    </row>
    <row r="412" spans="1:28" x14ac:dyDescent="0.25">
      <c r="A412" s="20">
        <f t="shared" ca="1" si="125"/>
        <v>45887</v>
      </c>
      <c r="B412" vm="1205">
        <f ca="1"/>
        <v>45890</v>
      </c>
      <c r="C412" vm="1206">
        <f ca="1"/>
        <v>148.97999999999999</v>
      </c>
      <c r="D412" vm="1207">
        <f ca="1"/>
        <v>8153618</v>
      </c>
      <c r="E412">
        <f t="shared" ca="1" si="126"/>
        <v>1214726009.6399999</v>
      </c>
      <c r="F412">
        <f ca="1">SUM($E$2:E412)/SUM($D$2:D412)</f>
        <v>154.99147465247569</v>
      </c>
      <c r="G412">
        <f ca="1">_xlfn.STDEV.P($C$2:C412)</f>
        <v>15.105216036018208</v>
      </c>
      <c r="H412">
        <f t="shared" ca="1" si="127"/>
        <v>170.09669068849391</v>
      </c>
      <c r="I412">
        <f t="shared" ca="1" si="128"/>
        <v>139.88625861645747</v>
      </c>
      <c r="J412">
        <f t="shared" ca="1" si="137"/>
        <v>144.97200000000001</v>
      </c>
      <c r="K412">
        <f t="shared" ca="1" si="138"/>
        <v>4.3973492015076552</v>
      </c>
      <c r="L412">
        <f t="shared" ca="1" si="139"/>
        <v>153.76669840301531</v>
      </c>
      <c r="M412">
        <f t="shared" ca="1" si="140"/>
        <v>136.17730159698471</v>
      </c>
      <c r="N412">
        <f t="shared" ca="1" si="129"/>
        <v>-1.75</v>
      </c>
      <c r="O412">
        <f t="shared" ca="1" si="130"/>
        <v>0</v>
      </c>
      <c r="P412">
        <f t="shared" ca="1" si="131"/>
        <v>1.75</v>
      </c>
      <c r="Q412">
        <f t="shared" ca="1" si="135"/>
        <v>1.013243853062306</v>
      </c>
      <c r="R412">
        <f t="shared" ca="1" si="136"/>
        <v>0.66201615130589431</v>
      </c>
      <c r="S412">
        <f t="shared" ca="1" si="133"/>
        <v>1.530542496680148</v>
      </c>
      <c r="T412">
        <f t="shared" ca="1" si="134"/>
        <v>60.482781802245441</v>
      </c>
      <c r="U412">
        <f>70</f>
        <v>70</v>
      </c>
      <c r="V412">
        <f>30</f>
        <v>30</v>
      </c>
      <c r="W412">
        <f t="shared" ca="1" si="132"/>
        <v>147.83919631945486</v>
      </c>
      <c r="X412">
        <f t="shared" ca="1" si="121"/>
        <v>144.60344583972775</v>
      </c>
      <c r="Y412">
        <f t="shared" ref="Y412:Y475" ca="1" si="141">W413-X413</f>
        <v>3.1397191138648566</v>
      </c>
      <c r="Z412">
        <f t="shared" ca="1" si="122"/>
        <v>2.9535288581772305</v>
      </c>
      <c r="AA412">
        <f t="shared" ca="1" si="123"/>
        <v>0.18619025568762604</v>
      </c>
      <c r="AB412">
        <f t="shared" ca="1" si="124"/>
        <v>137.54985000000002</v>
      </c>
    </row>
    <row r="413" spans="1:28" x14ac:dyDescent="0.25">
      <c r="A413" s="20">
        <f t="shared" ca="1" si="125"/>
        <v>45887</v>
      </c>
      <c r="B413" vm="1208">
        <f ca="1"/>
        <v>45891</v>
      </c>
      <c r="C413" vm="1209">
        <f ca="1"/>
        <v>149.63999999999999</v>
      </c>
      <c r="D413" vm="1210">
        <f ca="1"/>
        <v>5218019</v>
      </c>
      <c r="E413">
        <f t="shared" ca="1" si="126"/>
        <v>780824363.15999997</v>
      </c>
      <c r="F413">
        <f ca="1">SUM($E$2:E413)/SUM($D$2:D413)</f>
        <v>154.98137579546059</v>
      </c>
      <c r="G413">
        <f ca="1">_xlfn.STDEV.P($C$2:C413)</f>
        <v>15.093224775338072</v>
      </c>
      <c r="H413">
        <f t="shared" ca="1" si="127"/>
        <v>170.07460057079868</v>
      </c>
      <c r="I413">
        <f t="shared" ca="1" si="128"/>
        <v>139.88815102012251</v>
      </c>
      <c r="J413">
        <f t="shared" ca="1" si="137"/>
        <v>145.28149999999999</v>
      </c>
      <c r="K413">
        <f t="shared" ca="1" si="138"/>
        <v>4.5011978230361382</v>
      </c>
      <c r="L413">
        <f t="shared" ca="1" si="139"/>
        <v>154.28389564607227</v>
      </c>
      <c r="M413">
        <f t="shared" ca="1" si="140"/>
        <v>136.27910435392772</v>
      </c>
      <c r="N413">
        <f t="shared" ca="1" si="129"/>
        <v>0.65999999999999659</v>
      </c>
      <c r="O413">
        <f t="shared" ca="1" si="130"/>
        <v>0.65999999999999659</v>
      </c>
      <c r="P413">
        <f t="shared" ca="1" si="131"/>
        <v>0</v>
      </c>
      <c r="Q413">
        <f t="shared" ca="1" si="135"/>
        <v>0.98801214927214098</v>
      </c>
      <c r="R413">
        <f t="shared" ca="1" si="136"/>
        <v>0.61472928335547328</v>
      </c>
      <c r="S413">
        <f t="shared" ca="1" si="133"/>
        <v>1.6072313065665578</v>
      </c>
      <c r="T413">
        <f t="shared" ca="1" si="134"/>
        <v>61.645136836098665</v>
      </c>
      <c r="U413">
        <f>70</f>
        <v>70</v>
      </c>
      <c r="V413">
        <f>30</f>
        <v>30</v>
      </c>
      <c r="W413">
        <f t="shared" ca="1" si="132"/>
        <v>148.11624303953872</v>
      </c>
      <c r="X413">
        <f t="shared" ref="X413:X476" ca="1" si="142">C413*(2/(26+1)) + X412*(1-(2/(26+1)))</f>
        <v>144.97652392567386</v>
      </c>
      <c r="Y413">
        <f t="shared" ca="1" si="141"/>
        <v>2.9138287945840204</v>
      </c>
      <c r="Z413">
        <f t="shared" ca="1" si="122"/>
        <v>2.9455888454585888</v>
      </c>
      <c r="AA413">
        <f t="shared" ca="1" si="123"/>
        <v>-3.1760050874568346E-2</v>
      </c>
      <c r="AB413">
        <f t="shared" ca="1" si="124"/>
        <v>137.54685000000001</v>
      </c>
    </row>
    <row r="414" spans="1:28" x14ac:dyDescent="0.25">
      <c r="A414" s="20">
        <f t="shared" ca="1" si="125"/>
        <v>45894</v>
      </c>
      <c r="B414" vm="1211">
        <f ca="1"/>
        <v>45894</v>
      </c>
      <c r="C414" vm="1212">
        <f ca="1"/>
        <v>148.19999999999999</v>
      </c>
      <c r="D414" vm="1213">
        <f ca="1"/>
        <v>6624298</v>
      </c>
      <c r="E414">
        <f t="shared" ca="1" si="126"/>
        <v>981720963.5999999</v>
      </c>
      <c r="F414">
        <f ca="1">SUM($E$2:E414)/SUM($D$2:D414)</f>
        <v>154.96516846186245</v>
      </c>
      <c r="G414">
        <f ca="1">_xlfn.STDEV.P($C$2:C414)</f>
        <v>15.083464415029015</v>
      </c>
      <c r="H414">
        <f t="shared" ca="1" si="127"/>
        <v>170.04863287689147</v>
      </c>
      <c r="I414">
        <f t="shared" ca="1" si="128"/>
        <v>139.88170404683342</v>
      </c>
      <c r="J414">
        <f t="shared" ca="1" si="137"/>
        <v>145.613</v>
      </c>
      <c r="K414">
        <f t="shared" ca="1" si="138"/>
        <v>4.4573972816337317</v>
      </c>
      <c r="L414">
        <f t="shared" ca="1" si="139"/>
        <v>154.52779456326746</v>
      </c>
      <c r="M414">
        <f t="shared" ca="1" si="140"/>
        <v>136.69820543673254</v>
      </c>
      <c r="N414">
        <f t="shared" ca="1" si="129"/>
        <v>-1.4399999999999977</v>
      </c>
      <c r="O414">
        <f t="shared" ca="1" si="130"/>
        <v>0</v>
      </c>
      <c r="P414">
        <f t="shared" ca="1" si="131"/>
        <v>1.4399999999999977</v>
      </c>
      <c r="Q414">
        <f t="shared" ca="1" si="135"/>
        <v>0.91743985289555952</v>
      </c>
      <c r="R414">
        <f t="shared" ca="1" si="136"/>
        <v>0.67367719168722495</v>
      </c>
      <c r="S414">
        <f t="shared" ca="1" si="133"/>
        <v>1.3618389700827347</v>
      </c>
      <c r="T414">
        <f t="shared" ca="1" si="134"/>
        <v>57.660110927673863</v>
      </c>
      <c r="U414">
        <f>70</f>
        <v>70</v>
      </c>
      <c r="V414">
        <f>30</f>
        <v>30</v>
      </c>
      <c r="W414">
        <f t="shared" ca="1" si="132"/>
        <v>148.12912872576354</v>
      </c>
      <c r="X414">
        <f t="shared" ca="1" si="142"/>
        <v>145.21529993117952</v>
      </c>
      <c r="Y414">
        <f t="shared" ca="1" si="141"/>
        <v>2.6079166778302749</v>
      </c>
      <c r="Z414">
        <f t="shared" ca="1" si="122"/>
        <v>2.8780544119329261</v>
      </c>
      <c r="AA414">
        <f t="shared" ca="1" si="123"/>
        <v>-0.27013773410265118</v>
      </c>
      <c r="AB414">
        <f t="shared" ca="1" si="124"/>
        <v>137.53215000000003</v>
      </c>
    </row>
    <row r="415" spans="1:28" x14ac:dyDescent="0.25">
      <c r="A415" s="20">
        <f t="shared" ca="1" si="125"/>
        <v>45894</v>
      </c>
      <c r="B415" vm="1214">
        <f ca="1"/>
        <v>45895</v>
      </c>
      <c r="C415" vm="1215">
        <f ca="1"/>
        <v>147</v>
      </c>
      <c r="D415" vm="1216">
        <f ca="1"/>
        <v>11208146</v>
      </c>
      <c r="E415">
        <f t="shared" ca="1" si="126"/>
        <v>1647597462</v>
      </c>
      <c r="F415">
        <f ca="1">SUM($E$2:E415)/SUM($D$2:D415)</f>
        <v>154.93308878444424</v>
      </c>
      <c r="G415">
        <f ca="1">_xlfn.STDEV.P($C$2:C415)</f>
        <v>15.075792893814604</v>
      </c>
      <c r="H415">
        <f t="shared" ca="1" si="127"/>
        <v>170.00888167825883</v>
      </c>
      <c r="I415">
        <f t="shared" ca="1" si="128"/>
        <v>139.85729589062964</v>
      </c>
      <c r="J415">
        <f t="shared" ca="1" si="137"/>
        <v>145.76849999999996</v>
      </c>
      <c r="K415">
        <f t="shared" ca="1" si="138"/>
        <v>4.4483637145406743</v>
      </c>
      <c r="L415">
        <f t="shared" ca="1" si="139"/>
        <v>154.66522742908131</v>
      </c>
      <c r="M415">
        <f t="shared" ca="1" si="140"/>
        <v>136.87177257091861</v>
      </c>
      <c r="N415">
        <f t="shared" ca="1" si="129"/>
        <v>-1.1999999999999886</v>
      </c>
      <c r="O415">
        <f t="shared" ca="1" si="130"/>
        <v>0</v>
      </c>
      <c r="P415">
        <f t="shared" ca="1" si="131"/>
        <v>1.1999999999999886</v>
      </c>
      <c r="Q415">
        <f t="shared" ca="1" si="135"/>
        <v>0.85190843483159095</v>
      </c>
      <c r="R415">
        <f t="shared" ca="1" si="136"/>
        <v>0.71127167799527946</v>
      </c>
      <c r="S415">
        <f t="shared" ca="1" si="133"/>
        <v>1.1977257933743355</v>
      </c>
      <c r="T415">
        <f t="shared" ca="1" si="134"/>
        <v>54.498418182341844</v>
      </c>
      <c r="U415">
        <f>70</f>
        <v>70</v>
      </c>
      <c r="V415">
        <f>30</f>
        <v>30</v>
      </c>
      <c r="W415">
        <f t="shared" ca="1" si="132"/>
        <v>147.95541661410761</v>
      </c>
      <c r="X415">
        <f t="shared" ca="1" si="142"/>
        <v>145.34749993627733</v>
      </c>
      <c r="Y415">
        <f t="shared" ca="1" si="141"/>
        <v>2.3895762253556256</v>
      </c>
      <c r="Z415">
        <f t="shared" ca="1" si="122"/>
        <v>2.7803587746174658</v>
      </c>
      <c r="AA415">
        <f t="shared" ca="1" si="123"/>
        <v>-0.3907825492618402</v>
      </c>
      <c r="AB415">
        <f t="shared" ca="1" si="124"/>
        <v>137.51095000000001</v>
      </c>
    </row>
    <row r="416" spans="1:28" x14ac:dyDescent="0.25">
      <c r="A416" s="20">
        <f t="shared" ca="1" si="125"/>
        <v>45894</v>
      </c>
      <c r="B416" vm="1217">
        <f ca="1"/>
        <v>45896</v>
      </c>
      <c r="C416" vm="1218">
        <f ca="1"/>
        <v>147.63999999999999</v>
      </c>
      <c r="D416" vm="1219">
        <f ca="1"/>
        <v>8092909</v>
      </c>
      <c r="E416">
        <f t="shared" ca="1" si="126"/>
        <v>1194837084.76</v>
      </c>
      <c r="F416">
        <f ca="1">SUM($E$2:E416)/SUM($D$2:D416)</f>
        <v>154.91194141871517</v>
      </c>
      <c r="G416">
        <f ca="1">_xlfn.STDEV.P($C$2:C416)</f>
        <v>15.066965936815302</v>
      </c>
      <c r="H416">
        <f t="shared" ca="1" si="127"/>
        <v>169.97890735553048</v>
      </c>
      <c r="I416">
        <f t="shared" ca="1" si="128"/>
        <v>139.84497548189987</v>
      </c>
      <c r="J416">
        <f t="shared" ca="1" si="137"/>
        <v>146.00749999999999</v>
      </c>
      <c r="K416">
        <f t="shared" ca="1" si="138"/>
        <v>4.412133837498585</v>
      </c>
      <c r="L416">
        <f t="shared" ca="1" si="139"/>
        <v>154.83176767499717</v>
      </c>
      <c r="M416">
        <f t="shared" ca="1" si="140"/>
        <v>137.18323232500282</v>
      </c>
      <c r="N416">
        <f t="shared" ca="1" si="129"/>
        <v>0.63999999999998636</v>
      </c>
      <c r="O416">
        <f t="shared" ca="1" si="130"/>
        <v>0.63999999999998636</v>
      </c>
      <c r="P416">
        <f t="shared" ca="1" si="131"/>
        <v>0</v>
      </c>
      <c r="Q416">
        <f t="shared" ca="1" si="135"/>
        <v>0.83677211805790486</v>
      </c>
      <c r="R416">
        <f t="shared" ca="1" si="136"/>
        <v>0.66046655813847377</v>
      </c>
      <c r="S416">
        <f t="shared" ca="1" si="133"/>
        <v>1.2669409340214721</v>
      </c>
      <c r="T416">
        <f t="shared" ca="1" si="134"/>
        <v>55.887690544012727</v>
      </c>
      <c r="U416">
        <f>70</f>
        <v>70</v>
      </c>
      <c r="V416">
        <f>30</f>
        <v>30</v>
      </c>
      <c r="W416">
        <f t="shared" ca="1" si="132"/>
        <v>147.90689098116798</v>
      </c>
      <c r="X416">
        <f t="shared" ca="1" si="142"/>
        <v>145.51731475581235</v>
      </c>
      <c r="Y416">
        <f t="shared" ca="1" si="141"/>
        <v>2.1386305577432267</v>
      </c>
      <c r="Z416">
        <f t="shared" ca="1" si="122"/>
        <v>2.6520131312426178</v>
      </c>
      <c r="AA416">
        <f t="shared" ca="1" si="123"/>
        <v>-0.51338257349939109</v>
      </c>
      <c r="AB416">
        <f t="shared" ca="1" si="124"/>
        <v>137.47364999999999</v>
      </c>
    </row>
    <row r="417" spans="1:28" x14ac:dyDescent="0.25">
      <c r="A417" s="20">
        <f t="shared" ca="1" si="125"/>
        <v>45894</v>
      </c>
      <c r="B417" vm="1220">
        <f ca="1"/>
        <v>45897</v>
      </c>
      <c r="C417" vm="1221">
        <f ca="1"/>
        <v>146.97999999999999</v>
      </c>
      <c r="D417" vm="1222">
        <f ca="1"/>
        <v>9265077</v>
      </c>
      <c r="E417">
        <f t="shared" ca="1" si="126"/>
        <v>1361781017.4599998</v>
      </c>
      <c r="F417">
        <f ca="1">SUM($E$2:E417)/SUM($D$2:D417)</f>
        <v>154.88569746023319</v>
      </c>
      <c r="G417">
        <f ca="1">_xlfn.STDEV.P($C$2:C417)</f>
        <v>15.05930094295638</v>
      </c>
      <c r="H417">
        <f t="shared" ca="1" si="127"/>
        <v>169.94499840318957</v>
      </c>
      <c r="I417">
        <f t="shared" ca="1" si="128"/>
        <v>139.82639651727681</v>
      </c>
      <c r="J417">
        <f t="shared" ca="1" si="137"/>
        <v>146.46049999999997</v>
      </c>
      <c r="K417">
        <f t="shared" ca="1" si="138"/>
        <v>3.9822335375224305</v>
      </c>
      <c r="L417">
        <f t="shared" ca="1" si="139"/>
        <v>154.42496707504483</v>
      </c>
      <c r="M417">
        <f t="shared" ca="1" si="140"/>
        <v>138.4960329249551</v>
      </c>
      <c r="N417">
        <f t="shared" ca="1" si="129"/>
        <v>-0.65999999999999659</v>
      </c>
      <c r="O417">
        <f t="shared" ca="1" si="130"/>
        <v>0</v>
      </c>
      <c r="P417">
        <f t="shared" ca="1" si="131"/>
        <v>0.65999999999999659</v>
      </c>
      <c r="Q417">
        <f t="shared" ca="1" si="135"/>
        <v>0.7770026810537688</v>
      </c>
      <c r="R417">
        <f t="shared" ca="1" si="136"/>
        <v>0.66043323255715403</v>
      </c>
      <c r="S417">
        <f t="shared" ca="1" si="133"/>
        <v>1.1765045166568397</v>
      </c>
      <c r="T417">
        <f t="shared" ca="1" si="134"/>
        <v>54.054770282028969</v>
      </c>
      <c r="U417">
        <f>70</f>
        <v>70</v>
      </c>
      <c r="V417">
        <f>30</f>
        <v>30</v>
      </c>
      <c r="W417">
        <f t="shared" ca="1" si="132"/>
        <v>147.7642923686806</v>
      </c>
      <c r="X417">
        <f t="shared" ca="1" si="142"/>
        <v>145.62566181093737</v>
      </c>
      <c r="Y417">
        <f t="shared" ca="1" si="141"/>
        <v>2.0508682192122194</v>
      </c>
      <c r="Z417">
        <f t="shared" ca="1" si="122"/>
        <v>2.5317841488365387</v>
      </c>
      <c r="AA417">
        <f t="shared" ca="1" si="123"/>
        <v>-0.48091592962431928</v>
      </c>
      <c r="AB417">
        <f t="shared" ca="1" si="124"/>
        <v>137.47735</v>
      </c>
    </row>
    <row r="418" spans="1:28" x14ac:dyDescent="0.25">
      <c r="A418" s="20">
        <f t="shared" ca="1" si="125"/>
        <v>45894</v>
      </c>
      <c r="B418" vm="1223">
        <f ca="1"/>
        <v>45898</v>
      </c>
      <c r="C418" vm="1224">
        <f ca="1"/>
        <v>148.65</v>
      </c>
      <c r="D418" vm="1225">
        <f ca="1"/>
        <v>7760710</v>
      </c>
      <c r="E418">
        <f t="shared" ca="1" si="126"/>
        <v>1153629541.5</v>
      </c>
      <c r="F418">
        <f ca="1">SUM($E$2:E418)/SUM($D$2:D418)</f>
        <v>154.86846348934873</v>
      </c>
      <c r="G418">
        <f ca="1">_xlfn.STDEV.P($C$2:C418)</f>
        <v>15.048806373434701</v>
      </c>
      <c r="H418">
        <f t="shared" ca="1" si="127"/>
        <v>169.91726986278343</v>
      </c>
      <c r="I418">
        <f t="shared" ca="1" si="128"/>
        <v>139.81965711591403</v>
      </c>
      <c r="J418">
        <f t="shared" ca="1" si="137"/>
        <v>146.929</v>
      </c>
      <c r="K418">
        <f t="shared" ca="1" si="138"/>
        <v>3.6284691566902736</v>
      </c>
      <c r="L418">
        <f t="shared" ca="1" si="139"/>
        <v>154.18593831338055</v>
      </c>
      <c r="M418">
        <f t="shared" ca="1" si="140"/>
        <v>139.67206168661946</v>
      </c>
      <c r="N418">
        <f t="shared" ca="1" si="129"/>
        <v>1.6700000000000159</v>
      </c>
      <c r="O418">
        <f t="shared" ca="1" si="130"/>
        <v>1.6700000000000159</v>
      </c>
      <c r="P418">
        <f t="shared" ca="1" si="131"/>
        <v>0</v>
      </c>
      <c r="Q418">
        <f t="shared" ca="1" si="135"/>
        <v>0.84078820383564357</v>
      </c>
      <c r="R418">
        <f t="shared" ca="1" si="136"/>
        <v>0.61325943023164309</v>
      </c>
      <c r="S418">
        <f t="shared" ca="1" si="133"/>
        <v>1.3710155317433232</v>
      </c>
      <c r="T418">
        <f t="shared" ca="1" si="134"/>
        <v>57.823979361926163</v>
      </c>
      <c r="U418">
        <f>70</f>
        <v>70</v>
      </c>
      <c r="V418">
        <f>30</f>
        <v>30</v>
      </c>
      <c r="W418">
        <f t="shared" ca="1" si="132"/>
        <v>147.90055508119127</v>
      </c>
      <c r="X418">
        <f t="shared" ca="1" si="142"/>
        <v>145.84968686197905</v>
      </c>
      <c r="Y418">
        <f t="shared" ca="1" si="141"/>
        <v>2.0887653247026208</v>
      </c>
      <c r="Z418">
        <f t="shared" ca="1" si="122"/>
        <v>2.4431803840097555</v>
      </c>
      <c r="AA418">
        <f t="shared" ca="1" si="123"/>
        <v>-0.35441505930713468</v>
      </c>
      <c r="AB418">
        <f t="shared" ca="1" si="124"/>
        <v>137.53194999999999</v>
      </c>
    </row>
    <row r="419" spans="1:28" x14ac:dyDescent="0.25">
      <c r="A419" s="20">
        <f t="shared" ca="1" si="125"/>
        <v>45901</v>
      </c>
      <c r="B419" vm="1226">
        <f ca="1"/>
        <v>45902</v>
      </c>
      <c r="C419" vm="1227">
        <f ca="1"/>
        <v>150.28</v>
      </c>
      <c r="D419" vm="1228">
        <f ca="1"/>
        <v>17348611</v>
      </c>
      <c r="E419">
        <f t="shared" ca="1" si="126"/>
        <v>2607149261.0799999</v>
      </c>
      <c r="F419">
        <f ca="1">SUM($E$2:E419)/SUM($D$2:D419)</f>
        <v>154.84028900738332</v>
      </c>
      <c r="G419">
        <f ca="1">_xlfn.STDEV.P($C$2:C419)</f>
        <v>15.036010609310463</v>
      </c>
      <c r="H419">
        <f t="shared" ca="1" si="127"/>
        <v>169.87629961669379</v>
      </c>
      <c r="I419">
        <f t="shared" ca="1" si="128"/>
        <v>139.80427839807285</v>
      </c>
      <c r="J419">
        <f t="shared" ca="1" si="137"/>
        <v>147.465</v>
      </c>
      <c r="K419">
        <f t="shared" ca="1" si="138"/>
        <v>3.2552071645611931</v>
      </c>
      <c r="L419">
        <f t="shared" ca="1" si="139"/>
        <v>153.9754143291224</v>
      </c>
      <c r="M419">
        <f t="shared" ca="1" si="140"/>
        <v>140.95458567087761</v>
      </c>
      <c r="N419">
        <f t="shared" ca="1" si="129"/>
        <v>1.6299999999999955</v>
      </c>
      <c r="O419">
        <f t="shared" ca="1" si="130"/>
        <v>1.6299999999999955</v>
      </c>
      <c r="P419">
        <f t="shared" ca="1" si="131"/>
        <v>0</v>
      </c>
      <c r="Q419">
        <f t="shared" ca="1" si="135"/>
        <v>0.89716047499024021</v>
      </c>
      <c r="R419">
        <f t="shared" ca="1" si="136"/>
        <v>0.56945518521509719</v>
      </c>
      <c r="S419">
        <f t="shared" ca="1" si="133"/>
        <v>1.5754716056389244</v>
      </c>
      <c r="T419">
        <f t="shared" ca="1" si="134"/>
        <v>61.172159778017836</v>
      </c>
      <c r="U419">
        <f>70</f>
        <v>70</v>
      </c>
      <c r="V419">
        <f>30</f>
        <v>30</v>
      </c>
      <c r="W419">
        <f t="shared" ca="1" si="132"/>
        <v>148.26662353023877</v>
      </c>
      <c r="X419">
        <f t="shared" ca="1" si="142"/>
        <v>146.17785820553615</v>
      </c>
      <c r="Y419">
        <f t="shared" ca="1" si="141"/>
        <v>1.9638269848480547</v>
      </c>
      <c r="Z419">
        <f t="shared" ca="1" si="122"/>
        <v>2.3473097041774151</v>
      </c>
      <c r="AA419">
        <f t="shared" ca="1" si="123"/>
        <v>-0.3834827193293604</v>
      </c>
      <c r="AB419">
        <f t="shared" ca="1" si="124"/>
        <v>137.63175000000001</v>
      </c>
    </row>
    <row r="420" spans="1:28" x14ac:dyDescent="0.25">
      <c r="A420" s="20">
        <f t="shared" ca="1" si="125"/>
        <v>45901</v>
      </c>
      <c r="B420" vm="1229">
        <f ca="1"/>
        <v>45903</v>
      </c>
      <c r="C420" vm="907">
        <f ca="1"/>
        <v>148.63999999999999</v>
      </c>
      <c r="D420" vm="1230">
        <f ca="1"/>
        <v>11259203</v>
      </c>
      <c r="E420">
        <f t="shared" ca="1" si="126"/>
        <v>1673567933.9199998</v>
      </c>
      <c r="F420">
        <f ca="1">SUM($E$2:E420)/SUM($D$2:D420)</f>
        <v>154.81567874208298</v>
      </c>
      <c r="G420">
        <f ca="1">_xlfn.STDEV.P($C$2:C420)</f>
        <v>15.025555078884691</v>
      </c>
      <c r="H420">
        <f t="shared" ca="1" si="127"/>
        <v>169.84123382096766</v>
      </c>
      <c r="I420">
        <f t="shared" ca="1" si="128"/>
        <v>139.7901236631983</v>
      </c>
      <c r="J420">
        <f t="shared" ca="1" si="137"/>
        <v>147.92450000000002</v>
      </c>
      <c r="K420">
        <f t="shared" ca="1" si="138"/>
        <v>2.6581423568864162</v>
      </c>
      <c r="L420">
        <f t="shared" ca="1" si="139"/>
        <v>153.24078471377285</v>
      </c>
      <c r="M420">
        <f t="shared" ca="1" si="140"/>
        <v>142.60821528622719</v>
      </c>
      <c r="N420">
        <f t="shared" ca="1" si="129"/>
        <v>-1.6400000000000148</v>
      </c>
      <c r="O420">
        <f t="shared" ca="1" si="130"/>
        <v>0</v>
      </c>
      <c r="P420">
        <f t="shared" ca="1" si="131"/>
        <v>1.6400000000000148</v>
      </c>
      <c r="Q420">
        <f t="shared" ca="1" si="135"/>
        <v>0.8330775839195087</v>
      </c>
      <c r="R420">
        <f t="shared" ca="1" si="136"/>
        <v>0.64592267198544839</v>
      </c>
      <c r="S420">
        <f t="shared" ca="1" si="133"/>
        <v>1.2897481696358177</v>
      </c>
      <c r="T420">
        <f t="shared" ca="1" si="134"/>
        <v>56.327075035546414</v>
      </c>
      <c r="U420">
        <f>70</f>
        <v>70</v>
      </c>
      <c r="V420">
        <f>30</f>
        <v>30</v>
      </c>
      <c r="W420">
        <f t="shared" ca="1" si="132"/>
        <v>148.3240660640482</v>
      </c>
      <c r="X420">
        <f t="shared" ca="1" si="142"/>
        <v>146.36023907920014</v>
      </c>
      <c r="Y420">
        <f t="shared" ca="1" si="141"/>
        <v>1.7039598868440748</v>
      </c>
      <c r="Z420">
        <f t="shared" ca="1" si="122"/>
        <v>2.218639740710747</v>
      </c>
      <c r="AA420">
        <f t="shared" ca="1" si="123"/>
        <v>-0.51467985386667214</v>
      </c>
      <c r="AB420">
        <f t="shared" ca="1" si="124"/>
        <v>137.66225</v>
      </c>
    </row>
    <row r="421" spans="1:28" x14ac:dyDescent="0.25">
      <c r="A421" s="20">
        <f t="shared" ca="1" si="125"/>
        <v>45901</v>
      </c>
      <c r="B421" vm="1231">
        <f ca="1"/>
        <v>45904</v>
      </c>
      <c r="C421" vm="1232">
        <f ca="1"/>
        <v>146.88999999999999</v>
      </c>
      <c r="D421" vm="1233">
        <f ca="1"/>
        <v>6342232</v>
      </c>
      <c r="E421">
        <f t="shared" ca="1" si="126"/>
        <v>931610458.4799999</v>
      </c>
      <c r="F421">
        <f ca="1">SUM($E$2:E421)/SUM($D$2:D421)</f>
        <v>154.79799780099071</v>
      </c>
      <c r="G421">
        <f ca="1">_xlfn.STDEV.P($C$2:C421)</f>
        <v>15.018034752526363</v>
      </c>
      <c r="H421">
        <f t="shared" ca="1" si="127"/>
        <v>169.81603255351709</v>
      </c>
      <c r="I421">
        <f t="shared" ca="1" si="128"/>
        <v>139.77996304846434</v>
      </c>
      <c r="J421">
        <f t="shared" ca="1" si="137"/>
        <v>148.22899999999998</v>
      </c>
      <c r="K421">
        <f t="shared" ca="1" si="138"/>
        <v>2.0863715670487539</v>
      </c>
      <c r="L421">
        <f t="shared" ca="1" si="139"/>
        <v>152.4017431340975</v>
      </c>
      <c r="M421">
        <f t="shared" ca="1" si="140"/>
        <v>144.05625686590247</v>
      </c>
      <c r="N421">
        <f t="shared" ca="1" si="129"/>
        <v>-1.75</v>
      </c>
      <c r="O421">
        <f t="shared" ca="1" si="130"/>
        <v>0</v>
      </c>
      <c r="P421">
        <f t="shared" ca="1" si="131"/>
        <v>1.75</v>
      </c>
      <c r="Q421">
        <f t="shared" ca="1" si="135"/>
        <v>0.77357204221097231</v>
      </c>
      <c r="R421">
        <f t="shared" ca="1" si="136"/>
        <v>0.72478533827220204</v>
      </c>
      <c r="S421">
        <f t="shared" ca="1" si="133"/>
        <v>1.0673119354967524</v>
      </c>
      <c r="T421">
        <f t="shared" ca="1" si="134"/>
        <v>51.628006261197775</v>
      </c>
      <c r="U421">
        <f>70</f>
        <v>70</v>
      </c>
      <c r="V421">
        <f>30</f>
        <v>30</v>
      </c>
      <c r="W421">
        <f t="shared" ca="1" si="132"/>
        <v>148.1034405157331</v>
      </c>
      <c r="X421">
        <f t="shared" ca="1" si="142"/>
        <v>146.39948062888902</v>
      </c>
      <c r="Y421">
        <f t="shared" ca="1" si="141"/>
        <v>1.4410559224609472</v>
      </c>
      <c r="Z421">
        <f t="shared" ca="1" si="122"/>
        <v>2.0631229770607873</v>
      </c>
      <c r="AA421">
        <f t="shared" ca="1" si="123"/>
        <v>-0.62206705459984013</v>
      </c>
      <c r="AB421">
        <f t="shared" ca="1" si="124"/>
        <v>137.68974999999998</v>
      </c>
    </row>
    <row r="422" spans="1:28" x14ac:dyDescent="0.25">
      <c r="A422" s="20">
        <f t="shared" ca="1" si="125"/>
        <v>45901</v>
      </c>
      <c r="B422" vm="1234">
        <f ca="1"/>
        <v>45905</v>
      </c>
      <c r="C422" vm="1235">
        <f ca="1"/>
        <v>146.38999999999999</v>
      </c>
      <c r="D422" vm="1236">
        <f ca="1"/>
        <v>7186260</v>
      </c>
      <c r="E422">
        <f t="shared" ca="1" si="126"/>
        <v>1051996601.3999999</v>
      </c>
      <c r="F422">
        <f ca="1">SUM($E$2:E422)/SUM($D$2:D422)</f>
        <v>154.77679828665467</v>
      </c>
      <c r="G422">
        <f ca="1">_xlfn.STDEV.P($C$2:C422)</f>
        <v>15.011418845139605</v>
      </c>
      <c r="H422">
        <f t="shared" ca="1" si="127"/>
        <v>169.78821713179428</v>
      </c>
      <c r="I422">
        <f t="shared" ca="1" si="128"/>
        <v>139.76537944151505</v>
      </c>
      <c r="J422">
        <f t="shared" ca="1" si="137"/>
        <v>148.35250000000002</v>
      </c>
      <c r="K422">
        <f t="shared" ca="1" si="138"/>
        <v>1.8808645128741921</v>
      </c>
      <c r="L422">
        <f t="shared" ca="1" si="139"/>
        <v>152.11422902574841</v>
      </c>
      <c r="M422">
        <f t="shared" ca="1" si="140"/>
        <v>144.59077097425163</v>
      </c>
      <c r="N422">
        <f t="shared" ca="1" si="129"/>
        <v>-0.5</v>
      </c>
      <c r="O422">
        <f t="shared" ca="1" si="130"/>
        <v>0</v>
      </c>
      <c r="P422">
        <f t="shared" ca="1" si="131"/>
        <v>0.5</v>
      </c>
      <c r="Q422">
        <f t="shared" ca="1" si="135"/>
        <v>0.71831689633876006</v>
      </c>
      <c r="R422">
        <f t="shared" ca="1" si="136"/>
        <v>0.70872924268133042</v>
      </c>
      <c r="S422">
        <f t="shared" ca="1" si="133"/>
        <v>1.0135279498573486</v>
      </c>
      <c r="T422">
        <f t="shared" ca="1" si="134"/>
        <v>50.335926547687279</v>
      </c>
      <c r="U422">
        <f>70</f>
        <v>70</v>
      </c>
      <c r="V422">
        <f>30</f>
        <v>30</v>
      </c>
      <c r="W422">
        <f t="shared" ca="1" si="132"/>
        <v>147.83983428254339</v>
      </c>
      <c r="X422">
        <f t="shared" ca="1" si="142"/>
        <v>146.39877836008245</v>
      </c>
      <c r="Y422">
        <f t="shared" ca="1" si="141"/>
        <v>0.84532140993900384</v>
      </c>
      <c r="Z422">
        <f t="shared" ref="Z422:Z485" ca="1" si="143">Y422*(2/(9+1)) + Z421*(1-(2/(9+1)))</f>
        <v>1.8195626636364306</v>
      </c>
      <c r="AA422">
        <f t="shared" ref="AA422:AA485" ca="1" si="144">Y422-Z422</f>
        <v>-0.97424125369742676</v>
      </c>
      <c r="AB422">
        <f t="shared" ref="AB422:AB485" ca="1" si="145">AVERAGE(C323:C422)</f>
        <v>137.70935</v>
      </c>
    </row>
    <row r="423" spans="1:28" x14ac:dyDescent="0.25">
      <c r="A423" s="20">
        <f t="shared" ca="1" si="125"/>
        <v>45908</v>
      </c>
      <c r="B423" vm="1237">
        <f ca="1"/>
        <v>45908</v>
      </c>
      <c r="C423" vm="1238">
        <f ca="1"/>
        <v>141.71</v>
      </c>
      <c r="D423" vm="1239">
        <f ca="1"/>
        <v>11127619</v>
      </c>
      <c r="E423">
        <f t="shared" ca="1" si="126"/>
        <v>1576894888.49</v>
      </c>
      <c r="F423">
        <f ca="1">SUM($E$2:E423)/SUM($D$2:D423)</f>
        <v>154.72598122412938</v>
      </c>
      <c r="G423">
        <f ca="1">_xlfn.STDEV.P($C$2:C423)</f>
        <v>15.015273035842567</v>
      </c>
      <c r="H423">
        <f t="shared" ca="1" si="127"/>
        <v>169.74125425997195</v>
      </c>
      <c r="I423">
        <f t="shared" ca="1" si="128"/>
        <v>139.71070818828682</v>
      </c>
      <c r="J423">
        <f t="shared" ca="1" si="137"/>
        <v>148.17750000000001</v>
      </c>
      <c r="K423">
        <f t="shared" ca="1" si="138"/>
        <v>2.3038911592530158</v>
      </c>
      <c r="L423">
        <f t="shared" ca="1" si="139"/>
        <v>152.78528231850603</v>
      </c>
      <c r="M423">
        <f t="shared" ca="1" si="140"/>
        <v>143.56971768149398</v>
      </c>
      <c r="N423">
        <f t="shared" ca="1" si="129"/>
        <v>-4.6799999999999784</v>
      </c>
      <c r="O423">
        <f t="shared" ca="1" si="130"/>
        <v>0</v>
      </c>
      <c r="P423">
        <f t="shared" ca="1" si="131"/>
        <v>4.6799999999999784</v>
      </c>
      <c r="Q423">
        <f t="shared" ca="1" si="135"/>
        <v>0.6670085466002772</v>
      </c>
      <c r="R423">
        <f t="shared" ca="1" si="136"/>
        <v>0.99239143963266241</v>
      </c>
      <c r="S423">
        <f t="shared" ca="1" si="133"/>
        <v>0.6721224306884116</v>
      </c>
      <c r="T423">
        <f t="shared" ca="1" si="134"/>
        <v>40.195766670727529</v>
      </c>
      <c r="U423">
        <f>70</f>
        <v>70</v>
      </c>
      <c r="V423">
        <f>30</f>
        <v>30</v>
      </c>
      <c r="W423">
        <f t="shared" ca="1" si="132"/>
        <v>146.89678285445979</v>
      </c>
      <c r="X423">
        <f t="shared" ca="1" si="142"/>
        <v>146.05146144452078</v>
      </c>
      <c r="Y423">
        <f t="shared" ca="1" si="141"/>
        <v>0.47982774445955556</v>
      </c>
      <c r="Z423">
        <f t="shared" ca="1" si="143"/>
        <v>1.5516156798010556</v>
      </c>
      <c r="AA423">
        <f t="shared" ca="1" si="144"/>
        <v>-1.0717879353415001</v>
      </c>
      <c r="AB423">
        <f t="shared" ca="1" si="145"/>
        <v>137.65894999999998</v>
      </c>
    </row>
    <row r="424" spans="1:28" x14ac:dyDescent="0.25">
      <c r="A424" s="20">
        <f t="shared" ca="1" si="125"/>
        <v>45908</v>
      </c>
      <c r="B424" vm="1240">
        <f ca="1"/>
        <v>45909</v>
      </c>
      <c r="C424" vm="1241">
        <f ca="1"/>
        <v>143.1</v>
      </c>
      <c r="D424" vm="1242">
        <f ca="1"/>
        <v>5866442</v>
      </c>
      <c r="E424">
        <f t="shared" ca="1" si="126"/>
        <v>839487850.19999993</v>
      </c>
      <c r="F424">
        <f ca="1">SUM($E$2:E424)/SUM($D$2:D424)</f>
        <v>154.70219349370714</v>
      </c>
      <c r="G424">
        <f ca="1">_xlfn.STDEV.P($C$2:C424)</f>
        <v>15.01554729029351</v>
      </c>
      <c r="H424">
        <f t="shared" ca="1" si="127"/>
        <v>169.71774078400065</v>
      </c>
      <c r="I424">
        <f t="shared" ca="1" si="128"/>
        <v>139.68664620341363</v>
      </c>
      <c r="J424">
        <f t="shared" ca="1" si="137"/>
        <v>148.089</v>
      </c>
      <c r="K424">
        <f t="shared" ca="1" si="138"/>
        <v>2.4659276038376348</v>
      </c>
      <c r="L424">
        <f t="shared" ca="1" si="139"/>
        <v>153.02085520767525</v>
      </c>
      <c r="M424">
        <f t="shared" ca="1" si="140"/>
        <v>143.15714479232474</v>
      </c>
      <c r="N424">
        <f t="shared" ca="1" si="129"/>
        <v>1.3899999999999864</v>
      </c>
      <c r="O424">
        <f t="shared" ca="1" si="130"/>
        <v>1.3899999999999864</v>
      </c>
      <c r="P424">
        <f t="shared" ca="1" si="131"/>
        <v>0</v>
      </c>
      <c r="Q424">
        <f t="shared" ca="1" si="135"/>
        <v>0.71865079327168502</v>
      </c>
      <c r="R424">
        <f t="shared" ca="1" si="136"/>
        <v>0.92150633680175797</v>
      </c>
      <c r="S424">
        <f t="shared" ca="1" si="133"/>
        <v>0.77986527555077145</v>
      </c>
      <c r="T424">
        <f t="shared" ca="1" si="134"/>
        <v>43.8159722684317</v>
      </c>
      <c r="U424">
        <f>70</f>
        <v>70</v>
      </c>
      <c r="V424">
        <f>30</f>
        <v>30</v>
      </c>
      <c r="W424">
        <f t="shared" ca="1" si="132"/>
        <v>146.31266241531213</v>
      </c>
      <c r="X424">
        <f t="shared" ca="1" si="142"/>
        <v>145.83283467085258</v>
      </c>
      <c r="Y424">
        <f t="shared" ca="1" si="141"/>
        <v>0.15290447099891935</v>
      </c>
      <c r="Z424">
        <f t="shared" ca="1" si="143"/>
        <v>1.2718734380406285</v>
      </c>
      <c r="AA424">
        <f t="shared" ca="1" si="144"/>
        <v>-1.1189689670417091</v>
      </c>
      <c r="AB424">
        <f t="shared" ca="1" si="145"/>
        <v>137.66154999999998</v>
      </c>
    </row>
    <row r="425" spans="1:28" x14ac:dyDescent="0.25">
      <c r="A425" s="20">
        <f t="shared" ca="1" si="125"/>
        <v>45908</v>
      </c>
      <c r="B425" vm="1243">
        <f ca="1"/>
        <v>45910</v>
      </c>
      <c r="C425" vm="1244">
        <f ca="1"/>
        <v>142.66</v>
      </c>
      <c r="D425" vm="1245">
        <f ca="1"/>
        <v>6015122</v>
      </c>
      <c r="E425">
        <f t="shared" ca="1" si="126"/>
        <v>858117304.51999998</v>
      </c>
      <c r="F425">
        <f ca="1">SUM($E$2:E425)/SUM($D$2:D425)</f>
        <v>154.67698258604867</v>
      </c>
      <c r="G425">
        <f ca="1">_xlfn.STDEV.P($C$2:C425)</f>
        <v>15.016792557875874</v>
      </c>
      <c r="H425">
        <f t="shared" ca="1" si="127"/>
        <v>169.69377514392454</v>
      </c>
      <c r="I425">
        <f t="shared" ca="1" si="128"/>
        <v>139.66019002817279</v>
      </c>
      <c r="J425">
        <f t="shared" ca="1" si="137"/>
        <v>147.87849999999997</v>
      </c>
      <c r="K425">
        <f t="shared" ca="1" si="138"/>
        <v>2.7399294554883395</v>
      </c>
      <c r="L425">
        <f t="shared" ca="1" si="139"/>
        <v>153.35835891097665</v>
      </c>
      <c r="M425">
        <f t="shared" ca="1" si="140"/>
        <v>142.3986410890233</v>
      </c>
      <c r="N425">
        <f t="shared" ca="1" si="129"/>
        <v>-0.43999999999999773</v>
      </c>
      <c r="O425">
        <f t="shared" ca="1" si="130"/>
        <v>0</v>
      </c>
      <c r="P425">
        <f t="shared" ca="1" si="131"/>
        <v>0.43999999999999773</v>
      </c>
      <c r="Q425">
        <f t="shared" ca="1" si="135"/>
        <v>0.66731859375227898</v>
      </c>
      <c r="R425">
        <f t="shared" ca="1" si="136"/>
        <v>0.88711302703020378</v>
      </c>
      <c r="S425">
        <f t="shared" ca="1" si="133"/>
        <v>0.75223626913277042</v>
      </c>
      <c r="T425">
        <f t="shared" ca="1" si="134"/>
        <v>42.930070697890116</v>
      </c>
      <c r="U425">
        <f>70</f>
        <v>70</v>
      </c>
      <c r="V425">
        <f>30</f>
        <v>30</v>
      </c>
      <c r="W425">
        <f t="shared" ca="1" si="132"/>
        <v>145.75071435141797</v>
      </c>
      <c r="X425">
        <f t="shared" ca="1" si="142"/>
        <v>145.59780988041905</v>
      </c>
      <c r="Y425">
        <f t="shared" ca="1" si="141"/>
        <v>2.0267667336014483E-2</v>
      </c>
      <c r="Z425">
        <f t="shared" ca="1" si="143"/>
        <v>1.0215522838997058</v>
      </c>
      <c r="AA425">
        <f t="shared" ca="1" si="144"/>
        <v>-1.0012846165636913</v>
      </c>
      <c r="AB425">
        <f t="shared" ca="1" si="145"/>
        <v>137.68724999999998</v>
      </c>
    </row>
    <row r="426" spans="1:28" x14ac:dyDescent="0.25">
      <c r="A426" s="20">
        <f t="shared" ca="1" si="125"/>
        <v>45908</v>
      </c>
      <c r="B426" vm="1246">
        <f ca="1"/>
        <v>45911</v>
      </c>
      <c r="C426" vm="1247">
        <f ca="1"/>
        <v>144.22999999999999</v>
      </c>
      <c r="D426" vm="1248">
        <f ca="1"/>
        <v>6144363</v>
      </c>
      <c r="E426">
        <f t="shared" ca="1" si="126"/>
        <v>886201475.48999989</v>
      </c>
      <c r="F426">
        <f ca="1">SUM($E$2:E426)/SUM($D$2:D426)</f>
        <v>154.65468907784444</v>
      </c>
      <c r="G426">
        <f ca="1">_xlfn.STDEV.P($C$2:C426)</f>
        <v>15.014327390866978</v>
      </c>
      <c r="H426">
        <f t="shared" ca="1" si="127"/>
        <v>169.66901646871142</v>
      </c>
      <c r="I426">
        <f t="shared" ca="1" si="128"/>
        <v>139.64036168697746</v>
      </c>
      <c r="J426">
        <f t="shared" ca="1" si="137"/>
        <v>147.6225</v>
      </c>
      <c r="K426">
        <f t="shared" ca="1" si="138"/>
        <v>2.8328205676359124</v>
      </c>
      <c r="L426">
        <f t="shared" ca="1" si="139"/>
        <v>153.28814113527181</v>
      </c>
      <c r="M426">
        <f t="shared" ca="1" si="140"/>
        <v>141.95685886472819</v>
      </c>
      <c r="N426">
        <f t="shared" ca="1" si="129"/>
        <v>1.5699999999999932</v>
      </c>
      <c r="O426">
        <f t="shared" ca="1" si="130"/>
        <v>1.5699999999999932</v>
      </c>
      <c r="P426">
        <f t="shared" ca="1" si="131"/>
        <v>0</v>
      </c>
      <c r="Q426">
        <f t="shared" ca="1" si="135"/>
        <v>0.73179583705568707</v>
      </c>
      <c r="R426">
        <f t="shared" ca="1" si="136"/>
        <v>0.82374781081376069</v>
      </c>
      <c r="S426">
        <f t="shared" ca="1" si="133"/>
        <v>0.88837363504828437</v>
      </c>
      <c r="T426">
        <f t="shared" ca="1" si="134"/>
        <v>47.044378218379926</v>
      </c>
      <c r="U426">
        <f>70</f>
        <v>70</v>
      </c>
      <c r="V426">
        <f>30</f>
        <v>30</v>
      </c>
      <c r="W426">
        <f t="shared" ca="1" si="132"/>
        <v>145.51675829735368</v>
      </c>
      <c r="X426">
        <f t="shared" ca="1" si="142"/>
        <v>145.49649063001766</v>
      </c>
      <c r="Y426">
        <f t="shared" ca="1" si="141"/>
        <v>-0.13972148273990115</v>
      </c>
      <c r="Z426">
        <f t="shared" ca="1" si="143"/>
        <v>0.78929753057178442</v>
      </c>
      <c r="AA426">
        <f t="shared" ca="1" si="144"/>
        <v>-0.92901901331168557</v>
      </c>
      <c r="AB426">
        <f t="shared" ca="1" si="145"/>
        <v>137.70114999999998</v>
      </c>
    </row>
    <row r="427" spans="1:28" x14ac:dyDescent="0.25">
      <c r="A427" s="20">
        <f t="shared" ca="1" si="125"/>
        <v>45908</v>
      </c>
      <c r="B427" vm="1249">
        <f ca="1"/>
        <v>45912</v>
      </c>
      <c r="C427" vm="1250">
        <f ca="1"/>
        <v>143.53</v>
      </c>
      <c r="D427" vm="1251">
        <f ca="1"/>
        <v>5714114</v>
      </c>
      <c r="E427">
        <f t="shared" ca="1" si="126"/>
        <v>820146782.41999996</v>
      </c>
      <c r="F427">
        <f ca="1">SUM($E$2:E427)/SUM($D$2:D427)</f>
        <v>154.63265542804533</v>
      </c>
      <c r="G427">
        <f ca="1">_xlfn.STDEV.P($C$2:C427)</f>
        <v>15.013359701024942</v>
      </c>
      <c r="H427">
        <f t="shared" ca="1" si="127"/>
        <v>169.64601512907026</v>
      </c>
      <c r="I427">
        <f t="shared" ca="1" si="128"/>
        <v>139.61929572702039</v>
      </c>
      <c r="J427">
        <f t="shared" ca="1" si="137"/>
        <v>147.36799999999999</v>
      </c>
      <c r="K427">
        <f t="shared" ca="1" si="138"/>
        <v>2.9640896356927278</v>
      </c>
      <c r="L427">
        <f t="shared" ca="1" si="139"/>
        <v>153.29617927138545</v>
      </c>
      <c r="M427">
        <f t="shared" ca="1" si="140"/>
        <v>141.43982072861454</v>
      </c>
      <c r="N427">
        <f t="shared" ca="1" si="129"/>
        <v>-0.69999999999998863</v>
      </c>
      <c r="O427">
        <f t="shared" ca="1" si="130"/>
        <v>0</v>
      </c>
      <c r="P427">
        <f t="shared" ca="1" si="131"/>
        <v>0.69999999999998863</v>
      </c>
      <c r="Q427">
        <f t="shared" ca="1" si="135"/>
        <v>0.67952470583742375</v>
      </c>
      <c r="R427">
        <f t="shared" ca="1" si="136"/>
        <v>0.81490868146991979</v>
      </c>
      <c r="S427">
        <f t="shared" ca="1" si="133"/>
        <v>0.83386607762198273</v>
      </c>
      <c r="T427">
        <f t="shared" ca="1" si="134"/>
        <v>45.470391093294907</v>
      </c>
      <c r="U427">
        <f>70</f>
        <v>70</v>
      </c>
      <c r="V427">
        <f>30</f>
        <v>30</v>
      </c>
      <c r="W427">
        <f t="shared" ca="1" si="132"/>
        <v>145.21110317468387</v>
      </c>
      <c r="X427">
        <f t="shared" ca="1" si="142"/>
        <v>145.35082465742377</v>
      </c>
      <c r="Y427">
        <f t="shared" ca="1" si="141"/>
        <v>-0.49401815037498409</v>
      </c>
      <c r="Z427">
        <f t="shared" ca="1" si="143"/>
        <v>0.53263439438243076</v>
      </c>
      <c r="AA427">
        <f t="shared" ca="1" si="144"/>
        <v>-1.0266525447574149</v>
      </c>
      <c r="AB427">
        <f t="shared" ca="1" si="145"/>
        <v>137.71914999999998</v>
      </c>
    </row>
    <row r="428" spans="1:28" x14ac:dyDescent="0.25">
      <c r="A428" s="20">
        <f t="shared" ca="1" si="125"/>
        <v>45915</v>
      </c>
      <c r="B428" vm="1252">
        <f ca="1"/>
        <v>45915</v>
      </c>
      <c r="C428" vm="1253">
        <f ca="1"/>
        <v>140.63999999999999</v>
      </c>
      <c r="D428" vm="1254">
        <f ca="1"/>
        <v>7279639</v>
      </c>
      <c r="E428">
        <f t="shared" ca="1" si="126"/>
        <v>1023808428.9599999</v>
      </c>
      <c r="F428">
        <f ca="1">SUM($E$2:E428)/SUM($D$2:D428)</f>
        <v>154.59743738730899</v>
      </c>
      <c r="G428">
        <f ca="1">_xlfn.STDEV.P($C$2:C428)</f>
        <v>15.01952431835058</v>
      </c>
      <c r="H428">
        <f t="shared" ca="1" si="127"/>
        <v>169.61696170565958</v>
      </c>
      <c r="I428">
        <f t="shared" ca="1" si="128"/>
        <v>139.5779130689584</v>
      </c>
      <c r="J428">
        <f t="shared" ca="1" si="137"/>
        <v>146.88</v>
      </c>
      <c r="K428">
        <f t="shared" ca="1" si="138"/>
        <v>3.2301279101282465</v>
      </c>
      <c r="L428">
        <f t="shared" ca="1" si="139"/>
        <v>153.34025582025649</v>
      </c>
      <c r="M428">
        <f t="shared" ca="1" si="140"/>
        <v>140.4197441797435</v>
      </c>
      <c r="N428">
        <f t="shared" ca="1" si="129"/>
        <v>-2.8900000000000148</v>
      </c>
      <c r="O428">
        <f t="shared" ca="1" si="130"/>
        <v>0</v>
      </c>
      <c r="P428">
        <f t="shared" ca="1" si="131"/>
        <v>2.8900000000000148</v>
      </c>
      <c r="Q428">
        <f t="shared" ca="1" si="135"/>
        <v>0.63098722684903641</v>
      </c>
      <c r="R428">
        <f t="shared" ca="1" si="136"/>
        <v>0.96312948993635517</v>
      </c>
      <c r="S428">
        <f t="shared" ca="1" si="133"/>
        <v>0.65514267130449189</v>
      </c>
      <c r="T428">
        <f t="shared" ca="1" si="134"/>
        <v>39.582247661353847</v>
      </c>
      <c r="U428">
        <f>70</f>
        <v>70</v>
      </c>
      <c r="V428">
        <f>30</f>
        <v>30</v>
      </c>
      <c r="W428">
        <f t="shared" ca="1" si="132"/>
        <v>144.50785653242482</v>
      </c>
      <c r="X428">
        <f t="shared" ca="1" si="142"/>
        <v>145.00187468279981</v>
      </c>
      <c r="Y428">
        <f t="shared" ca="1" si="141"/>
        <v>-0.81463214182267052</v>
      </c>
      <c r="Z428">
        <f t="shared" ca="1" si="143"/>
        <v>0.26318108714141053</v>
      </c>
      <c r="AA428">
        <f t="shared" ca="1" si="144"/>
        <v>-1.0778132289640809</v>
      </c>
      <c r="AB428">
        <f t="shared" ca="1" si="145"/>
        <v>137.69094999999996</v>
      </c>
    </row>
    <row r="429" spans="1:28" x14ac:dyDescent="0.25">
      <c r="A429" s="20">
        <f t="shared" ca="1" si="125"/>
        <v>45915</v>
      </c>
      <c r="B429" vm="1255">
        <f ca="1"/>
        <v>45916</v>
      </c>
      <c r="C429" vm="1256">
        <f ca="1"/>
        <v>140.03</v>
      </c>
      <c r="D429" vm="1257">
        <f ca="1"/>
        <v>9283480</v>
      </c>
      <c r="E429">
        <f t="shared" ca="1" si="126"/>
        <v>1299965704.4000001</v>
      </c>
      <c r="F429">
        <f ca="1">SUM($E$2:E429)/SUM($D$2:D429)</f>
        <v>154.55082971141081</v>
      </c>
      <c r="G429">
        <f ca="1">_xlfn.STDEV.P($C$2:C429)</f>
        <v>15.027225049437833</v>
      </c>
      <c r="H429">
        <f t="shared" ca="1" si="127"/>
        <v>169.57805476084866</v>
      </c>
      <c r="I429">
        <f t="shared" ca="1" si="128"/>
        <v>139.52360466197297</v>
      </c>
      <c r="J429">
        <f t="shared" ca="1" si="137"/>
        <v>146.404</v>
      </c>
      <c r="K429">
        <f t="shared" ca="1" si="138"/>
        <v>3.5056561815383271</v>
      </c>
      <c r="L429">
        <f t="shared" ca="1" si="139"/>
        <v>153.41531236307665</v>
      </c>
      <c r="M429">
        <f t="shared" ca="1" si="140"/>
        <v>139.39268763692334</v>
      </c>
      <c r="N429">
        <f t="shared" ca="1" si="129"/>
        <v>-0.60999999999998522</v>
      </c>
      <c r="O429">
        <f t="shared" ca="1" si="130"/>
        <v>0</v>
      </c>
      <c r="P429">
        <f t="shared" ca="1" si="131"/>
        <v>0.60999999999998522</v>
      </c>
      <c r="Q429">
        <f t="shared" ca="1" si="135"/>
        <v>0.58591671064553374</v>
      </c>
      <c r="R429">
        <f t="shared" ca="1" si="136"/>
        <v>0.93790595494090023</v>
      </c>
      <c r="S429">
        <f t="shared" ca="1" si="133"/>
        <v>0.62470731479943931</v>
      </c>
      <c r="T429">
        <f t="shared" ca="1" si="134"/>
        <v>38.450452528217724</v>
      </c>
      <c r="U429">
        <f>70</f>
        <v>70</v>
      </c>
      <c r="V429">
        <f>30</f>
        <v>30</v>
      </c>
      <c r="W429">
        <f t="shared" ca="1" si="132"/>
        <v>143.8189555274364</v>
      </c>
      <c r="X429">
        <f t="shared" ca="1" si="142"/>
        <v>144.63358766925907</v>
      </c>
      <c r="Y429">
        <f t="shared" ca="1" si="141"/>
        <v>-0.96081538706718561</v>
      </c>
      <c r="Z429">
        <f t="shared" ca="1" si="143"/>
        <v>1.8381792299691307E-2</v>
      </c>
      <c r="AA429">
        <f t="shared" ca="1" si="144"/>
        <v>-0.97919717936687689</v>
      </c>
      <c r="AB429">
        <f t="shared" ca="1" si="145"/>
        <v>137.66864999999999</v>
      </c>
    </row>
    <row r="430" spans="1:28" x14ac:dyDescent="0.25">
      <c r="A430" s="20">
        <f t="shared" ca="1" si="125"/>
        <v>45915</v>
      </c>
      <c r="B430" vm="1258">
        <f ca="1"/>
        <v>45917</v>
      </c>
      <c r="C430" vm="1259">
        <f ca="1"/>
        <v>141.22999999999999</v>
      </c>
      <c r="D430" vm="1260">
        <f ca="1"/>
        <v>6092884</v>
      </c>
      <c r="E430">
        <f t="shared" ca="1" si="126"/>
        <v>860498007.31999993</v>
      </c>
      <c r="F430">
        <f ca="1">SUM($E$2:E430)/SUM($D$2:D430)</f>
        <v>154.5229167012167</v>
      </c>
      <c r="G430">
        <f ca="1">_xlfn.STDEV.P($C$2:C430)</f>
        <v>15.03153932055498</v>
      </c>
      <c r="H430">
        <f t="shared" ca="1" si="127"/>
        <v>169.55445602177167</v>
      </c>
      <c r="I430">
        <f t="shared" ca="1" si="128"/>
        <v>139.49137738066173</v>
      </c>
      <c r="J430">
        <f t="shared" ca="1" si="137"/>
        <v>145.85749999999999</v>
      </c>
      <c r="K430">
        <f t="shared" ca="1" si="138"/>
        <v>3.4118090200762516</v>
      </c>
      <c r="L430">
        <f t="shared" ca="1" si="139"/>
        <v>152.68111804015248</v>
      </c>
      <c r="M430">
        <f t="shared" ca="1" si="140"/>
        <v>139.03388195984749</v>
      </c>
      <c r="N430">
        <f t="shared" ca="1" si="129"/>
        <v>1.1999999999999886</v>
      </c>
      <c r="O430">
        <f t="shared" ca="1" si="130"/>
        <v>1.1999999999999886</v>
      </c>
      <c r="P430">
        <f t="shared" ca="1" si="131"/>
        <v>0</v>
      </c>
      <c r="Q430">
        <f t="shared" ca="1" si="135"/>
        <v>0.62977980274228051</v>
      </c>
      <c r="R430">
        <f t="shared" ca="1" si="136"/>
        <v>0.87091267244512161</v>
      </c>
      <c r="S430">
        <f t="shared" ca="1" si="133"/>
        <v>0.72312623603713211</v>
      </c>
      <c r="T430">
        <f t="shared" ca="1" si="134"/>
        <v>41.965946598328578</v>
      </c>
      <c r="U430">
        <f>70</f>
        <v>70</v>
      </c>
      <c r="V430">
        <f>30</f>
        <v>30</v>
      </c>
      <c r="W430">
        <f t="shared" ca="1" si="132"/>
        <v>143.42065467706158</v>
      </c>
      <c r="X430">
        <f t="shared" ca="1" si="142"/>
        <v>144.38147006412876</v>
      </c>
      <c r="Y430">
        <f t="shared" ca="1" si="141"/>
        <v>-1.1042829964517296</v>
      </c>
      <c r="Z430">
        <f t="shared" ca="1" si="143"/>
        <v>-0.20615116545059289</v>
      </c>
      <c r="AA430">
        <f t="shared" ca="1" si="144"/>
        <v>-0.89813183100113669</v>
      </c>
      <c r="AB430">
        <f t="shared" ca="1" si="145"/>
        <v>137.72784999999996</v>
      </c>
    </row>
    <row r="431" spans="1:28" x14ac:dyDescent="0.25">
      <c r="A431" s="20">
        <f t="shared" ca="1" si="125"/>
        <v>45915</v>
      </c>
      <c r="B431" vm="1261">
        <f ca="1"/>
        <v>45918</v>
      </c>
      <c r="C431" vm="1262">
        <f ca="1"/>
        <v>140.72999999999999</v>
      </c>
      <c r="D431" vm="1263">
        <f ca="1"/>
        <v>6106557</v>
      </c>
      <c r="E431">
        <f t="shared" ca="1" si="126"/>
        <v>859375766.6099999</v>
      </c>
      <c r="F431">
        <f ca="1">SUM($E$2:E431)/SUM($D$2:D431)</f>
        <v>154.49401030891738</v>
      </c>
      <c r="G431">
        <f ca="1">_xlfn.STDEV.P($C$2:C431)</f>
        <v>15.037043177015768</v>
      </c>
      <c r="H431">
        <f t="shared" ca="1" si="127"/>
        <v>169.53105348593314</v>
      </c>
      <c r="I431">
        <f t="shared" ca="1" si="128"/>
        <v>139.45696713190162</v>
      </c>
      <c r="J431">
        <f t="shared" ca="1" si="137"/>
        <v>145.35749999999999</v>
      </c>
      <c r="K431">
        <f t="shared" ca="1" si="138"/>
        <v>3.3928591808462403</v>
      </c>
      <c r="L431">
        <f t="shared" ca="1" si="139"/>
        <v>152.14321836169248</v>
      </c>
      <c r="M431">
        <f t="shared" ca="1" si="140"/>
        <v>138.5717816383075</v>
      </c>
      <c r="N431">
        <f t="shared" ca="1" si="129"/>
        <v>-0.5</v>
      </c>
      <c r="O431">
        <f t="shared" ca="1" si="130"/>
        <v>0</v>
      </c>
      <c r="P431">
        <f t="shared" ca="1" si="131"/>
        <v>0.5</v>
      </c>
      <c r="Q431">
        <f t="shared" ca="1" si="135"/>
        <v>0.58479553111783189</v>
      </c>
      <c r="R431">
        <f t="shared" ca="1" si="136"/>
        <v>0.84441891012761283</v>
      </c>
      <c r="S431">
        <f t="shared" ca="1" si="133"/>
        <v>0.69254196478079189</v>
      </c>
      <c r="T431">
        <f t="shared" ca="1" si="134"/>
        <v>40.917269952032527</v>
      </c>
      <c r="U431">
        <f>70</f>
        <v>70</v>
      </c>
      <c r="V431">
        <f>30</f>
        <v>30</v>
      </c>
      <c r="W431">
        <f t="shared" ca="1" si="132"/>
        <v>143.0067078036675</v>
      </c>
      <c r="X431">
        <f t="shared" ca="1" si="142"/>
        <v>144.11099080011923</v>
      </c>
      <c r="Y431">
        <f t="shared" ca="1" si="141"/>
        <v>-1.121936730340451</v>
      </c>
      <c r="Z431">
        <f t="shared" ca="1" si="143"/>
        <v>-0.38930827842856452</v>
      </c>
      <c r="AA431">
        <f t="shared" ca="1" si="144"/>
        <v>-0.73262845191188652</v>
      </c>
      <c r="AB431">
        <f t="shared" ca="1" si="145"/>
        <v>137.80134999999996</v>
      </c>
    </row>
    <row r="432" spans="1:28" x14ac:dyDescent="0.25">
      <c r="A432" s="20">
        <f t="shared" ca="1" si="125"/>
        <v>45915</v>
      </c>
      <c r="B432" vm="1264">
        <f ca="1"/>
        <v>45919</v>
      </c>
      <c r="C432" vm="1265">
        <f ca="1"/>
        <v>141.76</v>
      </c>
      <c r="D432" vm="1266">
        <f ca="1"/>
        <v>12365531</v>
      </c>
      <c r="E432">
        <f t="shared" ca="1" si="126"/>
        <v>1752937674.5599999</v>
      </c>
      <c r="F432">
        <f ca="1">SUM($E$2:E432)/SUM($D$2:D432)</f>
        <v>154.44019817981422</v>
      </c>
      <c r="G432">
        <f ca="1">_xlfn.STDEV.P($C$2:C432)</f>
        <v>15.039765671763481</v>
      </c>
      <c r="H432">
        <f t="shared" ca="1" si="127"/>
        <v>169.47996385157771</v>
      </c>
      <c r="I432">
        <f t="shared" ca="1" si="128"/>
        <v>139.40043250805073</v>
      </c>
      <c r="J432">
        <f t="shared" ca="1" si="137"/>
        <v>144.99650000000003</v>
      </c>
      <c r="K432">
        <f t="shared" ca="1" si="138"/>
        <v>3.3711738936240931</v>
      </c>
      <c r="L432">
        <f t="shared" ca="1" si="139"/>
        <v>151.7388477872482</v>
      </c>
      <c r="M432">
        <f t="shared" ca="1" si="140"/>
        <v>138.25415221275185</v>
      </c>
      <c r="N432">
        <f t="shared" ca="1" si="129"/>
        <v>1.0300000000000011</v>
      </c>
      <c r="O432">
        <f t="shared" ca="1" si="130"/>
        <v>1.0300000000000011</v>
      </c>
      <c r="P432">
        <f t="shared" ca="1" si="131"/>
        <v>0</v>
      </c>
      <c r="Q432">
        <f t="shared" ca="1" si="135"/>
        <v>0.61659585032370123</v>
      </c>
      <c r="R432">
        <f t="shared" ca="1" si="136"/>
        <v>0.78410327368992616</v>
      </c>
      <c r="S432">
        <f t="shared" ca="1" si="133"/>
        <v>0.78637071290628768</v>
      </c>
      <c r="T432">
        <f t="shared" ca="1" si="134"/>
        <v>44.020577992287109</v>
      </c>
      <c r="U432">
        <f>70</f>
        <v>70</v>
      </c>
      <c r="V432">
        <f>30</f>
        <v>30</v>
      </c>
      <c r="W432">
        <f t="shared" ca="1" si="132"/>
        <v>142.81490660310328</v>
      </c>
      <c r="X432">
        <f t="shared" ca="1" si="142"/>
        <v>143.93684333344373</v>
      </c>
      <c r="Y432">
        <f t="shared" ca="1" si="141"/>
        <v>-1.1812160177992439</v>
      </c>
      <c r="Z432">
        <f t="shared" ca="1" si="143"/>
        <v>-0.54768982630270036</v>
      </c>
      <c r="AA432">
        <f t="shared" ca="1" si="144"/>
        <v>-0.63352619149654354</v>
      </c>
      <c r="AB432">
        <f t="shared" ca="1" si="145"/>
        <v>137.88134999999997</v>
      </c>
    </row>
    <row r="433" spans="1:28" x14ac:dyDescent="0.25">
      <c r="A433" s="20">
        <f t="shared" ca="1" si="125"/>
        <v>45922</v>
      </c>
      <c r="B433" vm="1267">
        <f ca="1"/>
        <v>45922</v>
      </c>
      <c r="C433" vm="1268">
        <f ca="1"/>
        <v>141.03</v>
      </c>
      <c r="D433" vm="1269">
        <f ca="1"/>
        <v>5797558</v>
      </c>
      <c r="E433">
        <f t="shared" ca="1" si="126"/>
        <v>817629604.74000001</v>
      </c>
      <c r="F433">
        <f ca="1">SUM($E$2:E433)/SUM($D$2:D433)</f>
        <v>154.4136812709886</v>
      </c>
      <c r="G433">
        <f ca="1">_xlfn.STDEV.P($C$2:C433)</f>
        <v>15.044232707559773</v>
      </c>
      <c r="H433">
        <f t="shared" ca="1" si="127"/>
        <v>169.45791397854839</v>
      </c>
      <c r="I433">
        <f t="shared" ca="1" si="128"/>
        <v>139.36944856342882</v>
      </c>
      <c r="J433">
        <f t="shared" ca="1" si="137"/>
        <v>144.566</v>
      </c>
      <c r="K433">
        <f t="shared" ca="1" si="138"/>
        <v>3.2958976095491153</v>
      </c>
      <c r="L433">
        <f t="shared" ca="1" si="139"/>
        <v>151.15779521909823</v>
      </c>
      <c r="M433">
        <f t="shared" ca="1" si="140"/>
        <v>137.97420478090177</v>
      </c>
      <c r="N433">
        <f t="shared" ca="1" si="129"/>
        <v>-0.72999999999998977</v>
      </c>
      <c r="O433">
        <f t="shared" ca="1" si="130"/>
        <v>0</v>
      </c>
      <c r="P433">
        <f t="shared" ca="1" si="131"/>
        <v>0.72999999999998977</v>
      </c>
      <c r="Q433">
        <f t="shared" ca="1" si="135"/>
        <v>0.57255328958629392</v>
      </c>
      <c r="R433">
        <f t="shared" ca="1" si="136"/>
        <v>0.78023875414064492</v>
      </c>
      <c r="S433">
        <f t="shared" ca="1" si="133"/>
        <v>0.73381806087920387</v>
      </c>
      <c r="T433">
        <f t="shared" ca="1" si="134"/>
        <v>42.32382148027061</v>
      </c>
      <c r="U433">
        <f>70</f>
        <v>70</v>
      </c>
      <c r="V433">
        <f>30</f>
        <v>30</v>
      </c>
      <c r="W433">
        <f t="shared" ca="1" si="132"/>
        <v>142.54030558724125</v>
      </c>
      <c r="X433">
        <f t="shared" ca="1" si="142"/>
        <v>143.72152160504049</v>
      </c>
      <c r="Y433">
        <f t="shared" ca="1" si="141"/>
        <v>-1.1447970433832211</v>
      </c>
      <c r="Z433">
        <f t="shared" ca="1" si="143"/>
        <v>-0.66711126971880452</v>
      </c>
      <c r="AA433">
        <f t="shared" ca="1" si="144"/>
        <v>-0.47768577366441656</v>
      </c>
      <c r="AB433">
        <f t="shared" ca="1" si="145"/>
        <v>137.94854999999995</v>
      </c>
    </row>
    <row r="434" spans="1:28" x14ac:dyDescent="0.25">
      <c r="A434" s="20">
        <f t="shared" ca="1" si="125"/>
        <v>45922</v>
      </c>
      <c r="B434" vm="1270">
        <f ca="1"/>
        <v>45923</v>
      </c>
      <c r="C434" vm="1271">
        <f ca="1"/>
        <v>141.9</v>
      </c>
      <c r="D434" vm="1272">
        <f ca="1"/>
        <v>6356489</v>
      </c>
      <c r="E434">
        <f t="shared" ca="1" si="126"/>
        <v>901985789.10000002</v>
      </c>
      <c r="F434">
        <f ca="1">SUM($E$2:E434)/SUM($D$2:D434)</f>
        <v>154.38661026134915</v>
      </c>
      <c r="G434">
        <f ca="1">_xlfn.STDEV.P($C$2:C434)</f>
        <v>15.046391581362993</v>
      </c>
      <c r="H434">
        <f t="shared" ca="1" si="127"/>
        <v>169.43300184271214</v>
      </c>
      <c r="I434">
        <f t="shared" ca="1" si="128"/>
        <v>139.34021867998615</v>
      </c>
      <c r="J434">
        <f t="shared" ca="1" si="137"/>
        <v>144.25100000000003</v>
      </c>
      <c r="K434">
        <f t="shared" ca="1" si="138"/>
        <v>3.2307159056713557</v>
      </c>
      <c r="L434">
        <f t="shared" ca="1" si="139"/>
        <v>150.71243181134275</v>
      </c>
      <c r="M434">
        <f t="shared" ca="1" si="140"/>
        <v>137.78956818865731</v>
      </c>
      <c r="N434">
        <f t="shared" ca="1" si="129"/>
        <v>0.87000000000000455</v>
      </c>
      <c r="O434">
        <f t="shared" ca="1" si="130"/>
        <v>0.87000000000000455</v>
      </c>
      <c r="P434">
        <f t="shared" ca="1" si="131"/>
        <v>0</v>
      </c>
      <c r="Q434">
        <f t="shared" ca="1" si="135"/>
        <v>0.59379948318727316</v>
      </c>
      <c r="R434">
        <f t="shared" ca="1" si="136"/>
        <v>0.72450741455917023</v>
      </c>
      <c r="S434">
        <f t="shared" ca="1" si="133"/>
        <v>0.81959062289041318</v>
      </c>
      <c r="T434">
        <f t="shared" ca="1" si="134"/>
        <v>45.042583347044101</v>
      </c>
      <c r="U434">
        <f>70</f>
        <v>70</v>
      </c>
      <c r="V434">
        <f>30</f>
        <v>30</v>
      </c>
      <c r="W434">
        <f t="shared" ca="1" si="132"/>
        <v>142.44179703535798</v>
      </c>
      <c r="X434">
        <f t="shared" ca="1" si="142"/>
        <v>143.5865940787412</v>
      </c>
      <c r="Y434">
        <f t="shared" ca="1" si="141"/>
        <v>-1.0816790771782507</v>
      </c>
      <c r="Z434">
        <f t="shared" ca="1" si="143"/>
        <v>-0.75002483121069385</v>
      </c>
      <c r="AA434">
        <f t="shared" ca="1" si="144"/>
        <v>-0.33165424596755688</v>
      </c>
      <c r="AB434">
        <f t="shared" ca="1" si="145"/>
        <v>138.01174999999998</v>
      </c>
    </row>
    <row r="435" spans="1:28" x14ac:dyDescent="0.25">
      <c r="A435" s="20">
        <f t="shared" ca="1" si="125"/>
        <v>45922</v>
      </c>
      <c r="B435" vm="1273">
        <f ca="1"/>
        <v>45924</v>
      </c>
      <c r="C435" vm="1274">
        <f ca="1"/>
        <v>142.16999999999999</v>
      </c>
      <c r="D435" vm="1275">
        <f ca="1"/>
        <v>5949145</v>
      </c>
      <c r="E435">
        <f t="shared" ca="1" si="126"/>
        <v>845789944.64999998</v>
      </c>
      <c r="F435">
        <f ca="1">SUM($E$2:E435)/SUM($D$2:D435)</f>
        <v>154.36192550078249</v>
      </c>
      <c r="G435">
        <f ca="1">_xlfn.STDEV.P($C$2:C435)</f>
        <v>15.047798798222857</v>
      </c>
      <c r="H435">
        <f t="shared" ca="1" si="127"/>
        <v>169.40972429900535</v>
      </c>
      <c r="I435">
        <f t="shared" ca="1" si="128"/>
        <v>139.31412670255963</v>
      </c>
      <c r="J435">
        <f t="shared" ca="1" si="137"/>
        <v>144.00949999999997</v>
      </c>
      <c r="K435">
        <f t="shared" ca="1" si="138"/>
        <v>3.194733289254938</v>
      </c>
      <c r="L435">
        <f t="shared" ca="1" si="139"/>
        <v>150.39896657850986</v>
      </c>
      <c r="M435">
        <f t="shared" ca="1" si="140"/>
        <v>137.62003342149009</v>
      </c>
      <c r="N435">
        <f t="shared" ca="1" si="129"/>
        <v>0.26999999999998181</v>
      </c>
      <c r="O435">
        <f t="shared" ca="1" si="130"/>
        <v>0.26999999999998181</v>
      </c>
      <c r="P435">
        <f t="shared" ca="1" si="131"/>
        <v>0</v>
      </c>
      <c r="Q435">
        <f t="shared" ca="1" si="135"/>
        <v>0.57067094867389523</v>
      </c>
      <c r="R435">
        <f t="shared" ca="1" si="136"/>
        <v>0.67275688494780095</v>
      </c>
      <c r="S435">
        <f t="shared" ca="1" si="133"/>
        <v>0.84825731470317611</v>
      </c>
      <c r="T435">
        <f t="shared" ca="1" si="134"/>
        <v>45.894979446593098</v>
      </c>
      <c r="U435">
        <f>70</f>
        <v>70</v>
      </c>
      <c r="V435">
        <f>30</f>
        <v>30</v>
      </c>
      <c r="W435">
        <f t="shared" ca="1" si="132"/>
        <v>142.39998210684138</v>
      </c>
      <c r="X435">
        <f t="shared" ca="1" si="142"/>
        <v>143.48166118401963</v>
      </c>
      <c r="Y435">
        <f t="shared" ca="1" si="141"/>
        <v>-1.1993880315512513</v>
      </c>
      <c r="Z435">
        <f t="shared" ca="1" si="143"/>
        <v>-0.83989747127880532</v>
      </c>
      <c r="AA435">
        <f t="shared" ca="1" si="144"/>
        <v>-0.35949056027244597</v>
      </c>
      <c r="AB435">
        <f t="shared" ca="1" si="145"/>
        <v>138.09794999999997</v>
      </c>
    </row>
    <row r="436" spans="1:28" x14ac:dyDescent="0.25">
      <c r="A436" s="20">
        <f t="shared" ca="1" si="125"/>
        <v>45922</v>
      </c>
      <c r="B436" vm="1276">
        <f ca="1"/>
        <v>45925</v>
      </c>
      <c r="C436" vm="1277">
        <f ca="1"/>
        <v>139.91999999999999</v>
      </c>
      <c r="D436" vm="1278">
        <f ca="1"/>
        <v>7101666</v>
      </c>
      <c r="E436">
        <f t="shared" ca="1" si="126"/>
        <v>993665106.71999991</v>
      </c>
      <c r="F436">
        <f ca="1">SUM($E$2:E436)/SUM($D$2:D436)</f>
        <v>154.32717486806933</v>
      </c>
      <c r="G436">
        <f ca="1">_xlfn.STDEV.P($C$2:C436)</f>
        <v>15.054856895325305</v>
      </c>
      <c r="H436">
        <f t="shared" ca="1" si="127"/>
        <v>169.38203176339465</v>
      </c>
      <c r="I436">
        <f t="shared" ca="1" si="128"/>
        <v>139.27231797274402</v>
      </c>
      <c r="J436">
        <f t="shared" ca="1" si="137"/>
        <v>143.62350000000001</v>
      </c>
      <c r="K436">
        <f t="shared" ca="1" si="138"/>
        <v>3.1993721012263112</v>
      </c>
      <c r="L436">
        <f t="shared" ca="1" si="139"/>
        <v>150.02224420245264</v>
      </c>
      <c r="M436">
        <f t="shared" ca="1" si="140"/>
        <v>137.22475579754737</v>
      </c>
      <c r="N436">
        <f t="shared" ca="1" si="129"/>
        <v>-2.25</v>
      </c>
      <c r="O436">
        <f t="shared" ca="1" si="130"/>
        <v>0</v>
      </c>
      <c r="P436">
        <f t="shared" ca="1" si="131"/>
        <v>2.25</v>
      </c>
      <c r="Q436">
        <f t="shared" ca="1" si="135"/>
        <v>0.52990873805433125</v>
      </c>
      <c r="R436">
        <f t="shared" ca="1" si="136"/>
        <v>0.78541710745152948</v>
      </c>
      <c r="S436">
        <f t="shared" ca="1" si="133"/>
        <v>0.67468448678657478</v>
      </c>
      <c r="T436">
        <f t="shared" ca="1" si="134"/>
        <v>40.287259606803644</v>
      </c>
      <c r="U436">
        <f>70</f>
        <v>70</v>
      </c>
      <c r="V436">
        <f>30</f>
        <v>30</v>
      </c>
      <c r="W436">
        <f t="shared" ca="1" si="132"/>
        <v>142.01844639809656</v>
      </c>
      <c r="X436">
        <f t="shared" ca="1" si="142"/>
        <v>143.21783442964781</v>
      </c>
      <c r="Y436">
        <f t="shared" ca="1" si="141"/>
        <v>-1.2364604256434575</v>
      </c>
      <c r="Z436">
        <f t="shared" ca="1" si="143"/>
        <v>-0.91921006215173584</v>
      </c>
      <c r="AA436">
        <f t="shared" ca="1" si="144"/>
        <v>-0.31725036349172164</v>
      </c>
      <c r="AB436">
        <f t="shared" ca="1" si="145"/>
        <v>138.15964999999997</v>
      </c>
    </row>
    <row r="437" spans="1:28" x14ac:dyDescent="0.25">
      <c r="A437" s="20">
        <f t="shared" ca="1" si="125"/>
        <v>45922</v>
      </c>
      <c r="B437" vm="1279">
        <f ca="1"/>
        <v>45926</v>
      </c>
      <c r="C437" vm="1280">
        <f ca="1"/>
        <v>140.44</v>
      </c>
      <c r="D437" vm="1281">
        <f ca="1"/>
        <v>6224693</v>
      </c>
      <c r="E437">
        <f t="shared" ca="1" si="126"/>
        <v>874195884.91999996</v>
      </c>
      <c r="F437">
        <f ca="1">SUM($E$2:E437)/SUM($D$2:D437)</f>
        <v>154.29794719693089</v>
      </c>
      <c r="G437">
        <f ca="1">_xlfn.STDEV.P($C$2:C437)</f>
        <v>15.060379336838754</v>
      </c>
      <c r="H437">
        <f t="shared" ca="1" si="127"/>
        <v>169.35832653376966</v>
      </c>
      <c r="I437">
        <f t="shared" ca="1" si="128"/>
        <v>139.23756786009213</v>
      </c>
      <c r="J437">
        <f t="shared" ca="1" si="137"/>
        <v>143.29650000000004</v>
      </c>
      <c r="K437">
        <f t="shared" ca="1" si="138"/>
        <v>3.1723613569307276</v>
      </c>
      <c r="L437">
        <f t="shared" ca="1" si="139"/>
        <v>149.64122271386148</v>
      </c>
      <c r="M437">
        <f t="shared" ca="1" si="140"/>
        <v>136.95177728613859</v>
      </c>
      <c r="N437">
        <f t="shared" ca="1" si="129"/>
        <v>0.52000000000001023</v>
      </c>
      <c r="O437">
        <f t="shared" ca="1" si="130"/>
        <v>0.52000000000001023</v>
      </c>
      <c r="P437">
        <f t="shared" ca="1" si="131"/>
        <v>0</v>
      </c>
      <c r="Q437">
        <f t="shared" ca="1" si="135"/>
        <v>0.52920097105045116</v>
      </c>
      <c r="R437">
        <f t="shared" ca="1" si="136"/>
        <v>0.72931588549070603</v>
      </c>
      <c r="S437">
        <f t="shared" ca="1" si="133"/>
        <v>0.72561284016786298</v>
      </c>
      <c r="T437">
        <f t="shared" ca="1" si="134"/>
        <v>42.049573535699778</v>
      </c>
      <c r="U437">
        <f>70</f>
        <v>70</v>
      </c>
      <c r="V437">
        <f>30</f>
        <v>30</v>
      </c>
      <c r="W437">
        <f t="shared" ca="1" si="132"/>
        <v>141.7756084906971</v>
      </c>
      <c r="X437">
        <f t="shared" ca="1" si="142"/>
        <v>143.01206891634055</v>
      </c>
      <c r="Y437">
        <f t="shared" ca="1" si="141"/>
        <v>-1.2729534930873001</v>
      </c>
      <c r="Z437">
        <f t="shared" ca="1" si="143"/>
        <v>-0.98995874833884878</v>
      </c>
      <c r="AA437">
        <f t="shared" ca="1" si="144"/>
        <v>-0.28299474474845132</v>
      </c>
      <c r="AB437">
        <f t="shared" ca="1" si="145"/>
        <v>138.24414999999996</v>
      </c>
    </row>
    <row r="438" spans="1:28" x14ac:dyDescent="0.25">
      <c r="A438" s="20">
        <f t="shared" ca="1" si="125"/>
        <v>45929</v>
      </c>
      <c r="B438" vm="1282">
        <f ca="1"/>
        <v>45929</v>
      </c>
      <c r="C438" vm="1283">
        <f ca="1"/>
        <v>140.16999999999999</v>
      </c>
      <c r="D438" vm="1284">
        <f ca="1"/>
        <v>11930247</v>
      </c>
      <c r="E438">
        <f t="shared" ca="1" si="126"/>
        <v>1672262721.9899998</v>
      </c>
      <c r="F438">
        <f ca="1">SUM($E$2:E438)/SUM($D$2:D438)</f>
        <v>154.24118717608616</v>
      </c>
      <c r="G438">
        <f ca="1">_xlfn.STDEV.P($C$2:C438)</f>
        <v>15.066482906395336</v>
      </c>
      <c r="H438">
        <f t="shared" ca="1" si="127"/>
        <v>169.30767008248148</v>
      </c>
      <c r="I438">
        <f t="shared" ca="1" si="128"/>
        <v>139.17470426969084</v>
      </c>
      <c r="J438">
        <f t="shared" ca="1" si="137"/>
        <v>142.8725</v>
      </c>
      <c r="K438">
        <f t="shared" ca="1" si="138"/>
        <v>2.9800492313135747</v>
      </c>
      <c r="L438">
        <f t="shared" ca="1" si="139"/>
        <v>148.83259846262715</v>
      </c>
      <c r="M438">
        <f t="shared" ca="1" si="140"/>
        <v>136.91240153737286</v>
      </c>
      <c r="N438">
        <f t="shared" ca="1" si="129"/>
        <v>-0.27000000000001023</v>
      </c>
      <c r="O438">
        <f t="shared" ca="1" si="130"/>
        <v>0</v>
      </c>
      <c r="P438">
        <f t="shared" ca="1" si="131"/>
        <v>0.27000000000001023</v>
      </c>
      <c r="Q438">
        <f t="shared" ca="1" si="135"/>
        <v>0.49140090168970468</v>
      </c>
      <c r="R438">
        <f t="shared" ca="1" si="136"/>
        <v>0.69650760795565625</v>
      </c>
      <c r="S438">
        <f t="shared" ca="1" si="133"/>
        <v>0.70552122629648306</v>
      </c>
      <c r="T438">
        <f t="shared" ca="1" si="134"/>
        <v>41.366898014427711</v>
      </c>
      <c r="U438">
        <f>70</f>
        <v>70</v>
      </c>
      <c r="V438">
        <f>30</f>
        <v>30</v>
      </c>
      <c r="W438">
        <f t="shared" ca="1" si="132"/>
        <v>141.52859179982062</v>
      </c>
      <c r="X438">
        <f t="shared" ca="1" si="142"/>
        <v>142.80154529290792</v>
      </c>
      <c r="Y438">
        <f t="shared" ca="1" si="141"/>
        <v>-1.2654998736419998</v>
      </c>
      <c r="Z438">
        <f t="shared" ca="1" si="143"/>
        <v>-1.0450669733994791</v>
      </c>
      <c r="AA438">
        <f t="shared" ca="1" si="144"/>
        <v>-0.22043290024252071</v>
      </c>
      <c r="AB438">
        <f t="shared" ca="1" si="145"/>
        <v>138.33844999999997</v>
      </c>
    </row>
    <row r="439" spans="1:28" x14ac:dyDescent="0.25">
      <c r="A439" s="20">
        <f t="shared" ca="1" si="125"/>
        <v>45929</v>
      </c>
      <c r="B439" vm="1285">
        <f ca="1"/>
        <v>45930</v>
      </c>
      <c r="C439" vm="1280">
        <f ca="1"/>
        <v>140.44</v>
      </c>
      <c r="D439" vm="1286">
        <f ca="1"/>
        <v>7583411</v>
      </c>
      <c r="E439">
        <f t="shared" ca="1" si="126"/>
        <v>1065014240.84</v>
      </c>
      <c r="F439">
        <f ca="1">SUM($E$2:E439)/SUM($D$2:D439)</f>
        <v>154.20603215023345</v>
      </c>
      <c r="G439">
        <f ca="1">_xlfn.STDEV.P($C$2:C439)</f>
        <v>15.071741071600336</v>
      </c>
      <c r="H439">
        <f t="shared" ca="1" si="127"/>
        <v>169.2777732218338</v>
      </c>
      <c r="I439">
        <f t="shared" ca="1" si="128"/>
        <v>139.13429107863311</v>
      </c>
      <c r="J439">
        <f t="shared" ca="1" si="137"/>
        <v>142.38050000000001</v>
      </c>
      <c r="K439">
        <f t="shared" ca="1" si="138"/>
        <v>2.4595452617784517</v>
      </c>
      <c r="L439">
        <f t="shared" ca="1" si="139"/>
        <v>147.2995905235569</v>
      </c>
      <c r="M439">
        <f t="shared" ca="1" si="140"/>
        <v>137.46140947644312</v>
      </c>
      <c r="N439">
        <f t="shared" ca="1" si="129"/>
        <v>0.27000000000001023</v>
      </c>
      <c r="O439">
        <f t="shared" ca="1" si="130"/>
        <v>0.27000000000001023</v>
      </c>
      <c r="P439">
        <f t="shared" ca="1" si="131"/>
        <v>0</v>
      </c>
      <c r="Q439">
        <f t="shared" ca="1" si="135"/>
        <v>0.47558655156901219</v>
      </c>
      <c r="R439">
        <f t="shared" ca="1" si="136"/>
        <v>0.64675706453025228</v>
      </c>
      <c r="S439">
        <f t="shared" ca="1" si="133"/>
        <v>0.73534032738310584</v>
      </c>
      <c r="T439">
        <f t="shared" ca="1" si="134"/>
        <v>42.374415887170642</v>
      </c>
      <c r="U439">
        <f>70</f>
        <v>70</v>
      </c>
      <c r="V439">
        <f>30</f>
        <v>30</v>
      </c>
      <c r="W439">
        <f t="shared" ca="1" si="132"/>
        <v>141.36111613830977</v>
      </c>
      <c r="X439">
        <f t="shared" ca="1" si="142"/>
        <v>142.62661601195177</v>
      </c>
      <c r="Y439">
        <f t="shared" ca="1" si="141"/>
        <v>-1.0298538769410754</v>
      </c>
      <c r="Z439">
        <f t="shared" ca="1" si="143"/>
        <v>-1.0420243541077985</v>
      </c>
      <c r="AA439">
        <f t="shared" ca="1" si="144"/>
        <v>1.2170477166723037E-2</v>
      </c>
      <c r="AB439">
        <f t="shared" ca="1" si="145"/>
        <v>138.42369999999997</v>
      </c>
    </row>
    <row r="440" spans="1:28" x14ac:dyDescent="0.25">
      <c r="A440" s="20">
        <f t="shared" ca="1" si="125"/>
        <v>45929</v>
      </c>
      <c r="B440" vm="1287">
        <f ca="1"/>
        <v>45931</v>
      </c>
      <c r="C440" vm="1288">
        <f ca="1"/>
        <v>143.13999999999999</v>
      </c>
      <c r="D440" vm="1289">
        <f ca="1"/>
        <v>5880796</v>
      </c>
      <c r="E440">
        <f t="shared" ca="1" si="126"/>
        <v>841777139.43999994</v>
      </c>
      <c r="F440">
        <f ca="1">SUM($E$2:E440)/SUM($D$2:D440)</f>
        <v>154.18421603649412</v>
      </c>
      <c r="G440">
        <f ca="1">_xlfn.STDEV.P($C$2:C440)</f>
        <v>15.07042033932454</v>
      </c>
      <c r="H440">
        <f t="shared" ca="1" si="127"/>
        <v>169.25463637581865</v>
      </c>
      <c r="I440">
        <f t="shared" ca="1" si="128"/>
        <v>139.11379569716959</v>
      </c>
      <c r="J440">
        <f t="shared" ca="1" si="137"/>
        <v>142.10550000000001</v>
      </c>
      <c r="K440">
        <f t="shared" ca="1" si="138"/>
        <v>1.9844248139209646</v>
      </c>
      <c r="L440">
        <f t="shared" ca="1" si="139"/>
        <v>146.07434962784194</v>
      </c>
      <c r="M440">
        <f t="shared" ca="1" si="140"/>
        <v>138.13665037215807</v>
      </c>
      <c r="N440">
        <f t="shared" ca="1" si="129"/>
        <v>2.6999999999999886</v>
      </c>
      <c r="O440">
        <f t="shared" ca="1" si="130"/>
        <v>2.6999999999999886</v>
      </c>
      <c r="P440">
        <f t="shared" ca="1" si="131"/>
        <v>0</v>
      </c>
      <c r="Q440">
        <f t="shared" ca="1" si="135"/>
        <v>0.63447322645693915</v>
      </c>
      <c r="R440">
        <f t="shared" ca="1" si="136"/>
        <v>0.60056013134952002</v>
      </c>
      <c r="S440">
        <f t="shared" ca="1" si="133"/>
        <v>1.0564691083159532</v>
      </c>
      <c r="T440">
        <f t="shared" ca="1" si="134"/>
        <v>51.372962717689354</v>
      </c>
      <c r="U440">
        <f>70</f>
        <v>70</v>
      </c>
      <c r="V440">
        <f>30</f>
        <v>30</v>
      </c>
      <c r="W440">
        <f t="shared" ca="1" si="132"/>
        <v>141.63479057856981</v>
      </c>
      <c r="X440">
        <f t="shared" ca="1" si="142"/>
        <v>142.66464445551088</v>
      </c>
      <c r="Y440">
        <f t="shared" ca="1" si="141"/>
        <v>-0.89970554474589903</v>
      </c>
      <c r="Z440">
        <f t="shared" ca="1" si="143"/>
        <v>-1.0135605922354185</v>
      </c>
      <c r="AA440">
        <f t="shared" ca="1" si="144"/>
        <v>0.11385504748951947</v>
      </c>
      <c r="AB440">
        <f t="shared" ca="1" si="145"/>
        <v>138.54079999999999</v>
      </c>
    </row>
    <row r="441" spans="1:28" x14ac:dyDescent="0.25">
      <c r="A441" s="20">
        <f t="shared" ca="1" si="125"/>
        <v>45929</v>
      </c>
      <c r="B441" vm="1290">
        <f ca="1"/>
        <v>45932</v>
      </c>
      <c r="C441" vm="1291">
        <f ca="1"/>
        <v>142.31</v>
      </c>
      <c r="D441" vm="1292">
        <f ca="1"/>
        <v>4497315</v>
      </c>
      <c r="E441">
        <f t="shared" ca="1" si="126"/>
        <v>640012897.64999998</v>
      </c>
      <c r="F441">
        <f ca="1">SUM($E$2:E441)/SUM($D$2:D441)</f>
        <v>154.16634073702033</v>
      </c>
      <c r="G441">
        <f ca="1">_xlfn.STDEV.P($C$2:C441)</f>
        <v>15.070891832089444</v>
      </c>
      <c r="H441">
        <f t="shared" ca="1" si="127"/>
        <v>169.23723256910978</v>
      </c>
      <c r="I441">
        <f t="shared" ca="1" si="128"/>
        <v>139.09544890493089</v>
      </c>
      <c r="J441">
        <f t="shared" ca="1" si="137"/>
        <v>141.87650000000002</v>
      </c>
      <c r="K441">
        <f t="shared" ca="1" si="138"/>
        <v>1.6371100178443452</v>
      </c>
      <c r="L441">
        <f t="shared" ca="1" si="139"/>
        <v>145.15072003568872</v>
      </c>
      <c r="M441">
        <f t="shared" ca="1" si="140"/>
        <v>138.60227996431132</v>
      </c>
      <c r="N441">
        <f t="shared" ca="1" si="129"/>
        <v>-0.82999999999998408</v>
      </c>
      <c r="O441">
        <f t="shared" ca="1" si="130"/>
        <v>0</v>
      </c>
      <c r="P441">
        <f t="shared" ca="1" si="131"/>
        <v>0.82999999999998408</v>
      </c>
      <c r="Q441">
        <f t="shared" ca="1" si="135"/>
        <v>0.58915371028144359</v>
      </c>
      <c r="R441">
        <f t="shared" ca="1" si="136"/>
        <v>0.61694869339598168</v>
      </c>
      <c r="S441">
        <f t="shared" ca="1" si="133"/>
        <v>0.95494765867556808</v>
      </c>
      <c r="T441">
        <f t="shared" ca="1" si="134"/>
        <v>48.847735356890482</v>
      </c>
      <c r="U441">
        <f>70</f>
        <v>70</v>
      </c>
      <c r="V441">
        <f>30</f>
        <v>30</v>
      </c>
      <c r="W441">
        <f t="shared" ca="1" si="132"/>
        <v>141.73866895109751</v>
      </c>
      <c r="X441">
        <f t="shared" ca="1" si="142"/>
        <v>142.63837449584341</v>
      </c>
      <c r="Y441">
        <f t="shared" ca="1" si="141"/>
        <v>-0.81380920989499828</v>
      </c>
      <c r="Z441">
        <f t="shared" ca="1" si="143"/>
        <v>-0.97361031576733448</v>
      </c>
      <c r="AA441">
        <f t="shared" ca="1" si="144"/>
        <v>0.1598011058723362</v>
      </c>
      <c r="AB441">
        <f t="shared" ca="1" si="145"/>
        <v>138.65949999999998</v>
      </c>
    </row>
    <row r="442" spans="1:28" x14ac:dyDescent="0.25">
      <c r="A442" s="20">
        <f t="shared" ca="1" si="125"/>
        <v>45929</v>
      </c>
      <c r="B442" vm="1293">
        <f ca="1"/>
        <v>45933</v>
      </c>
      <c r="C442" vm="1294">
        <f ca="1"/>
        <v>141.97999999999999</v>
      </c>
      <c r="D442" vm="1295">
        <f ca="1"/>
        <v>5425725</v>
      </c>
      <c r="E442">
        <f t="shared" ca="1" si="126"/>
        <v>770344435.5</v>
      </c>
      <c r="F442">
        <f ca="1">SUM($E$2:E442)/SUM($D$2:D442)</f>
        <v>154.14424857917939</v>
      </c>
      <c r="G442">
        <f ca="1">_xlfn.STDEV.P($C$2:C442)</f>
        <v>15.072045613943574</v>
      </c>
      <c r="H442">
        <f t="shared" ca="1" si="127"/>
        <v>169.21629419312296</v>
      </c>
      <c r="I442">
        <f t="shared" ca="1" si="128"/>
        <v>139.07220296523582</v>
      </c>
      <c r="J442">
        <f t="shared" ca="1" si="137"/>
        <v>141.65600000000001</v>
      </c>
      <c r="K442">
        <f t="shared" ca="1" si="138"/>
        <v>1.2479262798739359</v>
      </c>
      <c r="L442">
        <f t="shared" ca="1" si="139"/>
        <v>144.15185255974788</v>
      </c>
      <c r="M442">
        <f t="shared" ca="1" si="140"/>
        <v>139.16014744025213</v>
      </c>
      <c r="N442">
        <f t="shared" ca="1" si="129"/>
        <v>-0.33000000000001251</v>
      </c>
      <c r="O442">
        <f t="shared" ca="1" si="130"/>
        <v>0</v>
      </c>
      <c r="P442">
        <f t="shared" ca="1" si="131"/>
        <v>0.33000000000001251</v>
      </c>
      <c r="Q442">
        <f t="shared" ca="1" si="135"/>
        <v>0.54707130240419766</v>
      </c>
      <c r="R442">
        <f t="shared" ca="1" si="136"/>
        <v>0.59645235815341235</v>
      </c>
      <c r="S442">
        <f t="shared" ca="1" si="133"/>
        <v>0.91720871738675647</v>
      </c>
      <c r="T442">
        <f t="shared" ca="1" si="134"/>
        <v>47.840838040677909</v>
      </c>
      <c r="U442">
        <f>70</f>
        <v>70</v>
      </c>
      <c r="V442">
        <f>30</f>
        <v>30</v>
      </c>
      <c r="W442">
        <f t="shared" ca="1" si="132"/>
        <v>141.77579680477481</v>
      </c>
      <c r="X442">
        <f t="shared" ca="1" si="142"/>
        <v>142.58960601466981</v>
      </c>
      <c r="Y442">
        <f t="shared" ca="1" si="141"/>
        <v>-0.91911767450019966</v>
      </c>
      <c r="Z442">
        <f t="shared" ca="1" si="143"/>
        <v>-0.96271178751390751</v>
      </c>
      <c r="AA442">
        <f t="shared" ca="1" si="144"/>
        <v>4.3594113013707858E-2</v>
      </c>
      <c r="AB442">
        <f t="shared" ca="1" si="145"/>
        <v>138.76249999999996</v>
      </c>
    </row>
    <row r="443" spans="1:28" x14ac:dyDescent="0.25">
      <c r="A443" s="20">
        <f t="shared" ca="1" si="125"/>
        <v>45936</v>
      </c>
      <c r="B443" vm="1296">
        <f ca="1"/>
        <v>45936</v>
      </c>
      <c r="C443" vm="1297">
        <f ca="1"/>
        <v>139.69999999999999</v>
      </c>
      <c r="D443" vm="1298">
        <f ca="1"/>
        <v>6750712</v>
      </c>
      <c r="E443">
        <f t="shared" ca="1" si="126"/>
        <v>943074466.39999998</v>
      </c>
      <c r="F443">
        <f ca="1">SUM($E$2:E443)/SUM($D$2:D443)</f>
        <v>154.11174186314591</v>
      </c>
      <c r="G443">
        <f ca="1">_xlfn.STDEV.P($C$2:C443)</f>
        <v>15.078810737557198</v>
      </c>
      <c r="H443">
        <f t="shared" ca="1" si="127"/>
        <v>169.19055260070311</v>
      </c>
      <c r="I443">
        <f t="shared" ca="1" si="128"/>
        <v>139.0329311255887</v>
      </c>
      <c r="J443">
        <f t="shared" ca="1" si="137"/>
        <v>141.55549999999999</v>
      </c>
      <c r="K443">
        <f t="shared" ca="1" si="138"/>
        <v>1.3220815923543094</v>
      </c>
      <c r="L443">
        <f t="shared" ca="1" si="139"/>
        <v>144.19966318470861</v>
      </c>
      <c r="M443">
        <f t="shared" ca="1" si="140"/>
        <v>138.91133681529138</v>
      </c>
      <c r="N443">
        <f t="shared" ca="1" si="129"/>
        <v>-2.2800000000000011</v>
      </c>
      <c r="O443">
        <f t="shared" ca="1" si="130"/>
        <v>0</v>
      </c>
      <c r="P443">
        <f t="shared" ca="1" si="131"/>
        <v>2.2800000000000011</v>
      </c>
      <c r="Q443">
        <f t="shared" ca="1" si="135"/>
        <v>0.50799478080389782</v>
      </c>
      <c r="R443">
        <f t="shared" ca="1" si="136"/>
        <v>0.71670576114245443</v>
      </c>
      <c r="S443">
        <f t="shared" ca="1" si="133"/>
        <v>0.70879126183405594</v>
      </c>
      <c r="T443">
        <f t="shared" ca="1" si="134"/>
        <v>41.479101495012678</v>
      </c>
      <c r="U443">
        <f>70</f>
        <v>70</v>
      </c>
      <c r="V443">
        <f>30</f>
        <v>30</v>
      </c>
      <c r="W443">
        <f t="shared" ca="1" si="132"/>
        <v>141.45644345019406</v>
      </c>
      <c r="X443">
        <f t="shared" ca="1" si="142"/>
        <v>142.37556112469426</v>
      </c>
      <c r="Y443">
        <f t="shared" ca="1" si="141"/>
        <v>-0.9041984638689371</v>
      </c>
      <c r="Z443">
        <f t="shared" ca="1" si="143"/>
        <v>-0.95100912278491345</v>
      </c>
      <c r="AA443">
        <f t="shared" ca="1" si="144"/>
        <v>4.6810658915976355E-2</v>
      </c>
      <c r="AB443">
        <f t="shared" ca="1" si="145"/>
        <v>138.85639999999998</v>
      </c>
    </row>
    <row r="444" spans="1:28" x14ac:dyDescent="0.25">
      <c r="A444" s="20">
        <f t="shared" ca="1" si="125"/>
        <v>45936</v>
      </c>
      <c r="B444" vm="1299">
        <f ca="1"/>
        <v>45937</v>
      </c>
      <c r="C444" vm="1300">
        <f ca="1"/>
        <v>140.79</v>
      </c>
      <c r="D444" vm="1301">
        <f ca="1"/>
        <v>6110309</v>
      </c>
      <c r="E444">
        <f t="shared" ca="1" si="126"/>
        <v>860270404.1099999</v>
      </c>
      <c r="F444">
        <f ca="1">SUM($E$2:E444)/SUM($D$2:D444)</f>
        <v>154.08466059540487</v>
      </c>
      <c r="G444">
        <f ca="1">_xlfn.STDEV.P($C$2:C444)</f>
        <v>15.08262792373851</v>
      </c>
      <c r="H444">
        <f t="shared" ca="1" si="127"/>
        <v>169.16728851914337</v>
      </c>
      <c r="I444">
        <f t="shared" ca="1" si="128"/>
        <v>139.00203267166637</v>
      </c>
      <c r="J444">
        <f t="shared" ca="1" si="137"/>
        <v>141.44</v>
      </c>
      <c r="K444">
        <f t="shared" ca="1" si="138"/>
        <v>1.2802919075043215</v>
      </c>
      <c r="L444">
        <f t="shared" ca="1" si="139"/>
        <v>144.00058381500864</v>
      </c>
      <c r="M444">
        <f t="shared" ca="1" si="140"/>
        <v>138.87941618499136</v>
      </c>
      <c r="N444">
        <f t="shared" ca="1" si="129"/>
        <v>1.0900000000000034</v>
      </c>
      <c r="O444">
        <f t="shared" ca="1" si="130"/>
        <v>1.0900000000000034</v>
      </c>
      <c r="P444">
        <f t="shared" ca="1" si="131"/>
        <v>0</v>
      </c>
      <c r="Q444">
        <f t="shared" ca="1" si="135"/>
        <v>0.54956658217504828</v>
      </c>
      <c r="R444">
        <f t="shared" ca="1" si="136"/>
        <v>0.66551249248942201</v>
      </c>
      <c r="S444">
        <f t="shared" ca="1" si="133"/>
        <v>0.82577951334817856</v>
      </c>
      <c r="T444">
        <f t="shared" ca="1" si="134"/>
        <v>45.228873876114157</v>
      </c>
      <c r="U444">
        <f>70</f>
        <v>70</v>
      </c>
      <c r="V444">
        <f>30</f>
        <v>30</v>
      </c>
      <c r="W444">
        <f t="shared" ca="1" si="132"/>
        <v>141.35391368862574</v>
      </c>
      <c r="X444">
        <f t="shared" ca="1" si="142"/>
        <v>142.25811215249468</v>
      </c>
      <c r="Y444">
        <f t="shared" ca="1" si="141"/>
        <v>-1.0377609231877898</v>
      </c>
      <c r="Z444">
        <f t="shared" ca="1" si="143"/>
        <v>-0.96835948286548879</v>
      </c>
      <c r="AA444">
        <f t="shared" ca="1" si="144"/>
        <v>-6.9401440322301E-2</v>
      </c>
      <c r="AB444">
        <f t="shared" ca="1" si="145"/>
        <v>138.97979999999998</v>
      </c>
    </row>
    <row r="445" spans="1:28" x14ac:dyDescent="0.25">
      <c r="A445" s="20">
        <f t="shared" ca="1" si="125"/>
        <v>45936</v>
      </c>
      <c r="B445" vm="1302">
        <f ca="1"/>
        <v>45938</v>
      </c>
      <c r="C445" vm="1303">
        <f ca="1"/>
        <v>138.84</v>
      </c>
      <c r="D445" vm="1304">
        <f ca="1"/>
        <v>8256741</v>
      </c>
      <c r="E445">
        <f t="shared" ca="1" si="126"/>
        <v>1146365920.4400001</v>
      </c>
      <c r="F445">
        <f ca="1">SUM($E$2:E445)/SUM($D$2:D445)</f>
        <v>154.04289873204985</v>
      </c>
      <c r="G445">
        <f ca="1">_xlfn.STDEV.P($C$2:C445)</f>
        <v>15.091456431397757</v>
      </c>
      <c r="H445">
        <f t="shared" ca="1" si="127"/>
        <v>169.13435516344759</v>
      </c>
      <c r="I445">
        <f t="shared" ca="1" si="128"/>
        <v>138.9514423006521</v>
      </c>
      <c r="J445">
        <f t="shared" ca="1" si="137"/>
        <v>141.24900000000002</v>
      </c>
      <c r="K445">
        <f t="shared" ca="1" si="138"/>
        <v>1.370473986388804</v>
      </c>
      <c r="L445">
        <f t="shared" ca="1" si="139"/>
        <v>143.98994797277763</v>
      </c>
      <c r="M445">
        <f t="shared" ca="1" si="140"/>
        <v>138.50805202722242</v>
      </c>
      <c r="N445">
        <f t="shared" ca="1" si="129"/>
        <v>-1.9499999999999886</v>
      </c>
      <c r="O445">
        <f t="shared" ca="1" si="130"/>
        <v>0</v>
      </c>
      <c r="P445">
        <f t="shared" ca="1" si="131"/>
        <v>1.9499999999999886</v>
      </c>
      <c r="Q445">
        <f t="shared" ca="1" si="135"/>
        <v>0.51031182630540195</v>
      </c>
      <c r="R445">
        <f t="shared" ca="1" si="136"/>
        <v>0.75726160016874822</v>
      </c>
      <c r="S445">
        <f t="shared" ca="1" si="133"/>
        <v>0.6738910651110317</v>
      </c>
      <c r="T445">
        <f t="shared" ca="1" si="134"/>
        <v>40.25895586379341</v>
      </c>
      <c r="U445">
        <f>70</f>
        <v>70</v>
      </c>
      <c r="V445">
        <f>30</f>
        <v>30</v>
      </c>
      <c r="W445">
        <f t="shared" ca="1" si="132"/>
        <v>140.96715773652949</v>
      </c>
      <c r="X445">
        <f t="shared" ca="1" si="142"/>
        <v>142.00491865971728</v>
      </c>
      <c r="Y445">
        <f t="shared" ca="1" si="141"/>
        <v>-0.66231543207649679</v>
      </c>
      <c r="Z445">
        <f t="shared" ca="1" si="143"/>
        <v>-0.90715067270769045</v>
      </c>
      <c r="AA445">
        <f t="shared" ca="1" si="144"/>
        <v>0.24483524063119366</v>
      </c>
      <c r="AB445">
        <f t="shared" ca="1" si="145"/>
        <v>139.05319999999995</v>
      </c>
    </row>
    <row r="446" spans="1:28" x14ac:dyDescent="0.25">
      <c r="A446" s="20">
        <f t="shared" ca="1" si="125"/>
        <v>45936</v>
      </c>
      <c r="B446" vm="1305">
        <f ca="1"/>
        <v>45939</v>
      </c>
      <c r="C446" vm="1306">
        <f ca="1"/>
        <v>144.71</v>
      </c>
      <c r="D446" vm="1307">
        <f ca="1"/>
        <v>13706629</v>
      </c>
      <c r="E446">
        <f t="shared" ca="1" si="126"/>
        <v>1983486282.5900002</v>
      </c>
      <c r="F446">
        <f ca="1">SUM($E$2:E446)/SUM($D$2:D446)</f>
        <v>154.00064839974655</v>
      </c>
      <c r="G446">
        <f ca="1">_xlfn.STDEV.P($C$2:C446)</f>
        <v>15.086487486111622</v>
      </c>
      <c r="H446">
        <f t="shared" ca="1" si="127"/>
        <v>169.08713588585817</v>
      </c>
      <c r="I446">
        <f t="shared" ca="1" si="128"/>
        <v>138.91416091363493</v>
      </c>
      <c r="J446">
        <f t="shared" ca="1" si="137"/>
        <v>141.273</v>
      </c>
      <c r="K446">
        <f t="shared" ca="1" si="138"/>
        <v>1.4284039676285023</v>
      </c>
      <c r="L446">
        <f t="shared" ca="1" si="139"/>
        <v>144.12980793525699</v>
      </c>
      <c r="M446">
        <f t="shared" ca="1" si="140"/>
        <v>138.416192064743</v>
      </c>
      <c r="N446">
        <f t="shared" ca="1" si="129"/>
        <v>5.8700000000000045</v>
      </c>
      <c r="O446">
        <f t="shared" ca="1" si="130"/>
        <v>5.8700000000000045</v>
      </c>
      <c r="P446">
        <f t="shared" ca="1" si="131"/>
        <v>0</v>
      </c>
      <c r="Q446">
        <f t="shared" ca="1" si="135"/>
        <v>0.89314669585501638</v>
      </c>
      <c r="R446">
        <f t="shared" ca="1" si="136"/>
        <v>0.70317148587098044</v>
      </c>
      <c r="S446">
        <f t="shared" ca="1" si="133"/>
        <v>1.2701691035561886</v>
      </c>
      <c r="T446">
        <f t="shared" ca="1" si="134"/>
        <v>55.950418035664669</v>
      </c>
      <c r="U446">
        <f>70</f>
        <v>70</v>
      </c>
      <c r="V446">
        <f>30</f>
        <v>30</v>
      </c>
      <c r="W446">
        <f t="shared" ca="1" si="132"/>
        <v>141.54297962321726</v>
      </c>
      <c r="X446">
        <f t="shared" ca="1" si="142"/>
        <v>142.20529505529376</v>
      </c>
      <c r="Y446">
        <f t="shared" ca="1" si="141"/>
        <v>6.7760840812127299E-2</v>
      </c>
      <c r="Z446">
        <f t="shared" ca="1" si="143"/>
        <v>-0.71216837000372701</v>
      </c>
      <c r="AA446">
        <f t="shared" ca="1" si="144"/>
        <v>0.77992921081585431</v>
      </c>
      <c r="AB446">
        <f t="shared" ca="1" si="145"/>
        <v>139.18049999999997</v>
      </c>
    </row>
    <row r="447" spans="1:28" x14ac:dyDescent="0.25">
      <c r="A447" s="20">
        <f t="shared" ca="1" si="125"/>
        <v>45936</v>
      </c>
      <c r="B447" vm="1308">
        <f ca="1"/>
        <v>45940</v>
      </c>
      <c r="C447" vm="1309">
        <f ca="1"/>
        <v>150.08000000000001</v>
      </c>
      <c r="D447" vm="1310">
        <f ca="1"/>
        <v>17545164</v>
      </c>
      <c r="E447">
        <f t="shared" ca="1" si="126"/>
        <v>2633178213.1200004</v>
      </c>
      <c r="F447">
        <f ca="1">SUM($E$2:E447)/SUM($D$2:D447)</f>
        <v>153.97805982393945</v>
      </c>
      <c r="G447">
        <f ca="1">_xlfn.STDEV.P($C$2:C447)</f>
        <v>15.073525571748768</v>
      </c>
      <c r="H447">
        <f t="shared" ca="1" si="127"/>
        <v>169.05158539568822</v>
      </c>
      <c r="I447">
        <f t="shared" ca="1" si="128"/>
        <v>138.90453425219067</v>
      </c>
      <c r="J447">
        <f t="shared" ca="1" si="137"/>
        <v>141.60050000000001</v>
      </c>
      <c r="K447">
        <f t="shared" ca="1" si="138"/>
        <v>2.3961646437588593</v>
      </c>
      <c r="L447">
        <f t="shared" ca="1" si="139"/>
        <v>146.39282928751774</v>
      </c>
      <c r="M447">
        <f t="shared" ca="1" si="140"/>
        <v>136.80817071248228</v>
      </c>
      <c r="N447">
        <f t="shared" ca="1" si="129"/>
        <v>5.3700000000000045</v>
      </c>
      <c r="O447">
        <f t="shared" ca="1" si="130"/>
        <v>5.3700000000000045</v>
      </c>
      <c r="P447">
        <f t="shared" ca="1" si="131"/>
        <v>0</v>
      </c>
      <c r="Q447">
        <f t="shared" ca="1" si="135"/>
        <v>1.2129219318653726</v>
      </c>
      <c r="R447">
        <f t="shared" ca="1" si="136"/>
        <v>0.65294495116591034</v>
      </c>
      <c r="S447">
        <f t="shared" ca="1" si="133"/>
        <v>1.8576174449309351</v>
      </c>
      <c r="T447">
        <f t="shared" ca="1" si="134"/>
        <v>65.005812734875406</v>
      </c>
      <c r="U447">
        <f>70</f>
        <v>70</v>
      </c>
      <c r="V447">
        <f>30</f>
        <v>30</v>
      </c>
      <c r="W447">
        <f t="shared" ca="1" si="132"/>
        <v>142.85636737349154</v>
      </c>
      <c r="X447">
        <f t="shared" ca="1" si="142"/>
        <v>142.78860653267941</v>
      </c>
      <c r="Y447">
        <f t="shared" ca="1" si="141"/>
        <v>0.54405694246773351</v>
      </c>
      <c r="Z447">
        <f t="shared" ca="1" si="143"/>
        <v>-0.46092330750943494</v>
      </c>
      <c r="AA447">
        <f t="shared" ca="1" si="144"/>
        <v>1.0049802499771685</v>
      </c>
      <c r="AB447">
        <f t="shared" ca="1" si="145"/>
        <v>139.36339999999996</v>
      </c>
    </row>
    <row r="448" spans="1:28" x14ac:dyDescent="0.25">
      <c r="A448" s="20">
        <f t="shared" ca="1" si="125"/>
        <v>45943</v>
      </c>
      <c r="B448" vm="1311">
        <f ca="1"/>
        <v>45943</v>
      </c>
      <c r="C448" vm="1312">
        <f ca="1"/>
        <v>148.88999999999999</v>
      </c>
      <c r="D448" vm="1313">
        <f ca="1"/>
        <v>7271983</v>
      </c>
      <c r="E448">
        <f t="shared" ca="1" si="126"/>
        <v>1082725548.8699999</v>
      </c>
      <c r="F448">
        <f ca="1">SUM($E$2:E448)/SUM($D$2:D448)</f>
        <v>153.96593870410572</v>
      </c>
      <c r="G448">
        <f ca="1">_xlfn.STDEV.P($C$2:C448)</f>
        <v>15.061983286837062</v>
      </c>
      <c r="H448">
        <f t="shared" ca="1" si="127"/>
        <v>169.02792199094279</v>
      </c>
      <c r="I448">
        <f t="shared" ca="1" si="128"/>
        <v>138.90395541726866</v>
      </c>
      <c r="J448">
        <f t="shared" ca="1" si="137"/>
        <v>142.01299999999998</v>
      </c>
      <c r="K448">
        <f t="shared" ca="1" si="138"/>
        <v>2.8828131363214267</v>
      </c>
      <c r="L448">
        <f t="shared" ca="1" si="139"/>
        <v>147.77862627264284</v>
      </c>
      <c r="M448">
        <f t="shared" ca="1" si="140"/>
        <v>136.24737372735711</v>
      </c>
      <c r="N448">
        <f t="shared" ca="1" si="129"/>
        <v>-1.1900000000000261</v>
      </c>
      <c r="O448">
        <f t="shared" ca="1" si="130"/>
        <v>0</v>
      </c>
      <c r="P448">
        <f t="shared" ca="1" si="131"/>
        <v>1.1900000000000261</v>
      </c>
      <c r="Q448">
        <f t="shared" ca="1" si="135"/>
        <v>1.1262846510178459</v>
      </c>
      <c r="R448">
        <f t="shared" ca="1" si="136"/>
        <v>0.69130602608263292</v>
      </c>
      <c r="S448">
        <f t="shared" ca="1" si="133"/>
        <v>1.6292128355947808</v>
      </c>
      <c r="T448">
        <f t="shared" ca="1" si="134"/>
        <v>61.965802598336246</v>
      </c>
      <c r="U448">
        <f>70</f>
        <v>70</v>
      </c>
      <c r="V448">
        <f>30</f>
        <v>30</v>
      </c>
      <c r="W448">
        <f t="shared" ca="1" si="132"/>
        <v>143.78461854680054</v>
      </c>
      <c r="X448">
        <f t="shared" ca="1" si="142"/>
        <v>143.24056160433281</v>
      </c>
      <c r="Y448">
        <f t="shared" ca="1" si="141"/>
        <v>1.1224193361584014</v>
      </c>
      <c r="Z448">
        <f t="shared" ca="1" si="143"/>
        <v>-0.14425477877586768</v>
      </c>
      <c r="AA448">
        <f t="shared" ca="1" si="144"/>
        <v>1.2666741149342691</v>
      </c>
      <c r="AB448">
        <f t="shared" ca="1" si="145"/>
        <v>139.53429999999994</v>
      </c>
    </row>
    <row r="449" spans="1:28" x14ac:dyDescent="0.25">
      <c r="A449" s="20">
        <f t="shared" ca="1" si="125"/>
        <v>45943</v>
      </c>
      <c r="B449" vm="1314">
        <f ca="1"/>
        <v>45944</v>
      </c>
      <c r="C449" vm="1315">
        <f ca="1"/>
        <v>151.54</v>
      </c>
      <c r="D449" vm="1316">
        <f ca="1"/>
        <v>8371136</v>
      </c>
      <c r="E449">
        <f t="shared" ca="1" si="126"/>
        <v>1268561949.4399998</v>
      </c>
      <c r="F449">
        <f ca="1">SUM($E$2:E449)/SUM($D$2:D449)</f>
        <v>153.95930413767772</v>
      </c>
      <c r="G449">
        <f ca="1">_xlfn.STDEV.P($C$2:C449)</f>
        <v>15.047661818787875</v>
      </c>
      <c r="H449">
        <f t="shared" ca="1" si="127"/>
        <v>169.00696595646559</v>
      </c>
      <c r="I449">
        <f t="shared" ca="1" si="128"/>
        <v>138.91164231888985</v>
      </c>
      <c r="J449">
        <f t="shared" ca="1" si="137"/>
        <v>142.58850000000001</v>
      </c>
      <c r="K449">
        <f t="shared" ca="1" si="138"/>
        <v>3.5400643392904314</v>
      </c>
      <c r="L449">
        <f t="shared" ca="1" si="139"/>
        <v>149.66862867858089</v>
      </c>
      <c r="M449">
        <f t="shared" ca="1" si="140"/>
        <v>135.50837132141913</v>
      </c>
      <c r="N449">
        <f t="shared" ca="1" si="129"/>
        <v>2.6500000000000057</v>
      </c>
      <c r="O449">
        <f t="shared" ca="1" si="130"/>
        <v>2.6500000000000057</v>
      </c>
      <c r="P449">
        <f t="shared" ca="1" si="131"/>
        <v>0</v>
      </c>
      <c r="Q449">
        <f t="shared" ca="1" si="135"/>
        <v>1.2351214616594288</v>
      </c>
      <c r="R449">
        <f t="shared" ca="1" si="136"/>
        <v>0.64192702421958769</v>
      </c>
      <c r="S449">
        <f t="shared" ca="1" si="133"/>
        <v>1.9240839146178768</v>
      </c>
      <c r="T449">
        <f t="shared" ca="1" si="134"/>
        <v>65.801255052877593</v>
      </c>
      <c r="U449">
        <f>70</f>
        <v>70</v>
      </c>
      <c r="V449">
        <f>30</f>
        <v>30</v>
      </c>
      <c r="W449">
        <f t="shared" ca="1" si="132"/>
        <v>144.97775415498506</v>
      </c>
      <c r="X449">
        <f t="shared" ca="1" si="142"/>
        <v>143.85533481882666</v>
      </c>
      <c r="Y449">
        <f t="shared" ca="1" si="141"/>
        <v>1.532447771828771</v>
      </c>
      <c r="Z449">
        <f t="shared" ca="1" si="143"/>
        <v>0.19108573134506007</v>
      </c>
      <c r="AA449">
        <f t="shared" ca="1" si="144"/>
        <v>1.341362040483711</v>
      </c>
      <c r="AB449">
        <f t="shared" ca="1" si="145"/>
        <v>139.74819999999997</v>
      </c>
    </row>
    <row r="450" spans="1:28" x14ac:dyDescent="0.25">
      <c r="A450" s="20">
        <f t="shared" ca="1" si="125"/>
        <v>45943</v>
      </c>
      <c r="B450" vm="1317">
        <f ca="1"/>
        <v>45945</v>
      </c>
      <c r="C450" vm="1318">
        <f ca="1"/>
        <v>151.16</v>
      </c>
      <c r="D450" vm="1319">
        <f ca="1"/>
        <v>6101096</v>
      </c>
      <c r="E450">
        <f t="shared" ca="1" si="126"/>
        <v>922241671.36000001</v>
      </c>
      <c r="F450">
        <f ca="1">SUM($E$2:E450)/SUM($D$2:D450)</f>
        <v>153.9537355958569</v>
      </c>
      <c r="G450">
        <f ca="1">_xlfn.STDEV.P($C$2:C450)</f>
        <v>15.033715765677032</v>
      </c>
      <c r="H450">
        <f t="shared" ca="1" si="127"/>
        <v>168.98745136153394</v>
      </c>
      <c r="I450">
        <f t="shared" ca="1" si="128"/>
        <v>138.92001983017985</v>
      </c>
      <c r="J450">
        <f t="shared" ca="1" si="137"/>
        <v>143.08499999999998</v>
      </c>
      <c r="K450">
        <f t="shared" ca="1" si="138"/>
        <v>4.0052853239583071</v>
      </c>
      <c r="L450">
        <f t="shared" ca="1" si="139"/>
        <v>151.09557064791659</v>
      </c>
      <c r="M450">
        <f t="shared" ca="1" si="140"/>
        <v>135.07442935208337</v>
      </c>
      <c r="N450">
        <f t="shared" ca="1" si="129"/>
        <v>-0.37999999999999545</v>
      </c>
      <c r="O450">
        <f t="shared" ca="1" si="130"/>
        <v>0</v>
      </c>
      <c r="P450">
        <f t="shared" ca="1" si="131"/>
        <v>0.37999999999999545</v>
      </c>
      <c r="Q450">
        <f t="shared" ca="1" si="135"/>
        <v>1.1468985001123269</v>
      </c>
      <c r="R450">
        <f t="shared" ca="1" si="136"/>
        <v>0.62321795106104538</v>
      </c>
      <c r="S450">
        <f t="shared" ca="1" si="133"/>
        <v>1.8402847641979843</v>
      </c>
      <c r="T450">
        <f t="shared" ca="1" si="134"/>
        <v>64.792262641933661</v>
      </c>
      <c r="U450">
        <f>70</f>
        <v>70</v>
      </c>
      <c r="V450">
        <f>30</f>
        <v>30</v>
      </c>
      <c r="W450">
        <f t="shared" ca="1" si="132"/>
        <v>145.92886890037198</v>
      </c>
      <c r="X450">
        <f t="shared" ca="1" si="142"/>
        <v>144.39642112854321</v>
      </c>
      <c r="Y450">
        <f t="shared" ca="1" si="141"/>
        <v>1.9566871698972363</v>
      </c>
      <c r="Z450">
        <f t="shared" ca="1" si="143"/>
        <v>0.54420601905549537</v>
      </c>
      <c r="AA450">
        <f t="shared" ca="1" si="144"/>
        <v>1.412481150841741</v>
      </c>
      <c r="AB450">
        <f t="shared" ca="1" si="145"/>
        <v>139.95859999999996</v>
      </c>
    </row>
    <row r="451" spans="1:28" x14ac:dyDescent="0.25">
      <c r="A451" s="20">
        <f t="shared" ref="A451:A514" ca="1" si="146">B451 - WEEKDAY(B451, 2) + 1</f>
        <v>45943</v>
      </c>
      <c r="B451" vm="1320">
        <f ca="1"/>
        <v>45946</v>
      </c>
      <c r="C451" vm="1321">
        <f ca="1"/>
        <v>152.66999999999999</v>
      </c>
      <c r="D451" vm="1322">
        <f ca="1"/>
        <v>8532889</v>
      </c>
      <c r="E451">
        <f t="shared" ref="E451:E514" ca="1" si="147">C451*D451</f>
        <v>1302716163.6299999</v>
      </c>
      <c r="F451">
        <f ca="1">SUM($E$2:E451)/SUM($D$2:D451)</f>
        <v>153.95017396726948</v>
      </c>
      <c r="G451">
        <f ca="1">_xlfn.STDEV.P($C$2:C451)</f>
        <v>15.018600724061002</v>
      </c>
      <c r="H451">
        <f t="shared" ref="H451:H514" ca="1" si="148">F451 + G451</f>
        <v>168.96877469133048</v>
      </c>
      <c r="I451">
        <f t="shared" ref="I451:I514" ca="1" si="149">F451 - G451</f>
        <v>138.93157324320848</v>
      </c>
      <c r="J451">
        <f t="shared" ca="1" si="137"/>
        <v>143.68199999999996</v>
      </c>
      <c r="K451">
        <f t="shared" ca="1" si="138"/>
        <v>4.495623134607821</v>
      </c>
      <c r="L451">
        <f t="shared" ca="1" si="139"/>
        <v>152.67324626921561</v>
      </c>
      <c r="M451">
        <f t="shared" ca="1" si="140"/>
        <v>134.69075373078431</v>
      </c>
      <c r="N451">
        <f t="shared" ca="1" si="129"/>
        <v>1.5099999999999909</v>
      </c>
      <c r="O451">
        <f t="shared" ca="1" si="130"/>
        <v>1.5099999999999909</v>
      </c>
      <c r="P451">
        <f t="shared" ca="1" si="131"/>
        <v>0</v>
      </c>
      <c r="Q451">
        <f t="shared" ca="1" si="135"/>
        <v>1.1728343215328745</v>
      </c>
      <c r="R451">
        <f t="shared" ca="1" si="136"/>
        <v>0.57870238312811362</v>
      </c>
      <c r="S451">
        <f t="shared" ca="1" si="133"/>
        <v>2.0266623323602788</v>
      </c>
      <c r="T451">
        <f t="shared" ca="1" si="134"/>
        <v>66.960305108757495</v>
      </c>
      <c r="U451">
        <f>70</f>
        <v>70</v>
      </c>
      <c r="V451">
        <f>30</f>
        <v>30</v>
      </c>
      <c r="W451">
        <f t="shared" ca="1" si="132"/>
        <v>146.96596599262244</v>
      </c>
      <c r="X451">
        <f t="shared" ca="1" si="142"/>
        <v>145.00927882272521</v>
      </c>
      <c r="Y451">
        <f t="shared" ca="1" si="141"/>
        <v>2.3497329983566146</v>
      </c>
      <c r="Z451">
        <f t="shared" ca="1" si="143"/>
        <v>0.90531141491571931</v>
      </c>
      <c r="AA451">
        <f t="shared" ca="1" si="144"/>
        <v>1.4444215834408953</v>
      </c>
      <c r="AB451">
        <f t="shared" ca="1" si="145"/>
        <v>140.19189999999998</v>
      </c>
    </row>
    <row r="452" spans="1:28" x14ac:dyDescent="0.25">
      <c r="A452" s="20">
        <f t="shared" ca="1" si="146"/>
        <v>45943</v>
      </c>
      <c r="B452" vm="1323">
        <f ca="1"/>
        <v>45947</v>
      </c>
      <c r="C452" vm="1324">
        <f ca="1"/>
        <v>153.71</v>
      </c>
      <c r="D452" vm="1325">
        <f ca="1"/>
        <v>6710141</v>
      </c>
      <c r="E452">
        <f t="shared" ca="1" si="147"/>
        <v>1031415773.11</v>
      </c>
      <c r="F452">
        <f ca="1">SUM($E$2:E452)/SUM($D$2:D452)</f>
        <v>153.94965110412662</v>
      </c>
      <c r="G452">
        <f ca="1">_xlfn.STDEV.P($C$2:C452)</f>
        <v>15.002898237066479</v>
      </c>
      <c r="H452">
        <f t="shared" ca="1" si="148"/>
        <v>168.95254934119311</v>
      </c>
      <c r="I452">
        <f t="shared" ca="1" si="149"/>
        <v>138.94675286706013</v>
      </c>
      <c r="J452">
        <f t="shared" ca="1" si="137"/>
        <v>144.27949999999998</v>
      </c>
      <c r="K452">
        <f t="shared" ca="1" si="138"/>
        <v>4.9933033839544079</v>
      </c>
      <c r="L452">
        <f t="shared" ca="1" si="139"/>
        <v>154.26610676790881</v>
      </c>
      <c r="M452">
        <f t="shared" ca="1" si="140"/>
        <v>134.29289323209116</v>
      </c>
      <c r="N452">
        <f t="shared" ref="N452:N514" ca="1" si="150">C452-C451</f>
        <v>1.0400000000000205</v>
      </c>
      <c r="O452">
        <f t="shared" ref="O452:O514" ca="1" si="151">MAX(N452,0)</f>
        <v>1.0400000000000205</v>
      </c>
      <c r="P452">
        <f t="shared" ref="P452:P514" ca="1" si="152">MAX(-N452,0)</f>
        <v>0</v>
      </c>
      <c r="Q452">
        <f t="shared" ca="1" si="135"/>
        <v>1.1633461557090992</v>
      </c>
      <c r="R452">
        <f t="shared" ca="1" si="136"/>
        <v>0.53736649861896268</v>
      </c>
      <c r="S452">
        <f t="shared" ca="1" si="133"/>
        <v>2.1649026478184079</v>
      </c>
      <c r="T452">
        <f t="shared" ca="1" si="134"/>
        <v>68.403451503024655</v>
      </c>
      <c r="U452">
        <f>70</f>
        <v>70</v>
      </c>
      <c r="V452">
        <f>30</f>
        <v>30</v>
      </c>
      <c r="W452">
        <f t="shared" ca="1" si="132"/>
        <v>148.00350968606514</v>
      </c>
      <c r="X452">
        <f t="shared" ca="1" si="142"/>
        <v>145.65377668770853</v>
      </c>
      <c r="Y452">
        <f t="shared" ca="1" si="141"/>
        <v>2.6253132571398226</v>
      </c>
      <c r="Z452">
        <f t="shared" ca="1" si="143"/>
        <v>1.2493117833605401</v>
      </c>
      <c r="AA452">
        <f t="shared" ca="1" si="144"/>
        <v>1.3760014737792825</v>
      </c>
      <c r="AB452">
        <f t="shared" ca="1" si="145"/>
        <v>140.41529999999995</v>
      </c>
    </row>
    <row r="453" spans="1:28" x14ac:dyDescent="0.25">
      <c r="A453" s="20">
        <f t="shared" ca="1" si="146"/>
        <v>45950</v>
      </c>
      <c r="B453" vm="1326">
        <f ca="1"/>
        <v>45950</v>
      </c>
      <c r="C453" vm="1327">
        <f ca="1"/>
        <v>153.63999999999999</v>
      </c>
      <c r="D453" vm="1328">
        <f ca="1"/>
        <v>4810592</v>
      </c>
      <c r="E453">
        <f t="shared" ca="1" si="147"/>
        <v>739099354.87999988</v>
      </c>
      <c r="F453">
        <f ca="1">SUM($E$2:E453)/SUM($D$2:D453)</f>
        <v>153.94916857412755</v>
      </c>
      <c r="G453">
        <f ca="1">_xlfn.STDEV.P($C$2:C453)</f>
        <v>14.987282082393076</v>
      </c>
      <c r="H453">
        <f t="shared" ca="1" si="148"/>
        <v>168.93645065652063</v>
      </c>
      <c r="I453">
        <f t="shared" ca="1" si="149"/>
        <v>138.96188649173448</v>
      </c>
      <c r="J453">
        <f t="shared" ca="1" si="137"/>
        <v>144.91</v>
      </c>
      <c r="K453">
        <f t="shared" ca="1" si="138"/>
        <v>5.3451286233354578</v>
      </c>
      <c r="L453">
        <f t="shared" ca="1" si="139"/>
        <v>155.60025724667091</v>
      </c>
      <c r="M453">
        <f t="shared" ca="1" si="140"/>
        <v>134.21974275332909</v>
      </c>
      <c r="N453">
        <f t="shared" ca="1" si="150"/>
        <v>-7.00000000000216E-2</v>
      </c>
      <c r="O453">
        <f t="shared" ca="1" si="151"/>
        <v>0</v>
      </c>
      <c r="P453">
        <f t="shared" ca="1" si="152"/>
        <v>7.00000000000216E-2</v>
      </c>
      <c r="Q453">
        <f t="shared" ca="1" si="135"/>
        <v>1.0802500017298777</v>
      </c>
      <c r="R453">
        <f t="shared" ca="1" si="136"/>
        <v>0.5039831772890383</v>
      </c>
      <c r="S453">
        <f t="shared" ca="1" si="133"/>
        <v>2.143424722111996</v>
      </c>
      <c r="T453">
        <f t="shared" ca="1" si="134"/>
        <v>68.18756329790132</v>
      </c>
      <c r="U453">
        <f>70</f>
        <v>70</v>
      </c>
      <c r="V453">
        <f>30</f>
        <v>30</v>
      </c>
      <c r="W453">
        <f t="shared" ca="1" si="132"/>
        <v>148.87066204205513</v>
      </c>
      <c r="X453">
        <f t="shared" ca="1" si="142"/>
        <v>146.24534878491531</v>
      </c>
      <c r="Y453">
        <f t="shared" ca="1" si="141"/>
        <v>2.7746104598088266</v>
      </c>
      <c r="Z453">
        <f t="shared" ca="1" si="143"/>
        <v>1.5543715186501974</v>
      </c>
      <c r="AA453">
        <f t="shared" ca="1" si="144"/>
        <v>1.2202389411586292</v>
      </c>
      <c r="AB453">
        <f t="shared" ca="1" si="145"/>
        <v>140.64499999999995</v>
      </c>
    </row>
    <row r="454" spans="1:28" x14ac:dyDescent="0.25">
      <c r="A454" s="20">
        <f t="shared" ca="1" si="146"/>
        <v>45950</v>
      </c>
      <c r="B454" vm="1329">
        <f ca="1"/>
        <v>45951</v>
      </c>
      <c r="C454" vm="1330">
        <f ca="1"/>
        <v>153.18</v>
      </c>
      <c r="D454" vm="1331">
        <f ca="1"/>
        <v>5614266</v>
      </c>
      <c r="E454">
        <f t="shared" ca="1" si="147"/>
        <v>859993265.88</v>
      </c>
      <c r="F454">
        <f ca="1">SUM($E$2:E454)/SUM($D$2:D454)</f>
        <v>153.94777227466273</v>
      </c>
      <c r="G454">
        <f ca="1">_xlfn.STDEV.P($C$2:C454)</f>
        <v>14.971977361842134</v>
      </c>
      <c r="H454">
        <f t="shared" ca="1" si="148"/>
        <v>168.91974963650486</v>
      </c>
      <c r="I454">
        <f t="shared" ca="1" si="149"/>
        <v>138.97579491282059</v>
      </c>
      <c r="J454">
        <f t="shared" ca="1" si="137"/>
        <v>145.47399999999999</v>
      </c>
      <c r="K454">
        <f t="shared" ca="1" si="138"/>
        <v>5.5998518777403028</v>
      </c>
      <c r="L454">
        <f t="shared" ca="1" si="139"/>
        <v>156.6737037554806</v>
      </c>
      <c r="M454">
        <f t="shared" ca="1" si="140"/>
        <v>134.27429624451938</v>
      </c>
      <c r="N454">
        <f t="shared" ca="1" si="150"/>
        <v>-0.45999999999997954</v>
      </c>
      <c r="O454">
        <f t="shared" ca="1" si="151"/>
        <v>0</v>
      </c>
      <c r="P454">
        <f t="shared" ca="1" si="152"/>
        <v>0.45999999999997954</v>
      </c>
      <c r="Q454">
        <f t="shared" ca="1" si="135"/>
        <v>1.0030892873206008</v>
      </c>
      <c r="R454">
        <f t="shared" ca="1" si="136"/>
        <v>0.50084152176839125</v>
      </c>
      <c r="S454">
        <f t="shared" ca="1" si="133"/>
        <v>2.00280776198198</v>
      </c>
      <c r="T454">
        <f t="shared" ca="1" si="134"/>
        <v>66.697834851074248</v>
      </c>
      <c r="U454">
        <f>70</f>
        <v>70</v>
      </c>
      <c r="V454">
        <f>30</f>
        <v>30</v>
      </c>
      <c r="W454">
        <f t="shared" ca="1" si="132"/>
        <v>149.53363711250819</v>
      </c>
      <c r="X454">
        <f t="shared" ca="1" si="142"/>
        <v>146.75902665269936</v>
      </c>
      <c r="Y454">
        <f t="shared" ca="1" si="141"/>
        <v>2.847995898255391</v>
      </c>
      <c r="Z454">
        <f t="shared" ca="1" si="143"/>
        <v>1.8130963945712362</v>
      </c>
      <c r="AA454">
        <f t="shared" ca="1" si="144"/>
        <v>1.0348995036841548</v>
      </c>
      <c r="AB454">
        <f t="shared" ca="1" si="145"/>
        <v>140.85759999999993</v>
      </c>
    </row>
    <row r="455" spans="1:28" x14ac:dyDescent="0.25">
      <c r="A455" s="20">
        <f t="shared" ca="1" si="146"/>
        <v>45950</v>
      </c>
      <c r="B455" vm="1332">
        <f ca="1"/>
        <v>45952</v>
      </c>
      <c r="C455" vm="1333">
        <f ca="1"/>
        <v>153.03</v>
      </c>
      <c r="D455" vm="1334">
        <f ca="1"/>
        <v>6485959</v>
      </c>
      <c r="E455">
        <f t="shared" ca="1" si="147"/>
        <v>992546305.76999998</v>
      </c>
      <c r="F455">
        <f ca="1">SUM($E$2:E455)/SUM($D$2:D455)</f>
        <v>153.94585155783327</v>
      </c>
      <c r="G455">
        <f ca="1">_xlfn.STDEV.P($C$2:C455)</f>
        <v>14.95681121142675</v>
      </c>
      <c r="H455">
        <f t="shared" ca="1" si="148"/>
        <v>168.90266276926002</v>
      </c>
      <c r="I455">
        <f t="shared" ca="1" si="149"/>
        <v>138.98904034640651</v>
      </c>
      <c r="J455">
        <f t="shared" ca="1" si="137"/>
        <v>146.017</v>
      </c>
      <c r="K455">
        <f t="shared" ca="1" si="138"/>
        <v>5.7860459182779627</v>
      </c>
      <c r="L455">
        <f t="shared" ca="1" si="139"/>
        <v>157.58909183655592</v>
      </c>
      <c r="M455">
        <f t="shared" ca="1" si="140"/>
        <v>134.44490816344407</v>
      </c>
      <c r="N455">
        <f t="shared" ca="1" si="150"/>
        <v>-0.15000000000000568</v>
      </c>
      <c r="O455">
        <f t="shared" ca="1" si="151"/>
        <v>0</v>
      </c>
      <c r="P455">
        <f t="shared" ca="1" si="152"/>
        <v>0.15000000000000568</v>
      </c>
      <c r="Q455">
        <f t="shared" ca="1" si="135"/>
        <v>0.93144005251198636</v>
      </c>
      <c r="R455">
        <f t="shared" ca="1" si="136"/>
        <v>0.47578141307064942</v>
      </c>
      <c r="S455">
        <f t="shared" ca="1" si="133"/>
        <v>1.9577058433211127</v>
      </c>
      <c r="T455">
        <f t="shared" ca="1" si="134"/>
        <v>66.190011685640371</v>
      </c>
      <c r="U455">
        <f>70</f>
        <v>70</v>
      </c>
      <c r="V455">
        <f>30</f>
        <v>30</v>
      </c>
      <c r="W455">
        <f t="shared" ca="1" si="132"/>
        <v>150.07153909519923</v>
      </c>
      <c r="X455">
        <f t="shared" ca="1" si="142"/>
        <v>147.22354319694384</v>
      </c>
      <c r="Y455">
        <f t="shared" ca="1" si="141"/>
        <v>2.7517822571721808</v>
      </c>
      <c r="Z455">
        <f t="shared" ca="1" si="143"/>
        <v>2.0008335670914255</v>
      </c>
      <c r="AA455">
        <f t="shared" ca="1" si="144"/>
        <v>0.75094869008075538</v>
      </c>
      <c r="AB455">
        <f t="shared" ca="1" si="145"/>
        <v>141.07339999999994</v>
      </c>
    </row>
    <row r="456" spans="1:28" x14ac:dyDescent="0.25">
      <c r="A456" s="20">
        <f t="shared" ca="1" si="146"/>
        <v>45950</v>
      </c>
      <c r="B456" vm="1335">
        <f ca="1"/>
        <v>45953</v>
      </c>
      <c r="C456" vm="848">
        <f ca="1"/>
        <v>151.51</v>
      </c>
      <c r="D456" vm="1336">
        <f ca="1"/>
        <v>6091762</v>
      </c>
      <c r="E456">
        <f t="shared" ca="1" si="147"/>
        <v>922962860.61999989</v>
      </c>
      <c r="F456">
        <f ca="1">SUM($E$2:E456)/SUM($D$2:D456)</f>
        <v>153.94107301877958</v>
      </c>
      <c r="G456">
        <f ca="1">_xlfn.STDEV.P($C$2:C456)</f>
        <v>14.942807825754354</v>
      </c>
      <c r="H456">
        <f t="shared" ca="1" si="148"/>
        <v>168.88388084453393</v>
      </c>
      <c r="I456">
        <f t="shared" ca="1" si="149"/>
        <v>138.99826519302522</v>
      </c>
      <c r="J456">
        <f t="shared" ca="1" si="137"/>
        <v>146.59649999999996</v>
      </c>
      <c r="K456">
        <f t="shared" ca="1" si="138"/>
        <v>5.723320047701427</v>
      </c>
      <c r="L456">
        <f t="shared" ca="1" si="139"/>
        <v>158.0431400954028</v>
      </c>
      <c r="M456">
        <f t="shared" ca="1" si="140"/>
        <v>135.14985990459712</v>
      </c>
      <c r="N456">
        <f t="shared" ca="1" si="150"/>
        <v>-1.5200000000000102</v>
      </c>
      <c r="O456">
        <f t="shared" ca="1" si="151"/>
        <v>0</v>
      </c>
      <c r="P456">
        <f t="shared" ca="1" si="152"/>
        <v>1.5200000000000102</v>
      </c>
      <c r="Q456">
        <f t="shared" ca="1" si="135"/>
        <v>0.86490862018970172</v>
      </c>
      <c r="R456">
        <f t="shared" ca="1" si="136"/>
        <v>0.55036845499417519</v>
      </c>
      <c r="S456">
        <f t="shared" ca="1" si="133"/>
        <v>1.5715083456206724</v>
      </c>
      <c r="T456">
        <f t="shared" ca="1" si="134"/>
        <v>61.112317535231064</v>
      </c>
      <c r="U456">
        <f>70</f>
        <v>70</v>
      </c>
      <c r="V456">
        <f>30</f>
        <v>30</v>
      </c>
      <c r="W456">
        <f t="shared" ca="1" si="132"/>
        <v>150.2928407728609</v>
      </c>
      <c r="X456">
        <f t="shared" ca="1" si="142"/>
        <v>147.54105851568872</v>
      </c>
      <c r="Y456">
        <f t="shared" ca="1" si="141"/>
        <v>2.6482327405722401</v>
      </c>
      <c r="Z456">
        <f t="shared" ca="1" si="143"/>
        <v>2.1303134017875887</v>
      </c>
      <c r="AA456">
        <f t="shared" ca="1" si="144"/>
        <v>0.51791933878465146</v>
      </c>
      <c r="AB456">
        <f t="shared" ca="1" si="145"/>
        <v>141.27939999999995</v>
      </c>
    </row>
    <row r="457" spans="1:28" x14ac:dyDescent="0.25">
      <c r="A457" s="20">
        <f t="shared" ca="1" si="146"/>
        <v>45950</v>
      </c>
      <c r="B457" vm="1337">
        <f ca="1"/>
        <v>45954</v>
      </c>
      <c r="C457" vm="1338">
        <f ca="1"/>
        <v>151.55000000000001</v>
      </c>
      <c r="D457" vm="1339">
        <f ca="1"/>
        <v>3580182</v>
      </c>
      <c r="E457">
        <f t="shared" ca="1" si="147"/>
        <v>542576582.10000002</v>
      </c>
      <c r="F457">
        <f ca="1">SUM($E$2:E457)/SUM($D$2:D457)</f>
        <v>153.93831943109629</v>
      </c>
      <c r="G457">
        <f ca="1">_xlfn.STDEV.P($C$2:C457)</f>
        <v>14.928808487193292</v>
      </c>
      <c r="H457">
        <f t="shared" ca="1" si="148"/>
        <v>168.86712791828958</v>
      </c>
      <c r="I457">
        <f t="shared" ca="1" si="149"/>
        <v>139.009510943903</v>
      </c>
      <c r="J457">
        <f t="shared" ca="1" si="137"/>
        <v>147.15199999999999</v>
      </c>
      <c r="K457">
        <f t="shared" ca="1" si="138"/>
        <v>5.6327730853975435</v>
      </c>
      <c r="L457">
        <f t="shared" ca="1" si="139"/>
        <v>158.41754617079508</v>
      </c>
      <c r="M457">
        <f t="shared" ca="1" si="140"/>
        <v>135.8864538292049</v>
      </c>
      <c r="N457">
        <f t="shared" ca="1" si="150"/>
        <v>4.0000000000020464E-2</v>
      </c>
      <c r="O457">
        <f t="shared" ca="1" si="151"/>
        <v>4.0000000000020464E-2</v>
      </c>
      <c r="P457">
        <f t="shared" ca="1" si="152"/>
        <v>0</v>
      </c>
      <c r="Q457">
        <f t="shared" ca="1" si="135"/>
        <v>0.80598657589043887</v>
      </c>
      <c r="R457">
        <f t="shared" ca="1" si="136"/>
        <v>0.51105642249459127</v>
      </c>
      <c r="S457">
        <f t="shared" ca="1" si="133"/>
        <v>1.5770990059301504</v>
      </c>
      <c r="T457">
        <f t="shared" ca="1" si="134"/>
        <v>61.196678990643946</v>
      </c>
      <c r="U457">
        <f>70</f>
        <v>70</v>
      </c>
      <c r="V457">
        <f>30</f>
        <v>30</v>
      </c>
      <c r="W457">
        <f t="shared" ca="1" si="132"/>
        <v>150.48624988472847</v>
      </c>
      <c r="X457">
        <f t="shared" ca="1" si="142"/>
        <v>147.83801714415623</v>
      </c>
      <c r="Y457">
        <f t="shared" ca="1" si="141"/>
        <v>2.6230787575885586</v>
      </c>
      <c r="Z457">
        <f t="shared" ca="1" si="143"/>
        <v>2.2288664729477827</v>
      </c>
      <c r="AA457">
        <f t="shared" ca="1" si="144"/>
        <v>0.39421228464077585</v>
      </c>
      <c r="AB457">
        <f t="shared" ca="1" si="145"/>
        <v>141.47639999999996</v>
      </c>
    </row>
    <row r="458" spans="1:28" x14ac:dyDescent="0.25">
      <c r="A458" s="20">
        <f t="shared" ca="1" si="146"/>
        <v>45957</v>
      </c>
      <c r="B458" vm="1340">
        <f ca="1"/>
        <v>45957</v>
      </c>
      <c r="C458" vm="1341">
        <f ca="1"/>
        <v>152.63</v>
      </c>
      <c r="D458" vm="1342">
        <f ca="1"/>
        <v>4744578</v>
      </c>
      <c r="E458">
        <f t="shared" ca="1" si="147"/>
        <v>724164940.13999999</v>
      </c>
      <c r="F458">
        <f ca="1">SUM($E$2:E458)/SUM($D$2:D458)</f>
        <v>153.93632577587792</v>
      </c>
      <c r="G458">
        <f ca="1">_xlfn.STDEV.P($C$2:C458)</f>
        <v>14.914030587676898</v>
      </c>
      <c r="H458">
        <f t="shared" ca="1" si="148"/>
        <v>168.85035636355482</v>
      </c>
      <c r="I458">
        <f t="shared" ca="1" si="149"/>
        <v>139.02229518820101</v>
      </c>
      <c r="J458">
        <f t="shared" ca="1" si="137"/>
        <v>147.77500000000001</v>
      </c>
      <c r="K458">
        <f t="shared" ca="1" si="138"/>
        <v>5.5075646542780277</v>
      </c>
      <c r="L458">
        <f t="shared" ca="1" si="139"/>
        <v>158.79012930855606</v>
      </c>
      <c r="M458">
        <f t="shared" ca="1" si="140"/>
        <v>136.75987069144395</v>
      </c>
      <c r="N458">
        <f t="shared" ca="1" si="150"/>
        <v>1.0799999999999841</v>
      </c>
      <c r="O458">
        <f t="shared" ca="1" si="151"/>
        <v>1.0799999999999841</v>
      </c>
      <c r="P458">
        <f t="shared" ca="1" si="152"/>
        <v>0</v>
      </c>
      <c r="Q458">
        <f t="shared" ca="1" si="135"/>
        <v>0.82555896332683498</v>
      </c>
      <c r="R458">
        <f t="shared" ca="1" si="136"/>
        <v>0.47455239231640617</v>
      </c>
      <c r="S458">
        <f t="shared" ca="1" si="133"/>
        <v>1.739658205697963</v>
      </c>
      <c r="T458">
        <f t="shared" ca="1" si="134"/>
        <v>63.499096423043135</v>
      </c>
      <c r="U458">
        <f>70</f>
        <v>70</v>
      </c>
      <c r="V458">
        <f>30</f>
        <v>30</v>
      </c>
      <c r="W458">
        <f t="shared" ca="1" si="132"/>
        <v>150.81605759477026</v>
      </c>
      <c r="X458">
        <f t="shared" ca="1" si="142"/>
        <v>148.1929788371817</v>
      </c>
      <c r="Y458">
        <f t="shared" ca="1" si="141"/>
        <v>2.3732506654208123</v>
      </c>
      <c r="Z458">
        <f t="shared" ca="1" si="143"/>
        <v>2.2577433114423888</v>
      </c>
      <c r="AA458">
        <f t="shared" ca="1" si="144"/>
        <v>0.11550735397842349</v>
      </c>
      <c r="AB458">
        <f t="shared" ca="1" si="145"/>
        <v>141.68529999999996</v>
      </c>
    </row>
    <row r="459" spans="1:28" x14ac:dyDescent="0.25">
      <c r="A459" s="20">
        <f t="shared" ca="1" si="146"/>
        <v>45957</v>
      </c>
      <c r="B459" vm="1343">
        <f ca="1"/>
        <v>45958</v>
      </c>
      <c r="C459" vm="1344">
        <f ca="1"/>
        <v>150.12</v>
      </c>
      <c r="D459" vm="1345">
        <f ca="1"/>
        <v>5626528</v>
      </c>
      <c r="E459">
        <f t="shared" ca="1" si="147"/>
        <v>844654383.36000001</v>
      </c>
      <c r="F459">
        <f ca="1">SUM($E$2:E459)/SUM($D$2:D459)</f>
        <v>153.92944178166201</v>
      </c>
      <c r="G459">
        <f ca="1">_xlfn.STDEV.P($C$2:C459)</f>
        <v>14.901449341502971</v>
      </c>
      <c r="H459">
        <f t="shared" ca="1" si="148"/>
        <v>168.83089112316497</v>
      </c>
      <c r="I459">
        <f t="shared" ca="1" si="149"/>
        <v>139.02799244015904</v>
      </c>
      <c r="J459">
        <f t="shared" ca="1" si="137"/>
        <v>148.25900000000001</v>
      </c>
      <c r="K459">
        <f t="shared" ca="1" si="138"/>
        <v>5.2482768099333539</v>
      </c>
      <c r="L459">
        <f t="shared" ca="1" si="139"/>
        <v>158.75555361986673</v>
      </c>
      <c r="M459">
        <f t="shared" ca="1" si="140"/>
        <v>137.7624463801333</v>
      </c>
      <c r="N459">
        <f t="shared" ca="1" si="150"/>
        <v>-2.5099999999999909</v>
      </c>
      <c r="O459">
        <f t="shared" ca="1" si="151"/>
        <v>0</v>
      </c>
      <c r="P459">
        <f t="shared" ca="1" si="152"/>
        <v>2.5099999999999909</v>
      </c>
      <c r="Q459">
        <f t="shared" ca="1" si="135"/>
        <v>0.76659046594634683</v>
      </c>
      <c r="R459">
        <f t="shared" ca="1" si="136"/>
        <v>0.61994150715094798</v>
      </c>
      <c r="S459">
        <f t="shared" ca="1" si="133"/>
        <v>1.2365528958842429</v>
      </c>
      <c r="T459">
        <f t="shared" ca="1" si="134"/>
        <v>55.288336714940947</v>
      </c>
      <c r="U459">
        <f>70</f>
        <v>70</v>
      </c>
      <c r="V459">
        <f>30</f>
        <v>30</v>
      </c>
      <c r="W459">
        <f t="shared" ca="1" si="132"/>
        <v>150.70897181095944</v>
      </c>
      <c r="X459">
        <f t="shared" ca="1" si="142"/>
        <v>148.33572114553863</v>
      </c>
      <c r="Y459">
        <f t="shared" ca="1" si="141"/>
        <v>1.8345733776492921</v>
      </c>
      <c r="Z459">
        <f t="shared" ca="1" si="143"/>
        <v>2.1731093246837698</v>
      </c>
      <c r="AA459">
        <f t="shared" ca="1" si="144"/>
        <v>-0.33853594703447776</v>
      </c>
      <c r="AB459">
        <f t="shared" ca="1" si="145"/>
        <v>141.87539999999996</v>
      </c>
    </row>
    <row r="460" spans="1:28" x14ac:dyDescent="0.25">
      <c r="A460" s="20">
        <f t="shared" ca="1" si="146"/>
        <v>45957</v>
      </c>
      <c r="B460" vm="1346">
        <f ca="1"/>
        <v>45959</v>
      </c>
      <c r="C460" vm="1347">
        <f ca="1"/>
        <v>146.16</v>
      </c>
      <c r="D460" vm="1348">
        <f ca="1"/>
        <v>7767556</v>
      </c>
      <c r="E460">
        <f t="shared" ca="1" si="147"/>
        <v>1135305984.96</v>
      </c>
      <c r="F460">
        <f ca="1">SUM($E$2:E460)/SUM($D$2:D460)</f>
        <v>153.91014216718102</v>
      </c>
      <c r="G460">
        <f ca="1">_xlfn.STDEV.P($C$2:C460)</f>
        <v>14.894149540514782</v>
      </c>
      <c r="H460">
        <f t="shared" ca="1" si="148"/>
        <v>168.8042917076958</v>
      </c>
      <c r="I460">
        <f t="shared" ca="1" si="149"/>
        <v>139.01599262666625</v>
      </c>
      <c r="J460">
        <f t="shared" ca="1" si="137"/>
        <v>148.41000000000003</v>
      </c>
      <c r="K460">
        <f t="shared" ca="1" si="138"/>
        <v>5.1354772237630923</v>
      </c>
      <c r="L460">
        <f t="shared" ca="1" si="139"/>
        <v>158.6809544475262</v>
      </c>
      <c r="M460">
        <f t="shared" ca="1" si="140"/>
        <v>138.13904555247385</v>
      </c>
      <c r="N460">
        <f t="shared" ca="1" si="150"/>
        <v>-3.960000000000008</v>
      </c>
      <c r="O460">
        <f t="shared" ca="1" si="151"/>
        <v>0</v>
      </c>
      <c r="P460">
        <f t="shared" ca="1" si="152"/>
        <v>3.960000000000008</v>
      </c>
      <c r="Q460">
        <f t="shared" ca="1" si="135"/>
        <v>0.71183400409303643</v>
      </c>
      <c r="R460">
        <f t="shared" ca="1" si="136"/>
        <v>0.85851711378302376</v>
      </c>
      <c r="S460">
        <f t="shared" ca="1" si="133"/>
        <v>0.82914363926464596</v>
      </c>
      <c r="T460">
        <f t="shared" ca="1" si="134"/>
        <v>45.329607881313194</v>
      </c>
      <c r="U460">
        <f>70</f>
        <v>70</v>
      </c>
      <c r="V460">
        <f>30</f>
        <v>30</v>
      </c>
      <c r="W460">
        <f t="shared" ca="1" si="132"/>
        <v>150.00912999388876</v>
      </c>
      <c r="X460">
        <f t="shared" ca="1" si="142"/>
        <v>148.17455661623947</v>
      </c>
      <c r="Y460">
        <f t="shared" ca="1" si="141"/>
        <v>1.5025091393365528</v>
      </c>
      <c r="Z460">
        <f t="shared" ca="1" si="143"/>
        <v>2.0389892876143265</v>
      </c>
      <c r="AA460">
        <f t="shared" ca="1" si="144"/>
        <v>-0.53648014827777368</v>
      </c>
      <c r="AB460">
        <f t="shared" ca="1" si="145"/>
        <v>142.03669999999994</v>
      </c>
    </row>
    <row r="461" spans="1:28" x14ac:dyDescent="0.25">
      <c r="A461" s="20">
        <f t="shared" ca="1" si="146"/>
        <v>45957</v>
      </c>
      <c r="B461" vm="1349">
        <f ca="1"/>
        <v>45960</v>
      </c>
      <c r="C461" vm="1350">
        <f ca="1"/>
        <v>147.55000000000001</v>
      </c>
      <c r="D461" vm="1351">
        <f ca="1"/>
        <v>5752708</v>
      </c>
      <c r="E461">
        <f t="shared" ca="1" si="147"/>
        <v>848812065.4000001</v>
      </c>
      <c r="F461">
        <f ca="1">SUM($E$2:E461)/SUM($D$2:D461)</f>
        <v>153.89846290679864</v>
      </c>
      <c r="G461">
        <f ca="1">_xlfn.STDEV.P($C$2:C461)</f>
        <v>14.884743046009328</v>
      </c>
      <c r="H461">
        <f t="shared" ca="1" si="148"/>
        <v>168.78320595280798</v>
      </c>
      <c r="I461">
        <f t="shared" ca="1" si="149"/>
        <v>139.01371986078931</v>
      </c>
      <c r="J461">
        <f t="shared" ca="1" si="137"/>
        <v>148.67200000000003</v>
      </c>
      <c r="K461">
        <f t="shared" ca="1" si="138"/>
        <v>4.937749967023656</v>
      </c>
      <c r="L461">
        <f t="shared" ca="1" si="139"/>
        <v>158.54749993404732</v>
      </c>
      <c r="M461">
        <f t="shared" ca="1" si="140"/>
        <v>138.79650006595273</v>
      </c>
      <c r="N461">
        <f t="shared" ca="1" si="150"/>
        <v>1.3900000000000148</v>
      </c>
      <c r="O461">
        <f t="shared" ca="1" si="151"/>
        <v>1.3900000000000148</v>
      </c>
      <c r="P461">
        <f t="shared" ca="1" si="152"/>
        <v>0</v>
      </c>
      <c r="Q461">
        <f t="shared" ca="1" si="135"/>
        <v>0.76027443237210623</v>
      </c>
      <c r="R461">
        <f t="shared" ca="1" si="136"/>
        <v>0.79719446279852213</v>
      </c>
      <c r="S461">
        <f t="shared" ca="1" si="133"/>
        <v>0.95368754783267129</v>
      </c>
      <c r="T461">
        <f t="shared" ca="1" si="134"/>
        <v>48.814742607672713</v>
      </c>
      <c r="U461">
        <f>70</f>
        <v>70</v>
      </c>
      <c r="V461">
        <f>30</f>
        <v>30</v>
      </c>
      <c r="W461">
        <f t="shared" ca="1" si="132"/>
        <v>149.63080230252126</v>
      </c>
      <c r="X461">
        <f t="shared" ca="1" si="142"/>
        <v>148.12829316318471</v>
      </c>
      <c r="Y461">
        <f t="shared" ca="1" si="141"/>
        <v>1.1087550023185031</v>
      </c>
      <c r="Z461">
        <f t="shared" ca="1" si="143"/>
        <v>1.8529424305551621</v>
      </c>
      <c r="AA461">
        <f t="shared" ca="1" si="144"/>
        <v>-0.74418742823665895</v>
      </c>
      <c r="AB461">
        <f t="shared" ca="1" si="145"/>
        <v>142.21259999999995</v>
      </c>
    </row>
    <row r="462" spans="1:28" x14ac:dyDescent="0.25">
      <c r="A462" s="20">
        <f t="shared" ca="1" si="146"/>
        <v>45957</v>
      </c>
      <c r="B462" vm="1352">
        <f ca="1"/>
        <v>45961</v>
      </c>
      <c r="C462" vm="1353">
        <f ca="1"/>
        <v>146.09</v>
      </c>
      <c r="D462" vm="1354">
        <f ca="1"/>
        <v>6313592</v>
      </c>
      <c r="E462">
        <f t="shared" ca="1" si="147"/>
        <v>922352655.27999997</v>
      </c>
      <c r="F462">
        <f ca="1">SUM($E$2:E462)/SUM($D$2:D462)</f>
        <v>153.88275769227945</v>
      </c>
      <c r="G462">
        <f ca="1">_xlfn.STDEV.P($C$2:C462)</f>
        <v>14.877543264860941</v>
      </c>
      <c r="H462">
        <f t="shared" ca="1" si="148"/>
        <v>168.7603009571404</v>
      </c>
      <c r="I462">
        <f t="shared" ca="1" si="149"/>
        <v>139.00521442741851</v>
      </c>
      <c r="J462">
        <f t="shared" ca="1" si="137"/>
        <v>148.8775</v>
      </c>
      <c r="K462">
        <f t="shared" ca="1" si="138"/>
        <v>4.7255485618630892</v>
      </c>
      <c r="L462">
        <f t="shared" ca="1" si="139"/>
        <v>158.32859712372618</v>
      </c>
      <c r="M462">
        <f t="shared" ca="1" si="140"/>
        <v>139.42640287627381</v>
      </c>
      <c r="N462">
        <f t="shared" ca="1" si="150"/>
        <v>-1.460000000000008</v>
      </c>
      <c r="O462">
        <f t="shared" ca="1" si="151"/>
        <v>0</v>
      </c>
      <c r="P462">
        <f t="shared" ca="1" si="152"/>
        <v>1.460000000000008</v>
      </c>
      <c r="Q462">
        <f t="shared" ca="1" si="135"/>
        <v>0.7059691157740986</v>
      </c>
      <c r="R462">
        <f t="shared" ca="1" si="136"/>
        <v>0.84453771545577105</v>
      </c>
      <c r="S462">
        <f t="shared" ca="1" si="133"/>
        <v>0.83592372827672801</v>
      </c>
      <c r="T462">
        <f t="shared" ca="1" si="134"/>
        <v>45.531506314881597</v>
      </c>
      <c r="U462">
        <f>70</f>
        <v>70</v>
      </c>
      <c r="V462">
        <f>30</f>
        <v>30</v>
      </c>
      <c r="W462">
        <f t="shared" ca="1" si="132"/>
        <v>149.08606348674877</v>
      </c>
      <c r="X462">
        <f t="shared" ca="1" si="142"/>
        <v>147.97730848443027</v>
      </c>
      <c r="Y462">
        <f t="shared" ca="1" si="141"/>
        <v>0.58899030804715835</v>
      </c>
      <c r="Z462">
        <f t="shared" ca="1" si="143"/>
        <v>1.6001520060535614</v>
      </c>
      <c r="AA462">
        <f t="shared" ca="1" si="144"/>
        <v>-1.0111616980064031</v>
      </c>
      <c r="AB462">
        <f t="shared" ca="1" si="145"/>
        <v>142.35519999999994</v>
      </c>
    </row>
    <row r="463" spans="1:28" x14ac:dyDescent="0.25">
      <c r="A463" s="20">
        <f t="shared" ca="1" si="146"/>
        <v>45964</v>
      </c>
      <c r="B463" vm="1355">
        <f ca="1"/>
        <v>45964</v>
      </c>
      <c r="C463" vm="1356">
        <f ca="1"/>
        <v>143.6</v>
      </c>
      <c r="D463" vm="1357">
        <f ca="1"/>
        <v>8331545</v>
      </c>
      <c r="E463">
        <f t="shared" ca="1" si="147"/>
        <v>1196409862</v>
      </c>
      <c r="F463">
        <f ca="1">SUM($E$2:E463)/SUM($D$2:D463)</f>
        <v>153.85553783814001</v>
      </c>
      <c r="G463">
        <f ca="1">_xlfn.STDEV.P($C$2:C463)</f>
        <v>14.874784987234946</v>
      </c>
      <c r="H463">
        <f t="shared" ca="1" si="148"/>
        <v>168.73032282537497</v>
      </c>
      <c r="I463">
        <f t="shared" ca="1" si="149"/>
        <v>138.98075285090505</v>
      </c>
      <c r="J463">
        <f t="shared" ca="1" si="137"/>
        <v>149.07250000000002</v>
      </c>
      <c r="K463">
        <f t="shared" ca="1" si="138"/>
        <v>4.3958735135770706</v>
      </c>
      <c r="L463">
        <f t="shared" ca="1" si="139"/>
        <v>157.86424702715416</v>
      </c>
      <c r="M463">
        <f t="shared" ca="1" si="140"/>
        <v>140.28075297284587</v>
      </c>
      <c r="N463">
        <f t="shared" ca="1" si="150"/>
        <v>-2.4900000000000091</v>
      </c>
      <c r="O463">
        <f t="shared" ca="1" si="151"/>
        <v>0</v>
      </c>
      <c r="P463">
        <f t="shared" ca="1" si="152"/>
        <v>2.4900000000000091</v>
      </c>
      <c r="Q463">
        <f t="shared" ca="1" si="135"/>
        <v>0.65554275036166298</v>
      </c>
      <c r="R463">
        <f t="shared" ca="1" si="136"/>
        <v>0.9620707357803594</v>
      </c>
      <c r="S463">
        <f t="shared" ca="1" si="133"/>
        <v>0.68138726808890615</v>
      </c>
      <c r="T463">
        <f t="shared" ca="1" si="134"/>
        <v>40.525301994428844</v>
      </c>
      <c r="U463">
        <f>70</f>
        <v>70</v>
      </c>
      <c r="V463">
        <f>30</f>
        <v>30</v>
      </c>
      <c r="W463">
        <f t="shared" ref="W463:W514" ca="1" si="153">C463*(2/(12+1)) + W462*(1-(2/(12+1)))</f>
        <v>148.24205371955665</v>
      </c>
      <c r="X463">
        <f t="shared" ca="1" si="142"/>
        <v>147.65306341150949</v>
      </c>
      <c r="Y463">
        <f t="shared" ca="1" si="141"/>
        <v>0.11921466087676436</v>
      </c>
      <c r="Z463">
        <f t="shared" ca="1" si="143"/>
        <v>1.303964537018202</v>
      </c>
      <c r="AA463">
        <f t="shared" ca="1" si="144"/>
        <v>-1.1847498761414377</v>
      </c>
      <c r="AB463">
        <f t="shared" ca="1" si="145"/>
        <v>142.49219999999997</v>
      </c>
    </row>
    <row r="464" spans="1:28" x14ac:dyDescent="0.25">
      <c r="A464" s="20">
        <f t="shared" ca="1" si="146"/>
        <v>45964</v>
      </c>
      <c r="B464" vm="1358">
        <f ca="1"/>
        <v>45965</v>
      </c>
      <c r="C464" vm="1359">
        <f ca="1"/>
        <v>142.9</v>
      </c>
      <c r="D464" vm="1360">
        <f ca="1"/>
        <v>8302941</v>
      </c>
      <c r="E464">
        <f t="shared" ca="1" si="147"/>
        <v>1186490268.9000001</v>
      </c>
      <c r="F464">
        <f ca="1">SUM($E$2:E464)/SUM($D$2:D464)</f>
        <v>153.82671265193537</v>
      </c>
      <c r="G464">
        <f ca="1">_xlfn.STDEV.P($C$2:C464)</f>
        <v>14.873388386403201</v>
      </c>
      <c r="H464">
        <f t="shared" ca="1" si="148"/>
        <v>168.70010103833857</v>
      </c>
      <c r="I464">
        <f t="shared" ca="1" si="149"/>
        <v>138.95332426553216</v>
      </c>
      <c r="J464">
        <f t="shared" ca="1" si="137"/>
        <v>149.178</v>
      </c>
      <c r="K464">
        <f t="shared" ca="1" si="138"/>
        <v>4.2079356108741903</v>
      </c>
      <c r="L464">
        <f t="shared" ca="1" si="139"/>
        <v>157.59387122174837</v>
      </c>
      <c r="M464">
        <f t="shared" ca="1" si="140"/>
        <v>140.76212877825162</v>
      </c>
      <c r="N464">
        <f t="shared" ca="1" si="150"/>
        <v>-0.69999999999998863</v>
      </c>
      <c r="O464">
        <f t="shared" ca="1" si="151"/>
        <v>0</v>
      </c>
      <c r="P464">
        <f t="shared" ca="1" si="152"/>
        <v>0.69999999999998863</v>
      </c>
      <c r="Q464">
        <f t="shared" ca="1" si="135"/>
        <v>0.6087182681929727</v>
      </c>
      <c r="R464">
        <f t="shared" ca="1" si="136"/>
        <v>0.94335139751033292</v>
      </c>
      <c r="S464">
        <f t="shared" ref="S464:S514" ca="1" si="154">IF(R464=0,NA(),Q464/R464)</f>
        <v>0.6452720267330766</v>
      </c>
      <c r="T464">
        <f t="shared" ref="T464:T514" ca="1" si="155">100-(100/(1+S464))</f>
        <v>39.219777413608412</v>
      </c>
      <c r="U464">
        <f>70</f>
        <v>70</v>
      </c>
      <c r="V464">
        <f>30</f>
        <v>30</v>
      </c>
      <c r="W464">
        <f t="shared" ca="1" si="153"/>
        <v>147.42019930116334</v>
      </c>
      <c r="X464">
        <f t="shared" ca="1" si="142"/>
        <v>147.30098464028657</v>
      </c>
      <c r="Y464">
        <f t="shared" ca="1" si="141"/>
        <v>-0.2533926371727091</v>
      </c>
      <c r="Z464">
        <f t="shared" ca="1" si="143"/>
        <v>0.99249310218001985</v>
      </c>
      <c r="AA464">
        <f t="shared" ca="1" si="144"/>
        <v>-1.2458857393527289</v>
      </c>
      <c r="AB464">
        <f t="shared" ca="1" si="145"/>
        <v>142.59819999999999</v>
      </c>
    </row>
    <row r="465" spans="1:28" x14ac:dyDescent="0.25">
      <c r="A465" s="20">
        <f t="shared" ca="1" si="146"/>
        <v>45964</v>
      </c>
      <c r="B465" vm="1361">
        <f ca="1"/>
        <v>45966</v>
      </c>
      <c r="C465" vm="1159">
        <f ca="1"/>
        <v>142.86000000000001</v>
      </c>
      <c r="D465" vm="1362">
        <f ca="1"/>
        <v>7136424</v>
      </c>
      <c r="E465">
        <f t="shared" ca="1" si="147"/>
        <v>1019509532.6400001</v>
      </c>
      <c r="F465">
        <f ca="1">SUM($E$2:E465)/SUM($D$2:D465)</f>
        <v>153.80196793163788</v>
      </c>
      <c r="G465">
        <f ca="1">_xlfn.STDEV.P($C$2:C465)</f>
        <v>14.872016818990566</v>
      </c>
      <c r="H465">
        <f t="shared" ca="1" si="148"/>
        <v>168.67398475062845</v>
      </c>
      <c r="I465">
        <f t="shared" ca="1" si="149"/>
        <v>138.9299511126473</v>
      </c>
      <c r="J465">
        <f t="shared" ca="1" si="137"/>
        <v>149.37900000000002</v>
      </c>
      <c r="K465">
        <f t="shared" ca="1" si="138"/>
        <v>3.7603371909276517</v>
      </c>
      <c r="L465">
        <f t="shared" ca="1" si="139"/>
        <v>156.89967438185533</v>
      </c>
      <c r="M465">
        <f t="shared" ca="1" si="140"/>
        <v>141.8583256181447</v>
      </c>
      <c r="N465">
        <f t="shared" ca="1" si="150"/>
        <v>-3.9999999999992042E-2</v>
      </c>
      <c r="O465">
        <f t="shared" ca="1" si="151"/>
        <v>0</v>
      </c>
      <c r="P465">
        <f t="shared" ca="1" si="152"/>
        <v>3.9999999999992042E-2</v>
      </c>
      <c r="Q465">
        <f t="shared" ref="Q465:Q514" ca="1" si="156">(Q464*13+O465)/14</f>
        <v>0.56523839189347469</v>
      </c>
      <c r="R465">
        <f t="shared" ref="R465:R514" ca="1" si="157">(R464*13+P465)/14</f>
        <v>0.87882629768816578</v>
      </c>
      <c r="S465">
        <f t="shared" ca="1" si="154"/>
        <v>0.6431741896895744</v>
      </c>
      <c r="T465">
        <f t="shared" ca="1" si="155"/>
        <v>39.142179430841821</v>
      </c>
      <c r="U465">
        <f>70</f>
        <v>70</v>
      </c>
      <c r="V465">
        <f>30</f>
        <v>30</v>
      </c>
      <c r="W465">
        <f t="shared" ca="1" si="153"/>
        <v>146.71863017790744</v>
      </c>
      <c r="X465">
        <f t="shared" ca="1" si="142"/>
        <v>146.97202281508015</v>
      </c>
      <c r="Y465">
        <f t="shared" ca="1" si="141"/>
        <v>-0.64454202866818378</v>
      </c>
      <c r="Z465">
        <f t="shared" ca="1" si="143"/>
        <v>0.66508607601037917</v>
      </c>
      <c r="AA465">
        <f t="shared" ca="1" si="144"/>
        <v>-1.3096281046785629</v>
      </c>
      <c r="AB465">
        <f t="shared" ca="1" si="145"/>
        <v>142.71829999999997</v>
      </c>
    </row>
    <row r="466" spans="1:28" x14ac:dyDescent="0.25">
      <c r="A466" s="20">
        <f t="shared" ca="1" si="146"/>
        <v>45964</v>
      </c>
      <c r="B466" vm="1363">
        <f ca="1"/>
        <v>45967</v>
      </c>
      <c r="C466" vm="1364">
        <f ca="1"/>
        <v>141.58000000000001</v>
      </c>
      <c r="D466" vm="1365">
        <f ca="1"/>
        <v>6449386</v>
      </c>
      <c r="E466">
        <f t="shared" ca="1" si="147"/>
        <v>913104069.88000011</v>
      </c>
      <c r="F466">
        <f ca="1">SUM($E$2:E466)/SUM($D$2:D466)</f>
        <v>153.77709652940791</v>
      </c>
      <c r="G466">
        <f ca="1">_xlfn.STDEV.P($C$2:C466)</f>
        <v>14.873330353998385</v>
      </c>
      <c r="H466">
        <f t="shared" ca="1" si="148"/>
        <v>168.65042688340631</v>
      </c>
      <c r="I466">
        <f t="shared" ca="1" si="149"/>
        <v>138.90376617540952</v>
      </c>
      <c r="J466">
        <f t="shared" ca="1" si="137"/>
        <v>149.22250000000003</v>
      </c>
      <c r="K466">
        <f t="shared" ca="1" si="138"/>
        <v>4.020981648932584</v>
      </c>
      <c r="L466">
        <f t="shared" ca="1" si="139"/>
        <v>157.26446329786521</v>
      </c>
      <c r="M466">
        <f t="shared" ca="1" si="140"/>
        <v>141.18053670213484</v>
      </c>
      <c r="N466">
        <f t="shared" ca="1" si="150"/>
        <v>-1.2800000000000011</v>
      </c>
      <c r="O466">
        <f t="shared" ca="1" si="151"/>
        <v>0</v>
      </c>
      <c r="P466">
        <f t="shared" ca="1" si="152"/>
        <v>1.2800000000000011</v>
      </c>
      <c r="Q466">
        <f t="shared" ca="1" si="156"/>
        <v>0.52486422104394082</v>
      </c>
      <c r="R466">
        <f t="shared" ca="1" si="157"/>
        <v>0.90748156213901121</v>
      </c>
      <c r="S466">
        <f t="shared" ca="1" si="154"/>
        <v>0.57837452896209951</v>
      </c>
      <c r="T466">
        <f t="shared" ca="1" si="155"/>
        <v>36.64368110035484</v>
      </c>
      <c r="U466">
        <f>70</f>
        <v>70</v>
      </c>
      <c r="V466">
        <f>30</f>
        <v>30</v>
      </c>
      <c r="W466">
        <f t="shared" ca="1" si="153"/>
        <v>145.92807168899861</v>
      </c>
      <c r="X466">
        <f t="shared" ca="1" si="142"/>
        <v>146.5726137176668</v>
      </c>
      <c r="Y466">
        <f t="shared" ca="1" si="141"/>
        <v>-0.83436514703453213</v>
      </c>
      <c r="Z466">
        <f t="shared" ca="1" si="143"/>
        <v>0.365195831401397</v>
      </c>
      <c r="AA466">
        <f t="shared" ca="1" si="144"/>
        <v>-1.1995609784359291</v>
      </c>
      <c r="AB466">
        <f t="shared" ca="1" si="145"/>
        <v>142.82</v>
      </c>
    </row>
    <row r="467" spans="1:28" x14ac:dyDescent="0.25">
      <c r="A467" s="20">
        <f t="shared" ca="1" si="146"/>
        <v>45964</v>
      </c>
      <c r="B467" vm="1366">
        <f ca="1"/>
        <v>45968</v>
      </c>
      <c r="C467" vm="1367">
        <f ca="1"/>
        <v>142.94999999999999</v>
      </c>
      <c r="D467" vm="1368">
        <f ca="1"/>
        <v>7592652</v>
      </c>
      <c r="E467">
        <f t="shared" ca="1" si="147"/>
        <v>1085369603.3999999</v>
      </c>
      <c r="F467">
        <f ca="1">SUM($E$2:E467)/SUM($D$2:D467)</f>
        <v>153.7512199381917</v>
      </c>
      <c r="G467">
        <f ca="1">_xlfn.STDEV.P($C$2:C467)</f>
        <v>14.871650939588434</v>
      </c>
      <c r="H467">
        <f t="shared" ca="1" si="148"/>
        <v>168.62287087778014</v>
      </c>
      <c r="I467">
        <f t="shared" ca="1" si="149"/>
        <v>138.87956899860325</v>
      </c>
      <c r="J467">
        <f t="shared" ca="1" si="137"/>
        <v>148.86599999999999</v>
      </c>
      <c r="K467">
        <f t="shared" ca="1" si="138"/>
        <v>4.2504778678712274</v>
      </c>
      <c r="L467">
        <f t="shared" ca="1" si="139"/>
        <v>157.36695573574244</v>
      </c>
      <c r="M467">
        <f t="shared" ca="1" si="140"/>
        <v>140.36504426425753</v>
      </c>
      <c r="N467">
        <f t="shared" ca="1" si="150"/>
        <v>1.3699999999999761</v>
      </c>
      <c r="O467">
        <f t="shared" ca="1" si="151"/>
        <v>1.3699999999999761</v>
      </c>
      <c r="P467">
        <f t="shared" ca="1" si="152"/>
        <v>0</v>
      </c>
      <c r="Q467">
        <f t="shared" ca="1" si="156"/>
        <v>0.58523106239794331</v>
      </c>
      <c r="R467">
        <f t="shared" ca="1" si="157"/>
        <v>0.84266145055765329</v>
      </c>
      <c r="S467">
        <f t="shared" ca="1" si="154"/>
        <v>0.69450318631598884</v>
      </c>
      <c r="T467">
        <f t="shared" ca="1" si="155"/>
        <v>40.985652427476687</v>
      </c>
      <c r="U467">
        <f>70</f>
        <v>70</v>
      </c>
      <c r="V467">
        <f>30</f>
        <v>30</v>
      </c>
      <c r="W467">
        <f t="shared" ca="1" si="153"/>
        <v>145.46990681376803</v>
      </c>
      <c r="X467">
        <f t="shared" ca="1" si="142"/>
        <v>146.30427196080257</v>
      </c>
      <c r="Y467">
        <f t="shared" ca="1" si="141"/>
        <v>-0.99990331501916785</v>
      </c>
      <c r="Z467">
        <f t="shared" ca="1" si="143"/>
        <v>9.2176002117284023E-2</v>
      </c>
      <c r="AA467">
        <f t="shared" ca="1" si="144"/>
        <v>-1.0920793171364518</v>
      </c>
      <c r="AB467">
        <f t="shared" ca="1" si="145"/>
        <v>142.95660000000001</v>
      </c>
    </row>
    <row r="468" spans="1:28" x14ac:dyDescent="0.25">
      <c r="A468" s="20">
        <f t="shared" ca="1" si="146"/>
        <v>45971</v>
      </c>
      <c r="B468" vm="1369">
        <f ca="1"/>
        <v>45971</v>
      </c>
      <c r="C468" vm="1370">
        <f ca="1"/>
        <v>142.62</v>
      </c>
      <c r="D468" vm="1371">
        <f ca="1"/>
        <v>6617494</v>
      </c>
      <c r="E468">
        <f t="shared" ca="1" si="147"/>
        <v>943786994.27999997</v>
      </c>
      <c r="F468">
        <f ca="1">SUM($E$2:E468)/SUM($D$2:D468)</f>
        <v>153.72808149289133</v>
      </c>
      <c r="G468">
        <f ca="1">_xlfn.STDEV.P($C$2:C468)</f>
        <v>14.870591732793201</v>
      </c>
      <c r="H468">
        <f t="shared" ca="1" si="148"/>
        <v>168.59867322568454</v>
      </c>
      <c r="I468">
        <f t="shared" ca="1" si="149"/>
        <v>138.85748976009813</v>
      </c>
      <c r="J468">
        <f t="shared" ca="1" si="137"/>
        <v>148.55249999999998</v>
      </c>
      <c r="K468">
        <f t="shared" ca="1" si="138"/>
        <v>4.4739654787741863</v>
      </c>
      <c r="L468">
        <f t="shared" ca="1" si="139"/>
        <v>157.50043095754836</v>
      </c>
      <c r="M468">
        <f t="shared" ca="1" si="140"/>
        <v>139.6045690424516</v>
      </c>
      <c r="N468">
        <f t="shared" ca="1" si="150"/>
        <v>-0.32999999999998408</v>
      </c>
      <c r="O468">
        <f t="shared" ca="1" si="151"/>
        <v>0</v>
      </c>
      <c r="P468">
        <f t="shared" ca="1" si="152"/>
        <v>0.32999999999998408</v>
      </c>
      <c r="Q468">
        <f t="shared" ca="1" si="156"/>
        <v>0.54342884365523303</v>
      </c>
      <c r="R468">
        <f t="shared" ca="1" si="157"/>
        <v>0.80604277551781978</v>
      </c>
      <c r="S468">
        <f t="shared" ca="1" si="154"/>
        <v>0.67419355418963001</v>
      </c>
      <c r="T468">
        <f t="shared" ca="1" si="155"/>
        <v>40.269749725321574</v>
      </c>
      <c r="U468">
        <f>70</f>
        <v>70</v>
      </c>
      <c r="V468">
        <f>30</f>
        <v>30</v>
      </c>
      <c r="W468">
        <f t="shared" ca="1" si="153"/>
        <v>145.03145961164986</v>
      </c>
      <c r="X468">
        <f t="shared" ca="1" si="142"/>
        <v>146.03136292666903</v>
      </c>
      <c r="Y468">
        <f t="shared" ca="1" si="141"/>
        <v>-0.92196423506391056</v>
      </c>
      <c r="Z468">
        <f t="shared" ca="1" si="143"/>
        <v>-0.11065204531895491</v>
      </c>
      <c r="AA468">
        <f t="shared" ca="1" si="144"/>
        <v>-0.81131218974495567</v>
      </c>
      <c r="AB468">
        <f t="shared" ca="1" si="145"/>
        <v>143.09210000000002</v>
      </c>
    </row>
    <row r="469" spans="1:28" x14ac:dyDescent="0.25">
      <c r="A469" s="20">
        <f t="shared" ca="1" si="146"/>
        <v>45971</v>
      </c>
      <c r="B469" vm="1372">
        <f ca="1"/>
        <v>45972</v>
      </c>
      <c r="C469" vm="1373">
        <f ca="1"/>
        <v>145.08000000000001</v>
      </c>
      <c r="D469" vm="1374">
        <f ca="1"/>
        <v>7683573</v>
      </c>
      <c r="E469">
        <f t="shared" ca="1" si="147"/>
        <v>1114732770.8400002</v>
      </c>
      <c r="F469">
        <f ca="1">SUM($E$2:E469)/SUM($D$2:D469)</f>
        <v>153.70725894307122</v>
      </c>
      <c r="G469">
        <f ca="1">_xlfn.STDEV.P($C$2:C469)</f>
        <v>14.864843710508834</v>
      </c>
      <c r="H469">
        <f t="shared" ca="1" si="148"/>
        <v>168.57210265358006</v>
      </c>
      <c r="I469">
        <f t="shared" ca="1" si="149"/>
        <v>138.84241523256239</v>
      </c>
      <c r="J469">
        <f t="shared" ca="1" si="137"/>
        <v>148.22949999999997</v>
      </c>
      <c r="K469">
        <f t="shared" ca="1" si="138"/>
        <v>4.4801168629024772</v>
      </c>
      <c r="L469">
        <f t="shared" ca="1" si="139"/>
        <v>157.18973372580493</v>
      </c>
      <c r="M469">
        <f t="shared" ca="1" si="140"/>
        <v>139.26926627419502</v>
      </c>
      <c r="N469">
        <f t="shared" ca="1" si="150"/>
        <v>2.460000000000008</v>
      </c>
      <c r="O469">
        <f t="shared" ca="1" si="151"/>
        <v>2.460000000000008</v>
      </c>
      <c r="P469">
        <f t="shared" ca="1" si="152"/>
        <v>0</v>
      </c>
      <c r="Q469">
        <f t="shared" ca="1" si="156"/>
        <v>0.68032678339414565</v>
      </c>
      <c r="R469">
        <f t="shared" ca="1" si="157"/>
        <v>0.74846829155226124</v>
      </c>
      <c r="S469">
        <f t="shared" ca="1" si="154"/>
        <v>0.90895872420086665</v>
      </c>
      <c r="T469">
        <f t="shared" ca="1" si="155"/>
        <v>47.61542052625456</v>
      </c>
      <c r="U469">
        <f>70</f>
        <v>70</v>
      </c>
      <c r="V469">
        <f>30</f>
        <v>30</v>
      </c>
      <c r="W469">
        <f t="shared" ca="1" si="153"/>
        <v>145.03892736370372</v>
      </c>
      <c r="X469">
        <f t="shared" ca="1" si="142"/>
        <v>145.96089159876763</v>
      </c>
      <c r="Y469">
        <f t="shared" ca="1" si="141"/>
        <v>-0.90543687344577961</v>
      </c>
      <c r="Z469">
        <f t="shared" ca="1" si="143"/>
        <v>-0.26960901094431988</v>
      </c>
      <c r="AA469">
        <f t="shared" ca="1" si="144"/>
        <v>-0.63582786250145973</v>
      </c>
      <c r="AB469">
        <f t="shared" ca="1" si="145"/>
        <v>143.25220000000002</v>
      </c>
    </row>
    <row r="470" spans="1:28" x14ac:dyDescent="0.25">
      <c r="A470" s="20">
        <f t="shared" ca="1" si="146"/>
        <v>45971</v>
      </c>
      <c r="B470" vm="1375">
        <f ca="1"/>
        <v>45973</v>
      </c>
      <c r="C470" vm="1376">
        <f ca="1"/>
        <v>144.38999999999999</v>
      </c>
      <c r="D470" vm="1377">
        <f ca="1"/>
        <v>5790488</v>
      </c>
      <c r="E470">
        <f t="shared" ca="1" si="147"/>
        <v>836088562.31999993</v>
      </c>
      <c r="F470">
        <f ca="1">SUM($E$2:E470)/SUM($D$2:D470)</f>
        <v>153.69038304411862</v>
      </c>
      <c r="G470">
        <f ca="1">_xlfn.STDEV.P($C$2:C470)</f>
        <v>14.860281374161959</v>
      </c>
      <c r="H470">
        <f t="shared" ca="1" si="148"/>
        <v>168.55066441828058</v>
      </c>
      <c r="I470">
        <f t="shared" ca="1" si="149"/>
        <v>138.83010166995666</v>
      </c>
      <c r="J470">
        <f t="shared" ref="J470:J514" ca="1" si="158">AVERAGE(C451:C470)</f>
        <v>147.89099999999996</v>
      </c>
      <c r="K470">
        <f t="shared" ref="K470:K514" ca="1" si="159">_xlfn.STDEV.S(C451:C470)</f>
        <v>4.5027464133746058</v>
      </c>
      <c r="L470">
        <f t="shared" ref="L470:L514" ca="1" si="160">J470 + 2*K470</f>
        <v>156.89649282674918</v>
      </c>
      <c r="M470">
        <f t="shared" ref="M470:M514" ca="1" si="161">J470-2*K470</f>
        <v>138.88550717325074</v>
      </c>
      <c r="N470">
        <f t="shared" ca="1" si="150"/>
        <v>-0.69000000000002615</v>
      </c>
      <c r="O470">
        <f t="shared" ca="1" si="151"/>
        <v>0</v>
      </c>
      <c r="P470">
        <f t="shared" ca="1" si="152"/>
        <v>0.69000000000002615</v>
      </c>
      <c r="Q470">
        <f t="shared" ca="1" si="156"/>
        <v>0.63173201315170668</v>
      </c>
      <c r="R470">
        <f t="shared" ca="1" si="157"/>
        <v>0.7442919850128159</v>
      </c>
      <c r="S470">
        <f t="shared" ca="1" si="154"/>
        <v>0.84876906627018012</v>
      </c>
      <c r="T470">
        <f t="shared" ca="1" si="155"/>
        <v>45.909956075938609</v>
      </c>
      <c r="U470">
        <f>70</f>
        <v>70</v>
      </c>
      <c r="V470">
        <f>30</f>
        <v>30</v>
      </c>
      <c r="W470">
        <f t="shared" ca="1" si="153"/>
        <v>144.93909238467239</v>
      </c>
      <c r="X470">
        <f t="shared" ca="1" si="142"/>
        <v>145.84452925811817</v>
      </c>
      <c r="Y470">
        <f t="shared" ca="1" si="141"/>
        <v>-0.83191330666866747</v>
      </c>
      <c r="Z470">
        <f t="shared" ca="1" si="143"/>
        <v>-0.38206987008918941</v>
      </c>
      <c r="AA470">
        <f t="shared" ca="1" si="144"/>
        <v>-0.44984343657947806</v>
      </c>
      <c r="AB470">
        <f t="shared" ca="1" si="145"/>
        <v>143.40520000000001</v>
      </c>
    </row>
    <row r="471" spans="1:28" x14ac:dyDescent="0.25">
      <c r="A471" s="20">
        <f t="shared" ca="1" si="146"/>
        <v>45971</v>
      </c>
      <c r="B471" vm="1378">
        <f ca="1"/>
        <v>45974</v>
      </c>
      <c r="C471" vm="1379">
        <f ca="1"/>
        <v>145.02000000000001</v>
      </c>
      <c r="D471" vm="1380">
        <f ca="1"/>
        <v>6663264</v>
      </c>
      <c r="E471">
        <f t="shared" ca="1" si="147"/>
        <v>966306545.28000009</v>
      </c>
      <c r="F471">
        <f ca="1">SUM($E$2:E471)/SUM($D$2:D471)</f>
        <v>153.67234935196245</v>
      </c>
      <c r="G471">
        <f ca="1">_xlfn.STDEV.P($C$2:C471)</f>
        <v>14.854589172128771</v>
      </c>
      <c r="H471">
        <f t="shared" ca="1" si="148"/>
        <v>168.52693852409124</v>
      </c>
      <c r="I471">
        <f t="shared" ca="1" si="149"/>
        <v>138.81776017983367</v>
      </c>
      <c r="J471">
        <f t="shared" ca="1" si="158"/>
        <v>147.50849999999997</v>
      </c>
      <c r="K471">
        <f t="shared" ca="1" si="159"/>
        <v>4.3991473755239134</v>
      </c>
      <c r="L471">
        <f t="shared" ca="1" si="160"/>
        <v>156.30679475104779</v>
      </c>
      <c r="M471">
        <f t="shared" ca="1" si="161"/>
        <v>138.71020524895215</v>
      </c>
      <c r="N471">
        <f t="shared" ca="1" si="150"/>
        <v>0.63000000000002387</v>
      </c>
      <c r="O471">
        <f t="shared" ca="1" si="151"/>
        <v>0.63000000000002387</v>
      </c>
      <c r="P471">
        <f t="shared" ca="1" si="152"/>
        <v>0</v>
      </c>
      <c r="Q471">
        <f t="shared" ca="1" si="156"/>
        <v>0.63160829792658646</v>
      </c>
      <c r="R471">
        <f t="shared" ca="1" si="157"/>
        <v>0.69112827179761471</v>
      </c>
      <c r="S471">
        <f t="shared" ca="1" si="154"/>
        <v>0.91387998972141937</v>
      </c>
      <c r="T471">
        <f t="shared" ca="1" si="155"/>
        <v>47.750119894113212</v>
      </c>
      <c r="U471">
        <f>70</f>
        <v>70</v>
      </c>
      <c r="V471">
        <f>30</f>
        <v>30</v>
      </c>
      <c r="W471">
        <f t="shared" ca="1" si="153"/>
        <v>144.9515397101074</v>
      </c>
      <c r="X471">
        <f t="shared" ca="1" si="142"/>
        <v>145.78345301677606</v>
      </c>
      <c r="Y471">
        <f t="shared" ca="1" si="141"/>
        <v>-0.69861805284992329</v>
      </c>
      <c r="Z471">
        <f t="shared" ca="1" si="143"/>
        <v>-0.44537950664133624</v>
      </c>
      <c r="AA471">
        <f t="shared" ca="1" si="144"/>
        <v>-0.25323854620858705</v>
      </c>
      <c r="AB471">
        <f t="shared" ca="1" si="145"/>
        <v>143.54489999999998</v>
      </c>
    </row>
    <row r="472" spans="1:28" x14ac:dyDescent="0.25">
      <c r="A472" s="20">
        <f t="shared" ca="1" si="146"/>
        <v>45971</v>
      </c>
      <c r="B472" vm="1381">
        <f ca="1"/>
        <v>45975</v>
      </c>
      <c r="C472" vm="1382">
        <f ca="1"/>
        <v>145.85</v>
      </c>
      <c r="D472" vm="1383">
        <f ca="1"/>
        <v>5770478</v>
      </c>
      <c r="E472">
        <f t="shared" ca="1" si="147"/>
        <v>841624216.29999995</v>
      </c>
      <c r="F472">
        <f ca="1">SUM($E$2:E472)/SUM($D$2:D472)</f>
        <v>153.65828477154921</v>
      </c>
      <c r="G472">
        <f ca="1">_xlfn.STDEV.P($C$2:C472)</f>
        <v>14.847518792884735</v>
      </c>
      <c r="H472">
        <f t="shared" ca="1" si="148"/>
        <v>168.50580356443393</v>
      </c>
      <c r="I472">
        <f t="shared" ca="1" si="149"/>
        <v>138.81076597866448</v>
      </c>
      <c r="J472">
        <f t="shared" ca="1" si="158"/>
        <v>147.11549999999997</v>
      </c>
      <c r="K472">
        <f t="shared" ca="1" si="159"/>
        <v>4.1605951940102308</v>
      </c>
      <c r="L472">
        <f t="shared" ca="1" si="160"/>
        <v>155.43669038802042</v>
      </c>
      <c r="M472">
        <f t="shared" ca="1" si="161"/>
        <v>138.79430961197951</v>
      </c>
      <c r="N472">
        <f t="shared" ca="1" si="150"/>
        <v>0.82999999999998408</v>
      </c>
      <c r="O472">
        <f t="shared" ca="1" si="151"/>
        <v>0.82999999999998408</v>
      </c>
      <c r="P472">
        <f t="shared" ca="1" si="152"/>
        <v>0</v>
      </c>
      <c r="Q472">
        <f t="shared" ca="1" si="156"/>
        <v>0.645779133788972</v>
      </c>
      <c r="R472">
        <f t="shared" ca="1" si="157"/>
        <v>0.6417619666692137</v>
      </c>
      <c r="S472">
        <f t="shared" ca="1" si="154"/>
        <v>1.0062595905154799</v>
      </c>
      <c r="T472">
        <f t="shared" ca="1" si="155"/>
        <v>50.156001510100488</v>
      </c>
      <c r="U472">
        <f>70</f>
        <v>70</v>
      </c>
      <c r="V472">
        <f>30</f>
        <v>30</v>
      </c>
      <c r="W472">
        <f t="shared" ca="1" si="153"/>
        <v>145.08976437009088</v>
      </c>
      <c r="X472">
        <f t="shared" ca="1" si="142"/>
        <v>145.7883824229408</v>
      </c>
      <c r="Y472">
        <f t="shared" ca="1" si="141"/>
        <v>-0.42827427219020819</v>
      </c>
      <c r="Z472">
        <f t="shared" ca="1" si="143"/>
        <v>-0.4419584597511107</v>
      </c>
      <c r="AA472">
        <f t="shared" ca="1" si="144"/>
        <v>1.3684187560902505E-2</v>
      </c>
      <c r="AB472">
        <f t="shared" ca="1" si="145"/>
        <v>143.72319999999999</v>
      </c>
    </row>
    <row r="473" spans="1:28" x14ac:dyDescent="0.25">
      <c r="A473" s="20">
        <f t="shared" ca="1" si="146"/>
        <v>45978</v>
      </c>
      <c r="B473" vm="1384">
        <f ca="1"/>
        <v>45978</v>
      </c>
      <c r="C473" vm="1385">
        <f ca="1"/>
        <v>147.83000000000001</v>
      </c>
      <c r="D473" vm="1386">
        <f ca="1"/>
        <v>7320150</v>
      </c>
      <c r="E473">
        <f t="shared" ca="1" si="147"/>
        <v>1082137774.5</v>
      </c>
      <c r="F473">
        <f ca="1">SUM($E$2:E473)/SUM($D$2:D473)</f>
        <v>153.64502154793763</v>
      </c>
      <c r="G473">
        <f ca="1">_xlfn.STDEV.P($C$2:C473)</f>
        <v>14.837608172395509</v>
      </c>
      <c r="H473">
        <f t="shared" ca="1" si="148"/>
        <v>168.48262972033314</v>
      </c>
      <c r="I473">
        <f t="shared" ca="1" si="149"/>
        <v>138.80741337554213</v>
      </c>
      <c r="J473">
        <f t="shared" ca="1" si="158"/>
        <v>146.82499999999996</v>
      </c>
      <c r="K473">
        <f t="shared" ca="1" si="159"/>
        <v>3.8740302691532738</v>
      </c>
      <c r="L473">
        <f t="shared" ca="1" si="160"/>
        <v>154.57306053830652</v>
      </c>
      <c r="M473">
        <f t="shared" ca="1" si="161"/>
        <v>139.0769394616934</v>
      </c>
      <c r="N473">
        <f t="shared" ca="1" si="150"/>
        <v>1.9800000000000182</v>
      </c>
      <c r="O473">
        <f t="shared" ca="1" si="151"/>
        <v>1.9800000000000182</v>
      </c>
      <c r="P473">
        <f t="shared" ca="1" si="152"/>
        <v>0</v>
      </c>
      <c r="Q473">
        <f t="shared" ca="1" si="156"/>
        <v>0.74108062423261811</v>
      </c>
      <c r="R473">
        <f t="shared" ca="1" si="157"/>
        <v>0.59592182619284129</v>
      </c>
      <c r="S473">
        <f t="shared" ca="1" si="154"/>
        <v>1.2435869801365578</v>
      </c>
      <c r="T473">
        <f t="shared" ca="1" si="155"/>
        <v>55.42851652940444</v>
      </c>
      <c r="U473">
        <f>70</f>
        <v>70</v>
      </c>
      <c r="V473">
        <f>30</f>
        <v>30</v>
      </c>
      <c r="W473">
        <f t="shared" ca="1" si="153"/>
        <v>145.51133908238461</v>
      </c>
      <c r="X473">
        <f t="shared" ca="1" si="142"/>
        <v>145.93961335457482</v>
      </c>
      <c r="Y473">
        <f t="shared" ca="1" si="141"/>
        <v>-0.13660009335779932</v>
      </c>
      <c r="Z473">
        <f t="shared" ca="1" si="143"/>
        <v>-0.38088678647244845</v>
      </c>
      <c r="AA473">
        <f t="shared" ca="1" si="144"/>
        <v>0.24428669311464912</v>
      </c>
      <c r="AB473">
        <f t="shared" ca="1" si="145"/>
        <v>143.91929999999999</v>
      </c>
    </row>
    <row r="474" spans="1:28" x14ac:dyDescent="0.25">
      <c r="A474" s="20">
        <f t="shared" ca="1" si="146"/>
        <v>45978</v>
      </c>
      <c r="B474" vm="1387">
        <f ca="1"/>
        <v>45979</v>
      </c>
      <c r="C474" vm="1388">
        <f ca="1"/>
        <v>148.77000000000001</v>
      </c>
      <c r="D474" vm="1389">
        <f ca="1"/>
        <v>10821528</v>
      </c>
      <c r="E474">
        <f t="shared" ca="1" si="147"/>
        <v>1609918720.5600002</v>
      </c>
      <c r="F474">
        <f ca="1">SUM($E$2:E474)/SUM($D$2:D474)</f>
        <v>153.62867617288998</v>
      </c>
      <c r="G474">
        <f ca="1">_xlfn.STDEV.P($C$2:C474)</f>
        <v>14.826564327057644</v>
      </c>
      <c r="H474">
        <f t="shared" ca="1" si="148"/>
        <v>168.45524049994762</v>
      </c>
      <c r="I474">
        <f t="shared" ca="1" si="149"/>
        <v>138.80211184583234</v>
      </c>
      <c r="J474">
        <f t="shared" ca="1" si="158"/>
        <v>146.60449999999997</v>
      </c>
      <c r="K474">
        <f t="shared" ca="1" si="159"/>
        <v>3.6097725179821158</v>
      </c>
      <c r="L474">
        <f t="shared" ca="1" si="160"/>
        <v>153.82404503596422</v>
      </c>
      <c r="M474">
        <f t="shared" ca="1" si="161"/>
        <v>139.38495496403573</v>
      </c>
      <c r="N474">
        <f t="shared" ca="1" si="150"/>
        <v>0.93999999999999773</v>
      </c>
      <c r="O474">
        <f t="shared" ca="1" si="151"/>
        <v>0.93999999999999773</v>
      </c>
      <c r="P474">
        <f t="shared" ca="1" si="152"/>
        <v>0</v>
      </c>
      <c r="Q474">
        <f t="shared" ca="1" si="156"/>
        <v>0.7552891510731452</v>
      </c>
      <c r="R474">
        <f t="shared" ca="1" si="157"/>
        <v>0.55335598146478115</v>
      </c>
      <c r="S474">
        <f t="shared" ca="1" si="154"/>
        <v>1.364924526656113</v>
      </c>
      <c r="T474">
        <f t="shared" ca="1" si="155"/>
        <v>57.715352488903697</v>
      </c>
      <c r="U474">
        <f>70</f>
        <v>70</v>
      </c>
      <c r="V474">
        <f>30</f>
        <v>30</v>
      </c>
      <c r="W474">
        <f t="shared" ca="1" si="153"/>
        <v>146.01267153124851</v>
      </c>
      <c r="X474">
        <f t="shared" ca="1" si="142"/>
        <v>146.14927162460631</v>
      </c>
      <c r="Y474">
        <f t="shared" ca="1" si="141"/>
        <v>-3.89453937784765E-2</v>
      </c>
      <c r="Z474">
        <f t="shared" ca="1" si="143"/>
        <v>-0.31249850793365408</v>
      </c>
      <c r="AA474">
        <f t="shared" ca="1" si="144"/>
        <v>0.27355311415517758</v>
      </c>
      <c r="AB474">
        <f t="shared" ca="1" si="145"/>
        <v>144.0966</v>
      </c>
    </row>
    <row r="475" spans="1:28" x14ac:dyDescent="0.25">
      <c r="A475" s="20">
        <f t="shared" ca="1" si="146"/>
        <v>45978</v>
      </c>
      <c r="B475" vm="1390">
        <f ca="1"/>
        <v>45980</v>
      </c>
      <c r="C475" vm="1391">
        <f ca="1"/>
        <v>147.11000000000001</v>
      </c>
      <c r="D475" vm="1392">
        <f ca="1"/>
        <v>8123236</v>
      </c>
      <c r="E475">
        <f t="shared" ca="1" si="147"/>
        <v>1195009247.96</v>
      </c>
      <c r="F475">
        <f ca="1">SUM($E$2:E475)/SUM($D$2:D475)</f>
        <v>153.6123107754722</v>
      </c>
      <c r="G475">
        <f ca="1">_xlfn.STDEV.P($C$2:C475)</f>
        <v>14.817637551270915</v>
      </c>
      <c r="H475">
        <f t="shared" ca="1" si="148"/>
        <v>168.4299483267431</v>
      </c>
      <c r="I475">
        <f t="shared" ca="1" si="149"/>
        <v>138.79467322420129</v>
      </c>
      <c r="J475">
        <f t="shared" ca="1" si="158"/>
        <v>146.30849999999998</v>
      </c>
      <c r="K475">
        <f t="shared" ca="1" si="159"/>
        <v>3.2830894868930041</v>
      </c>
      <c r="L475">
        <f t="shared" ca="1" si="160"/>
        <v>152.87467897378599</v>
      </c>
      <c r="M475">
        <f t="shared" ca="1" si="161"/>
        <v>139.74232102621397</v>
      </c>
      <c r="N475">
        <f t="shared" ca="1" si="150"/>
        <v>-1.6599999999999966</v>
      </c>
      <c r="O475">
        <f t="shared" ca="1" si="151"/>
        <v>0</v>
      </c>
      <c r="P475">
        <f t="shared" ca="1" si="152"/>
        <v>1.6599999999999966</v>
      </c>
      <c r="Q475">
        <f t="shared" ca="1" si="156"/>
        <v>0.70133992599649198</v>
      </c>
      <c r="R475">
        <f t="shared" ca="1" si="157"/>
        <v>0.63240198278872506</v>
      </c>
      <c r="S475">
        <f t="shared" ca="1" si="154"/>
        <v>1.1090096885904261</v>
      </c>
      <c r="T475">
        <f t="shared" ca="1" si="155"/>
        <v>52.584380934335194</v>
      </c>
      <c r="U475">
        <f>70</f>
        <v>70</v>
      </c>
      <c r="V475">
        <f>30</f>
        <v>30</v>
      </c>
      <c r="W475">
        <f t="shared" ca="1" si="153"/>
        <v>146.18149129567183</v>
      </c>
      <c r="X475">
        <f t="shared" ca="1" si="142"/>
        <v>146.22043668945031</v>
      </c>
      <c r="Y475">
        <f t="shared" ca="1" si="141"/>
        <v>-4.2561279933948981E-2</v>
      </c>
      <c r="Z475">
        <f t="shared" ca="1" si="143"/>
        <v>-0.25851106233371307</v>
      </c>
      <c r="AA475">
        <f t="shared" ca="1" si="144"/>
        <v>0.21594978239976409</v>
      </c>
      <c r="AB475">
        <f t="shared" ca="1" si="145"/>
        <v>144.24730000000002</v>
      </c>
    </row>
    <row r="476" spans="1:28" x14ac:dyDescent="0.25">
      <c r="A476" s="20">
        <f t="shared" ca="1" si="146"/>
        <v>45978</v>
      </c>
      <c r="B476" vm="1393">
        <f ca="1"/>
        <v>45981</v>
      </c>
      <c r="C476" vm="1394">
        <f ca="1"/>
        <v>146.1</v>
      </c>
      <c r="D476" vm="1395">
        <f ca="1"/>
        <v>6878914</v>
      </c>
      <c r="E476">
        <f t="shared" ca="1" si="147"/>
        <v>1005009335.4</v>
      </c>
      <c r="F476">
        <f ca="1">SUM($E$2:E476)/SUM($D$2:D476)</f>
        <v>153.59637367959542</v>
      </c>
      <c r="G476">
        <f ca="1">_xlfn.STDEV.P($C$2:C476)</f>
        <v>14.81017766811418</v>
      </c>
      <c r="H476">
        <f t="shared" ca="1" si="148"/>
        <v>168.40655134770961</v>
      </c>
      <c r="I476">
        <f t="shared" ca="1" si="149"/>
        <v>138.78619601148122</v>
      </c>
      <c r="J476">
        <f t="shared" ca="1" si="158"/>
        <v>146.03799999999998</v>
      </c>
      <c r="K476">
        <f t="shared" ca="1" si="159"/>
        <v>3.0463033681047467</v>
      </c>
      <c r="L476">
        <f t="shared" ca="1" si="160"/>
        <v>152.13060673620947</v>
      </c>
      <c r="M476">
        <f t="shared" ca="1" si="161"/>
        <v>139.94539326379049</v>
      </c>
      <c r="N476">
        <f t="shared" ca="1" si="150"/>
        <v>-1.0100000000000193</v>
      </c>
      <c r="O476">
        <f t="shared" ca="1" si="151"/>
        <v>0</v>
      </c>
      <c r="P476">
        <f t="shared" ca="1" si="152"/>
        <v>1.0100000000000193</v>
      </c>
      <c r="Q476">
        <f t="shared" ca="1" si="156"/>
        <v>0.65124421699674251</v>
      </c>
      <c r="R476">
        <f t="shared" ca="1" si="157"/>
        <v>0.65937326973238897</v>
      </c>
      <c r="S476">
        <f t="shared" ca="1" si="154"/>
        <v>0.98767154643841459</v>
      </c>
      <c r="T476">
        <f t="shared" ca="1" si="155"/>
        <v>49.689876992411655</v>
      </c>
      <c r="U476">
        <f>70</f>
        <v>70</v>
      </c>
      <c r="V476">
        <f>30</f>
        <v>30</v>
      </c>
      <c r="W476">
        <f t="shared" ca="1" si="153"/>
        <v>146.16895417326077</v>
      </c>
      <c r="X476">
        <f t="shared" ca="1" si="142"/>
        <v>146.21151545319472</v>
      </c>
      <c r="Y476">
        <f t="shared" ref="Y476:Y514" ca="1" si="162">W477-X477</f>
        <v>-2.6561631993843093E-2</v>
      </c>
      <c r="Z476">
        <f t="shared" ca="1" si="143"/>
        <v>-0.21212117626573906</v>
      </c>
      <c r="AA476">
        <f t="shared" ca="1" si="144"/>
        <v>0.18555954427189597</v>
      </c>
      <c r="AB476">
        <f t="shared" ca="1" si="145"/>
        <v>144.35569999999998</v>
      </c>
    </row>
    <row r="477" spans="1:28" x14ac:dyDescent="0.25">
      <c r="A477" s="20">
        <f t="shared" ca="1" si="146"/>
        <v>45978</v>
      </c>
      <c r="B477" vm="1396">
        <f ca="1"/>
        <v>45982</v>
      </c>
      <c r="C477" vm="1397">
        <f ca="1"/>
        <v>146.33000000000001</v>
      </c>
      <c r="D477" vm="1398">
        <f ca="1"/>
        <v>7911761</v>
      </c>
      <c r="E477">
        <f t="shared" ca="1" si="147"/>
        <v>1157727987.1300001</v>
      </c>
      <c r="F477">
        <f ca="1">SUM($E$2:E477)/SUM($D$2:D477)</f>
        <v>153.57868692045912</v>
      </c>
      <c r="G477">
        <f ca="1">_xlfn.STDEV.P($C$2:C477)</f>
        <v>14.802366668626245</v>
      </c>
      <c r="H477">
        <f t="shared" ca="1" si="148"/>
        <v>168.38105358908535</v>
      </c>
      <c r="I477">
        <f t="shared" ca="1" si="149"/>
        <v>138.77632025183289</v>
      </c>
      <c r="J477">
        <f t="shared" ca="1" si="158"/>
        <v>145.77699999999999</v>
      </c>
      <c r="K477">
        <f t="shared" ca="1" si="159"/>
        <v>2.7592907174050896</v>
      </c>
      <c r="L477">
        <f t="shared" ca="1" si="160"/>
        <v>151.29558143481017</v>
      </c>
      <c r="M477">
        <f t="shared" ca="1" si="161"/>
        <v>140.2584185651898</v>
      </c>
      <c r="N477">
        <f t="shared" ca="1" si="150"/>
        <v>0.23000000000001819</v>
      </c>
      <c r="O477">
        <f t="shared" ca="1" si="151"/>
        <v>0.23000000000001819</v>
      </c>
      <c r="P477">
        <f t="shared" ca="1" si="152"/>
        <v>0</v>
      </c>
      <c r="Q477">
        <f t="shared" ca="1" si="156"/>
        <v>0.62115534435411934</v>
      </c>
      <c r="R477">
        <f t="shared" ca="1" si="157"/>
        <v>0.61227517903721829</v>
      </c>
      <c r="S477">
        <f t="shared" ca="1" si="154"/>
        <v>1.0145035526850277</v>
      </c>
      <c r="T477">
        <f t="shared" ca="1" si="155"/>
        <v>50.359978334753912</v>
      </c>
      <c r="U477">
        <f>70</f>
        <v>70</v>
      </c>
      <c r="V477">
        <f>30</f>
        <v>30</v>
      </c>
      <c r="W477">
        <f t="shared" ca="1" si="153"/>
        <v>146.19373045429757</v>
      </c>
      <c r="X477">
        <f t="shared" ref="X477:X514" ca="1" si="163">C477*(2/(26+1)) + X476*(1-(2/(26+1)))</f>
        <v>146.22029208629141</v>
      </c>
      <c r="Y477">
        <f t="shared" ca="1" si="162"/>
        <v>-7.9934424838540963E-2</v>
      </c>
      <c r="Z477">
        <f t="shared" ca="1" si="143"/>
        <v>-0.18568382598029945</v>
      </c>
      <c r="AA477">
        <f t="shared" ca="1" si="144"/>
        <v>0.10574940114175849</v>
      </c>
      <c r="AB477">
        <f t="shared" ca="1" si="145"/>
        <v>144.45420000000001</v>
      </c>
    </row>
    <row r="478" spans="1:28" x14ac:dyDescent="0.25">
      <c r="A478" s="20">
        <f t="shared" ca="1" si="146"/>
        <v>45985</v>
      </c>
      <c r="B478" vm="1399">
        <f ca="1"/>
        <v>45985</v>
      </c>
      <c r="C478" vm="1400">
        <f ca="1"/>
        <v>145.5</v>
      </c>
      <c r="D478" vm="1401">
        <f ca="1"/>
        <v>9391443</v>
      </c>
      <c r="E478">
        <f t="shared" ca="1" si="147"/>
        <v>1366454956.5</v>
      </c>
      <c r="F478">
        <f ca="1">SUM($E$2:E478)/SUM($D$2:D478)</f>
        <v>153.55541257429118</v>
      </c>
      <c r="G478">
        <f ca="1">_xlfn.STDEV.P($C$2:C478)</f>
        <v>14.795825934455051</v>
      </c>
      <c r="H478">
        <f t="shared" ca="1" si="148"/>
        <v>168.35123850874623</v>
      </c>
      <c r="I478">
        <f t="shared" ca="1" si="149"/>
        <v>138.75958663983613</v>
      </c>
      <c r="J478">
        <f t="shared" ca="1" si="158"/>
        <v>145.42049999999998</v>
      </c>
      <c r="K478">
        <f t="shared" ca="1" si="159"/>
        <v>2.2387883823739663</v>
      </c>
      <c r="L478">
        <f t="shared" ca="1" si="160"/>
        <v>149.89807676474791</v>
      </c>
      <c r="M478">
        <f t="shared" ca="1" si="161"/>
        <v>140.94292323525204</v>
      </c>
      <c r="N478">
        <f t="shared" ca="1" si="150"/>
        <v>-0.83000000000001251</v>
      </c>
      <c r="O478">
        <f t="shared" ca="1" si="151"/>
        <v>0</v>
      </c>
      <c r="P478">
        <f t="shared" ca="1" si="152"/>
        <v>0.83000000000001251</v>
      </c>
      <c r="Q478">
        <f t="shared" ca="1" si="156"/>
        <v>0.57678710547168222</v>
      </c>
      <c r="R478">
        <f t="shared" ca="1" si="157"/>
        <v>0.62782695196313221</v>
      </c>
      <c r="S478">
        <f t="shared" ca="1" si="154"/>
        <v>0.91870395762422252</v>
      </c>
      <c r="T478">
        <f t="shared" ca="1" si="155"/>
        <v>47.881485519099051</v>
      </c>
      <c r="U478">
        <f>70</f>
        <v>70</v>
      </c>
      <c r="V478">
        <f>30</f>
        <v>30</v>
      </c>
      <c r="W478">
        <f t="shared" ca="1" si="153"/>
        <v>146.08700269209794</v>
      </c>
      <c r="X478">
        <f t="shared" ca="1" si="163"/>
        <v>146.16693711693648</v>
      </c>
      <c r="Y478">
        <f t="shared" ca="1" si="162"/>
        <v>-7.2178813251497331E-2</v>
      </c>
      <c r="Z478">
        <f t="shared" ca="1" si="143"/>
        <v>-0.16298282343453904</v>
      </c>
      <c r="AA478">
        <f t="shared" ca="1" si="144"/>
        <v>9.0804010183041711E-2</v>
      </c>
      <c r="AB478">
        <f t="shared" ca="1" si="145"/>
        <v>144.55539999999999</v>
      </c>
    </row>
    <row r="479" spans="1:28" x14ac:dyDescent="0.25">
      <c r="A479" s="20">
        <f t="shared" ca="1" si="146"/>
        <v>45985</v>
      </c>
      <c r="B479" vm="1402">
        <f ca="1"/>
        <v>45986</v>
      </c>
      <c r="C479" vm="1403">
        <f ca="1"/>
        <v>146.11000000000001</v>
      </c>
      <c r="D479" vm="1404">
        <f ca="1"/>
        <v>8953952</v>
      </c>
      <c r="E479">
        <f t="shared" ca="1" si="147"/>
        <v>1308261926.72</v>
      </c>
      <c r="F479">
        <f ca="1">SUM($E$2:E479)/SUM($D$2:D479)</f>
        <v>153.53501790573409</v>
      </c>
      <c r="G479">
        <f ca="1">_xlfn.STDEV.P($C$2:C479)</f>
        <v>14.788329930839618</v>
      </c>
      <c r="H479">
        <f t="shared" ca="1" si="148"/>
        <v>168.3233478365737</v>
      </c>
      <c r="I479">
        <f t="shared" ca="1" si="149"/>
        <v>138.74668797489448</v>
      </c>
      <c r="J479">
        <f t="shared" ca="1" si="158"/>
        <v>145.21999999999997</v>
      </c>
      <c r="K479">
        <f t="shared" ca="1" si="159"/>
        <v>1.9576758508093504</v>
      </c>
      <c r="L479">
        <f t="shared" ca="1" si="160"/>
        <v>149.13535170161867</v>
      </c>
      <c r="M479">
        <f t="shared" ca="1" si="161"/>
        <v>141.30464829838127</v>
      </c>
      <c r="N479">
        <f t="shared" ca="1" si="150"/>
        <v>0.61000000000001364</v>
      </c>
      <c r="O479">
        <f t="shared" ca="1" si="151"/>
        <v>0.61000000000001364</v>
      </c>
      <c r="P479">
        <f t="shared" ca="1" si="152"/>
        <v>0</v>
      </c>
      <c r="Q479">
        <f t="shared" ca="1" si="156"/>
        <v>0.57915945508084887</v>
      </c>
      <c r="R479">
        <f t="shared" ca="1" si="157"/>
        <v>0.58298216968005134</v>
      </c>
      <c r="S479">
        <f t="shared" ca="1" si="154"/>
        <v>0.99344282758887736</v>
      </c>
      <c r="T479">
        <f t="shared" ca="1" si="155"/>
        <v>49.835531465453322</v>
      </c>
      <c r="U479">
        <f>70</f>
        <v>70</v>
      </c>
      <c r="V479">
        <f>30</f>
        <v>30</v>
      </c>
      <c r="W479">
        <f t="shared" ca="1" si="153"/>
        <v>146.09054073946749</v>
      </c>
      <c r="X479">
        <f t="shared" ca="1" si="163"/>
        <v>146.16271955271898</v>
      </c>
      <c r="Y479">
        <f t="shared" ca="1" si="162"/>
        <v>8.3893860365179762E-2</v>
      </c>
      <c r="Z479">
        <f t="shared" ca="1" si="143"/>
        <v>-0.11360748667459529</v>
      </c>
      <c r="AA479">
        <f t="shared" ca="1" si="144"/>
        <v>0.19750134703977507</v>
      </c>
      <c r="AB479">
        <f t="shared" ca="1" si="145"/>
        <v>144.672</v>
      </c>
    </row>
    <row r="480" spans="1:28" x14ac:dyDescent="0.25">
      <c r="A480" s="20">
        <f t="shared" ca="1" si="146"/>
        <v>45985</v>
      </c>
      <c r="B480" vm="1405">
        <f ca="1"/>
        <v>45987</v>
      </c>
      <c r="C480" vm="1406">
        <f ca="1"/>
        <v>147.97999999999999</v>
      </c>
      <c r="D480" vm="1407">
        <f ca="1"/>
        <v>5180946</v>
      </c>
      <c r="E480">
        <f t="shared" ca="1" si="147"/>
        <v>766676389.07999992</v>
      </c>
      <c r="F480">
        <f ca="1">SUM($E$2:E480)/SUM($D$2:D480)</f>
        <v>153.52622727879231</v>
      </c>
      <c r="G480">
        <f ca="1">_xlfn.STDEV.P($C$2:C480)</f>
        <v>14.778276561700865</v>
      </c>
      <c r="H480">
        <f t="shared" ca="1" si="148"/>
        <v>168.30450384049317</v>
      </c>
      <c r="I480">
        <f t="shared" ca="1" si="149"/>
        <v>138.74795071709144</v>
      </c>
      <c r="J480">
        <f t="shared" ca="1" si="158"/>
        <v>145.31099999999998</v>
      </c>
      <c r="K480">
        <f t="shared" ca="1" si="159"/>
        <v>2.0440643207512883</v>
      </c>
      <c r="L480">
        <f t="shared" ca="1" si="160"/>
        <v>149.39912864150256</v>
      </c>
      <c r="M480">
        <f t="shared" ca="1" si="161"/>
        <v>141.2228713584974</v>
      </c>
      <c r="N480">
        <f t="shared" ca="1" si="150"/>
        <v>1.8699999999999761</v>
      </c>
      <c r="O480">
        <f t="shared" ca="1" si="151"/>
        <v>1.8699999999999761</v>
      </c>
      <c r="P480">
        <f t="shared" ca="1" si="152"/>
        <v>0</v>
      </c>
      <c r="Q480">
        <f t="shared" ca="1" si="156"/>
        <v>0.67136235114650078</v>
      </c>
      <c r="R480">
        <f t="shared" ca="1" si="157"/>
        <v>0.54134058613147629</v>
      </c>
      <c r="S480">
        <f t="shared" ca="1" si="154"/>
        <v>1.2401847715579299</v>
      </c>
      <c r="T480">
        <f t="shared" ca="1" si="155"/>
        <v>55.360825022279165</v>
      </c>
      <c r="U480">
        <f>70</f>
        <v>70</v>
      </c>
      <c r="V480">
        <f>30</f>
        <v>30</v>
      </c>
      <c r="W480">
        <f t="shared" ca="1" si="153"/>
        <v>146.38122677954942</v>
      </c>
      <c r="X480">
        <f t="shared" ca="1" si="163"/>
        <v>146.29733291918424</v>
      </c>
      <c r="Y480">
        <f t="shared" ca="1" si="162"/>
        <v>0.26584374584416537</v>
      </c>
      <c r="Z480">
        <f t="shared" ca="1" si="143"/>
        <v>-3.7717240170843158E-2</v>
      </c>
      <c r="AA480">
        <f t="shared" ca="1" si="144"/>
        <v>0.30356098601500853</v>
      </c>
      <c r="AB480">
        <f t="shared" ca="1" si="145"/>
        <v>144.8014</v>
      </c>
    </row>
    <row r="481" spans="1:28" x14ac:dyDescent="0.25">
      <c r="A481" s="20">
        <f t="shared" ca="1" si="146"/>
        <v>45985</v>
      </c>
      <c r="B481" vm="1408">
        <f ca="1"/>
        <v>45989</v>
      </c>
      <c r="C481" vm="1409">
        <f ca="1"/>
        <v>148.74</v>
      </c>
      <c r="D481" vm="1410">
        <f ca="1"/>
        <v>2969300</v>
      </c>
      <c r="E481">
        <f t="shared" ca="1" si="147"/>
        <v>441653682</v>
      </c>
      <c r="F481">
        <f ca="1">SUM($E$2:E481)/SUM($D$2:D481)</f>
        <v>153.5218903827147</v>
      </c>
      <c r="G481">
        <f ca="1">_xlfn.STDEV.P($C$2:C481)</f>
        <v>14.76734282114719</v>
      </c>
      <c r="H481">
        <f t="shared" ca="1" si="148"/>
        <v>168.2892332038619</v>
      </c>
      <c r="I481">
        <f t="shared" ca="1" si="149"/>
        <v>138.75454756156751</v>
      </c>
      <c r="J481">
        <f t="shared" ca="1" si="158"/>
        <v>145.37049999999999</v>
      </c>
      <c r="K481">
        <f t="shared" ca="1" si="159"/>
        <v>2.1282547211024205</v>
      </c>
      <c r="L481">
        <f t="shared" ca="1" si="160"/>
        <v>149.62700944220484</v>
      </c>
      <c r="M481">
        <f t="shared" ca="1" si="161"/>
        <v>141.11399055779515</v>
      </c>
      <c r="N481">
        <f t="shared" ca="1" si="150"/>
        <v>0.76000000000001933</v>
      </c>
      <c r="O481">
        <f t="shared" ca="1" si="151"/>
        <v>0.76000000000001933</v>
      </c>
      <c r="P481">
        <f t="shared" ca="1" si="152"/>
        <v>0</v>
      </c>
      <c r="Q481">
        <f t="shared" ca="1" si="156"/>
        <v>0.67769361177889498</v>
      </c>
      <c r="R481">
        <f t="shared" ca="1" si="157"/>
        <v>0.50267340140779937</v>
      </c>
      <c r="S481">
        <f t="shared" ca="1" si="154"/>
        <v>1.3481787774744591</v>
      </c>
      <c r="T481">
        <f t="shared" ca="1" si="155"/>
        <v>57.413804707172602</v>
      </c>
      <c r="U481">
        <f>70</f>
        <v>70</v>
      </c>
      <c r="V481">
        <f>30</f>
        <v>30</v>
      </c>
      <c r="W481">
        <f t="shared" ca="1" si="153"/>
        <v>146.74411496731105</v>
      </c>
      <c r="X481">
        <f t="shared" ca="1" si="163"/>
        <v>146.47827122146688</v>
      </c>
      <c r="Y481">
        <f t="shared" ca="1" si="162"/>
        <v>0.466792017990457</v>
      </c>
      <c r="Z481">
        <f t="shared" ca="1" si="143"/>
        <v>6.3184611461416879E-2</v>
      </c>
      <c r="AA481">
        <f t="shared" ca="1" si="144"/>
        <v>0.40360740652904015</v>
      </c>
      <c r="AB481">
        <f t="shared" ca="1" si="145"/>
        <v>144.94399999999999</v>
      </c>
    </row>
    <row r="482" spans="1:28" x14ac:dyDescent="0.25">
      <c r="A482" s="20">
        <f t="shared" ca="1" si="146"/>
        <v>45992</v>
      </c>
      <c r="B482" vm="1411">
        <f ca="1"/>
        <v>45992</v>
      </c>
      <c r="C482" vm="1412">
        <f ca="1"/>
        <v>149.51</v>
      </c>
      <c r="D482" vm="1413">
        <f ca="1"/>
        <v>7623275</v>
      </c>
      <c r="E482">
        <f t="shared" ca="1" si="147"/>
        <v>1139755845.25</v>
      </c>
      <c r="F482">
        <f ca="1">SUM($E$2:E482)/SUM($D$2:D482)</f>
        <v>153.51257902264359</v>
      </c>
      <c r="G482">
        <f ca="1">_xlfn.STDEV.P($C$2:C482)</f>
        <v>14.75560893272063</v>
      </c>
      <c r="H482">
        <f t="shared" ca="1" si="148"/>
        <v>168.26818795536423</v>
      </c>
      <c r="I482">
        <f t="shared" ca="1" si="149"/>
        <v>138.75697008992296</v>
      </c>
      <c r="J482">
        <f t="shared" ca="1" si="158"/>
        <v>145.54149999999998</v>
      </c>
      <c r="K482">
        <f t="shared" ca="1" si="159"/>
        <v>2.3180397231054379</v>
      </c>
      <c r="L482">
        <f t="shared" ca="1" si="160"/>
        <v>150.17757944621087</v>
      </c>
      <c r="M482">
        <f t="shared" ca="1" si="161"/>
        <v>140.9054205537891</v>
      </c>
      <c r="N482">
        <f t="shared" ca="1" si="150"/>
        <v>0.76999999999998181</v>
      </c>
      <c r="O482">
        <f t="shared" ca="1" si="151"/>
        <v>0.76999999999998181</v>
      </c>
      <c r="P482">
        <f t="shared" ca="1" si="152"/>
        <v>0</v>
      </c>
      <c r="Q482">
        <f t="shared" ca="1" si="156"/>
        <v>0.68428692522325829</v>
      </c>
      <c r="R482">
        <f t="shared" ca="1" si="157"/>
        <v>0.46676815845009939</v>
      </c>
      <c r="S482">
        <f t="shared" ca="1" si="154"/>
        <v>1.4660102940513948</v>
      </c>
      <c r="T482">
        <f t="shared" ca="1" si="155"/>
        <v>59.448668871649133</v>
      </c>
      <c r="U482">
        <f>70</f>
        <v>70</v>
      </c>
      <c r="V482">
        <f>30</f>
        <v>30</v>
      </c>
      <c r="W482">
        <f t="shared" ca="1" si="153"/>
        <v>147.16963574157089</v>
      </c>
      <c r="X482">
        <f t="shared" ca="1" si="163"/>
        <v>146.70284372358043</v>
      </c>
      <c r="Y482">
        <f t="shared" ca="1" si="162"/>
        <v>0.54711568399690691</v>
      </c>
      <c r="Z482">
        <f t="shared" ca="1" si="143"/>
        <v>0.15997082596851489</v>
      </c>
      <c r="AA482">
        <f t="shared" ca="1" si="144"/>
        <v>0.38714485802839205</v>
      </c>
      <c r="AB482">
        <f t="shared" ca="1" si="145"/>
        <v>145.07830000000001</v>
      </c>
    </row>
    <row r="483" spans="1:28" x14ac:dyDescent="0.25">
      <c r="A483" s="20">
        <f t="shared" ca="1" si="146"/>
        <v>45992</v>
      </c>
      <c r="B483" vm="1414">
        <f ca="1"/>
        <v>45993</v>
      </c>
      <c r="C483" vm="1415">
        <f ca="1"/>
        <v>148.61000000000001</v>
      </c>
      <c r="D483" vm="1416">
        <f ca="1"/>
        <v>6830290</v>
      </c>
      <c r="E483">
        <f t="shared" ca="1" si="147"/>
        <v>1015049396.9000001</v>
      </c>
      <c r="F483">
        <f ca="1">SUM($E$2:E483)/SUM($D$2:D483)</f>
        <v>153.50240520289384</v>
      </c>
      <c r="G483">
        <f ca="1">_xlfn.STDEV.P($C$2:C483)</f>
        <v>14.744861815053149</v>
      </c>
      <c r="H483">
        <f t="shared" ca="1" si="148"/>
        <v>168.247267017947</v>
      </c>
      <c r="I483">
        <f t="shared" ca="1" si="149"/>
        <v>138.75754338784068</v>
      </c>
      <c r="J483">
        <f t="shared" ca="1" si="158"/>
        <v>145.79200000000003</v>
      </c>
      <c r="K483">
        <f t="shared" ca="1" si="159"/>
        <v>2.3673671807349725</v>
      </c>
      <c r="L483">
        <f t="shared" ca="1" si="160"/>
        <v>150.52673436146998</v>
      </c>
      <c r="M483">
        <f t="shared" ca="1" si="161"/>
        <v>141.05726563853008</v>
      </c>
      <c r="N483">
        <f t="shared" ca="1" si="150"/>
        <v>-0.89999999999997726</v>
      </c>
      <c r="O483">
        <f t="shared" ca="1" si="151"/>
        <v>0</v>
      </c>
      <c r="P483">
        <f t="shared" ca="1" si="152"/>
        <v>0.89999999999997726</v>
      </c>
      <c r="Q483">
        <f t="shared" ca="1" si="156"/>
        <v>0.63540928770731131</v>
      </c>
      <c r="R483">
        <f t="shared" ca="1" si="157"/>
        <v>0.49771328998937642</v>
      </c>
      <c r="S483">
        <f t="shared" ca="1" si="154"/>
        <v>1.2766572653120716</v>
      </c>
      <c r="T483">
        <f t="shared" ca="1" si="155"/>
        <v>56.075953318211667</v>
      </c>
      <c r="U483">
        <f>70</f>
        <v>70</v>
      </c>
      <c r="V483">
        <f>30</f>
        <v>30</v>
      </c>
      <c r="W483">
        <f t="shared" ca="1" si="153"/>
        <v>147.39123024286766</v>
      </c>
      <c r="X483">
        <f t="shared" ca="1" si="163"/>
        <v>146.84411455887076</v>
      </c>
      <c r="Y483">
        <f t="shared" ca="1" si="162"/>
        <v>0.55993775070854213</v>
      </c>
      <c r="Z483">
        <f t="shared" ca="1" si="143"/>
        <v>0.23996421091652037</v>
      </c>
      <c r="AA483">
        <f t="shared" ca="1" si="144"/>
        <v>0.31997353979202176</v>
      </c>
      <c r="AB483">
        <f t="shared" ca="1" si="145"/>
        <v>145.21180000000001</v>
      </c>
    </row>
    <row r="484" spans="1:28" x14ac:dyDescent="0.25">
      <c r="A484" s="20">
        <f t="shared" ca="1" si="146"/>
        <v>45992</v>
      </c>
      <c r="B484" vm="1417">
        <f ca="1"/>
        <v>45994</v>
      </c>
      <c r="C484" vm="1418">
        <f ca="1"/>
        <v>148.06</v>
      </c>
      <c r="D484" vm="1419">
        <f ca="1"/>
        <v>5109218</v>
      </c>
      <c r="E484">
        <f t="shared" ca="1" si="147"/>
        <v>756470817.08000004</v>
      </c>
      <c r="F484">
        <f ca="1">SUM($E$2:E484)/SUM($D$2:D484)</f>
        <v>153.4939700692365</v>
      </c>
      <c r="G484">
        <f ca="1">_xlfn.STDEV.P($C$2:C484)</f>
        <v>14.734774450066677</v>
      </c>
      <c r="H484">
        <f t="shared" ca="1" si="148"/>
        <v>168.22874451930318</v>
      </c>
      <c r="I484">
        <f t="shared" ca="1" si="149"/>
        <v>138.75919561916982</v>
      </c>
      <c r="J484">
        <f t="shared" ca="1" si="158"/>
        <v>146.05000000000001</v>
      </c>
      <c r="K484">
        <f t="shared" ca="1" si="159"/>
        <v>2.3162242414848584</v>
      </c>
      <c r="L484">
        <f t="shared" ca="1" si="160"/>
        <v>150.68244848296973</v>
      </c>
      <c r="M484">
        <f t="shared" ca="1" si="161"/>
        <v>141.41755151703029</v>
      </c>
      <c r="N484">
        <f t="shared" ca="1" si="150"/>
        <v>-0.55000000000001137</v>
      </c>
      <c r="O484">
        <f t="shared" ca="1" si="151"/>
        <v>0</v>
      </c>
      <c r="P484">
        <f t="shared" ca="1" si="152"/>
        <v>0.55000000000001137</v>
      </c>
      <c r="Q484">
        <f t="shared" ca="1" si="156"/>
        <v>0.59002291001393192</v>
      </c>
      <c r="R484">
        <f t="shared" ca="1" si="157"/>
        <v>0.50144805499013612</v>
      </c>
      <c r="S484">
        <f t="shared" ca="1" si="154"/>
        <v>1.1766381465484759</v>
      </c>
      <c r="T484">
        <f t="shared" ca="1" si="155"/>
        <v>54.05759098793186</v>
      </c>
      <c r="U484">
        <f>70</f>
        <v>70</v>
      </c>
      <c r="V484">
        <f>30</f>
        <v>30</v>
      </c>
      <c r="W484">
        <f t="shared" ca="1" si="153"/>
        <v>147.49411789781109</v>
      </c>
      <c r="X484">
        <f t="shared" ca="1" si="163"/>
        <v>146.93418014710255</v>
      </c>
      <c r="Y484">
        <f t="shared" ca="1" si="162"/>
        <v>0.47186458074520488</v>
      </c>
      <c r="Z484">
        <f t="shared" ca="1" si="143"/>
        <v>0.28634428488225727</v>
      </c>
      <c r="AA484">
        <f t="shared" ca="1" si="144"/>
        <v>0.1855202958629476</v>
      </c>
      <c r="AB484">
        <f t="shared" ca="1" si="145"/>
        <v>145.33670000000001</v>
      </c>
    </row>
    <row r="485" spans="1:28" x14ac:dyDescent="0.25">
      <c r="A485" s="20">
        <f t="shared" ca="1" si="146"/>
        <v>45992</v>
      </c>
      <c r="B485" vm="1420">
        <f ca="1"/>
        <v>45995</v>
      </c>
      <c r="C485" vm="1421">
        <f ca="1"/>
        <v>146.91</v>
      </c>
      <c r="D485" vm="1422">
        <f ca="1"/>
        <v>6802969</v>
      </c>
      <c r="E485">
        <f t="shared" ca="1" si="147"/>
        <v>999424175.78999996</v>
      </c>
      <c r="F485">
        <f ca="1">SUM($E$2:E485)/SUM($D$2:D485)</f>
        <v>153.48041075659228</v>
      </c>
      <c r="G485">
        <f ca="1">_xlfn.STDEV.P($C$2:C485)</f>
        <v>14.726174775283797</v>
      </c>
      <c r="H485">
        <f t="shared" ca="1" si="148"/>
        <v>168.20658553187607</v>
      </c>
      <c r="I485">
        <f t="shared" ca="1" si="149"/>
        <v>138.75423598130848</v>
      </c>
      <c r="J485">
        <f t="shared" ca="1" si="158"/>
        <v>146.2525</v>
      </c>
      <c r="K485">
        <f t="shared" ca="1" si="159"/>
        <v>2.1966047365015529</v>
      </c>
      <c r="L485">
        <f t="shared" ca="1" si="160"/>
        <v>150.64570947300311</v>
      </c>
      <c r="M485">
        <f t="shared" ca="1" si="161"/>
        <v>141.85929052699689</v>
      </c>
      <c r="N485">
        <f t="shared" ca="1" si="150"/>
        <v>-1.1500000000000057</v>
      </c>
      <c r="O485">
        <f t="shared" ca="1" si="151"/>
        <v>0</v>
      </c>
      <c r="P485">
        <f t="shared" ca="1" si="152"/>
        <v>1.1500000000000057</v>
      </c>
      <c r="Q485">
        <f t="shared" ca="1" si="156"/>
        <v>0.54787841644150814</v>
      </c>
      <c r="R485">
        <f t="shared" ca="1" si="157"/>
        <v>0.54777319391941248</v>
      </c>
      <c r="S485">
        <f t="shared" ca="1" si="154"/>
        <v>1.0001920914043689</v>
      </c>
      <c r="T485">
        <f t="shared" ca="1" si="155"/>
        <v>50.004801823914669</v>
      </c>
      <c r="U485">
        <f>70</f>
        <v>70</v>
      </c>
      <c r="V485">
        <f>30</f>
        <v>30</v>
      </c>
      <c r="W485">
        <f t="shared" ca="1" si="153"/>
        <v>147.40425360584015</v>
      </c>
      <c r="X485">
        <f t="shared" ca="1" si="163"/>
        <v>146.93238902509495</v>
      </c>
      <c r="Y485">
        <f t="shared" ca="1" si="162"/>
        <v>0.24671477999623903</v>
      </c>
      <c r="Z485">
        <f t="shared" ca="1" si="143"/>
        <v>0.27841838390505363</v>
      </c>
      <c r="AA485">
        <f t="shared" ca="1" si="144"/>
        <v>-3.1703603908814604E-2</v>
      </c>
      <c r="AB485">
        <f t="shared" ca="1" si="145"/>
        <v>145.46770000000004</v>
      </c>
    </row>
    <row r="486" spans="1:28" x14ac:dyDescent="0.25">
      <c r="A486" s="20">
        <f t="shared" ca="1" si="146"/>
        <v>45992</v>
      </c>
      <c r="B486" vm="1423">
        <f ca="1"/>
        <v>45996</v>
      </c>
      <c r="C486" vm="1379">
        <f ca="1"/>
        <v>145.02000000000001</v>
      </c>
      <c r="D486" vm="1424">
        <f ca="1"/>
        <v>5971510</v>
      </c>
      <c r="E486">
        <f t="shared" ca="1" si="147"/>
        <v>865988380.20000005</v>
      </c>
      <c r="F486">
        <f ca="1">SUM($E$2:E486)/SUM($D$2:D486)</f>
        <v>153.46514414820109</v>
      </c>
      <c r="G486">
        <f ca="1">_xlfn.STDEV.P($C$2:C486)</f>
        <v>14.720393555165584</v>
      </c>
      <c r="H486">
        <f t="shared" ca="1" si="148"/>
        <v>168.18553770336666</v>
      </c>
      <c r="I486">
        <f t="shared" ca="1" si="149"/>
        <v>138.74475059303552</v>
      </c>
      <c r="J486">
        <f t="shared" ca="1" si="158"/>
        <v>146.42450000000002</v>
      </c>
      <c r="K486">
        <f t="shared" ca="1" si="159"/>
        <v>1.9299781155017783</v>
      </c>
      <c r="L486">
        <f t="shared" ca="1" si="160"/>
        <v>150.28445623100359</v>
      </c>
      <c r="M486">
        <f t="shared" ca="1" si="161"/>
        <v>142.56454376899646</v>
      </c>
      <c r="N486">
        <f t="shared" ca="1" si="150"/>
        <v>-1.8899999999999864</v>
      </c>
      <c r="O486">
        <f t="shared" ca="1" si="151"/>
        <v>0</v>
      </c>
      <c r="P486">
        <f t="shared" ca="1" si="152"/>
        <v>1.8899999999999864</v>
      </c>
      <c r="Q486">
        <f t="shared" ca="1" si="156"/>
        <v>0.50874424383854333</v>
      </c>
      <c r="R486">
        <f t="shared" ca="1" si="157"/>
        <v>0.64364653721088216</v>
      </c>
      <c r="S486">
        <f t="shared" ca="1" si="154"/>
        <v>0.79040935424447112</v>
      </c>
      <c r="T486">
        <f t="shared" ca="1" si="155"/>
        <v>44.146851242184965</v>
      </c>
      <c r="U486">
        <f>70</f>
        <v>70</v>
      </c>
      <c r="V486">
        <f>30</f>
        <v>30</v>
      </c>
      <c r="W486">
        <f t="shared" ca="1" si="153"/>
        <v>147.03744535878783</v>
      </c>
      <c r="X486">
        <f t="shared" ca="1" si="163"/>
        <v>146.7907305787916</v>
      </c>
      <c r="Y486">
        <f t="shared" ca="1" si="162"/>
        <v>0.11616476767156314</v>
      </c>
      <c r="Z486">
        <f t="shared" ref="Z486:Z514" ca="1" si="164">Y486*(2/(9+1)) + Z485*(1-(2/(9+1)))</f>
        <v>0.24596766065835554</v>
      </c>
      <c r="AA486">
        <f t="shared" ref="AA486:AA514" ca="1" si="165">Y486-Z486</f>
        <v>-0.1298028929867924</v>
      </c>
      <c r="AB486">
        <f t="shared" ref="AB486:AB514" ca="1" si="166">AVERAGE(C387:C486)</f>
        <v>145.56440000000001</v>
      </c>
    </row>
    <row r="487" spans="1:28" x14ac:dyDescent="0.25">
      <c r="A487" s="20">
        <f t="shared" ca="1" si="146"/>
        <v>45999</v>
      </c>
      <c r="B487" vm="1425">
        <f ca="1"/>
        <v>45999</v>
      </c>
      <c r="C487" vm="1426">
        <f ca="1"/>
        <v>145.63</v>
      </c>
      <c r="D487" vm="1427">
        <f ca="1"/>
        <v>6327412</v>
      </c>
      <c r="E487">
        <f t="shared" ca="1" si="147"/>
        <v>921461009.55999994</v>
      </c>
      <c r="F487">
        <f ca="1">SUM($E$2:E487)/SUM($D$2:D487)</f>
        <v>153.45019176325164</v>
      </c>
      <c r="G487">
        <f ca="1">_xlfn.STDEV.P($C$2:C487)</f>
        <v>14.713635713987044</v>
      </c>
      <c r="H487">
        <f t="shared" ca="1" si="148"/>
        <v>168.16382747723867</v>
      </c>
      <c r="I487">
        <f t="shared" ca="1" si="149"/>
        <v>138.73655604926461</v>
      </c>
      <c r="J487">
        <f t="shared" ca="1" si="158"/>
        <v>146.55850000000001</v>
      </c>
      <c r="K487">
        <f t="shared" ca="1" si="159"/>
        <v>1.761749354895209</v>
      </c>
      <c r="L487">
        <f t="shared" ca="1" si="160"/>
        <v>150.08199870979044</v>
      </c>
      <c r="M487">
        <f t="shared" ca="1" si="161"/>
        <v>143.03500129020958</v>
      </c>
      <c r="N487">
        <f t="shared" ca="1" si="150"/>
        <v>0.60999999999998522</v>
      </c>
      <c r="O487">
        <f t="shared" ca="1" si="151"/>
        <v>0.60999999999998522</v>
      </c>
      <c r="P487">
        <f t="shared" ca="1" si="152"/>
        <v>0</v>
      </c>
      <c r="Q487">
        <f t="shared" ca="1" si="156"/>
        <v>0.51597679785007489</v>
      </c>
      <c r="R487">
        <f t="shared" ca="1" si="157"/>
        <v>0.59767178455296199</v>
      </c>
      <c r="S487">
        <f t="shared" ca="1" si="154"/>
        <v>0.86331128754222164</v>
      </c>
      <c r="T487">
        <f t="shared" ca="1" si="155"/>
        <v>46.332102065509517</v>
      </c>
      <c r="U487">
        <f>70</f>
        <v>70</v>
      </c>
      <c r="V487">
        <f>30</f>
        <v>30</v>
      </c>
      <c r="W487">
        <f t="shared" ca="1" si="153"/>
        <v>146.82091530358971</v>
      </c>
      <c r="X487">
        <f t="shared" ca="1" si="163"/>
        <v>146.70475053591815</v>
      </c>
      <c r="Y487">
        <f t="shared" ca="1" si="162"/>
        <v>-6.6416179507825746E-2</v>
      </c>
      <c r="Z487">
        <f t="shared" ca="1" si="164"/>
        <v>0.18349089262511928</v>
      </c>
      <c r="AA487">
        <f t="shared" ca="1" si="165"/>
        <v>-0.24990707213294502</v>
      </c>
      <c r="AB487">
        <f t="shared" ca="1" si="166"/>
        <v>145.56629999999998</v>
      </c>
    </row>
    <row r="488" spans="1:28" x14ac:dyDescent="0.25">
      <c r="A488" s="20">
        <f t="shared" ca="1" si="146"/>
        <v>45999</v>
      </c>
      <c r="B488" vm="1428">
        <f ca="1"/>
        <v>46000</v>
      </c>
      <c r="C488" vm="1429">
        <f ca="1"/>
        <v>144.63999999999999</v>
      </c>
      <c r="D488" vm="1430">
        <f ca="1"/>
        <v>10035178</v>
      </c>
      <c r="E488">
        <f t="shared" ca="1" si="147"/>
        <v>1451488145.9199998</v>
      </c>
      <c r="F488">
        <f ca="1">SUM($E$2:E488)/SUM($D$2:D488)</f>
        <v>153.42360684474005</v>
      </c>
      <c r="G488">
        <f ca="1">_xlfn.STDEV.P($C$2:C488)</f>
        <v>14.708445961690563</v>
      </c>
      <c r="H488">
        <f t="shared" ca="1" si="148"/>
        <v>168.13205280643061</v>
      </c>
      <c r="I488">
        <f t="shared" ca="1" si="149"/>
        <v>138.71516088304949</v>
      </c>
      <c r="J488">
        <f t="shared" ca="1" si="158"/>
        <v>146.65950000000001</v>
      </c>
      <c r="K488">
        <f t="shared" ca="1" si="159"/>
        <v>1.5717287666100279</v>
      </c>
      <c r="L488">
        <f t="shared" ca="1" si="160"/>
        <v>149.80295753322005</v>
      </c>
      <c r="M488">
        <f t="shared" ca="1" si="161"/>
        <v>143.51604246677996</v>
      </c>
      <c r="N488">
        <f t="shared" ca="1" si="150"/>
        <v>-0.99000000000000909</v>
      </c>
      <c r="O488">
        <f t="shared" ca="1" si="151"/>
        <v>0</v>
      </c>
      <c r="P488">
        <f t="shared" ca="1" si="152"/>
        <v>0.99000000000000909</v>
      </c>
      <c r="Q488">
        <f t="shared" ca="1" si="156"/>
        <v>0.47912131228935528</v>
      </c>
      <c r="R488">
        <f t="shared" ca="1" si="157"/>
        <v>0.62569522851346537</v>
      </c>
      <c r="S488">
        <f t="shared" ca="1" si="154"/>
        <v>0.76574231423764849</v>
      </c>
      <c r="T488">
        <f t="shared" ca="1" si="155"/>
        <v>43.366594777916639</v>
      </c>
      <c r="U488">
        <f>70</f>
        <v>70</v>
      </c>
      <c r="V488">
        <f>30</f>
        <v>30</v>
      </c>
      <c r="W488">
        <f t="shared" ca="1" si="153"/>
        <v>146.48538987226823</v>
      </c>
      <c r="X488">
        <f t="shared" ca="1" si="163"/>
        <v>146.55180605177605</v>
      </c>
      <c r="Y488">
        <f t="shared" ca="1" si="162"/>
        <v>0.19493967303833415</v>
      </c>
      <c r="Z488">
        <f t="shared" ca="1" si="164"/>
        <v>0.18578064870776226</v>
      </c>
      <c r="AA488">
        <f t="shared" ca="1" si="165"/>
        <v>9.159024330571891E-3</v>
      </c>
      <c r="AB488">
        <f t="shared" ca="1" si="166"/>
        <v>145.58029999999997</v>
      </c>
    </row>
    <row r="489" spans="1:28" x14ac:dyDescent="0.25">
      <c r="A489" s="20">
        <f t="shared" ca="1" si="146"/>
        <v>45999</v>
      </c>
      <c r="B489" vm="1431">
        <f ca="1"/>
        <v>46001</v>
      </c>
      <c r="C489" vm="1432">
        <f ca="1"/>
        <v>149.69999999999999</v>
      </c>
      <c r="D489" vm="1433">
        <f ca="1"/>
        <v>18526426</v>
      </c>
      <c r="E489">
        <f t="shared" ca="1" si="147"/>
        <v>2773405972.1999998</v>
      </c>
      <c r="F489">
        <f ca="1">SUM($E$2:E489)/SUM($D$2:D489)</f>
        <v>153.40297834187109</v>
      </c>
      <c r="G489">
        <f ca="1">_xlfn.STDEV.P($C$2:C489)</f>
        <v>14.696632590896025</v>
      </c>
      <c r="H489">
        <f t="shared" ca="1" si="148"/>
        <v>168.09961093276712</v>
      </c>
      <c r="I489">
        <f t="shared" ca="1" si="149"/>
        <v>138.70634575097506</v>
      </c>
      <c r="J489">
        <f t="shared" ca="1" si="158"/>
        <v>146.89049999999997</v>
      </c>
      <c r="K489">
        <f t="shared" ca="1" si="159"/>
        <v>1.6641561003450946</v>
      </c>
      <c r="L489">
        <f t="shared" ca="1" si="160"/>
        <v>150.21881220069017</v>
      </c>
      <c r="M489">
        <f t="shared" ca="1" si="161"/>
        <v>143.56218779930978</v>
      </c>
      <c r="N489">
        <f t="shared" ca="1" si="150"/>
        <v>5.0600000000000023</v>
      </c>
      <c r="O489">
        <f t="shared" ca="1" si="151"/>
        <v>5.0600000000000023</v>
      </c>
      <c r="P489">
        <f t="shared" ca="1" si="152"/>
        <v>0</v>
      </c>
      <c r="Q489">
        <f t="shared" ca="1" si="156"/>
        <v>0.80632693284011581</v>
      </c>
      <c r="R489">
        <f t="shared" ca="1" si="157"/>
        <v>0.58100271219107491</v>
      </c>
      <c r="S489">
        <f t="shared" ca="1" si="154"/>
        <v>1.3878195676562322</v>
      </c>
      <c r="T489">
        <f t="shared" ca="1" si="155"/>
        <v>58.120788792197082</v>
      </c>
      <c r="U489">
        <f>70</f>
        <v>70</v>
      </c>
      <c r="V489">
        <f>30</f>
        <v>30</v>
      </c>
      <c r="W489">
        <f t="shared" ca="1" si="153"/>
        <v>146.97994527653466</v>
      </c>
      <c r="X489">
        <f t="shared" ca="1" si="163"/>
        <v>146.78500560349633</v>
      </c>
      <c r="Y489">
        <f t="shared" ca="1" si="162"/>
        <v>0.34483454699284266</v>
      </c>
      <c r="Z489">
        <f t="shared" ca="1" si="164"/>
        <v>0.21759142836477835</v>
      </c>
      <c r="AA489">
        <f t="shared" ca="1" si="165"/>
        <v>0.12724311862806431</v>
      </c>
      <c r="AB489">
        <f t="shared" ca="1" si="166"/>
        <v>145.66029999999998</v>
      </c>
    </row>
    <row r="490" spans="1:28" x14ac:dyDescent="0.25">
      <c r="A490" s="20">
        <f t="shared" ca="1" si="146"/>
        <v>45999</v>
      </c>
      <c r="B490" vm="1434">
        <f ca="1"/>
        <v>46002</v>
      </c>
      <c r="C490" vm="1435">
        <f ca="1"/>
        <v>149.04</v>
      </c>
      <c r="D490" vm="1436">
        <f ca="1"/>
        <v>7854008</v>
      </c>
      <c r="E490">
        <f t="shared" ca="1" si="147"/>
        <v>1170561352.3199999</v>
      </c>
      <c r="F490">
        <f ca="1">SUM($E$2:E490)/SUM($D$2:D490)</f>
        <v>153.39275558893382</v>
      </c>
      <c r="G490">
        <f ca="1">_xlfn.STDEV.P($C$2:C490)</f>
        <v>14.685501983947976</v>
      </c>
      <c r="H490">
        <f t="shared" ca="1" si="148"/>
        <v>168.0782575728818</v>
      </c>
      <c r="I490">
        <f t="shared" ca="1" si="149"/>
        <v>138.70725360498585</v>
      </c>
      <c r="J490">
        <f t="shared" ca="1" si="158"/>
        <v>147.12299999999999</v>
      </c>
      <c r="K490">
        <f t="shared" ca="1" si="159"/>
        <v>1.6206824423517909</v>
      </c>
      <c r="L490">
        <f t="shared" ca="1" si="160"/>
        <v>150.36436488470358</v>
      </c>
      <c r="M490">
        <f t="shared" ca="1" si="161"/>
        <v>143.8816351152964</v>
      </c>
      <c r="N490">
        <f t="shared" ca="1" si="150"/>
        <v>-0.65999999999999659</v>
      </c>
      <c r="O490">
        <f t="shared" ca="1" si="151"/>
        <v>0</v>
      </c>
      <c r="P490">
        <f t="shared" ca="1" si="152"/>
        <v>0.65999999999999659</v>
      </c>
      <c r="Q490">
        <f t="shared" ca="1" si="156"/>
        <v>0.74873215192296461</v>
      </c>
      <c r="R490">
        <f t="shared" ca="1" si="157"/>
        <v>0.58664537560599783</v>
      </c>
      <c r="S490">
        <f t="shared" ca="1" si="154"/>
        <v>1.2762943049700732</v>
      </c>
      <c r="T490">
        <f t="shared" ca="1" si="155"/>
        <v>56.068949528336709</v>
      </c>
      <c r="U490">
        <f>70</f>
        <v>70</v>
      </c>
      <c r="V490">
        <f>30</f>
        <v>30</v>
      </c>
      <c r="W490">
        <f t="shared" ca="1" si="153"/>
        <v>147.29687677245241</v>
      </c>
      <c r="X490">
        <f t="shared" ca="1" si="163"/>
        <v>146.95204222545956</v>
      </c>
      <c r="Y490">
        <f t="shared" ca="1" si="162"/>
        <v>0.58677686080912395</v>
      </c>
      <c r="Z490">
        <f t="shared" ca="1" si="164"/>
        <v>0.29142851485364751</v>
      </c>
      <c r="AA490">
        <f t="shared" ca="1" si="165"/>
        <v>0.29534834595547643</v>
      </c>
      <c r="AB490">
        <f t="shared" ca="1" si="166"/>
        <v>145.69030000000001</v>
      </c>
    </row>
    <row r="491" spans="1:28" x14ac:dyDescent="0.25">
      <c r="A491" s="20">
        <f t="shared" ca="1" si="146"/>
        <v>45999</v>
      </c>
      <c r="B491" vm="1437">
        <f ca="1"/>
        <v>46003</v>
      </c>
      <c r="C491" vm="1438">
        <f ca="1"/>
        <v>150.65</v>
      </c>
      <c r="D491" vm="1439">
        <f ca="1"/>
        <v>8143100</v>
      </c>
      <c r="E491">
        <f t="shared" ca="1" si="147"/>
        <v>1226758015</v>
      </c>
      <c r="F491">
        <f ca="1">SUM($E$2:E491)/SUM($D$2:D491)</f>
        <v>153.38610872806797</v>
      </c>
      <c r="G491">
        <f ca="1">_xlfn.STDEV.P($C$2:C491)</f>
        <v>14.672900848544723</v>
      </c>
      <c r="H491">
        <f t="shared" ca="1" si="148"/>
        <v>168.05900957661268</v>
      </c>
      <c r="I491">
        <f t="shared" ca="1" si="149"/>
        <v>138.71320787952325</v>
      </c>
      <c r="J491">
        <f t="shared" ca="1" si="158"/>
        <v>147.40450000000001</v>
      </c>
      <c r="K491">
        <f t="shared" ca="1" si="159"/>
        <v>1.7219617790244512</v>
      </c>
      <c r="L491">
        <f t="shared" ca="1" si="160"/>
        <v>150.84842355804892</v>
      </c>
      <c r="M491">
        <f t="shared" ca="1" si="161"/>
        <v>143.9605764419511</v>
      </c>
      <c r="N491">
        <f t="shared" ca="1" si="150"/>
        <v>1.6100000000000136</v>
      </c>
      <c r="O491">
        <f t="shared" ca="1" si="151"/>
        <v>1.6100000000000136</v>
      </c>
      <c r="P491">
        <f t="shared" ca="1" si="152"/>
        <v>0</v>
      </c>
      <c r="Q491">
        <f t="shared" ca="1" si="156"/>
        <v>0.81025128392846812</v>
      </c>
      <c r="R491">
        <f t="shared" ca="1" si="157"/>
        <v>0.54474213449128372</v>
      </c>
      <c r="S491">
        <f t="shared" ca="1" si="154"/>
        <v>1.487403365052961</v>
      </c>
      <c r="T491">
        <f t="shared" ca="1" si="155"/>
        <v>59.797433176717263</v>
      </c>
      <c r="U491">
        <f>70</f>
        <v>70</v>
      </c>
      <c r="V491">
        <f>30</f>
        <v>30</v>
      </c>
      <c r="W491">
        <f t="shared" ca="1" si="153"/>
        <v>147.8127418843828</v>
      </c>
      <c r="X491">
        <f t="shared" ca="1" si="163"/>
        <v>147.22596502357368</v>
      </c>
      <c r="Y491">
        <f t="shared" ca="1" si="162"/>
        <v>0.81511597435965655</v>
      </c>
      <c r="Z491">
        <f t="shared" ca="1" si="164"/>
        <v>0.39616600675484936</v>
      </c>
      <c r="AA491">
        <f t="shared" ca="1" si="165"/>
        <v>0.41894996760480718</v>
      </c>
      <c r="AB491">
        <f t="shared" ca="1" si="166"/>
        <v>145.74020000000002</v>
      </c>
    </row>
    <row r="492" spans="1:28" x14ac:dyDescent="0.25">
      <c r="A492" s="20">
        <f t="shared" ca="1" si="146"/>
        <v>46006</v>
      </c>
      <c r="B492" vm="1440">
        <f ca="1"/>
        <v>46006</v>
      </c>
      <c r="C492" vm="1441">
        <f ca="1"/>
        <v>151.22</v>
      </c>
      <c r="D492" vm="1442">
        <f ca="1"/>
        <v>8409625</v>
      </c>
      <c r="E492">
        <f t="shared" ca="1" si="147"/>
        <v>1271703492.5</v>
      </c>
      <c r="F492">
        <f ca="1">SUM($E$2:E492)/SUM($D$2:D492)</f>
        <v>153.38070104757279</v>
      </c>
      <c r="G492">
        <f ca="1">_xlfn.STDEV.P($C$2:C492)</f>
        <v>14.659890117009407</v>
      </c>
      <c r="H492">
        <f t="shared" ca="1" si="148"/>
        <v>168.0405911645822</v>
      </c>
      <c r="I492">
        <f t="shared" ca="1" si="149"/>
        <v>138.72081093056337</v>
      </c>
      <c r="J492">
        <f t="shared" ca="1" si="158"/>
        <v>147.673</v>
      </c>
      <c r="K492">
        <f t="shared" ca="1" si="159"/>
        <v>1.8783758381840634</v>
      </c>
      <c r="L492">
        <f t="shared" ca="1" si="160"/>
        <v>151.42975167636814</v>
      </c>
      <c r="M492">
        <f t="shared" ca="1" si="161"/>
        <v>143.91624832363186</v>
      </c>
      <c r="N492">
        <f t="shared" ca="1" si="150"/>
        <v>0.56999999999999318</v>
      </c>
      <c r="O492">
        <f t="shared" ca="1" si="151"/>
        <v>0.56999999999999318</v>
      </c>
      <c r="P492">
        <f t="shared" ca="1" si="152"/>
        <v>0</v>
      </c>
      <c r="Q492">
        <f t="shared" ca="1" si="156"/>
        <v>0.79309047793357712</v>
      </c>
      <c r="R492">
        <f t="shared" ca="1" si="157"/>
        <v>0.50583198202762059</v>
      </c>
      <c r="S492">
        <f t="shared" ca="1" si="154"/>
        <v>1.5678931070243616</v>
      </c>
      <c r="T492">
        <f t="shared" ca="1" si="155"/>
        <v>61.057569052833905</v>
      </c>
      <c r="U492">
        <f>70</f>
        <v>70</v>
      </c>
      <c r="V492">
        <f>30</f>
        <v>30</v>
      </c>
      <c r="W492">
        <f t="shared" ca="1" si="153"/>
        <v>148.33693544063161</v>
      </c>
      <c r="X492">
        <f t="shared" ca="1" si="163"/>
        <v>147.52181946627195</v>
      </c>
      <c r="Y492">
        <f t="shared" ca="1" si="162"/>
        <v>0.91691880150770544</v>
      </c>
      <c r="Z492">
        <f t="shared" ca="1" si="164"/>
        <v>0.5003165657054206</v>
      </c>
      <c r="AA492">
        <f t="shared" ca="1" si="165"/>
        <v>0.41660223580228484</v>
      </c>
      <c r="AB492">
        <f t="shared" ca="1" si="166"/>
        <v>145.8073</v>
      </c>
    </row>
    <row r="493" spans="1:28" x14ac:dyDescent="0.25">
      <c r="A493" s="20">
        <f t="shared" ca="1" si="146"/>
        <v>46006</v>
      </c>
      <c r="B493" vm="1443">
        <f ca="1"/>
        <v>46007</v>
      </c>
      <c r="C493" vm="792">
        <f ca="1"/>
        <v>150.37</v>
      </c>
      <c r="D493" vm="1444">
        <f ca="1"/>
        <v>7520334</v>
      </c>
      <c r="E493">
        <f t="shared" ca="1" si="147"/>
        <v>1130832623.5799999</v>
      </c>
      <c r="F493">
        <f ca="1">SUM($E$2:E493)/SUM($D$2:D493)</f>
        <v>153.37399463259422</v>
      </c>
      <c r="G493">
        <f ca="1">_xlfn.STDEV.P($C$2:C493)</f>
        <v>14.647584152132362</v>
      </c>
      <c r="H493">
        <f t="shared" ca="1" si="148"/>
        <v>168.02157878472659</v>
      </c>
      <c r="I493">
        <f t="shared" ca="1" si="149"/>
        <v>138.72641048046185</v>
      </c>
      <c r="J493">
        <f t="shared" ca="1" si="158"/>
        <v>147.79999999999998</v>
      </c>
      <c r="K493">
        <f t="shared" ca="1" si="159"/>
        <v>1.973031330612605</v>
      </c>
      <c r="L493">
        <f t="shared" ca="1" si="160"/>
        <v>151.74606266122518</v>
      </c>
      <c r="M493">
        <f t="shared" ca="1" si="161"/>
        <v>143.85393733877478</v>
      </c>
      <c r="N493">
        <f t="shared" ca="1" si="150"/>
        <v>-0.84999999999999432</v>
      </c>
      <c r="O493">
        <f t="shared" ca="1" si="151"/>
        <v>0</v>
      </c>
      <c r="P493">
        <f t="shared" ca="1" si="152"/>
        <v>0.84999999999999432</v>
      </c>
      <c r="Q493">
        <f t="shared" ca="1" si="156"/>
        <v>0.73644115808117872</v>
      </c>
      <c r="R493">
        <f t="shared" ca="1" si="157"/>
        <v>0.53041541188279007</v>
      </c>
      <c r="S493">
        <f t="shared" ca="1" si="154"/>
        <v>1.3884233783235465</v>
      </c>
      <c r="T493">
        <f t="shared" ca="1" si="155"/>
        <v>58.131376159033074</v>
      </c>
      <c r="U493">
        <f>70</f>
        <v>70</v>
      </c>
      <c r="V493">
        <f>30</f>
        <v>30</v>
      </c>
      <c r="W493">
        <f t="shared" ca="1" si="153"/>
        <v>148.64971460361136</v>
      </c>
      <c r="X493">
        <f t="shared" ca="1" si="163"/>
        <v>147.73279580210365</v>
      </c>
      <c r="Y493">
        <f t="shared" ca="1" si="162"/>
        <v>0.96309573102246304</v>
      </c>
      <c r="Z493">
        <f t="shared" ca="1" si="164"/>
        <v>0.59287239876882913</v>
      </c>
      <c r="AA493">
        <f t="shared" ca="1" si="165"/>
        <v>0.37022333225363391</v>
      </c>
      <c r="AB493">
        <f t="shared" ca="1" si="166"/>
        <v>145.87649999999999</v>
      </c>
    </row>
    <row r="494" spans="1:28" x14ac:dyDescent="0.25">
      <c r="A494" s="20">
        <f t="shared" ca="1" si="146"/>
        <v>46006</v>
      </c>
      <c r="B494" vm="1445">
        <f ca="1"/>
        <v>46008</v>
      </c>
      <c r="C494" vm="1309">
        <f ca="1"/>
        <v>150.08000000000001</v>
      </c>
      <c r="D494" vm="1446">
        <f ca="1"/>
        <v>8067133</v>
      </c>
      <c r="E494">
        <f t="shared" ca="1" si="147"/>
        <v>1210715320.6400001</v>
      </c>
      <c r="F494">
        <f ca="1">SUM($E$2:E494)/SUM($D$2:D494)</f>
        <v>153.36614243425865</v>
      </c>
      <c r="G494">
        <f ca="1">_xlfn.STDEV.P($C$2:C494)</f>
        <v>14.635558386476808</v>
      </c>
      <c r="H494">
        <f t="shared" ca="1" si="148"/>
        <v>168.00170082073546</v>
      </c>
      <c r="I494">
        <f t="shared" ca="1" si="149"/>
        <v>138.73058404778183</v>
      </c>
      <c r="J494">
        <f t="shared" ca="1" si="158"/>
        <v>147.86549999999997</v>
      </c>
      <c r="K494">
        <f t="shared" ca="1" si="159"/>
        <v>2.0279091513960363</v>
      </c>
      <c r="L494">
        <f t="shared" ca="1" si="160"/>
        <v>151.92131830279203</v>
      </c>
      <c r="M494">
        <f t="shared" ca="1" si="161"/>
        <v>143.80968169720791</v>
      </c>
      <c r="N494">
        <f t="shared" ca="1" si="150"/>
        <v>-0.28999999999999204</v>
      </c>
      <c r="O494">
        <f t="shared" ca="1" si="151"/>
        <v>0</v>
      </c>
      <c r="P494">
        <f t="shared" ca="1" si="152"/>
        <v>0.28999999999999204</v>
      </c>
      <c r="Q494">
        <f t="shared" ca="1" si="156"/>
        <v>0.68383821821823731</v>
      </c>
      <c r="R494">
        <f t="shared" ca="1" si="157"/>
        <v>0.5132428824625902</v>
      </c>
      <c r="S494">
        <f t="shared" ca="1" si="154"/>
        <v>1.3323871437575789</v>
      </c>
      <c r="T494">
        <f t="shared" ca="1" si="155"/>
        <v>57.12547110043851</v>
      </c>
      <c r="U494">
        <f>70</f>
        <v>70</v>
      </c>
      <c r="V494">
        <f>30</f>
        <v>30</v>
      </c>
      <c r="W494">
        <f t="shared" ca="1" si="153"/>
        <v>148.86975851074808</v>
      </c>
      <c r="X494">
        <f t="shared" ca="1" si="163"/>
        <v>147.90666277972562</v>
      </c>
      <c r="Y494">
        <f t="shared" ca="1" si="162"/>
        <v>0.93166061048819415</v>
      </c>
      <c r="Z494">
        <f t="shared" ca="1" si="164"/>
        <v>0.66063004111270218</v>
      </c>
      <c r="AA494">
        <f t="shared" ca="1" si="165"/>
        <v>0.27103056937549197</v>
      </c>
      <c r="AB494">
        <f t="shared" ca="1" si="166"/>
        <v>145.9616</v>
      </c>
    </row>
    <row r="495" spans="1:28" x14ac:dyDescent="0.25">
      <c r="A495" s="20">
        <f t="shared" ca="1" si="146"/>
        <v>46006</v>
      </c>
      <c r="B495" vm="1447">
        <f ca="1"/>
        <v>46009</v>
      </c>
      <c r="C495" vm="1448">
        <f ca="1"/>
        <v>149.37</v>
      </c>
      <c r="D495" vm="1449">
        <f ca="1"/>
        <v>6643173</v>
      </c>
      <c r="E495">
        <f t="shared" ca="1" si="147"/>
        <v>992290751.00999999</v>
      </c>
      <c r="F495">
        <f ca="1">SUM($E$2:E495)/SUM($D$2:D495)</f>
        <v>153.35831329559213</v>
      </c>
      <c r="G495">
        <f ca="1">_xlfn.STDEV.P($C$2:C495)</f>
        <v>14.624221764145535</v>
      </c>
      <c r="H495">
        <f t="shared" ca="1" si="148"/>
        <v>167.98253505973767</v>
      </c>
      <c r="I495">
        <f t="shared" ca="1" si="149"/>
        <v>138.73409153144658</v>
      </c>
      <c r="J495">
        <f t="shared" ca="1" si="158"/>
        <v>147.97849999999997</v>
      </c>
      <c r="K495">
        <f t="shared" ca="1" si="159"/>
        <v>2.0464764969653526</v>
      </c>
      <c r="L495">
        <f t="shared" ca="1" si="160"/>
        <v>152.07145299393068</v>
      </c>
      <c r="M495">
        <f t="shared" ca="1" si="161"/>
        <v>143.88554700606926</v>
      </c>
      <c r="N495">
        <f t="shared" ca="1" si="150"/>
        <v>-0.71000000000000796</v>
      </c>
      <c r="O495">
        <f t="shared" ca="1" si="151"/>
        <v>0</v>
      </c>
      <c r="P495">
        <f t="shared" ca="1" si="152"/>
        <v>0.71000000000000796</v>
      </c>
      <c r="Q495">
        <f t="shared" ca="1" si="156"/>
        <v>0.63499263120264893</v>
      </c>
      <c r="R495">
        <f t="shared" ca="1" si="157"/>
        <v>0.52729696228669154</v>
      </c>
      <c r="S495">
        <f t="shared" ca="1" si="154"/>
        <v>1.2042410190434649</v>
      </c>
      <c r="T495">
        <f t="shared" ca="1" si="155"/>
        <v>54.632910314229065</v>
      </c>
      <c r="U495">
        <f>70</f>
        <v>70</v>
      </c>
      <c r="V495">
        <f>30</f>
        <v>30</v>
      </c>
      <c r="W495">
        <f t="shared" ca="1" si="153"/>
        <v>148.94671873986377</v>
      </c>
      <c r="X495">
        <f t="shared" ca="1" si="163"/>
        <v>148.01505812937557</v>
      </c>
      <c r="Y495">
        <f t="shared" ca="1" si="162"/>
        <v>0.79989052334039457</v>
      </c>
      <c r="Z495">
        <f t="shared" ca="1" si="164"/>
        <v>0.68848213755824073</v>
      </c>
      <c r="AA495">
        <f t="shared" ca="1" si="165"/>
        <v>0.11140838578215384</v>
      </c>
      <c r="AB495">
        <f t="shared" ca="1" si="166"/>
        <v>146.0164</v>
      </c>
    </row>
    <row r="496" spans="1:28" x14ac:dyDescent="0.25">
      <c r="A496" s="20">
        <f t="shared" ca="1" si="146"/>
        <v>46006</v>
      </c>
      <c r="B496" vm="1450">
        <f ca="1"/>
        <v>46010</v>
      </c>
      <c r="C496" vm="1451">
        <f ca="1"/>
        <v>148.16</v>
      </c>
      <c r="D496" vm="1452">
        <f ca="1"/>
        <v>17543516</v>
      </c>
      <c r="E496">
        <f t="shared" ca="1" si="147"/>
        <v>2599247330.5599999</v>
      </c>
      <c r="F496">
        <f ca="1">SUM($E$2:E496)/SUM($D$2:D496)</f>
        <v>153.33155642193651</v>
      </c>
      <c r="G496">
        <f ca="1">_xlfn.STDEV.P($C$2:C496)</f>
        <v>14.614192310527901</v>
      </c>
      <c r="H496">
        <f t="shared" ca="1" si="148"/>
        <v>167.94574873246441</v>
      </c>
      <c r="I496">
        <f t="shared" ca="1" si="149"/>
        <v>138.71736411140861</v>
      </c>
      <c r="J496">
        <f t="shared" ca="1" si="158"/>
        <v>148.08149999999998</v>
      </c>
      <c r="K496">
        <f t="shared" ca="1" si="159"/>
        <v>1.9982262529290162</v>
      </c>
      <c r="L496">
        <f t="shared" ca="1" si="160"/>
        <v>152.07795250585801</v>
      </c>
      <c r="M496">
        <f t="shared" ca="1" si="161"/>
        <v>144.08504749414195</v>
      </c>
      <c r="N496">
        <f t="shared" ca="1" si="150"/>
        <v>-1.210000000000008</v>
      </c>
      <c r="O496">
        <f t="shared" ca="1" si="151"/>
        <v>0</v>
      </c>
      <c r="P496">
        <f t="shared" ca="1" si="152"/>
        <v>1.210000000000008</v>
      </c>
      <c r="Q496">
        <f t="shared" ca="1" si="156"/>
        <v>0.58963601468817395</v>
      </c>
      <c r="R496">
        <f t="shared" ca="1" si="157"/>
        <v>0.57606146498049982</v>
      </c>
      <c r="S496">
        <f t="shared" ca="1" si="154"/>
        <v>1.0235644120165781</v>
      </c>
      <c r="T496">
        <f t="shared" ca="1" si="155"/>
        <v>50.582250109673929</v>
      </c>
      <c r="U496">
        <f>70</f>
        <v>70</v>
      </c>
      <c r="V496">
        <f>30</f>
        <v>30</v>
      </c>
      <c r="W496">
        <f t="shared" ca="1" si="153"/>
        <v>148.82568508757703</v>
      </c>
      <c r="X496">
        <f t="shared" ca="1" si="163"/>
        <v>148.02579456423663</v>
      </c>
      <c r="Y496">
        <f t="shared" ca="1" si="162"/>
        <v>0.59898928100705007</v>
      </c>
      <c r="Z496">
        <f t="shared" ca="1" si="164"/>
        <v>0.67058356624800264</v>
      </c>
      <c r="AA496">
        <f t="shared" ca="1" si="165"/>
        <v>-7.1594285240952571E-2</v>
      </c>
      <c r="AB496">
        <f t="shared" ca="1" si="166"/>
        <v>146.06940000000003</v>
      </c>
    </row>
    <row r="497" spans="1:28" x14ac:dyDescent="0.25">
      <c r="A497" s="20">
        <f t="shared" ca="1" si="146"/>
        <v>46013</v>
      </c>
      <c r="B497" vm="1453">
        <f ca="1"/>
        <v>46013</v>
      </c>
      <c r="C497" vm="1454">
        <f ca="1"/>
        <v>147.05000000000001</v>
      </c>
      <c r="D497" vm="1455">
        <f ca="1"/>
        <v>8818726</v>
      </c>
      <c r="E497">
        <f t="shared" ca="1" si="147"/>
        <v>1296793658.3000002</v>
      </c>
      <c r="F497">
        <f ca="1">SUM($E$2:E497)/SUM($D$2:D497)</f>
        <v>153.31534552084744</v>
      </c>
      <c r="G497">
        <f ca="1">_xlfn.STDEV.P($C$2:C497)</f>
        <v>14.605528517609681</v>
      </c>
      <c r="H497">
        <f t="shared" ca="1" si="148"/>
        <v>167.92087403845713</v>
      </c>
      <c r="I497">
        <f t="shared" ca="1" si="149"/>
        <v>138.70981700323776</v>
      </c>
      <c r="J497">
        <f t="shared" ca="1" si="158"/>
        <v>148.11749999999998</v>
      </c>
      <c r="K497">
        <f t="shared" ca="1" si="159"/>
        <v>1.9713150166162801</v>
      </c>
      <c r="L497">
        <f t="shared" ca="1" si="160"/>
        <v>152.06013003323253</v>
      </c>
      <c r="M497">
        <f t="shared" ca="1" si="161"/>
        <v>144.17486996676743</v>
      </c>
      <c r="N497">
        <f t="shared" ca="1" si="150"/>
        <v>-1.1099999999999852</v>
      </c>
      <c r="O497">
        <f t="shared" ca="1" si="151"/>
        <v>0</v>
      </c>
      <c r="P497">
        <f t="shared" ca="1" si="152"/>
        <v>1.1099999999999852</v>
      </c>
      <c r="Q497">
        <f t="shared" ca="1" si="156"/>
        <v>0.54751915649616156</v>
      </c>
      <c r="R497">
        <f t="shared" ca="1" si="157"/>
        <v>0.61419993176760579</v>
      </c>
      <c r="S497">
        <f t="shared" ca="1" si="154"/>
        <v>0.89143474002098366</v>
      </c>
      <c r="T497">
        <f t="shared" ca="1" si="155"/>
        <v>47.130081792359064</v>
      </c>
      <c r="U497">
        <f>70</f>
        <v>70</v>
      </c>
      <c r="V497">
        <f>30</f>
        <v>30</v>
      </c>
      <c r="W497">
        <f t="shared" ca="1" si="153"/>
        <v>148.55250276641135</v>
      </c>
      <c r="X497">
        <f t="shared" ca="1" si="163"/>
        <v>147.9535134854043</v>
      </c>
      <c r="Y497">
        <f t="shared" ca="1" si="162"/>
        <v>0.16593002526428791</v>
      </c>
      <c r="Z497">
        <f t="shared" ca="1" si="164"/>
        <v>0.56965285805125976</v>
      </c>
      <c r="AA497">
        <f t="shared" ca="1" si="165"/>
        <v>-0.40372283278697185</v>
      </c>
      <c r="AB497">
        <f t="shared" ca="1" si="166"/>
        <v>146.16070000000002</v>
      </c>
    </row>
    <row r="498" spans="1:28" x14ac:dyDescent="0.25">
      <c r="A498" s="20">
        <f t="shared" ca="1" si="146"/>
        <v>46013</v>
      </c>
      <c r="B498" vm="1456">
        <f ca="1"/>
        <v>46014</v>
      </c>
      <c r="C498" vm="1457">
        <f ca="1"/>
        <v>143.68</v>
      </c>
      <c r="D498" vm="1458">
        <f ca="1"/>
        <v>7254772</v>
      </c>
      <c r="E498">
        <f t="shared" ca="1" si="147"/>
        <v>1042365640.96</v>
      </c>
      <c r="F498">
        <f ca="1">SUM($E$2:E498)/SUM($D$2:D498)</f>
        <v>153.29493265147377</v>
      </c>
      <c r="G498">
        <f ca="1">_xlfn.STDEV.P($C$2:C498)</f>
        <v>14.601995107464628</v>
      </c>
      <c r="H498">
        <f t="shared" ca="1" si="148"/>
        <v>167.8969277589384</v>
      </c>
      <c r="I498">
        <f t="shared" ca="1" si="149"/>
        <v>138.69293754400914</v>
      </c>
      <c r="J498">
        <f t="shared" ca="1" si="158"/>
        <v>148.0265</v>
      </c>
      <c r="K498">
        <f t="shared" ca="1" si="159"/>
        <v>2.133813672623194</v>
      </c>
      <c r="L498">
        <f t="shared" ca="1" si="160"/>
        <v>152.29412734524638</v>
      </c>
      <c r="M498">
        <f t="shared" ca="1" si="161"/>
        <v>143.75887265475362</v>
      </c>
      <c r="N498">
        <f t="shared" ca="1" si="150"/>
        <v>-3.3700000000000045</v>
      </c>
      <c r="O498">
        <f t="shared" ca="1" si="151"/>
        <v>0</v>
      </c>
      <c r="P498">
        <f t="shared" ca="1" si="152"/>
        <v>3.3700000000000045</v>
      </c>
      <c r="Q498">
        <f t="shared" ca="1" si="156"/>
        <v>0.50841064531786428</v>
      </c>
      <c r="R498">
        <f t="shared" ca="1" si="157"/>
        <v>0.81104279378420574</v>
      </c>
      <c r="S498">
        <f t="shared" ca="1" si="154"/>
        <v>0.62686044338757441</v>
      </c>
      <c r="T498">
        <f t="shared" ca="1" si="155"/>
        <v>38.531912551901328</v>
      </c>
      <c r="U498">
        <f>70</f>
        <v>70</v>
      </c>
      <c r="V498">
        <f>30</f>
        <v>30</v>
      </c>
      <c r="W498">
        <f t="shared" ca="1" si="153"/>
        <v>147.80288695619421</v>
      </c>
      <c r="X498">
        <f t="shared" ca="1" si="163"/>
        <v>147.63695693092993</v>
      </c>
      <c r="Y498">
        <f t="shared" ca="1" si="162"/>
        <v>-0.17046603009271166</v>
      </c>
      <c r="Z498">
        <f t="shared" ca="1" si="164"/>
        <v>0.4216290804224655</v>
      </c>
      <c r="AA498">
        <f t="shared" ca="1" si="165"/>
        <v>-0.59209511051517716</v>
      </c>
      <c r="AB498">
        <f t="shared" ca="1" si="166"/>
        <v>146.2047</v>
      </c>
    </row>
    <row r="499" spans="1:28" x14ac:dyDescent="0.25">
      <c r="A499" s="20">
        <f t="shared" ca="1" si="146"/>
        <v>46013</v>
      </c>
      <c r="B499" vm="1459">
        <f ca="1"/>
        <v>46015</v>
      </c>
      <c r="C499" vm="1460">
        <f ca="1"/>
        <v>143.74</v>
      </c>
      <c r="D499" vm="1461">
        <f ca="1"/>
        <v>2618700</v>
      </c>
      <c r="E499">
        <f t="shared" ca="1" si="147"/>
        <v>376411938</v>
      </c>
      <c r="F499">
        <f ca="1">SUM($E$2:E499)/SUM($D$2:D499)</f>
        <v>153.2876314490405</v>
      </c>
      <c r="G499">
        <f ca="1">_xlfn.STDEV.P($C$2:C499)</f>
        <v>14.598325792839253</v>
      </c>
      <c r="H499">
        <f t="shared" ca="1" si="148"/>
        <v>167.88595724187977</v>
      </c>
      <c r="I499">
        <f t="shared" ca="1" si="149"/>
        <v>138.68930565620124</v>
      </c>
      <c r="J499">
        <f t="shared" ca="1" si="158"/>
        <v>147.90799999999999</v>
      </c>
      <c r="K499">
        <f t="shared" ca="1" si="159"/>
        <v>2.304804135987081</v>
      </c>
      <c r="L499">
        <f t="shared" ca="1" si="160"/>
        <v>152.51760827197415</v>
      </c>
      <c r="M499">
        <f t="shared" ca="1" si="161"/>
        <v>143.29839172802582</v>
      </c>
      <c r="N499">
        <f t="shared" ca="1" si="150"/>
        <v>6.0000000000002274E-2</v>
      </c>
      <c r="O499">
        <f t="shared" ca="1" si="151"/>
        <v>6.0000000000002274E-2</v>
      </c>
      <c r="P499">
        <f t="shared" ca="1" si="152"/>
        <v>0</v>
      </c>
      <c r="Q499">
        <f t="shared" ca="1" si="156"/>
        <v>0.47638131350944557</v>
      </c>
      <c r="R499">
        <f t="shared" ca="1" si="157"/>
        <v>0.7531111656567625</v>
      </c>
      <c r="S499">
        <f t="shared" ca="1" si="154"/>
        <v>0.63255112290628401</v>
      </c>
      <c r="T499">
        <f t="shared" ca="1" si="155"/>
        <v>38.746175481488763</v>
      </c>
      <c r="U499">
        <f>70</f>
        <v>70</v>
      </c>
      <c r="V499">
        <f>30</f>
        <v>30</v>
      </c>
      <c r="W499">
        <f t="shared" ca="1" si="153"/>
        <v>147.17782742447204</v>
      </c>
      <c r="X499">
        <f t="shared" ca="1" si="163"/>
        <v>147.34829345456475</v>
      </c>
      <c r="Y499">
        <f t="shared" ca="1" si="162"/>
        <v>-0.42889067710925133</v>
      </c>
      <c r="Z499">
        <f t="shared" ca="1" si="164"/>
        <v>0.25152512891612216</v>
      </c>
      <c r="AA499">
        <f t="shared" ca="1" si="165"/>
        <v>-0.68041580602537355</v>
      </c>
      <c r="AB499">
        <f t="shared" ca="1" si="166"/>
        <v>146.24650000000003</v>
      </c>
    </row>
    <row r="500" spans="1:28" x14ac:dyDescent="0.25">
      <c r="A500" s="20">
        <f t="shared" ca="1" si="146"/>
        <v>46013</v>
      </c>
      <c r="B500" vm="1462">
        <f ca="1"/>
        <v>46017</v>
      </c>
      <c r="C500" vm="1463">
        <f ca="1"/>
        <v>143.78</v>
      </c>
      <c r="D500" vm="1464">
        <f ca="1"/>
        <v>4975533</v>
      </c>
      <c r="E500">
        <f t="shared" ca="1" si="147"/>
        <v>715382134.74000001</v>
      </c>
      <c r="F500">
        <f ca="1">SUM($E$2:E500)/SUM($D$2:D500)</f>
        <v>153.2738478418039</v>
      </c>
      <c r="G500">
        <f ca="1">_xlfn.STDEV.P($C$2:C500)</f>
        <v>14.594557152807072</v>
      </c>
      <c r="H500">
        <f t="shared" ca="1" si="148"/>
        <v>167.86840499461098</v>
      </c>
      <c r="I500">
        <f t="shared" ca="1" si="149"/>
        <v>138.67929068899682</v>
      </c>
      <c r="J500">
        <f t="shared" ca="1" si="158"/>
        <v>147.69799999999998</v>
      </c>
      <c r="K500">
        <f t="shared" ca="1" si="159"/>
        <v>2.4823961259871052</v>
      </c>
      <c r="L500">
        <f t="shared" ca="1" si="160"/>
        <v>152.6627922519742</v>
      </c>
      <c r="M500">
        <f t="shared" ca="1" si="161"/>
        <v>142.73320774802576</v>
      </c>
      <c r="N500">
        <f t="shared" ca="1" si="150"/>
        <v>3.9999999999992042E-2</v>
      </c>
      <c r="O500">
        <f t="shared" ca="1" si="151"/>
        <v>3.9999999999992042E-2</v>
      </c>
      <c r="P500">
        <f t="shared" ca="1" si="152"/>
        <v>0</v>
      </c>
      <c r="Q500">
        <f t="shared" ca="1" si="156"/>
        <v>0.44521121968734173</v>
      </c>
      <c r="R500">
        <f t="shared" ca="1" si="157"/>
        <v>0.69931751096699379</v>
      </c>
      <c r="S500">
        <f t="shared" ca="1" si="154"/>
        <v>0.63663673897099748</v>
      </c>
      <c r="T500">
        <f t="shared" ca="1" si="155"/>
        <v>38.899086389278423</v>
      </c>
      <c r="U500">
        <f>70</f>
        <v>70</v>
      </c>
      <c r="V500">
        <f>30</f>
        <v>30</v>
      </c>
      <c r="W500">
        <f t="shared" ca="1" si="153"/>
        <v>146.65508474378404</v>
      </c>
      <c r="X500">
        <f t="shared" ca="1" si="163"/>
        <v>147.0839754208933</v>
      </c>
      <c r="Y500">
        <f t="shared" ca="1" si="162"/>
        <v>-0.58977733016084244</v>
      </c>
      <c r="Z500">
        <f t="shared" ca="1" si="164"/>
        <v>8.3264637100729233E-2</v>
      </c>
      <c r="AA500">
        <f t="shared" ca="1" si="165"/>
        <v>-0.67304196726157173</v>
      </c>
      <c r="AB500">
        <f t="shared" ca="1" si="166"/>
        <v>146.28980000000004</v>
      </c>
    </row>
    <row r="501" spans="1:28" x14ac:dyDescent="0.25">
      <c r="A501" s="20">
        <f t="shared" ca="1" si="146"/>
        <v>46020</v>
      </c>
      <c r="B501" vm="1465">
        <f ca="1"/>
        <v>46020</v>
      </c>
      <c r="C501" vm="1466">
        <f ca="1"/>
        <v>144.24</v>
      </c>
      <c r="D501" vm="1467">
        <f ca="1"/>
        <v>7201890</v>
      </c>
      <c r="E501">
        <f t="shared" ca="1" si="147"/>
        <v>1038800613.6</v>
      </c>
      <c r="F501">
        <f ca="1">SUM($E$2:E501)/SUM($D$2:D501)</f>
        <v>153.25493051322829</v>
      </c>
      <c r="G501">
        <f ca="1">_xlfn.STDEV.P($C$2:C501)</f>
        <v>14.589982974805002</v>
      </c>
      <c r="H501">
        <f t="shared" ca="1" si="148"/>
        <v>167.84491348803328</v>
      </c>
      <c r="I501">
        <f t="shared" ca="1" si="149"/>
        <v>138.66494753842329</v>
      </c>
      <c r="J501">
        <f t="shared" ca="1" si="158"/>
        <v>147.47300000000001</v>
      </c>
      <c r="K501">
        <f t="shared" ca="1" si="159"/>
        <v>2.5848039730214287</v>
      </c>
      <c r="L501">
        <f t="shared" ca="1" si="160"/>
        <v>152.64260794604286</v>
      </c>
      <c r="M501">
        <f t="shared" ca="1" si="161"/>
        <v>142.30339205395717</v>
      </c>
      <c r="N501">
        <f t="shared" ca="1" si="150"/>
        <v>0.46000000000000796</v>
      </c>
      <c r="O501">
        <f t="shared" ca="1" si="151"/>
        <v>0.46000000000000796</v>
      </c>
      <c r="P501">
        <f t="shared" ca="1" si="152"/>
        <v>0</v>
      </c>
      <c r="Q501">
        <f t="shared" ca="1" si="156"/>
        <v>0.44626756113824645</v>
      </c>
      <c r="R501">
        <f t="shared" ca="1" si="157"/>
        <v>0.64936626018363708</v>
      </c>
      <c r="S501">
        <f t="shared" ca="1" si="154"/>
        <v>0.68723552254169251</v>
      </c>
      <c r="T501">
        <f t="shared" ca="1" si="155"/>
        <v>40.731451736294893</v>
      </c>
      <c r="U501">
        <f>70</f>
        <v>70</v>
      </c>
      <c r="V501">
        <f>30</f>
        <v>30</v>
      </c>
      <c r="W501">
        <f t="shared" ca="1" si="153"/>
        <v>146.28353324474034</v>
      </c>
      <c r="X501">
        <f t="shared" ca="1" si="163"/>
        <v>146.87331057490118</v>
      </c>
      <c r="Y501">
        <f t="shared" ca="1" si="162"/>
        <v>-0.715488783917408</v>
      </c>
      <c r="Z501">
        <f t="shared" ca="1" si="164"/>
        <v>-7.6486047102898219E-2</v>
      </c>
      <c r="AA501">
        <f t="shared" ca="1" si="165"/>
        <v>-0.63900273681450981</v>
      </c>
      <c r="AB501">
        <f t="shared" ca="1" si="166"/>
        <v>146.32420000000005</v>
      </c>
    </row>
    <row r="502" spans="1:28" x14ac:dyDescent="0.25">
      <c r="A502" s="20">
        <f t="shared" ca="1" si="146"/>
        <v>46020</v>
      </c>
      <c r="B502" vm="1468">
        <f ca="1"/>
        <v>46021</v>
      </c>
      <c r="C502" vm="1469">
        <f ca="1"/>
        <v>144.16</v>
      </c>
      <c r="D502" vm="1470">
        <f ca="1"/>
        <v>4713783</v>
      </c>
      <c r="E502">
        <f t="shared" ca="1" si="147"/>
        <v>679538957.27999997</v>
      </c>
      <c r="F502">
        <f ca="1">SUM($E$2:E502)/SUM($D$2:D502)</f>
        <v>153.24248208019137</v>
      </c>
      <c r="G502">
        <f ca="1">_xlfn.STDEV.P($C$2:C502)</f>
        <v>14.58551812127291</v>
      </c>
      <c r="H502">
        <f t="shared" ca="1" si="148"/>
        <v>167.82800020146428</v>
      </c>
      <c r="I502">
        <f t="shared" ca="1" si="149"/>
        <v>138.65696395891845</v>
      </c>
      <c r="J502">
        <f t="shared" ca="1" si="158"/>
        <v>147.20549999999997</v>
      </c>
      <c r="K502">
        <f t="shared" ca="1" si="159"/>
        <v>2.6391634938685442</v>
      </c>
      <c r="L502">
        <f t="shared" ca="1" si="160"/>
        <v>152.48382698773707</v>
      </c>
      <c r="M502">
        <f t="shared" ca="1" si="161"/>
        <v>141.92717301226287</v>
      </c>
      <c r="N502">
        <f t="shared" ca="1" si="150"/>
        <v>-8.0000000000012506E-2</v>
      </c>
      <c r="O502">
        <f t="shared" ca="1" si="151"/>
        <v>0</v>
      </c>
      <c r="P502">
        <f t="shared" ca="1" si="152"/>
        <v>8.0000000000012506E-2</v>
      </c>
      <c r="Q502">
        <f t="shared" ca="1" si="156"/>
        <v>0.41439130677122887</v>
      </c>
      <c r="R502">
        <f t="shared" ca="1" si="157"/>
        <v>0.60869724159909244</v>
      </c>
      <c r="S502">
        <f t="shared" ca="1" si="154"/>
        <v>0.68078394060500824</v>
      </c>
      <c r="T502">
        <f t="shared" ca="1" si="155"/>
        <v>40.503953194600136</v>
      </c>
      <c r="U502">
        <f>70</f>
        <v>70</v>
      </c>
      <c r="V502">
        <f>30</f>
        <v>30</v>
      </c>
      <c r="W502">
        <f t="shared" ca="1" si="153"/>
        <v>145.95683582247258</v>
      </c>
      <c r="X502">
        <f t="shared" ca="1" si="163"/>
        <v>146.67232460638999</v>
      </c>
      <c r="Y502">
        <f t="shared" ca="1" si="162"/>
        <v>-0.85688107636008226</v>
      </c>
      <c r="Z502">
        <f t="shared" ca="1" si="164"/>
        <v>-0.23256505295433505</v>
      </c>
      <c r="AA502">
        <f t="shared" ca="1" si="165"/>
        <v>-0.62431602340574721</v>
      </c>
      <c r="AB502">
        <f t="shared" ca="1" si="166"/>
        <v>146.32660000000004</v>
      </c>
    </row>
    <row r="503" spans="1:28" x14ac:dyDescent="0.25">
      <c r="A503" s="20">
        <f t="shared" ca="1" si="146"/>
        <v>46020</v>
      </c>
      <c r="B503" vm="1471">
        <f ca="1"/>
        <v>46022</v>
      </c>
      <c r="C503" vm="1472">
        <f ca="1"/>
        <v>143.52000000000001</v>
      </c>
      <c r="D503" vm="1473">
        <f ca="1"/>
        <v>4380343</v>
      </c>
      <c r="E503">
        <f t="shared" ca="1" si="147"/>
        <v>628666827.36000001</v>
      </c>
      <c r="F503">
        <f ca="1">SUM($E$2:E503)/SUM($D$2:D503)</f>
        <v>153.23013173894853</v>
      </c>
      <c r="G503">
        <f ca="1">_xlfn.STDEV.P($C$2:C503)</f>
        <v>14.582116514736541</v>
      </c>
      <c r="H503">
        <f t="shared" ca="1" si="148"/>
        <v>167.81224825368508</v>
      </c>
      <c r="I503">
        <f t="shared" ca="1" si="149"/>
        <v>138.64801522421197</v>
      </c>
      <c r="J503">
        <f t="shared" ca="1" si="158"/>
        <v>146.95099999999999</v>
      </c>
      <c r="K503">
        <f t="shared" ca="1" si="159"/>
        <v>2.7400862452811485</v>
      </c>
      <c r="L503">
        <f t="shared" ca="1" si="160"/>
        <v>152.43117249056229</v>
      </c>
      <c r="M503">
        <f t="shared" ca="1" si="161"/>
        <v>141.4708275094377</v>
      </c>
      <c r="N503">
        <f t="shared" ca="1" si="150"/>
        <v>-0.63999999999998636</v>
      </c>
      <c r="O503">
        <f t="shared" ca="1" si="151"/>
        <v>0</v>
      </c>
      <c r="P503">
        <f t="shared" ca="1" si="152"/>
        <v>0.63999999999998636</v>
      </c>
      <c r="Q503">
        <f t="shared" ca="1" si="156"/>
        <v>0.38479192771614112</v>
      </c>
      <c r="R503">
        <f t="shared" ca="1" si="157"/>
        <v>0.61093315291344197</v>
      </c>
      <c r="S503">
        <f t="shared" ca="1" si="154"/>
        <v>0.62984293106558431</v>
      </c>
      <c r="T503">
        <f t="shared" ca="1" si="155"/>
        <v>38.644394441972125</v>
      </c>
      <c r="U503">
        <f>70</f>
        <v>70</v>
      </c>
      <c r="V503">
        <f>30</f>
        <v>30</v>
      </c>
      <c r="W503">
        <f t="shared" ca="1" si="153"/>
        <v>145.58193800363065</v>
      </c>
      <c r="X503">
        <f t="shared" ca="1" si="163"/>
        <v>146.43881907999074</v>
      </c>
      <c r="Y503">
        <f t="shared" ca="1" si="162"/>
        <v>-1.060799469853805</v>
      </c>
      <c r="Z503">
        <f t="shared" ca="1" si="164"/>
        <v>-0.39821193633422908</v>
      </c>
      <c r="AA503">
        <f t="shared" ca="1" si="165"/>
        <v>-0.66258753351957589</v>
      </c>
      <c r="AB503">
        <f t="shared" ca="1" si="166"/>
        <v>146.30970000000005</v>
      </c>
    </row>
    <row r="504" spans="1:28" x14ac:dyDescent="0.25">
      <c r="A504" s="20">
        <f t="shared" ca="1" si="146"/>
        <v>46020</v>
      </c>
      <c r="B504" vm="1474">
        <f ca="1"/>
        <v>46024</v>
      </c>
      <c r="C504" vm="1475">
        <f ca="1"/>
        <v>142.22999999999999</v>
      </c>
      <c r="D504" vm="1476">
        <f ca="1"/>
        <v>7182054</v>
      </c>
      <c r="E504">
        <f t="shared" ca="1" si="147"/>
        <v>1021503540.42</v>
      </c>
      <c r="F504">
        <f ca="1">SUM($E$2:E504)/SUM($D$2:D504)</f>
        <v>153.20726855857828</v>
      </c>
      <c r="G504">
        <f ca="1">_xlfn.STDEV.P($C$2:C504)</f>
        <v>14.581035281528882</v>
      </c>
      <c r="H504">
        <f t="shared" ca="1" si="148"/>
        <v>167.78830384010715</v>
      </c>
      <c r="I504">
        <f t="shared" ca="1" si="149"/>
        <v>138.62623327704941</v>
      </c>
      <c r="J504">
        <f t="shared" ca="1" si="158"/>
        <v>146.65950000000004</v>
      </c>
      <c r="K504">
        <f t="shared" ca="1" si="159"/>
        <v>2.9200927797084231</v>
      </c>
      <c r="L504">
        <f t="shared" ca="1" si="160"/>
        <v>152.49968555941689</v>
      </c>
      <c r="M504">
        <f t="shared" ca="1" si="161"/>
        <v>140.81931444058318</v>
      </c>
      <c r="N504">
        <f t="shared" ca="1" si="150"/>
        <v>-1.2900000000000205</v>
      </c>
      <c r="O504">
        <f t="shared" ca="1" si="151"/>
        <v>0</v>
      </c>
      <c r="P504">
        <f t="shared" ca="1" si="152"/>
        <v>1.2900000000000205</v>
      </c>
      <c r="Q504">
        <f t="shared" ca="1" si="156"/>
        <v>0.35730679002213106</v>
      </c>
      <c r="R504">
        <f t="shared" ca="1" si="157"/>
        <v>0.65943792770534038</v>
      </c>
      <c r="S504">
        <f t="shared" ca="1" si="154"/>
        <v>0.5418353646497992</v>
      </c>
      <c r="T504">
        <f t="shared" ca="1" si="155"/>
        <v>35.142232242990971</v>
      </c>
      <c r="U504">
        <f>70</f>
        <v>70</v>
      </c>
      <c r="V504">
        <f>30</f>
        <v>30</v>
      </c>
      <c r="W504">
        <f t="shared" ca="1" si="153"/>
        <v>145.06625523384133</v>
      </c>
      <c r="X504">
        <f t="shared" ca="1" si="163"/>
        <v>146.12705470369514</v>
      </c>
      <c r="Y504">
        <f t="shared" ca="1" si="162"/>
        <v>-1.3927492143875781</v>
      </c>
      <c r="Z504">
        <f t="shared" ca="1" si="164"/>
        <v>-0.59711939194489894</v>
      </c>
      <c r="AA504">
        <f t="shared" ca="1" si="165"/>
        <v>-0.79562982244267921</v>
      </c>
      <c r="AB504">
        <f t="shared" ca="1" si="166"/>
        <v>146.28330000000003</v>
      </c>
    </row>
    <row r="505" spans="1:28" x14ac:dyDescent="0.25">
      <c r="A505" s="20">
        <f t="shared" ca="1" si="146"/>
        <v>46027</v>
      </c>
      <c r="B505" vm="1477">
        <f ca="1"/>
        <v>46027</v>
      </c>
      <c r="C505" vm="1277">
        <f ca="1"/>
        <v>139.91999999999999</v>
      </c>
      <c r="D505" vm="1478">
        <f ca="1"/>
        <v>9031377</v>
      </c>
      <c r="E505">
        <f t="shared" ca="1" si="147"/>
        <v>1263670269.8399999</v>
      </c>
      <c r="F505">
        <f ca="1">SUM($E$2:E505)/SUM($D$2:D505)</f>
        <v>153.17263108796354</v>
      </c>
      <c r="G505">
        <f ca="1">_xlfn.STDEV.P($C$2:C505)</f>
        <v>14.58466334335376</v>
      </c>
      <c r="H505">
        <f t="shared" ca="1" si="148"/>
        <v>167.75729443131729</v>
      </c>
      <c r="I505">
        <f t="shared" ca="1" si="149"/>
        <v>138.58796774460978</v>
      </c>
      <c r="J505">
        <f t="shared" ca="1" si="158"/>
        <v>146.31</v>
      </c>
      <c r="K505">
        <f t="shared" ca="1" si="159"/>
        <v>3.2841485318035448</v>
      </c>
      <c r="L505">
        <f t="shared" ca="1" si="160"/>
        <v>152.87829706360708</v>
      </c>
      <c r="M505">
        <f t="shared" ca="1" si="161"/>
        <v>139.74170293639293</v>
      </c>
      <c r="N505">
        <f t="shared" ca="1" si="150"/>
        <v>-2.3100000000000023</v>
      </c>
      <c r="O505">
        <f t="shared" ca="1" si="151"/>
        <v>0</v>
      </c>
      <c r="P505">
        <f t="shared" ca="1" si="152"/>
        <v>2.3100000000000023</v>
      </c>
      <c r="Q505">
        <f t="shared" ca="1" si="156"/>
        <v>0.33178487644912169</v>
      </c>
      <c r="R505">
        <f t="shared" ca="1" si="157"/>
        <v>0.7773352185835305</v>
      </c>
      <c r="S505">
        <f t="shared" ca="1" si="154"/>
        <v>0.42682341995735645</v>
      </c>
      <c r="T505">
        <f t="shared" ca="1" si="155"/>
        <v>29.914242644693402</v>
      </c>
      <c r="U505">
        <f>70</f>
        <v>70</v>
      </c>
      <c r="V505">
        <f>30</f>
        <v>30</v>
      </c>
      <c r="W505">
        <f t="shared" ca="1" si="153"/>
        <v>144.27452365940422</v>
      </c>
      <c r="X505">
        <f t="shared" ca="1" si="163"/>
        <v>145.6672728737918</v>
      </c>
      <c r="Y505">
        <f t="shared" ca="1" si="162"/>
        <v>-1.713533211223023</v>
      </c>
      <c r="Z505">
        <f t="shared" ca="1" si="164"/>
        <v>-0.82040215580052378</v>
      </c>
      <c r="AA505">
        <f t="shared" ca="1" si="165"/>
        <v>-0.89313105542249926</v>
      </c>
      <c r="AB505">
        <f t="shared" ca="1" si="166"/>
        <v>146.21380000000005</v>
      </c>
    </row>
    <row r="506" spans="1:28" x14ac:dyDescent="0.25">
      <c r="A506" s="20">
        <f t="shared" ca="1" si="146"/>
        <v>46027</v>
      </c>
      <c r="B506" vm="1479">
        <f ca="1"/>
        <v>46028</v>
      </c>
      <c r="C506" vm="1480">
        <f ca="1"/>
        <v>138.96</v>
      </c>
      <c r="D506" vm="1481">
        <f ca="1"/>
        <v>9576481</v>
      </c>
      <c r="E506">
        <f t="shared" ca="1" si="147"/>
        <v>1330747799.76</v>
      </c>
      <c r="F506">
        <f ca="1">SUM($E$2:E506)/SUM($D$2:D506)</f>
        <v>153.13345346167313</v>
      </c>
      <c r="G506">
        <f ca="1">_xlfn.STDEV.P($C$2:C506)</f>
        <v>14.590385649765452</v>
      </c>
      <c r="H506">
        <f t="shared" ca="1" si="148"/>
        <v>167.72383911143856</v>
      </c>
      <c r="I506">
        <f t="shared" ca="1" si="149"/>
        <v>138.54306781190769</v>
      </c>
      <c r="J506">
        <f t="shared" ca="1" si="158"/>
        <v>146.00700000000001</v>
      </c>
      <c r="K506">
        <f t="shared" ca="1" si="159"/>
        <v>3.6667009408286479</v>
      </c>
      <c r="L506">
        <f t="shared" ca="1" si="160"/>
        <v>153.3404018816573</v>
      </c>
      <c r="M506">
        <f t="shared" ca="1" si="161"/>
        <v>138.67359811834271</v>
      </c>
      <c r="N506">
        <f t="shared" ca="1" si="150"/>
        <v>-0.95999999999997954</v>
      </c>
      <c r="O506">
        <f t="shared" ca="1" si="151"/>
        <v>0</v>
      </c>
      <c r="P506">
        <f t="shared" ca="1" si="152"/>
        <v>0.95999999999997954</v>
      </c>
      <c r="Q506">
        <f t="shared" ca="1" si="156"/>
        <v>0.30808595670275585</v>
      </c>
      <c r="R506">
        <f t="shared" ca="1" si="157"/>
        <v>0.79038270297041968</v>
      </c>
      <c r="S506">
        <f t="shared" ca="1" si="154"/>
        <v>0.38979339444664701</v>
      </c>
      <c r="T506">
        <f t="shared" ca="1" si="155"/>
        <v>28.046859051438005</v>
      </c>
      <c r="U506">
        <f>70</f>
        <v>70</v>
      </c>
      <c r="V506">
        <f>30</f>
        <v>30</v>
      </c>
      <c r="W506">
        <f t="shared" ca="1" si="153"/>
        <v>143.45690463488049</v>
      </c>
      <c r="X506">
        <f t="shared" ca="1" si="163"/>
        <v>145.17043784610351</v>
      </c>
      <c r="Y506">
        <f t="shared" ca="1" si="162"/>
        <v>-2.1008878160231745</v>
      </c>
      <c r="Z506">
        <f t="shared" ca="1" si="164"/>
        <v>-1.0764992878450541</v>
      </c>
      <c r="AA506">
        <f t="shared" ca="1" si="165"/>
        <v>-1.0243885281781204</v>
      </c>
      <c r="AB506">
        <f t="shared" ca="1" si="166"/>
        <v>146.10990000000004</v>
      </c>
    </row>
    <row r="507" spans="1:28" x14ac:dyDescent="0.25">
      <c r="A507" s="20">
        <f t="shared" ca="1" si="146"/>
        <v>46027</v>
      </c>
      <c r="B507" vm="1482">
        <f ca="1"/>
        <v>46029</v>
      </c>
      <c r="C507" vm="1483">
        <f ca="1"/>
        <v>137.01</v>
      </c>
      <c r="D507" vm="1484">
        <f ca="1"/>
        <v>8539847</v>
      </c>
      <c r="E507">
        <f t="shared" ca="1" si="147"/>
        <v>1170044437.47</v>
      </c>
      <c r="F507">
        <f ca="1">SUM($E$2:E507)/SUM($D$2:D507)</f>
        <v>153.09391683668622</v>
      </c>
      <c r="G507">
        <f ca="1">_xlfn.STDEV.P($C$2:C507)</f>
        <v>14.600796611562107</v>
      </c>
      <c r="H507">
        <f t="shared" ca="1" si="148"/>
        <v>167.69471344824834</v>
      </c>
      <c r="I507">
        <f t="shared" ca="1" si="149"/>
        <v>138.4931202251241</v>
      </c>
      <c r="J507">
        <f t="shared" ca="1" si="158"/>
        <v>145.57600000000002</v>
      </c>
      <c r="K507">
        <f t="shared" ca="1" si="159"/>
        <v>4.1835384167245966</v>
      </c>
      <c r="L507">
        <f t="shared" ca="1" si="160"/>
        <v>153.94307683344923</v>
      </c>
      <c r="M507">
        <f t="shared" ca="1" si="161"/>
        <v>137.20892316655082</v>
      </c>
      <c r="N507">
        <f t="shared" ca="1" si="150"/>
        <v>-1.9500000000000171</v>
      </c>
      <c r="O507">
        <f t="shared" ca="1" si="151"/>
        <v>0</v>
      </c>
      <c r="P507">
        <f t="shared" ca="1" si="152"/>
        <v>1.9500000000000171</v>
      </c>
      <c r="Q507">
        <f t="shared" ca="1" si="156"/>
        <v>0.28607981693827333</v>
      </c>
      <c r="R507">
        <f t="shared" ca="1" si="157"/>
        <v>0.87321250990110522</v>
      </c>
      <c r="S507">
        <f t="shared" ca="1" si="154"/>
        <v>0.32761763453282755</v>
      </c>
      <c r="T507">
        <f t="shared" ca="1" si="155"/>
        <v>24.677107776450427</v>
      </c>
      <c r="U507">
        <f>70</f>
        <v>70</v>
      </c>
      <c r="V507">
        <f>30</f>
        <v>30</v>
      </c>
      <c r="W507">
        <f t="shared" ca="1" si="153"/>
        <v>142.46507315259117</v>
      </c>
      <c r="X507">
        <f t="shared" ca="1" si="163"/>
        <v>144.56596096861435</v>
      </c>
      <c r="Y507">
        <f t="shared" ca="1" si="162"/>
        <v>-2.1921669187466932</v>
      </c>
      <c r="Z507">
        <f t="shared" ca="1" si="164"/>
        <v>-1.2996328140253819</v>
      </c>
      <c r="AA507">
        <f t="shared" ca="1" si="165"/>
        <v>-0.89253410472131134</v>
      </c>
      <c r="AB507">
        <f t="shared" ca="1" si="166"/>
        <v>145.99380000000005</v>
      </c>
    </row>
    <row r="508" spans="1:28" x14ac:dyDescent="0.25">
      <c r="A508" s="20">
        <f t="shared" ca="1" si="146"/>
        <v>46027</v>
      </c>
      <c r="B508" vm="1485">
        <f ca="1"/>
        <v>46030</v>
      </c>
      <c r="C508" vm="1486">
        <f ca="1"/>
        <v>139.37</v>
      </c>
      <c r="D508" vm="1487">
        <f ca="1"/>
        <v>8762824</v>
      </c>
      <c r="E508">
        <f t="shared" ca="1" si="147"/>
        <v>1221274780.8800001</v>
      </c>
      <c r="F508">
        <f ca="1">SUM($E$2:E508)/SUM($D$2:D508)</f>
        <v>153.05947215095563</v>
      </c>
      <c r="G508">
        <f ca="1">_xlfn.STDEV.P($C$2:C508)</f>
        <v>14.605353313007013</v>
      </c>
      <c r="H508">
        <f t="shared" ca="1" si="148"/>
        <v>167.66482546396264</v>
      </c>
      <c r="I508">
        <f t="shared" ca="1" si="149"/>
        <v>138.45411883794861</v>
      </c>
      <c r="J508">
        <f t="shared" ca="1" si="158"/>
        <v>145.3125</v>
      </c>
      <c r="K508">
        <f t="shared" ca="1" si="159"/>
        <v>4.4056636694624185</v>
      </c>
      <c r="L508">
        <f t="shared" ca="1" si="160"/>
        <v>154.12382733892483</v>
      </c>
      <c r="M508">
        <f t="shared" ca="1" si="161"/>
        <v>136.50117266107517</v>
      </c>
      <c r="N508">
        <f t="shared" ca="1" si="150"/>
        <v>2.3600000000000136</v>
      </c>
      <c r="O508">
        <f t="shared" ca="1" si="151"/>
        <v>2.3600000000000136</v>
      </c>
      <c r="P508">
        <f t="shared" ca="1" si="152"/>
        <v>0</v>
      </c>
      <c r="Q508">
        <f t="shared" ca="1" si="156"/>
        <v>0.43421697287125482</v>
      </c>
      <c r="R508">
        <f t="shared" ca="1" si="157"/>
        <v>0.81084018776531208</v>
      </c>
      <c r="S508">
        <f t="shared" ca="1" si="154"/>
        <v>0.53551486399306802</v>
      </c>
      <c r="T508">
        <f t="shared" ca="1" si="155"/>
        <v>34.875264092232555</v>
      </c>
      <c r="U508">
        <f>70</f>
        <v>70</v>
      </c>
      <c r="V508">
        <f>30</f>
        <v>30</v>
      </c>
      <c r="W508">
        <f t="shared" ca="1" si="153"/>
        <v>141.98890805219253</v>
      </c>
      <c r="X508">
        <f t="shared" ca="1" si="163"/>
        <v>144.18107497093922</v>
      </c>
      <c r="Y508">
        <f t="shared" ca="1" si="162"/>
        <v>-2.1956230030030497</v>
      </c>
      <c r="Z508">
        <f t="shared" ca="1" si="164"/>
        <v>-1.4788308518209154</v>
      </c>
      <c r="AA508">
        <f t="shared" ca="1" si="165"/>
        <v>-0.71679215118213424</v>
      </c>
      <c r="AB508">
        <f t="shared" ca="1" si="166"/>
        <v>145.88350000000005</v>
      </c>
    </row>
    <row r="509" spans="1:28" x14ac:dyDescent="0.25">
      <c r="A509" s="20">
        <f t="shared" ca="1" si="146"/>
        <v>46027</v>
      </c>
      <c r="B509" vm="1488">
        <f ca="1"/>
        <v>46031</v>
      </c>
      <c r="C509" vm="1489">
        <f ca="1"/>
        <v>139.91</v>
      </c>
      <c r="D509" vm="1490">
        <f ca="1"/>
        <v>6767560</v>
      </c>
      <c r="E509">
        <f t="shared" ca="1" si="147"/>
        <v>946849319.60000002</v>
      </c>
      <c r="F509">
        <f ca="1">SUM($E$2:E509)/SUM($D$2:D509)</f>
        <v>153.03403318263142</v>
      </c>
      <c r="G509">
        <f ca="1">_xlfn.STDEV.P($C$2:C509)</f>
        <v>14.608620465778053</v>
      </c>
      <c r="H509">
        <f t="shared" ca="1" si="148"/>
        <v>167.64265364840946</v>
      </c>
      <c r="I509">
        <f t="shared" ca="1" si="149"/>
        <v>138.42541271685337</v>
      </c>
      <c r="J509">
        <f t="shared" ca="1" si="158"/>
        <v>144.82300000000001</v>
      </c>
      <c r="K509">
        <f t="shared" ca="1" si="159"/>
        <v>4.4362870914645232</v>
      </c>
      <c r="L509">
        <f t="shared" ca="1" si="160"/>
        <v>153.69557418292905</v>
      </c>
      <c r="M509">
        <f t="shared" ca="1" si="161"/>
        <v>135.95042581707096</v>
      </c>
      <c r="N509">
        <f t="shared" ca="1" si="150"/>
        <v>0.53999999999999204</v>
      </c>
      <c r="O509">
        <f t="shared" ca="1" si="151"/>
        <v>0.53999999999999204</v>
      </c>
      <c r="P509">
        <f t="shared" ca="1" si="152"/>
        <v>0</v>
      </c>
      <c r="Q509">
        <f t="shared" ca="1" si="156"/>
        <v>0.44177290338045033</v>
      </c>
      <c r="R509">
        <f t="shared" ca="1" si="157"/>
        <v>0.75292303149636119</v>
      </c>
      <c r="S509">
        <f t="shared" ca="1" si="154"/>
        <v>0.58674377711951475</v>
      </c>
      <c r="T509">
        <f t="shared" ca="1" si="155"/>
        <v>36.977852730871035</v>
      </c>
      <c r="U509">
        <f>70</f>
        <v>70</v>
      </c>
      <c r="V509">
        <f>30</f>
        <v>30</v>
      </c>
      <c r="W509">
        <f t="shared" ca="1" si="153"/>
        <v>141.66907604416289</v>
      </c>
      <c r="X509">
        <f t="shared" ca="1" si="163"/>
        <v>143.86469904716594</v>
      </c>
      <c r="Y509">
        <f t="shared" ca="1" si="162"/>
        <v>-2.0576399008904502</v>
      </c>
      <c r="Z509">
        <f t="shared" ca="1" si="164"/>
        <v>-1.5945926616348225</v>
      </c>
      <c r="AA509">
        <f t="shared" ca="1" si="165"/>
        <v>-0.46304723925562774</v>
      </c>
      <c r="AB509">
        <f t="shared" ca="1" si="166"/>
        <v>145.78710000000004</v>
      </c>
    </row>
    <row r="510" spans="1:28" x14ac:dyDescent="0.25">
      <c r="A510" s="20">
        <f t="shared" ca="1" si="146"/>
        <v>46034</v>
      </c>
      <c r="B510" vm="1491">
        <f ca="1"/>
        <v>46034</v>
      </c>
      <c r="C510" vm="1492">
        <f ca="1"/>
        <v>141.36000000000001</v>
      </c>
      <c r="D510" vm="1493">
        <f ca="1"/>
        <v>12223436</v>
      </c>
      <c r="E510">
        <f t="shared" ca="1" si="147"/>
        <v>1727904912.9600003</v>
      </c>
      <c r="F510">
        <f ca="1">SUM($E$2:E510)/SUM($D$2:D510)</f>
        <v>152.99338338351347</v>
      </c>
      <c r="G510">
        <f ca="1">_xlfn.STDEV.P($C$2:C510)</f>
        <v>14.608800431707536</v>
      </c>
      <c r="H510">
        <f t="shared" ca="1" si="148"/>
        <v>167.602183815221</v>
      </c>
      <c r="I510">
        <f t="shared" ca="1" si="149"/>
        <v>138.38458295180595</v>
      </c>
      <c r="J510">
        <f t="shared" ca="1" si="158"/>
        <v>144.43900000000002</v>
      </c>
      <c r="K510">
        <f t="shared" ca="1" si="159"/>
        <v>4.3841363549674623</v>
      </c>
      <c r="L510">
        <f t="shared" ca="1" si="160"/>
        <v>153.20727270993495</v>
      </c>
      <c r="M510">
        <f t="shared" ca="1" si="161"/>
        <v>135.67072729006509</v>
      </c>
      <c r="N510">
        <f t="shared" ca="1" si="150"/>
        <v>1.4500000000000171</v>
      </c>
      <c r="O510">
        <f t="shared" ca="1" si="151"/>
        <v>1.4500000000000171</v>
      </c>
      <c r="P510">
        <f t="shared" ca="1" si="152"/>
        <v>0</v>
      </c>
      <c r="Q510">
        <f t="shared" ca="1" si="156"/>
        <v>0.51378912456756221</v>
      </c>
      <c r="R510">
        <f t="shared" ca="1" si="157"/>
        <v>0.6991428149609068</v>
      </c>
      <c r="S510">
        <f t="shared" ca="1" si="154"/>
        <v>0.73488436635981336</v>
      </c>
      <c r="T510">
        <f t="shared" ca="1" si="155"/>
        <v>42.359270773865454</v>
      </c>
      <c r="U510">
        <f>70</f>
        <v>70</v>
      </c>
      <c r="V510">
        <f>30</f>
        <v>30</v>
      </c>
      <c r="W510">
        <f t="shared" ca="1" si="153"/>
        <v>141.62152588352245</v>
      </c>
      <c r="X510">
        <f t="shared" ca="1" si="163"/>
        <v>143.6791657844129</v>
      </c>
      <c r="Y510">
        <f t="shared" ca="1" si="162"/>
        <v>-1.7569677849801053</v>
      </c>
      <c r="Z510">
        <f t="shared" ca="1" si="164"/>
        <v>-1.6270676863038793</v>
      </c>
      <c r="AA510">
        <f t="shared" ca="1" si="165"/>
        <v>-0.12990009867622598</v>
      </c>
      <c r="AB510">
        <f t="shared" ca="1" si="166"/>
        <v>145.67910000000006</v>
      </c>
    </row>
    <row r="511" spans="1:28" x14ac:dyDescent="0.25">
      <c r="A511" s="20">
        <f t="shared" ca="1" si="146"/>
        <v>46034</v>
      </c>
      <c r="B511" vm="1494">
        <f ca="1"/>
        <v>46035</v>
      </c>
      <c r="C511" vm="1495">
        <f ca="1"/>
        <v>143.47999999999999</v>
      </c>
      <c r="D511" vm="1496">
        <f ca="1"/>
        <v>9030241</v>
      </c>
      <c r="E511">
        <f t="shared" ca="1" si="147"/>
        <v>1295658978.6799998</v>
      </c>
      <c r="F511">
        <f ca="1">SUM($E$2:E511)/SUM($D$2:D511)</f>
        <v>152.96897366565184</v>
      </c>
      <c r="G511">
        <f ca="1">_xlfn.STDEV.P($C$2:C511)</f>
        <v>14.605052876233941</v>
      </c>
      <c r="H511">
        <f t="shared" ca="1" si="148"/>
        <v>167.57402654188579</v>
      </c>
      <c r="I511">
        <f t="shared" ca="1" si="149"/>
        <v>138.3639207894179</v>
      </c>
      <c r="J511">
        <f t="shared" ca="1" si="158"/>
        <v>144.08049999999997</v>
      </c>
      <c r="K511">
        <f t="shared" ca="1" si="159"/>
        <v>4.1356288581824661</v>
      </c>
      <c r="L511">
        <f t="shared" ca="1" si="160"/>
        <v>152.35175771636492</v>
      </c>
      <c r="M511">
        <f t="shared" ca="1" si="161"/>
        <v>135.80924228363503</v>
      </c>
      <c r="N511">
        <f t="shared" ca="1" si="150"/>
        <v>2.1199999999999761</v>
      </c>
      <c r="O511">
        <f t="shared" ca="1" si="151"/>
        <v>2.1199999999999761</v>
      </c>
      <c r="P511">
        <f t="shared" ca="1" si="152"/>
        <v>0</v>
      </c>
      <c r="Q511">
        <f t="shared" ca="1" si="156"/>
        <v>0.62851847281273465</v>
      </c>
      <c r="R511">
        <f t="shared" ca="1" si="157"/>
        <v>0.64920404246369923</v>
      </c>
      <c r="S511">
        <f t="shared" ca="1" si="154"/>
        <v>0.96813702888776876</v>
      </c>
      <c r="T511">
        <f t="shared" ca="1" si="155"/>
        <v>49.190529657118496</v>
      </c>
      <c r="U511">
        <f>70</f>
        <v>70</v>
      </c>
      <c r="V511">
        <f>30</f>
        <v>30</v>
      </c>
      <c r="W511">
        <f t="shared" ca="1" si="153"/>
        <v>141.90744497836516</v>
      </c>
      <c r="X511">
        <f t="shared" ca="1" si="163"/>
        <v>143.66441276334527</v>
      </c>
      <c r="Y511">
        <f t="shared" ca="1" si="162"/>
        <v>-1.3067321638539795</v>
      </c>
      <c r="Z511">
        <f t="shared" ca="1" si="164"/>
        <v>-1.5630005818138994</v>
      </c>
      <c r="AA511">
        <f t="shared" ca="1" si="165"/>
        <v>0.25626841795991995</v>
      </c>
      <c r="AB511">
        <f t="shared" ca="1" si="166"/>
        <v>145.60660000000004</v>
      </c>
    </row>
    <row r="512" spans="1:28" x14ac:dyDescent="0.25">
      <c r="A512" s="20">
        <f t="shared" ca="1" si="146"/>
        <v>46034</v>
      </c>
      <c r="B512" vm="1497">
        <f ca="1"/>
        <v>46036</v>
      </c>
      <c r="C512" vm="1498">
        <f ca="1"/>
        <v>145.91999999999999</v>
      </c>
      <c r="D512" vm="1499">
        <f ca="1"/>
        <v>8329463</v>
      </c>
      <c r="E512">
        <f t="shared" ca="1" si="147"/>
        <v>1215435240.9599998</v>
      </c>
      <c r="F512">
        <f ca="1">SUM($E$2:E512)/SUM($D$2:D512)</f>
        <v>152.95233016506438</v>
      </c>
      <c r="G512">
        <f ca="1">_xlfn.STDEV.P($C$2:C512)</f>
        <v>14.59758230137523</v>
      </c>
      <c r="H512">
        <f t="shared" ca="1" si="148"/>
        <v>167.54991246643962</v>
      </c>
      <c r="I512">
        <f t="shared" ca="1" si="149"/>
        <v>138.35474786368914</v>
      </c>
      <c r="J512">
        <f t="shared" ca="1" si="158"/>
        <v>143.81550000000001</v>
      </c>
      <c r="K512">
        <f t="shared" ca="1" si="159"/>
        <v>3.8111463602107158</v>
      </c>
      <c r="L512">
        <f t="shared" ca="1" si="160"/>
        <v>151.43779272042144</v>
      </c>
      <c r="M512">
        <f t="shared" ca="1" si="161"/>
        <v>136.19320727957859</v>
      </c>
      <c r="N512">
        <f t="shared" ca="1" si="150"/>
        <v>2.4399999999999977</v>
      </c>
      <c r="O512">
        <f t="shared" ca="1" si="151"/>
        <v>2.4399999999999977</v>
      </c>
      <c r="P512">
        <f t="shared" ca="1" si="152"/>
        <v>0</v>
      </c>
      <c r="Q512">
        <f t="shared" ca="1" si="156"/>
        <v>0.75791001046896778</v>
      </c>
      <c r="R512">
        <f t="shared" ca="1" si="157"/>
        <v>0.60283232514486351</v>
      </c>
      <c r="S512">
        <f t="shared" ca="1" si="154"/>
        <v>1.2572484567526108</v>
      </c>
      <c r="T512">
        <f t="shared" ca="1" si="155"/>
        <v>55.698275171770433</v>
      </c>
      <c r="U512">
        <f>70</f>
        <v>70</v>
      </c>
      <c r="V512">
        <f>30</f>
        <v>30</v>
      </c>
      <c r="W512">
        <f t="shared" ca="1" si="153"/>
        <v>142.52476113553976</v>
      </c>
      <c r="X512">
        <f t="shared" ca="1" si="163"/>
        <v>143.83149329939374</v>
      </c>
      <c r="Y512">
        <f t="shared" ca="1" si="162"/>
        <v>-0.88724007136084992</v>
      </c>
      <c r="Z512">
        <f t="shared" ca="1" si="164"/>
        <v>-1.4278484797232895</v>
      </c>
      <c r="AA512">
        <f t="shared" ca="1" si="165"/>
        <v>0.54060840836243962</v>
      </c>
      <c r="AB512">
        <f t="shared" ca="1" si="166"/>
        <v>145.57600000000005</v>
      </c>
    </row>
    <row r="513" spans="1:28" x14ac:dyDescent="0.25">
      <c r="A513" s="20">
        <f t="shared" ca="1" si="146"/>
        <v>46034</v>
      </c>
      <c r="B513" vm="1500">
        <f ca="1"/>
        <v>46037</v>
      </c>
      <c r="C513" vm="1501">
        <f ca="1"/>
        <v>146.57</v>
      </c>
      <c r="D513" vm="1502">
        <f ca="1"/>
        <v>5797798</v>
      </c>
      <c r="E513">
        <f t="shared" ca="1" si="147"/>
        <v>849783252.86000001</v>
      </c>
      <c r="F513">
        <f ca="1">SUM($E$2:E513)/SUM($D$2:D513)</f>
        <v>152.94185813302758</v>
      </c>
      <c r="G513">
        <f ca="1">_xlfn.STDEV.P($C$2:C513)</f>
        <v>14.589263207886869</v>
      </c>
      <c r="H513">
        <f t="shared" ca="1" si="148"/>
        <v>167.53112134091444</v>
      </c>
      <c r="I513">
        <f t="shared" ca="1" si="149"/>
        <v>138.35259492514072</v>
      </c>
      <c r="J513">
        <f t="shared" ca="1" si="158"/>
        <v>143.62550000000005</v>
      </c>
      <c r="K513">
        <f t="shared" ca="1" si="159"/>
        <v>3.5531727482557587</v>
      </c>
      <c r="L513">
        <f t="shared" ca="1" si="160"/>
        <v>150.73184549651157</v>
      </c>
      <c r="M513">
        <f t="shared" ca="1" si="161"/>
        <v>136.51915450348852</v>
      </c>
      <c r="N513">
        <f t="shared" ca="1" si="150"/>
        <v>0.65000000000000568</v>
      </c>
      <c r="O513">
        <f t="shared" ca="1" si="151"/>
        <v>0.65000000000000568</v>
      </c>
      <c r="P513">
        <f t="shared" ca="1" si="152"/>
        <v>0</v>
      </c>
      <c r="Q513">
        <f t="shared" ca="1" si="156"/>
        <v>0.75020215257832767</v>
      </c>
      <c r="R513">
        <f t="shared" ca="1" si="157"/>
        <v>0.55977287334880177</v>
      </c>
      <c r="S513">
        <f t="shared" ca="1" si="154"/>
        <v>1.3401902598285911</v>
      </c>
      <c r="T513">
        <f t="shared" ca="1" si="155"/>
        <v>57.26843166703695</v>
      </c>
      <c r="U513">
        <f>70</f>
        <v>70</v>
      </c>
      <c r="V513">
        <f>30</f>
        <v>30</v>
      </c>
      <c r="W513">
        <f t="shared" ca="1" si="153"/>
        <v>143.14710557622595</v>
      </c>
      <c r="X513">
        <f t="shared" ca="1" si="163"/>
        <v>144.0343456475868</v>
      </c>
      <c r="Y513">
        <f t="shared" ca="1" si="162"/>
        <v>-0.56841019751169597</v>
      </c>
      <c r="Z513">
        <f t="shared" ca="1" si="164"/>
        <v>-1.2559608232809709</v>
      </c>
      <c r="AA513">
        <f t="shared" ca="1" si="165"/>
        <v>0.68755062576927495</v>
      </c>
      <c r="AB513">
        <f t="shared" ca="1" si="166"/>
        <v>145.54530000000003</v>
      </c>
    </row>
    <row r="514" spans="1:28" x14ac:dyDescent="0.25">
      <c r="A514" s="20">
        <f t="shared" ca="1" si="146"/>
        <v>46034</v>
      </c>
      <c r="B514" vm="1503">
        <f ca="1"/>
        <v>46038</v>
      </c>
      <c r="C514" vm="1504">
        <f ca="1"/>
        <v>146.32</v>
      </c>
      <c r="D514" vm="1505">
        <f ca="1"/>
        <v>10313487</v>
      </c>
      <c r="E514">
        <f t="shared" ca="1" si="147"/>
        <v>1509069417.8399999</v>
      </c>
      <c r="F514">
        <f ca="1">SUM($E$2:E514)/SUM($D$2:D514)</f>
        <v>152.9225869547063</v>
      </c>
      <c r="G514">
        <f ca="1">_xlfn.STDEV.P($C$2:C514)</f>
        <v>14.581266840938017</v>
      </c>
      <c r="H514">
        <f t="shared" ca="1" si="148"/>
        <v>167.50385379564432</v>
      </c>
      <c r="I514">
        <f t="shared" ca="1" si="149"/>
        <v>138.34132011376829</v>
      </c>
      <c r="J514">
        <f t="shared" ca="1" si="158"/>
        <v>143.43750000000003</v>
      </c>
      <c r="K514">
        <f t="shared" ca="1" si="159"/>
        <v>3.2828788313083743</v>
      </c>
      <c r="L514">
        <f t="shared" ca="1" si="160"/>
        <v>150.00325766261679</v>
      </c>
      <c r="M514">
        <f t="shared" ca="1" si="161"/>
        <v>136.87174233738327</v>
      </c>
      <c r="N514">
        <f t="shared" ca="1" si="150"/>
        <v>-0.25</v>
      </c>
      <c r="O514">
        <f t="shared" ca="1" si="151"/>
        <v>0</v>
      </c>
      <c r="P514">
        <f t="shared" ca="1" si="152"/>
        <v>0.25</v>
      </c>
      <c r="Q514">
        <f t="shared" ca="1" si="156"/>
        <v>0.69661628453701852</v>
      </c>
      <c r="R514">
        <f t="shared" ca="1" si="157"/>
        <v>0.53764623953817303</v>
      </c>
      <c r="S514">
        <f t="shared" ca="1" si="154"/>
        <v>1.2956777771484043</v>
      </c>
      <c r="T514">
        <f t="shared" ca="1" si="155"/>
        <v>56.439879762125912</v>
      </c>
      <c r="U514">
        <f>70</f>
        <v>70</v>
      </c>
      <c r="V514">
        <f>30</f>
        <v>30</v>
      </c>
      <c r="W514">
        <f t="shared" ca="1" si="153"/>
        <v>143.6352431798835</v>
      </c>
      <c r="X514">
        <f t="shared" ca="1" si="163"/>
        <v>144.2036533773952</v>
      </c>
      <c r="Y514">
        <f t="shared" ca="1" si="162"/>
        <v>-0.20524251631920265</v>
      </c>
      <c r="Z514">
        <f t="shared" ca="1" si="164"/>
        <v>-1.0458171618886174</v>
      </c>
      <c r="AA514">
        <f t="shared" ca="1" si="165"/>
        <v>0.84057464556941475</v>
      </c>
      <c r="AB514">
        <f t="shared" ca="1" si="166"/>
        <v>145.52650000000003</v>
      </c>
    </row>
    <row r="515" spans="1:28" x14ac:dyDescent="0.25">
      <c r="A515" s="20">
        <f t="shared" ref="A515:A525" ca="1" si="167">B515 - WEEKDAY(B515, 2) + 1</f>
        <v>46041</v>
      </c>
      <c r="B515" vm="1506">
        <f ca="1"/>
        <v>46042</v>
      </c>
      <c r="C515" vm="1507">
        <f ca="1"/>
        <v>147.66</v>
      </c>
      <c r="D515" vm="1508">
        <f ca="1"/>
        <v>9982823</v>
      </c>
      <c r="E515">
        <f t="shared" ref="E515:E523" ca="1" si="168">C515*D515</f>
        <v>1474063644.1800001</v>
      </c>
      <c r="F515">
        <f ca="1">SUM($E$2:E515)/SUM($D$2:D515)</f>
        <v>152.90780425106698</v>
      </c>
      <c r="G515">
        <f ca="1">_xlfn.STDEV.P($C$2:C515)</f>
        <v>14.571670735666494</v>
      </c>
      <c r="H515">
        <f t="shared" ref="H515:H523" ca="1" si="169">F515 + G515</f>
        <v>167.47947498673346</v>
      </c>
      <c r="I515">
        <f t="shared" ref="I515:I523" ca="1" si="170">F515 - G515</f>
        <v>138.33613351540049</v>
      </c>
      <c r="J515">
        <f t="shared" ref="J515:J523" ca="1" si="171">AVERAGE(C496:C515)</f>
        <v>143.35200000000003</v>
      </c>
      <c r="K515">
        <f t="shared" ref="K515:K523" ca="1" si="172">_xlfn.STDEV.S(C496:C515)</f>
        <v>3.1393707046241981</v>
      </c>
      <c r="L515">
        <f t="shared" ref="L515:L523" ca="1" si="173">J515 + 2*K515</f>
        <v>149.63074140924843</v>
      </c>
      <c r="M515">
        <f t="shared" ref="M515:M523" ca="1" si="174">J515-2*K515</f>
        <v>137.07325859075164</v>
      </c>
      <c r="N515">
        <f t="shared" ref="N515:N523" ca="1" si="175">C515-C514</f>
        <v>1.3400000000000034</v>
      </c>
      <c r="O515">
        <f t="shared" ref="O515:O523" ca="1" si="176">MAX(N515,0)</f>
        <v>1.3400000000000034</v>
      </c>
      <c r="P515">
        <f t="shared" ref="P515:P523" ca="1" si="177">MAX(-N515,0)</f>
        <v>0</v>
      </c>
      <c r="Q515">
        <f t="shared" ref="Q515:Q523" ca="1" si="178">(Q514*13+O515)/14</f>
        <v>0.74257226421294598</v>
      </c>
      <c r="R515">
        <f t="shared" ref="R515:R523" ca="1" si="179">(R514*13+P515)/14</f>
        <v>0.49924293671401782</v>
      </c>
      <c r="S515">
        <f t="shared" ref="S515:S523" ca="1" si="180">IF(R515=0,NA(),Q515/R515)</f>
        <v>1.48739663519429</v>
      </c>
      <c r="T515">
        <f t="shared" ref="T515:T523" ca="1" si="181">100-(100/(1+S515))</f>
        <v>59.797324405325881</v>
      </c>
      <c r="U515">
        <f>70</f>
        <v>70</v>
      </c>
      <c r="V515">
        <f>30</f>
        <v>30</v>
      </c>
      <c r="W515">
        <f t="shared" ref="W515:W523" ca="1" si="182">C515*(2/(12+1)) + W514*(1-(2/(12+1)))</f>
        <v>144.2544365368245</v>
      </c>
      <c r="X515">
        <f t="shared" ref="X515:X523" ca="1" si="183">C515*(2/(26+1)) + X514*(1-(2/(26+1)))</f>
        <v>144.4596790531437</v>
      </c>
      <c r="Y515">
        <f t="shared" ref="Y515:Y523" ca="1" si="184">W516-X516</f>
        <v>8.2391999007711547E-3</v>
      </c>
      <c r="Z515">
        <f t="shared" ref="Z515:Z523" ca="1" si="185">Y515*(2/(9+1)) + Z514*(1-(2/(9+1)))</f>
        <v>-0.83500588953073973</v>
      </c>
      <c r="AA515">
        <f t="shared" ref="AA515:AA523" ca="1" si="186">Y515-Z515</f>
        <v>0.84324508943151089</v>
      </c>
      <c r="AB515">
        <f t="shared" ref="AB515:AB523" ca="1" si="187">AVERAGE(C416:C515)</f>
        <v>145.53310000000002</v>
      </c>
    </row>
    <row r="516" spans="1:28" x14ac:dyDescent="0.25">
      <c r="A516" s="20">
        <f t="shared" ca="1" si="167"/>
        <v>46041</v>
      </c>
      <c r="B516" vm="1509">
        <f ca="1"/>
        <v>46043</v>
      </c>
      <c r="C516" vm="1510">
        <f ca="1"/>
        <v>146.74</v>
      </c>
      <c r="D516" vm="1511">
        <f ca="1"/>
        <v>7679571</v>
      </c>
      <c r="E516">
        <f t="shared" ca="1" si="168"/>
        <v>1126900248.54</v>
      </c>
      <c r="F516">
        <f ca="1">SUM($E$2:E516)/SUM($D$2:D516)</f>
        <v>152.89450487415124</v>
      </c>
      <c r="G516">
        <f ca="1">_xlfn.STDEV.P($C$2:C516)</f>
        <v>14.563158791538255</v>
      </c>
      <c r="H516">
        <f t="shared" ca="1" si="169"/>
        <v>167.45766366568949</v>
      </c>
      <c r="I516">
        <f t="shared" ca="1" si="170"/>
        <v>138.33134608261298</v>
      </c>
      <c r="J516">
        <f t="shared" ca="1" si="171"/>
        <v>143.28100000000001</v>
      </c>
      <c r="K516">
        <f t="shared" ca="1" si="172"/>
        <v>3.0393747625734515</v>
      </c>
      <c r="L516">
        <f t="shared" ca="1" si="173"/>
        <v>149.3597495251469</v>
      </c>
      <c r="M516">
        <f t="shared" ca="1" si="174"/>
        <v>137.20225047485312</v>
      </c>
      <c r="N516">
        <f t="shared" ca="1" si="175"/>
        <v>-0.91999999999998749</v>
      </c>
      <c r="O516">
        <f t="shared" ca="1" si="176"/>
        <v>0</v>
      </c>
      <c r="P516">
        <f t="shared" ca="1" si="177"/>
        <v>0.91999999999998749</v>
      </c>
      <c r="Q516">
        <f t="shared" ca="1" si="178"/>
        <v>0.68953138819773563</v>
      </c>
      <c r="R516">
        <f t="shared" ca="1" si="179"/>
        <v>0.52929701266301565</v>
      </c>
      <c r="S516">
        <f t="shared" ca="1" si="180"/>
        <v>1.3027305495803647</v>
      </c>
      <c r="T516">
        <f t="shared" ca="1" si="181"/>
        <v>56.573295117736038</v>
      </c>
      <c r="U516">
        <f>70</f>
        <v>70</v>
      </c>
      <c r="V516">
        <f>30</f>
        <v>30</v>
      </c>
      <c r="W516">
        <f t="shared" ca="1" si="182"/>
        <v>144.63683091577457</v>
      </c>
      <c r="X516">
        <f t="shared" ca="1" si="183"/>
        <v>144.6285917158738</v>
      </c>
      <c r="Y516">
        <f t="shared" ca="1" si="184"/>
        <v>-1.1263605908624186E-2</v>
      </c>
      <c r="Z516">
        <f t="shared" ca="1" si="185"/>
        <v>-0.67025743280631667</v>
      </c>
      <c r="AA516">
        <f t="shared" ca="1" si="186"/>
        <v>0.65899382689769248</v>
      </c>
      <c r="AB516">
        <f t="shared" ca="1" si="187"/>
        <v>145.52410000000003</v>
      </c>
    </row>
    <row r="517" spans="1:28" x14ac:dyDescent="0.25">
      <c r="A517" s="20">
        <f t="shared" ca="1" si="167"/>
        <v>46041</v>
      </c>
      <c r="B517" vm="1512">
        <f ca="1"/>
        <v>46044</v>
      </c>
      <c r="C517" vm="1513">
        <f ca="1"/>
        <v>144.4</v>
      </c>
      <c r="D517" vm="1514">
        <f ca="1"/>
        <v>8167356</v>
      </c>
      <c r="E517">
        <f t="shared" ca="1" si="168"/>
        <v>1179366206.4000001</v>
      </c>
      <c r="F517">
        <f ca="1">SUM($E$2:E517)/SUM($D$2:D517)</f>
        <v>152.87506969639614</v>
      </c>
      <c r="G517">
        <f ca="1">_xlfn.STDEV.P($C$2:C517)</f>
        <v>14.557874309340882</v>
      </c>
      <c r="H517">
        <f t="shared" ca="1" si="169"/>
        <v>167.43294400573703</v>
      </c>
      <c r="I517">
        <f t="shared" ca="1" si="170"/>
        <v>138.31719538705525</v>
      </c>
      <c r="J517">
        <f t="shared" ca="1" si="171"/>
        <v>143.14850000000004</v>
      </c>
      <c r="K517">
        <f t="shared" ca="1" si="172"/>
        <v>2.9219122703786766</v>
      </c>
      <c r="L517">
        <f t="shared" ca="1" si="173"/>
        <v>148.99232454075741</v>
      </c>
      <c r="M517">
        <f t="shared" ca="1" si="174"/>
        <v>137.30467545924267</v>
      </c>
      <c r="N517">
        <f t="shared" ca="1" si="175"/>
        <v>-2.3400000000000034</v>
      </c>
      <c r="O517">
        <f t="shared" ca="1" si="176"/>
        <v>0</v>
      </c>
      <c r="P517">
        <f t="shared" ca="1" si="177"/>
        <v>2.3400000000000034</v>
      </c>
      <c r="Q517">
        <f t="shared" ca="1" si="178"/>
        <v>0.64027914618361159</v>
      </c>
      <c r="R517">
        <f t="shared" ca="1" si="179"/>
        <v>0.65863294032994335</v>
      </c>
      <c r="S517">
        <f t="shared" ca="1" si="180"/>
        <v>0.9721335010405987</v>
      </c>
      <c r="T517">
        <f t="shared" ca="1" si="181"/>
        <v>49.293493596029442</v>
      </c>
      <c r="U517">
        <f>70</f>
        <v>70</v>
      </c>
      <c r="V517">
        <f>30</f>
        <v>30</v>
      </c>
      <c r="W517">
        <f t="shared" ca="1" si="182"/>
        <v>144.60039539027079</v>
      </c>
      <c r="X517">
        <f t="shared" ca="1" si="183"/>
        <v>144.61165899617941</v>
      </c>
      <c r="Y517">
        <f t="shared" ca="1" si="184"/>
        <v>-1.2056247429882205E-2</v>
      </c>
      <c r="Z517">
        <f t="shared" ca="1" si="185"/>
        <v>-0.53861719573102984</v>
      </c>
      <c r="AA517">
        <f t="shared" ca="1" si="186"/>
        <v>0.52656094830114764</v>
      </c>
      <c r="AB517">
        <f t="shared" ca="1" si="187"/>
        <v>145.49830000000003</v>
      </c>
    </row>
    <row r="518" spans="1:28" x14ac:dyDescent="0.25">
      <c r="A518" s="20">
        <f t="shared" ca="1" si="167"/>
        <v>46041</v>
      </c>
      <c r="B518" vm="1515">
        <f ca="1"/>
        <v>46045</v>
      </c>
      <c r="C518" vm="813">
        <f ca="1"/>
        <v>144.58000000000001</v>
      </c>
      <c r="D518" vm="1516">
        <f ca="1"/>
        <v>5870098</v>
      </c>
      <c r="E518">
        <f t="shared" ca="1" si="168"/>
        <v>848698768.84000003</v>
      </c>
      <c r="F518">
        <f ca="1">SUM($E$2:E518)/SUM($D$2:D518)</f>
        <v>152.86145146298068</v>
      </c>
      <c r="G518">
        <f ca="1">_xlfn.STDEV.P($C$2:C518)</f>
        <v>14.552301621804851</v>
      </c>
      <c r="H518">
        <f t="shared" ca="1" si="169"/>
        <v>167.41375308478553</v>
      </c>
      <c r="I518">
        <f t="shared" ca="1" si="170"/>
        <v>138.30914984117584</v>
      </c>
      <c r="J518">
        <f t="shared" ca="1" si="171"/>
        <v>143.19350000000003</v>
      </c>
      <c r="K518">
        <f t="shared" ca="1" si="172"/>
        <v>2.9374179047878806</v>
      </c>
      <c r="L518">
        <f t="shared" ca="1" si="173"/>
        <v>149.06833580957579</v>
      </c>
      <c r="M518">
        <f t="shared" ca="1" si="174"/>
        <v>137.31866419042427</v>
      </c>
      <c r="N518">
        <f t="shared" ca="1" si="175"/>
        <v>0.18000000000000682</v>
      </c>
      <c r="O518">
        <f t="shared" ca="1" si="176"/>
        <v>0.18000000000000682</v>
      </c>
      <c r="P518">
        <f t="shared" ca="1" si="177"/>
        <v>0</v>
      </c>
      <c r="Q518">
        <f t="shared" ca="1" si="178"/>
        <v>0.60740206431335408</v>
      </c>
      <c r="R518">
        <f t="shared" ca="1" si="179"/>
        <v>0.61158773030637603</v>
      </c>
      <c r="S518">
        <f t="shared" ca="1" si="180"/>
        <v>0.9931560661118477</v>
      </c>
      <c r="T518">
        <f t="shared" ca="1" si="181"/>
        <v>49.828314149490986</v>
      </c>
      <c r="U518">
        <f>70</f>
        <v>70</v>
      </c>
      <c r="V518">
        <f>30</f>
        <v>30</v>
      </c>
      <c r="W518">
        <f t="shared" ca="1" si="182"/>
        <v>144.59725763792144</v>
      </c>
      <c r="X518">
        <f t="shared" ca="1" si="183"/>
        <v>144.60931388535133</v>
      </c>
      <c r="Y518">
        <f t="shared" ca="1" si="184"/>
        <v>9.036611317230836E-2</v>
      </c>
      <c r="Z518">
        <f t="shared" ca="1" si="185"/>
        <v>-0.41282053395036222</v>
      </c>
      <c r="AA518">
        <f t="shared" ca="1" si="186"/>
        <v>0.50318664712267058</v>
      </c>
      <c r="AB518">
        <f t="shared" ca="1" si="187"/>
        <v>145.45760000000001</v>
      </c>
    </row>
    <row r="519" spans="1:28" x14ac:dyDescent="0.25">
      <c r="A519" s="20">
        <f t="shared" ca="1" si="167"/>
        <v>46048</v>
      </c>
      <c r="B519" vm="1517">
        <f ca="1"/>
        <v>46048</v>
      </c>
      <c r="C519" vm="1518">
        <f ca="1"/>
        <v>145.87</v>
      </c>
      <c r="D519" vm="1519">
        <f ca="1"/>
        <v>6589570</v>
      </c>
      <c r="E519">
        <f t="shared" ca="1" si="168"/>
        <v>961220575.89999998</v>
      </c>
      <c r="F519">
        <f ca="1">SUM($E$2:E519)/SUM($D$2:D519)</f>
        <v>152.84859030239423</v>
      </c>
      <c r="G519">
        <f ca="1">_xlfn.STDEV.P($C$2:C519)</f>
        <v>14.544893879802139</v>
      </c>
      <c r="H519">
        <f t="shared" ca="1" si="169"/>
        <v>167.39348418219637</v>
      </c>
      <c r="I519">
        <f t="shared" ca="1" si="170"/>
        <v>138.30369642259208</v>
      </c>
      <c r="J519">
        <f t="shared" ca="1" si="171"/>
        <v>143.29999999999998</v>
      </c>
      <c r="K519">
        <f t="shared" ca="1" si="172"/>
        <v>2.9962977155149324</v>
      </c>
      <c r="L519">
        <f t="shared" ca="1" si="173"/>
        <v>149.29259543102984</v>
      </c>
      <c r="M519">
        <f t="shared" ca="1" si="174"/>
        <v>137.30740456897013</v>
      </c>
      <c r="N519">
        <f t="shared" ca="1" si="175"/>
        <v>1.289999999999992</v>
      </c>
      <c r="O519">
        <f t="shared" ca="1" si="176"/>
        <v>1.289999999999992</v>
      </c>
      <c r="P519">
        <f t="shared" ca="1" si="177"/>
        <v>0</v>
      </c>
      <c r="Q519">
        <f t="shared" ca="1" si="178"/>
        <v>0.65615905971954247</v>
      </c>
      <c r="R519">
        <f t="shared" ca="1" si="179"/>
        <v>0.56790289242734915</v>
      </c>
      <c r="S519">
        <f t="shared" ca="1" si="180"/>
        <v>1.1554071452514811</v>
      </c>
      <c r="T519">
        <f t="shared" ca="1" si="181"/>
        <v>53.60505312404328</v>
      </c>
      <c r="U519">
        <f>70</f>
        <v>70</v>
      </c>
      <c r="V519">
        <f>30</f>
        <v>30</v>
      </c>
      <c r="W519">
        <f t="shared" ca="1" si="182"/>
        <v>144.7930641551643</v>
      </c>
      <c r="X519">
        <f t="shared" ca="1" si="183"/>
        <v>144.70269804199199</v>
      </c>
      <c r="Y519">
        <f t="shared" ca="1" si="184"/>
        <v>0.40171849127182213</v>
      </c>
      <c r="Z519">
        <f t="shared" ca="1" si="185"/>
        <v>-0.24991272890592536</v>
      </c>
      <c r="AA519">
        <f t="shared" ca="1" si="186"/>
        <v>0.65163122017774744</v>
      </c>
      <c r="AB519">
        <f t="shared" ca="1" si="187"/>
        <v>145.41350000000003</v>
      </c>
    </row>
    <row r="520" spans="1:28" x14ac:dyDescent="0.25">
      <c r="A520" s="20">
        <f t="shared" ca="1" si="167"/>
        <v>46048</v>
      </c>
      <c r="B520" vm="1520">
        <f ca="1"/>
        <v>46049</v>
      </c>
      <c r="C520" vm="1521">
        <f ca="1"/>
        <v>148.78</v>
      </c>
      <c r="D520" vm="1522">
        <f ca="1"/>
        <v>7114901</v>
      </c>
      <c r="E520">
        <f t="shared" ca="1" si="168"/>
        <v>1058554970.78</v>
      </c>
      <c r="F520">
        <f ca="1">SUM($E$2:E520)/SUM($D$2:D520)</f>
        <v>152.84052525700571</v>
      </c>
      <c r="G520">
        <f ca="1">_xlfn.STDEV.P($C$2:C520)</f>
        <v>14.534197096684281</v>
      </c>
      <c r="H520">
        <f t="shared" ca="1" si="169"/>
        <v>167.37472235369</v>
      </c>
      <c r="I520">
        <f t="shared" ca="1" si="170"/>
        <v>138.30632816032141</v>
      </c>
      <c r="J520">
        <f t="shared" ca="1" si="171"/>
        <v>143.55000000000001</v>
      </c>
      <c r="K520">
        <f t="shared" ca="1" si="172"/>
        <v>3.2373494681525155</v>
      </c>
      <c r="L520">
        <f t="shared" ca="1" si="173"/>
        <v>150.02469893630504</v>
      </c>
      <c r="M520">
        <f t="shared" ca="1" si="174"/>
        <v>137.07530106369498</v>
      </c>
      <c r="N520">
        <f t="shared" ca="1" si="175"/>
        <v>2.9099999999999966</v>
      </c>
      <c r="O520">
        <f t="shared" ca="1" si="176"/>
        <v>2.9099999999999966</v>
      </c>
      <c r="P520">
        <f t="shared" ca="1" si="177"/>
        <v>0</v>
      </c>
      <c r="Q520">
        <f t="shared" ca="1" si="178"/>
        <v>0.81714769831100342</v>
      </c>
      <c r="R520">
        <f t="shared" ca="1" si="179"/>
        <v>0.52733840011111</v>
      </c>
      <c r="S520">
        <f t="shared" ca="1" si="180"/>
        <v>1.5495698741810395</v>
      </c>
      <c r="T520">
        <f t="shared" ca="1" si="181"/>
        <v>60.777697833395713</v>
      </c>
      <c r="U520">
        <f>70</f>
        <v>70</v>
      </c>
      <c r="V520">
        <f>30</f>
        <v>30</v>
      </c>
      <c r="W520">
        <f t="shared" ca="1" si="182"/>
        <v>145.40643890052365</v>
      </c>
      <c r="X520">
        <f t="shared" ca="1" si="183"/>
        <v>145.00472040925183</v>
      </c>
      <c r="Y520">
        <f t="shared" ca="1" si="184"/>
        <v>0.61874136879964681</v>
      </c>
      <c r="Z520">
        <f t="shared" ca="1" si="185"/>
        <v>-7.6181909364810951E-2</v>
      </c>
      <c r="AA520">
        <f t="shared" ca="1" si="186"/>
        <v>0.69492327816445776</v>
      </c>
      <c r="AB520">
        <f t="shared" ca="1" si="187"/>
        <v>145.41490000000005</v>
      </c>
    </row>
    <row r="521" spans="1:28" x14ac:dyDescent="0.25">
      <c r="A521" s="20">
        <f t="shared" ca="1" si="167"/>
        <v>46048</v>
      </c>
      <c r="B521" vm="1523">
        <f ca="1"/>
        <v>46050</v>
      </c>
      <c r="C521" vm="1524">
        <f ca="1"/>
        <v>148.5</v>
      </c>
      <c r="D521" vm="1525">
        <f ca="1"/>
        <v>5954075</v>
      </c>
      <c r="E521">
        <f t="shared" ca="1" si="168"/>
        <v>884180137.5</v>
      </c>
      <c r="F521">
        <f ca="1">SUM($E$2:E521)/SUM($D$2:D521)</f>
        <v>152.83333688161264</v>
      </c>
      <c r="G521">
        <f ca="1">_xlfn.STDEV.P($C$2:C521)</f>
        <v>14.523787750029109</v>
      </c>
      <c r="H521">
        <f t="shared" ca="1" si="169"/>
        <v>167.35712463164174</v>
      </c>
      <c r="I521">
        <f t="shared" ca="1" si="170"/>
        <v>138.30954913158354</v>
      </c>
      <c r="J521">
        <f t="shared" ca="1" si="171"/>
        <v>143.76300000000001</v>
      </c>
      <c r="K521">
        <f t="shared" ca="1" si="172"/>
        <v>3.4201201887160577</v>
      </c>
      <c r="L521">
        <f t="shared" ca="1" si="173"/>
        <v>150.60324037743212</v>
      </c>
      <c r="M521">
        <f t="shared" ca="1" si="174"/>
        <v>136.9227596225679</v>
      </c>
      <c r="N521">
        <f t="shared" ca="1" si="175"/>
        <v>-0.28000000000000114</v>
      </c>
      <c r="O521">
        <f t="shared" ca="1" si="176"/>
        <v>0</v>
      </c>
      <c r="P521">
        <f t="shared" ca="1" si="177"/>
        <v>0.28000000000000114</v>
      </c>
      <c r="Q521">
        <f t="shared" ca="1" si="178"/>
        <v>0.7587800055745032</v>
      </c>
      <c r="R521">
        <f t="shared" ca="1" si="179"/>
        <v>0.50967137153174513</v>
      </c>
      <c r="S521">
        <f t="shared" ca="1" si="180"/>
        <v>1.4887632461954796</v>
      </c>
      <c r="T521">
        <f t="shared" ca="1" si="181"/>
        <v>59.819400196917925</v>
      </c>
      <c r="U521">
        <f>70</f>
        <v>70</v>
      </c>
      <c r="V521">
        <f>30</f>
        <v>30</v>
      </c>
      <c r="W521">
        <f t="shared" ca="1" si="182"/>
        <v>145.88237137736616</v>
      </c>
      <c r="X521">
        <f t="shared" ca="1" si="183"/>
        <v>145.26363000856651</v>
      </c>
      <c r="Y521">
        <f t="shared" ca="1" si="184"/>
        <v>0.79687904926959163</v>
      </c>
      <c r="Z521">
        <f t="shared" ca="1" si="185"/>
        <v>9.8430282362069577E-2</v>
      </c>
      <c r="AA521">
        <f t="shared" ca="1" si="186"/>
        <v>0.69844876690752211</v>
      </c>
      <c r="AB521">
        <f t="shared" ca="1" si="187"/>
        <v>145.43100000000004</v>
      </c>
    </row>
    <row r="522" spans="1:28" x14ac:dyDescent="0.25">
      <c r="A522" s="20">
        <f t="shared" ca="1" si="167"/>
        <v>46048</v>
      </c>
      <c r="B522" vm="1526">
        <f ca="1"/>
        <v>46051</v>
      </c>
      <c r="C522" vm="1527">
        <f ca="1"/>
        <v>148.69</v>
      </c>
      <c r="D522" vm="1528">
        <f ca="1"/>
        <v>9062259</v>
      </c>
      <c r="E522">
        <f t="shared" ca="1" si="168"/>
        <v>1347467290.71</v>
      </c>
      <c r="F522">
        <f ca="1">SUM($E$2:E522)/SUM($D$2:D522)</f>
        <v>152.82291928458423</v>
      </c>
      <c r="G522">
        <f ca="1">_xlfn.STDEV.P($C$2:C522)</f>
        <v>14.513215583913551</v>
      </c>
      <c r="H522">
        <f t="shared" ca="1" si="169"/>
        <v>167.33613486849779</v>
      </c>
      <c r="I522">
        <f t="shared" ca="1" si="170"/>
        <v>138.30970370067067</v>
      </c>
      <c r="J522">
        <f t="shared" ca="1" si="171"/>
        <v>143.98949999999999</v>
      </c>
      <c r="K522">
        <f t="shared" ca="1" si="172"/>
        <v>3.593406937858922</v>
      </c>
      <c r="L522">
        <f t="shared" ca="1" si="173"/>
        <v>151.17631387571782</v>
      </c>
      <c r="M522">
        <f t="shared" ca="1" si="174"/>
        <v>136.80268612428216</v>
      </c>
      <c r="N522">
        <f t="shared" ca="1" si="175"/>
        <v>0.18999999999999773</v>
      </c>
      <c r="O522">
        <f t="shared" ca="1" si="176"/>
        <v>0.18999999999999773</v>
      </c>
      <c r="P522">
        <f t="shared" ca="1" si="177"/>
        <v>0</v>
      </c>
      <c r="Q522">
        <f t="shared" ca="1" si="178"/>
        <v>0.71815286231918141</v>
      </c>
      <c r="R522">
        <f t="shared" ca="1" si="179"/>
        <v>0.47326627356519191</v>
      </c>
      <c r="S522">
        <f t="shared" ca="1" si="180"/>
        <v>1.5174393410906273</v>
      </c>
      <c r="T522">
        <f t="shared" ca="1" si="181"/>
        <v>60.277096505261923</v>
      </c>
      <c r="U522">
        <f>70</f>
        <v>70</v>
      </c>
      <c r="V522">
        <f>30</f>
        <v>30</v>
      </c>
      <c r="W522">
        <f t="shared" ca="1" si="182"/>
        <v>146.31431424238673</v>
      </c>
      <c r="X522">
        <f t="shared" ca="1" si="183"/>
        <v>145.51743519311714</v>
      </c>
      <c r="Y522">
        <f t="shared" ca="1" si="184"/>
        <v>1.3214384393897092</v>
      </c>
      <c r="Z522">
        <f t="shared" ca="1" si="185"/>
        <v>0.34303191376759751</v>
      </c>
      <c r="AA522">
        <f t="shared" ca="1" si="186"/>
        <v>0.97840652562211172</v>
      </c>
      <c r="AB522">
        <f t="shared" ca="1" si="187"/>
        <v>145.45400000000001</v>
      </c>
    </row>
    <row r="523" spans="1:28" x14ac:dyDescent="0.25">
      <c r="A523" s="20">
        <f t="shared" ca="1" si="167"/>
        <v>46048</v>
      </c>
      <c r="B523" vm="1529">
        <f ca="1"/>
        <v>46052</v>
      </c>
      <c r="C523" vm="1530">
        <f ca="1"/>
        <v>153.63</v>
      </c>
      <c r="D523" vm="1531">
        <f ca="1"/>
        <v>12641264</v>
      </c>
      <c r="E523">
        <f t="shared" ca="1" si="168"/>
        <v>1942077388.3199999</v>
      </c>
      <c r="F523">
        <f ca="1">SUM($E$2:E523)/SUM($D$2:D523)</f>
        <v>152.82574005525271</v>
      </c>
      <c r="G523">
        <f ca="1">_xlfn.STDEV.P($C$2:C523)</f>
        <v>14.499624958845866</v>
      </c>
      <c r="H523">
        <f t="shared" ca="1" si="169"/>
        <v>167.32536501409857</v>
      </c>
      <c r="I523">
        <f t="shared" ca="1" si="170"/>
        <v>138.32611509640685</v>
      </c>
      <c r="J523">
        <f t="shared" ca="1" si="171"/>
        <v>144.49500000000003</v>
      </c>
      <c r="K523">
        <f t="shared" ca="1" si="172"/>
        <v>4.1861117494576474</v>
      </c>
      <c r="L523">
        <f t="shared" ca="1" si="173"/>
        <v>152.86722349891534</v>
      </c>
      <c r="M523">
        <f t="shared" ca="1" si="174"/>
        <v>136.12277650108473</v>
      </c>
      <c r="N523">
        <f t="shared" ca="1" si="175"/>
        <v>4.9399999999999977</v>
      </c>
      <c r="O523">
        <f t="shared" ca="1" si="176"/>
        <v>4.9399999999999977</v>
      </c>
      <c r="P523">
        <f t="shared" ca="1" si="177"/>
        <v>0</v>
      </c>
      <c r="Q523">
        <f t="shared" ca="1" si="178"/>
        <v>1.0197133721535254</v>
      </c>
      <c r="R523">
        <f t="shared" ca="1" si="179"/>
        <v>0.43946153973910679</v>
      </c>
      <c r="S523">
        <f t="shared" ca="1" si="180"/>
        <v>2.3203699981547743</v>
      </c>
      <c r="T523">
        <f t="shared" ca="1" si="181"/>
        <v>69.882874482189365</v>
      </c>
      <c r="U523">
        <f>70</f>
        <v>70</v>
      </c>
      <c r="V523">
        <f>30</f>
        <v>30</v>
      </c>
      <c r="W523">
        <f t="shared" ca="1" si="182"/>
        <v>147.43980435894261</v>
      </c>
      <c r="X523">
        <f t="shared" ca="1" si="183"/>
        <v>146.1183659195529</v>
      </c>
      <c r="Y523">
        <f t="shared" ca="1" si="184"/>
        <v>1.842601056271377</v>
      </c>
      <c r="Z523">
        <f t="shared" ca="1" si="185"/>
        <v>0.64294574226835344</v>
      </c>
      <c r="AA523">
        <f t="shared" ca="1" si="186"/>
        <v>1.1996553140030235</v>
      </c>
      <c r="AB523">
        <f t="shared" ca="1" si="187"/>
        <v>145.57320000000001</v>
      </c>
    </row>
    <row r="524" spans="1:28" x14ac:dyDescent="0.25">
      <c r="A524" s="20">
        <f t="shared" ca="1" si="167"/>
        <v>46055</v>
      </c>
      <c r="B524" vm="1532">
        <f ca="1"/>
        <v>46055</v>
      </c>
      <c r="C524" vm="1533">
        <f ca="1"/>
        <v>155.19999999999999</v>
      </c>
      <c r="D524" vm="1534">
        <f ca="1"/>
        <v>14660510</v>
      </c>
      <c r="E524">
        <f t="shared" ref="E524:E525" ca="1" si="188">C524*D524</f>
        <v>2275311152</v>
      </c>
      <c r="F524">
        <f ca="1">SUM($E$2:E524)/SUM($D$2:D524)</f>
        <v>152.83532480727652</v>
      </c>
      <c r="G524">
        <f ca="1">_xlfn.STDEV.P($C$2:C524)</f>
        <v>14.485781712978966</v>
      </c>
      <c r="H524">
        <f t="shared" ref="H524:H525" ca="1" si="189">F524 + G524</f>
        <v>167.32110652025548</v>
      </c>
      <c r="I524">
        <f t="shared" ref="I524:I525" ca="1" si="190">F524 - G524</f>
        <v>138.34954309429756</v>
      </c>
      <c r="J524">
        <f t="shared" ref="J524:J525" ca="1" si="191">AVERAGE(C505:C524)</f>
        <v>145.14350000000002</v>
      </c>
      <c r="K524">
        <f t="shared" ref="K524:K525" ca="1" si="192">_xlfn.STDEV.S(C505:C524)</f>
        <v>4.7793572294102242</v>
      </c>
      <c r="L524">
        <f t="shared" ref="L524:L525" ca="1" si="193">J524 + 2*K524</f>
        <v>154.70221445882046</v>
      </c>
      <c r="M524">
        <f t="shared" ref="M524:M525" ca="1" si="194">J524-2*K524</f>
        <v>135.58478554117957</v>
      </c>
      <c r="N524">
        <f t="shared" ref="N524:N525" ca="1" si="195">C524-C523</f>
        <v>1.5699999999999932</v>
      </c>
      <c r="O524">
        <f t="shared" ref="O524:O525" ca="1" si="196">MAX(N524,0)</f>
        <v>1.5699999999999932</v>
      </c>
      <c r="P524">
        <f t="shared" ref="P524:P525" ca="1" si="197">MAX(-N524,0)</f>
        <v>0</v>
      </c>
      <c r="Q524">
        <f t="shared" ref="Q524:Q525" ca="1" si="198">(Q523*13+O524)/14</f>
        <v>1.0590195598568446</v>
      </c>
      <c r="R524">
        <f t="shared" ref="R524:R525" ca="1" si="199">(R523*13+P524)/14</f>
        <v>0.40807142975774202</v>
      </c>
      <c r="S524">
        <f t="shared" ref="S524:S525" ca="1" si="200">IF(R524=0,NA(),Q524/R524)</f>
        <v>2.5951818300182103</v>
      </c>
      <c r="T524">
        <f t="shared" ref="T524:T525" ca="1" si="201">100-(100/(1+S524))</f>
        <v>72.184995160733365</v>
      </c>
      <c r="U524">
        <f>70</f>
        <v>70</v>
      </c>
      <c r="V524">
        <f>30</f>
        <v>30</v>
      </c>
      <c r="W524">
        <f t="shared" ref="W524:W525" ca="1" si="202">C524*(2/(12+1)) + W523*(1-(2/(12+1)))</f>
        <v>148.63368061141296</v>
      </c>
      <c r="X524">
        <f t="shared" ref="X524:X525" ca="1" si="203">C524*(2/(26+1)) + X523*(1-(2/(26+1)))</f>
        <v>146.79107955514158</v>
      </c>
      <c r="Y524">
        <f t="shared" ref="Y524:Y525" ca="1" si="204">W525-X525</f>
        <v>2.8401774534719095</v>
      </c>
      <c r="Z524">
        <f t="shared" ref="Z524:Z525" ca="1" si="205">Y524*(2/(9+1)) + Z523*(1-(2/(9+1)))</f>
        <v>1.0823920845090647</v>
      </c>
      <c r="AA524">
        <f t="shared" ref="AA524:AA525" ca="1" si="206">Y524-Z524</f>
        <v>1.7577853689628449</v>
      </c>
      <c r="AB524">
        <f t="shared" ref="AB524:AB525" ca="1" si="207">AVERAGE(C425:C524)</f>
        <v>145.69420000000002</v>
      </c>
    </row>
    <row r="525" spans="1:28" x14ac:dyDescent="0.25">
      <c r="A525" s="20">
        <f t="shared" ca="1" si="167"/>
        <v>46055</v>
      </c>
      <c r="B525" vm="1535">
        <f ca="1"/>
        <v>46056</v>
      </c>
      <c r="C525" vm="1536">
        <f ca="1"/>
        <v>162.85</v>
      </c>
      <c r="D525" vm="1537">
        <f ca="1"/>
        <v>19096432</v>
      </c>
      <c r="E525">
        <f t="shared" ca="1" si="188"/>
        <v>3109853951.1999998</v>
      </c>
      <c r="F525">
        <f ca="1">SUM($E$2:E525)/SUM($D$2:D525)</f>
        <v>152.88771076813271</v>
      </c>
      <c r="G525">
        <f ca="1">_xlfn.STDEV.P($C$2:C525)</f>
        <v>14.475205396752436</v>
      </c>
      <c r="H525">
        <f t="shared" ca="1" si="189"/>
        <v>167.36291616488515</v>
      </c>
      <c r="I525">
        <f t="shared" ca="1" si="190"/>
        <v>138.41250537138026</v>
      </c>
      <c r="J525">
        <f t="shared" ca="1" si="191"/>
        <v>146.29000000000002</v>
      </c>
      <c r="K525">
        <f t="shared" ca="1" si="192"/>
        <v>6.0434775628467046</v>
      </c>
      <c r="L525">
        <f t="shared" ca="1" si="193"/>
        <v>158.37695512569343</v>
      </c>
      <c r="M525">
        <f t="shared" ca="1" si="194"/>
        <v>134.20304487430661</v>
      </c>
      <c r="N525">
        <f t="shared" ca="1" si="195"/>
        <v>7.6500000000000057</v>
      </c>
      <c r="O525">
        <f t="shared" ca="1" si="196"/>
        <v>7.6500000000000057</v>
      </c>
      <c r="P525">
        <f t="shared" ca="1" si="197"/>
        <v>0</v>
      </c>
      <c r="Q525">
        <f t="shared" ca="1" si="198"/>
        <v>1.5298038770099274</v>
      </c>
      <c r="R525">
        <f t="shared" ca="1" si="199"/>
        <v>0.37892347048933189</v>
      </c>
      <c r="S525">
        <f t="shared" ca="1" si="200"/>
        <v>4.037237057483873</v>
      </c>
      <c r="T525">
        <f t="shared" ca="1" si="201"/>
        <v>80.147847151360679</v>
      </c>
      <c r="U525">
        <f>70</f>
        <v>70</v>
      </c>
      <c r="V525">
        <f>30</f>
        <v>30</v>
      </c>
      <c r="W525">
        <f t="shared" ca="1" si="202"/>
        <v>150.82080667119558</v>
      </c>
      <c r="X525">
        <f t="shared" ca="1" si="203"/>
        <v>147.98062921772367</v>
      </c>
      <c r="Y525">
        <f t="shared" si="204"/>
        <v>0</v>
      </c>
      <c r="Z525">
        <f t="shared" ca="1" si="205"/>
        <v>0.86591366760725175</v>
      </c>
      <c r="AA525">
        <f t="shared" ca="1" si="206"/>
        <v>-0.86591366760725175</v>
      </c>
      <c r="AB525">
        <f t="shared" ca="1" si="207"/>
        <v>145.89610000000002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7A11-B33E-4E1C-B4FA-8DE8FD47DDB7}">
  <dimension ref="A1:D120"/>
  <sheetViews>
    <sheetView workbookViewId="0">
      <selection activeCell="Q9" sqref="Q9"/>
    </sheetView>
  </sheetViews>
  <sheetFormatPr defaultRowHeight="15" x14ac:dyDescent="0.25"/>
  <cols>
    <col min="1" max="2" width="10.42578125" bestFit="1" customWidth="1"/>
    <col min="3" max="3" width="13.5703125" bestFit="1" customWidth="1"/>
    <col min="4" max="4" width="15.5703125" bestFit="1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s="23">
        <v>45292</v>
      </c>
      <c r="B2">
        <v>171.5675</v>
      </c>
    </row>
    <row r="3" spans="1:4" x14ac:dyDescent="0.25">
      <c r="A3" s="23">
        <v>45299</v>
      </c>
      <c r="B3">
        <v>167.32</v>
      </c>
    </row>
    <row r="4" spans="1:4" x14ac:dyDescent="0.25">
      <c r="A4" s="23">
        <v>45306</v>
      </c>
      <c r="B4">
        <v>166.39</v>
      </c>
    </row>
    <row r="5" spans="1:4" x14ac:dyDescent="0.25">
      <c r="A5" s="23">
        <v>45313</v>
      </c>
      <c r="B5">
        <v>166.554</v>
      </c>
    </row>
    <row r="6" spans="1:4" x14ac:dyDescent="0.25">
      <c r="A6" s="23">
        <v>45320</v>
      </c>
      <c r="B6">
        <v>169.79400000000001</v>
      </c>
    </row>
    <row r="7" spans="1:4" x14ac:dyDescent="0.25">
      <c r="A7" s="23">
        <v>45327</v>
      </c>
      <c r="B7">
        <v>171.066</v>
      </c>
    </row>
    <row r="8" spans="1:4" x14ac:dyDescent="0.25">
      <c r="A8" s="23">
        <v>45334</v>
      </c>
      <c r="B8">
        <v>168.238</v>
      </c>
    </row>
    <row r="9" spans="1:4" x14ac:dyDescent="0.25">
      <c r="A9" s="23">
        <v>45341</v>
      </c>
      <c r="B9">
        <v>168.83250000000001</v>
      </c>
    </row>
    <row r="10" spans="1:4" x14ac:dyDescent="0.25">
      <c r="A10" s="23">
        <v>45348</v>
      </c>
      <c r="B10">
        <v>166.67599999999999</v>
      </c>
    </row>
    <row r="11" spans="1:4" x14ac:dyDescent="0.25">
      <c r="A11" s="23">
        <v>45355</v>
      </c>
      <c r="B11">
        <v>163.31399999999999</v>
      </c>
    </row>
    <row r="12" spans="1:4" x14ac:dyDescent="0.25">
      <c r="A12" s="23">
        <v>45362</v>
      </c>
      <c r="B12">
        <v>164.80199999999999</v>
      </c>
    </row>
    <row r="13" spans="1:4" x14ac:dyDescent="0.25">
      <c r="A13" s="23">
        <v>45369</v>
      </c>
      <c r="B13">
        <v>171.87800000000001</v>
      </c>
    </row>
    <row r="14" spans="1:4" x14ac:dyDescent="0.25">
      <c r="A14" s="23">
        <v>45376</v>
      </c>
      <c r="B14">
        <v>173.47749999999999</v>
      </c>
    </row>
    <row r="15" spans="1:4" x14ac:dyDescent="0.25">
      <c r="A15" s="23">
        <v>45383</v>
      </c>
      <c r="B15">
        <v>170.578</v>
      </c>
    </row>
    <row r="16" spans="1:4" x14ac:dyDescent="0.25">
      <c r="A16" s="23">
        <v>45390</v>
      </c>
      <c r="B16">
        <v>169.12</v>
      </c>
    </row>
    <row r="17" spans="1:2" x14ac:dyDescent="0.25">
      <c r="A17" s="23">
        <v>45397</v>
      </c>
      <c r="B17">
        <v>170.066</v>
      </c>
    </row>
    <row r="18" spans="1:2" x14ac:dyDescent="0.25">
      <c r="A18" s="23">
        <v>45404</v>
      </c>
      <c r="B18">
        <v>175.47</v>
      </c>
    </row>
    <row r="19" spans="1:2" x14ac:dyDescent="0.25">
      <c r="A19" s="23">
        <v>45411</v>
      </c>
      <c r="B19">
        <v>175.76</v>
      </c>
    </row>
    <row r="20" spans="1:2" x14ac:dyDescent="0.25">
      <c r="A20" s="23">
        <v>45418</v>
      </c>
      <c r="B20">
        <v>177.82</v>
      </c>
    </row>
    <row r="21" spans="1:2" x14ac:dyDescent="0.25">
      <c r="A21" s="23">
        <v>45425</v>
      </c>
      <c r="B21">
        <v>181.10599999999999</v>
      </c>
    </row>
    <row r="22" spans="1:2" x14ac:dyDescent="0.25">
      <c r="A22" s="23">
        <v>45432</v>
      </c>
      <c r="B22">
        <v>180.148</v>
      </c>
    </row>
    <row r="23" spans="1:2" x14ac:dyDescent="0.25">
      <c r="A23" s="23">
        <v>45439</v>
      </c>
      <c r="B23">
        <v>171.97749999999999</v>
      </c>
    </row>
    <row r="24" spans="1:2" x14ac:dyDescent="0.25">
      <c r="A24" s="23">
        <v>45446</v>
      </c>
      <c r="B24">
        <v>172.57</v>
      </c>
    </row>
    <row r="25" spans="1:2" x14ac:dyDescent="0.25">
      <c r="A25" s="23">
        <v>45453</v>
      </c>
      <c r="B25">
        <v>164.38800000000001</v>
      </c>
    </row>
    <row r="26" spans="1:2" x14ac:dyDescent="0.25">
      <c r="A26" s="23">
        <v>45460</v>
      </c>
      <c r="B26">
        <v>166.64499999999998</v>
      </c>
    </row>
    <row r="27" spans="1:2" x14ac:dyDescent="0.25">
      <c r="A27" s="23">
        <v>45467</v>
      </c>
      <c r="B27">
        <v>166.672</v>
      </c>
    </row>
    <row r="28" spans="1:2" x14ac:dyDescent="0.25">
      <c r="A28" s="23">
        <v>45474</v>
      </c>
      <c r="B28">
        <v>163.36500000000001</v>
      </c>
    </row>
    <row r="29" spans="1:2" x14ac:dyDescent="0.25">
      <c r="A29" s="23">
        <v>45481</v>
      </c>
      <c r="B29">
        <v>163.58799999999999</v>
      </c>
    </row>
    <row r="30" spans="1:2" x14ac:dyDescent="0.25">
      <c r="A30" s="23">
        <v>45488</v>
      </c>
      <c r="B30">
        <v>167.648</v>
      </c>
    </row>
    <row r="31" spans="1:2" x14ac:dyDescent="0.25">
      <c r="A31" s="23">
        <v>45495</v>
      </c>
      <c r="B31">
        <v>169.17599999999999</v>
      </c>
    </row>
    <row r="32" spans="1:2" x14ac:dyDescent="0.25">
      <c r="A32" s="23">
        <v>45502</v>
      </c>
      <c r="B32">
        <v>174.41200000000001</v>
      </c>
    </row>
    <row r="33" spans="1:2" x14ac:dyDescent="0.25">
      <c r="A33" s="23">
        <v>45509</v>
      </c>
      <c r="B33">
        <v>172.61599999999999</v>
      </c>
    </row>
    <row r="34" spans="1:2" x14ac:dyDescent="0.25">
      <c r="A34" s="23">
        <v>45516</v>
      </c>
      <c r="B34">
        <v>172.52799999999999</v>
      </c>
    </row>
    <row r="35" spans="1:2" x14ac:dyDescent="0.25">
      <c r="A35" s="23">
        <v>45523</v>
      </c>
      <c r="B35">
        <v>175.298</v>
      </c>
    </row>
    <row r="36" spans="1:2" x14ac:dyDescent="0.25">
      <c r="A36" s="23">
        <v>45530</v>
      </c>
      <c r="B36">
        <v>174.03200000000001</v>
      </c>
    </row>
    <row r="37" spans="1:2" x14ac:dyDescent="0.25">
      <c r="A37" s="23">
        <v>45537</v>
      </c>
      <c r="B37">
        <v>178.17500000000001</v>
      </c>
    </row>
    <row r="38" spans="1:2" x14ac:dyDescent="0.25">
      <c r="A38" s="23">
        <v>45544</v>
      </c>
      <c r="B38">
        <v>177.27799999999999</v>
      </c>
    </row>
    <row r="39" spans="1:2" x14ac:dyDescent="0.25">
      <c r="A39" s="23">
        <v>45551</v>
      </c>
      <c r="B39">
        <v>175.02600000000001</v>
      </c>
    </row>
    <row r="40" spans="1:2" x14ac:dyDescent="0.25">
      <c r="A40" s="23">
        <v>45558</v>
      </c>
      <c r="B40">
        <v>170.22399999999999</v>
      </c>
    </row>
    <row r="41" spans="1:2" x14ac:dyDescent="0.25">
      <c r="A41" s="23">
        <v>45565</v>
      </c>
      <c r="B41">
        <v>169.49600000000001</v>
      </c>
    </row>
    <row r="42" spans="1:2" x14ac:dyDescent="0.25">
      <c r="A42" s="23">
        <v>45572</v>
      </c>
      <c r="B42">
        <v>171.59399999999999</v>
      </c>
    </row>
    <row r="43" spans="1:2" x14ac:dyDescent="0.25">
      <c r="A43" s="23">
        <v>45579</v>
      </c>
      <c r="B43">
        <v>175.24199999999999</v>
      </c>
    </row>
    <row r="44" spans="1:2" x14ac:dyDescent="0.25">
      <c r="A44" s="23">
        <v>45586</v>
      </c>
      <c r="B44">
        <v>173.256</v>
      </c>
    </row>
    <row r="45" spans="1:2" x14ac:dyDescent="0.25">
      <c r="A45" s="23">
        <v>45593</v>
      </c>
      <c r="B45">
        <v>167.04400000000001</v>
      </c>
    </row>
    <row r="46" spans="1:2" x14ac:dyDescent="0.25">
      <c r="A46" s="23">
        <v>45600</v>
      </c>
      <c r="B46">
        <v>165.602</v>
      </c>
    </row>
    <row r="47" spans="1:2" x14ac:dyDescent="0.25">
      <c r="A47" s="23">
        <v>45607</v>
      </c>
      <c r="B47">
        <v>163.422</v>
      </c>
    </row>
    <row r="48" spans="1:2" x14ac:dyDescent="0.25">
      <c r="A48" s="23">
        <v>45614</v>
      </c>
      <c r="B48">
        <v>159.226</v>
      </c>
    </row>
    <row r="49" spans="1:2" x14ac:dyDescent="0.25">
      <c r="A49" s="23">
        <v>45621</v>
      </c>
      <c r="B49">
        <v>162.845</v>
      </c>
    </row>
    <row r="50" spans="1:2" x14ac:dyDescent="0.25">
      <c r="A50" s="23">
        <v>45628</v>
      </c>
      <c r="B50">
        <v>160.642</v>
      </c>
    </row>
    <row r="51" spans="1:2" x14ac:dyDescent="0.25">
      <c r="A51" s="23">
        <v>45635</v>
      </c>
      <c r="B51">
        <v>158.59</v>
      </c>
    </row>
    <row r="52" spans="1:2" x14ac:dyDescent="0.25">
      <c r="A52" s="23">
        <v>45642</v>
      </c>
      <c r="B52">
        <v>154.16999999999999</v>
      </c>
    </row>
    <row r="53" spans="1:2" x14ac:dyDescent="0.25">
      <c r="A53" s="23">
        <v>45649</v>
      </c>
      <c r="B53">
        <v>152.35749999999999</v>
      </c>
    </row>
    <row r="54" spans="1:2" x14ac:dyDescent="0.25">
      <c r="A54" s="23">
        <v>45656</v>
      </c>
      <c r="B54">
        <v>150.91</v>
      </c>
    </row>
    <row r="55" spans="1:2" x14ac:dyDescent="0.25">
      <c r="A55" s="23">
        <v>45663</v>
      </c>
      <c r="B55">
        <v>145.21250000000001</v>
      </c>
    </row>
    <row r="56" spans="1:2" x14ac:dyDescent="0.25">
      <c r="A56" s="23">
        <v>45670</v>
      </c>
      <c r="B56">
        <v>145.804</v>
      </c>
    </row>
    <row r="57" spans="1:2" x14ac:dyDescent="0.25">
      <c r="A57" s="23">
        <v>45677</v>
      </c>
      <c r="B57">
        <v>148.595</v>
      </c>
    </row>
    <row r="58" spans="1:2" x14ac:dyDescent="0.25">
      <c r="A58" s="23">
        <v>45684</v>
      </c>
      <c r="B58">
        <v>151.56399999999999</v>
      </c>
    </row>
    <row r="59" spans="1:2" x14ac:dyDescent="0.25">
      <c r="A59" s="23">
        <v>45691</v>
      </c>
      <c r="B59">
        <v>145.87</v>
      </c>
    </row>
    <row r="60" spans="1:2" x14ac:dyDescent="0.25">
      <c r="A60" s="23">
        <v>45698</v>
      </c>
      <c r="B60">
        <v>144.38999999999999</v>
      </c>
    </row>
    <row r="61" spans="1:2" x14ac:dyDescent="0.25">
      <c r="A61" s="23">
        <v>45705</v>
      </c>
      <c r="B61">
        <v>148.1275</v>
      </c>
    </row>
    <row r="62" spans="1:2" x14ac:dyDescent="0.25">
      <c r="A62" s="23">
        <v>45712</v>
      </c>
      <c r="B62">
        <v>153.45400000000001</v>
      </c>
    </row>
    <row r="63" spans="1:2" x14ac:dyDescent="0.25">
      <c r="A63" s="23">
        <v>45719</v>
      </c>
      <c r="B63">
        <v>154.62200000000001</v>
      </c>
    </row>
    <row r="64" spans="1:2" x14ac:dyDescent="0.25">
      <c r="A64" s="23">
        <v>45726</v>
      </c>
      <c r="B64">
        <v>150.73599999999999</v>
      </c>
    </row>
    <row r="65" spans="1:2" x14ac:dyDescent="0.25">
      <c r="A65" s="23">
        <v>45733</v>
      </c>
      <c r="B65">
        <v>148.208</v>
      </c>
    </row>
    <row r="66" spans="1:2" x14ac:dyDescent="0.25">
      <c r="A66" s="23">
        <v>45740</v>
      </c>
      <c r="B66">
        <v>147.91399999999999</v>
      </c>
    </row>
    <row r="67" spans="1:2" x14ac:dyDescent="0.25">
      <c r="A67" s="23">
        <v>45747</v>
      </c>
      <c r="B67">
        <v>149.34200000000001</v>
      </c>
    </row>
    <row r="68" spans="1:2" x14ac:dyDescent="0.25">
      <c r="A68" s="23">
        <v>45754</v>
      </c>
      <c r="B68">
        <v>143.53</v>
      </c>
    </row>
    <row r="69" spans="1:2" x14ac:dyDescent="0.25">
      <c r="A69" s="23">
        <v>45761</v>
      </c>
      <c r="B69">
        <v>143.13</v>
      </c>
    </row>
    <row r="70" spans="1:2" x14ac:dyDescent="0.25">
      <c r="A70" s="23">
        <v>45768</v>
      </c>
      <c r="B70">
        <v>139.22800000000001</v>
      </c>
    </row>
    <row r="71" spans="1:2" x14ac:dyDescent="0.25">
      <c r="A71" s="23">
        <v>45775</v>
      </c>
      <c r="B71">
        <v>134.19</v>
      </c>
    </row>
    <row r="72" spans="1:2" x14ac:dyDescent="0.25">
      <c r="A72" s="23">
        <v>45782</v>
      </c>
      <c r="B72">
        <v>131.303</v>
      </c>
    </row>
    <row r="73" spans="1:2" x14ac:dyDescent="0.25">
      <c r="A73" s="23">
        <v>45789</v>
      </c>
      <c r="B73">
        <v>130.78399999999999</v>
      </c>
    </row>
    <row r="74" spans="1:2" x14ac:dyDescent="0.25">
      <c r="A74" s="23">
        <v>45796</v>
      </c>
      <c r="B74">
        <v>130.64000000000001</v>
      </c>
    </row>
    <row r="75" spans="1:2" x14ac:dyDescent="0.25">
      <c r="A75" s="23">
        <v>45803</v>
      </c>
      <c r="B75">
        <v>131.35249999999999</v>
      </c>
    </row>
    <row r="76" spans="1:2" x14ac:dyDescent="0.25">
      <c r="A76" s="23">
        <v>45810</v>
      </c>
      <c r="B76">
        <v>131.12800000000001</v>
      </c>
    </row>
    <row r="77" spans="1:2" x14ac:dyDescent="0.25">
      <c r="A77" s="23">
        <v>45817</v>
      </c>
      <c r="B77">
        <v>130.96800000000002</v>
      </c>
    </row>
    <row r="78" spans="1:2" x14ac:dyDescent="0.25">
      <c r="A78" s="23">
        <v>45824</v>
      </c>
      <c r="B78">
        <v>129.70999999999998</v>
      </c>
    </row>
    <row r="79" spans="1:2" x14ac:dyDescent="0.25">
      <c r="A79" s="23">
        <v>45831</v>
      </c>
      <c r="B79">
        <v>129.48400000000001</v>
      </c>
    </row>
    <row r="80" spans="1:2" x14ac:dyDescent="0.25">
      <c r="A80" s="23">
        <v>45838</v>
      </c>
      <c r="B80">
        <v>134.79</v>
      </c>
    </row>
    <row r="81" spans="1:2" x14ac:dyDescent="0.25">
      <c r="A81" s="23">
        <v>45845</v>
      </c>
      <c r="B81">
        <v>135.06199999999998</v>
      </c>
    </row>
    <row r="82" spans="1:2" x14ac:dyDescent="0.25">
      <c r="A82" s="23">
        <v>45852</v>
      </c>
      <c r="B82">
        <v>138.68199999999999</v>
      </c>
    </row>
    <row r="83" spans="1:2" x14ac:dyDescent="0.25">
      <c r="A83" s="23">
        <v>45859</v>
      </c>
      <c r="B83">
        <v>144.27199999999999</v>
      </c>
    </row>
    <row r="84" spans="1:2" x14ac:dyDescent="0.25">
      <c r="A84" s="23">
        <v>45866</v>
      </c>
      <c r="B84">
        <v>141.10399999999998</v>
      </c>
    </row>
    <row r="85" spans="1:2" x14ac:dyDescent="0.25">
      <c r="A85" s="23">
        <v>45873</v>
      </c>
      <c r="B85">
        <v>141.78800000000001</v>
      </c>
    </row>
    <row r="86" spans="1:2" x14ac:dyDescent="0.25">
      <c r="A86" s="23">
        <v>45880</v>
      </c>
      <c r="B86">
        <v>148.02199999999999</v>
      </c>
    </row>
    <row r="87" spans="1:2" x14ac:dyDescent="0.25">
      <c r="A87" s="23">
        <v>45887</v>
      </c>
      <c r="B87">
        <v>150.21199999999999</v>
      </c>
    </row>
    <row r="88" spans="1:2" x14ac:dyDescent="0.25">
      <c r="A88" s="23">
        <v>45894</v>
      </c>
      <c r="B88">
        <v>147.69399999999999</v>
      </c>
    </row>
    <row r="89" spans="1:2" x14ac:dyDescent="0.25">
      <c r="A89" s="23">
        <v>45901</v>
      </c>
      <c r="B89">
        <v>148.04999999999998</v>
      </c>
    </row>
    <row r="90" spans="1:2" x14ac:dyDescent="0.25">
      <c r="A90" s="23">
        <v>45908</v>
      </c>
      <c r="B90">
        <v>143.04599999999999</v>
      </c>
    </row>
    <row r="91" spans="1:2" x14ac:dyDescent="0.25">
      <c r="A91" s="23">
        <v>45915</v>
      </c>
      <c r="B91">
        <v>140.87799999999999</v>
      </c>
    </row>
    <row r="92" spans="1:2" x14ac:dyDescent="0.25">
      <c r="A92" s="23">
        <v>45922</v>
      </c>
      <c r="B92">
        <v>141.09199999999998</v>
      </c>
    </row>
    <row r="93" spans="1:2" x14ac:dyDescent="0.25">
      <c r="A93" s="23">
        <v>45929</v>
      </c>
      <c r="B93">
        <v>141.608</v>
      </c>
    </row>
    <row r="94" spans="1:2" x14ac:dyDescent="0.25">
      <c r="A94" s="23">
        <v>45936</v>
      </c>
      <c r="B94">
        <v>142.82400000000001</v>
      </c>
    </row>
    <row r="95" spans="1:2" x14ac:dyDescent="0.25">
      <c r="A95" s="23">
        <v>45943</v>
      </c>
      <c r="B95">
        <v>151.59399999999999</v>
      </c>
    </row>
    <row r="96" spans="1:2" x14ac:dyDescent="0.25">
      <c r="A96" s="23">
        <v>45950</v>
      </c>
      <c r="B96">
        <v>152.58199999999999</v>
      </c>
    </row>
    <row r="97" spans="1:4" x14ac:dyDescent="0.25">
      <c r="A97" s="23">
        <v>45957</v>
      </c>
      <c r="B97">
        <v>148.51</v>
      </c>
    </row>
    <row r="98" spans="1:4" x14ac:dyDescent="0.25">
      <c r="A98" s="23">
        <v>45964</v>
      </c>
      <c r="B98">
        <v>142.77799999999999</v>
      </c>
    </row>
    <row r="99" spans="1:4" x14ac:dyDescent="0.25">
      <c r="A99" s="23">
        <v>45971</v>
      </c>
      <c r="B99">
        <v>144.59200000000001</v>
      </c>
    </row>
    <row r="100" spans="1:4" x14ac:dyDescent="0.25">
      <c r="A100" s="23">
        <v>45978</v>
      </c>
      <c r="B100">
        <v>147.22800000000001</v>
      </c>
    </row>
    <row r="101" spans="1:4" x14ac:dyDescent="0.25">
      <c r="A101" s="23">
        <v>45985</v>
      </c>
      <c r="B101">
        <v>147.08250000000001</v>
      </c>
    </row>
    <row r="102" spans="1:4" x14ac:dyDescent="0.25">
      <c r="A102" s="23">
        <v>45992</v>
      </c>
      <c r="B102">
        <v>147.62200000000001</v>
      </c>
    </row>
    <row r="103" spans="1:4" x14ac:dyDescent="0.25">
      <c r="A103" s="23">
        <v>45999</v>
      </c>
      <c r="B103">
        <v>147.93199999999999</v>
      </c>
    </row>
    <row r="104" spans="1:4" x14ac:dyDescent="0.25">
      <c r="A104" s="23">
        <v>46006</v>
      </c>
      <c r="B104">
        <v>149.84</v>
      </c>
    </row>
    <row r="105" spans="1:4" x14ac:dyDescent="0.25">
      <c r="A105" s="23">
        <v>46013</v>
      </c>
      <c r="B105">
        <v>144.5625</v>
      </c>
    </row>
    <row r="106" spans="1:4" x14ac:dyDescent="0.25">
      <c r="A106" s="23">
        <v>46020</v>
      </c>
      <c r="B106">
        <v>143.53749999999999</v>
      </c>
    </row>
    <row r="107" spans="1:4" x14ac:dyDescent="0.25">
      <c r="A107" s="23">
        <v>46027</v>
      </c>
      <c r="B107">
        <v>139.03399999999999</v>
      </c>
    </row>
    <row r="108" spans="1:4" x14ac:dyDescent="0.25">
      <c r="A108" s="23">
        <v>46034</v>
      </c>
      <c r="B108">
        <v>144.72999999999999</v>
      </c>
    </row>
    <row r="109" spans="1:4" x14ac:dyDescent="0.25">
      <c r="A109" s="23">
        <v>46041</v>
      </c>
      <c r="B109">
        <v>145.845</v>
      </c>
    </row>
    <row r="110" spans="1:4" x14ac:dyDescent="0.25">
      <c r="A110" s="23">
        <v>46048</v>
      </c>
      <c r="B110">
        <v>149.09399999999999</v>
      </c>
    </row>
    <row r="111" spans="1:4" x14ac:dyDescent="0.25">
      <c r="A111" s="23">
        <v>46055</v>
      </c>
      <c r="B111">
        <v>159.02499999999998</v>
      </c>
    </row>
    <row r="112" spans="1:4" x14ac:dyDescent="0.25">
      <c r="A112" s="23">
        <v>46062</v>
      </c>
      <c r="C112">
        <f>_xlfn.FORECAST.ETS(Weekly[[#This Row],[Week]],B2:B111,A2:A111,1,1,1)</f>
        <v>157.6343210838036</v>
      </c>
      <c r="D112">
        <v>157.15993225247399</v>
      </c>
    </row>
    <row r="113" spans="1:4" x14ac:dyDescent="0.25">
      <c r="A113" s="23">
        <v>46069</v>
      </c>
      <c r="C113">
        <f>_xlfn.FORECAST.ETS(Weekly[[#This Row],[Week]],B3:B112,A3:A112,1,1,1)</f>
        <v>157.31313256136309</v>
      </c>
      <c r="D113">
        <v>159.63356590291701</v>
      </c>
    </row>
    <row r="114" spans="1:4" x14ac:dyDescent="0.25">
      <c r="A114" s="23">
        <v>46076</v>
      </c>
      <c r="C114">
        <f>_xlfn.FORECAST.ETS(Weekly[[#This Row],[Week]],B4:B113,A4:A113,1,1,1)</f>
        <v>156.98046242717231</v>
      </c>
      <c r="D114">
        <v>161.75059862138301</v>
      </c>
    </row>
    <row r="115" spans="1:4" x14ac:dyDescent="0.25">
      <c r="A115" s="23">
        <v>46083</v>
      </c>
      <c r="C115">
        <f>_xlfn.FORECAST.ETS(Weekly[[#This Row],[Week]],B5:B114,A5:A114,1,1,1)</f>
        <v>156.63565403245147</v>
      </c>
      <c r="D115">
        <v>159.86552575446601</v>
      </c>
    </row>
    <row r="116" spans="1:4" x14ac:dyDescent="0.25">
      <c r="A116" s="23">
        <v>46090</v>
      </c>
      <c r="C116">
        <f>_xlfn.FORECAST.ETS(Weekly[[#This Row],[Week]],B6:B115,A6:A115,1,1,1)</f>
        <v>156.26652919139008</v>
      </c>
      <c r="D116">
        <v>159.45485095991</v>
      </c>
    </row>
    <row r="117" spans="1:4" x14ac:dyDescent="0.25">
      <c r="A117" s="23">
        <v>46097</v>
      </c>
      <c r="C117">
        <f>_xlfn.FORECAST.ETS(Weekly[[#This Row],[Week]],B7:B116,A7:A116,1,1,1)</f>
        <v>156.80313686502174</v>
      </c>
      <c r="D117">
        <v>160.69388643786701</v>
      </c>
    </row>
    <row r="118" spans="1:4" x14ac:dyDescent="0.25">
      <c r="A118" s="23">
        <v>46104</v>
      </c>
      <c r="C118">
        <f>_xlfn.FORECAST.ETS(Weekly[[#This Row],[Week]],B8:B117,A8:A117,1,1,1)</f>
        <v>156.41966982822996</v>
      </c>
      <c r="D118">
        <v>163.51449019651201</v>
      </c>
    </row>
    <row r="119" spans="1:4" x14ac:dyDescent="0.25">
      <c r="A119" s="23">
        <v>46111</v>
      </c>
      <c r="C119">
        <f>_xlfn.FORECAST.ETS(Weekly[[#This Row],[Week]],B9:B118,A9:A118,1,1,1)</f>
        <v>156.02033058032771</v>
      </c>
      <c r="D119">
        <v>165.37904058865001</v>
      </c>
    </row>
    <row r="120" spans="1:4" x14ac:dyDescent="0.25">
      <c r="A120" s="23">
        <v>46118</v>
      </c>
      <c r="C120">
        <f>_xlfn.FORECAST.ETS(Weekly[[#This Row],[Week]],B10:B119,A10:A119,1,1,1)</f>
        <v>155.6174566980113</v>
      </c>
      <c r="D120">
        <v>167.39518275666899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5F45-E2AD-48B9-ABC9-5695A0175E60}">
  <dimension ref="A1:B525"/>
  <sheetViews>
    <sheetView workbookViewId="0">
      <selection sqref="A1:B525"/>
    </sheetView>
  </sheetViews>
  <sheetFormatPr defaultRowHeight="15" x14ac:dyDescent="0.25"/>
  <cols>
    <col min="1" max="1" width="10.42578125" style="20" bestFit="1" customWidth="1"/>
  </cols>
  <sheetData>
    <row r="1" spans="1:2" x14ac:dyDescent="0.25">
      <c r="A1" s="20" t="s">
        <v>45</v>
      </c>
      <c r="B1" t="s">
        <v>43</v>
      </c>
    </row>
    <row r="2" spans="1:2" x14ac:dyDescent="0.25">
      <c r="A2" s="20">
        <v>45292</v>
      </c>
      <c r="B2" vm="2">
        <v>172.91</v>
      </c>
    </row>
    <row r="3" spans="1:2" x14ac:dyDescent="0.25">
      <c r="A3" s="20">
        <v>45292</v>
      </c>
      <c r="B3" vm="5">
        <v>172.95</v>
      </c>
    </row>
    <row r="4" spans="1:2" x14ac:dyDescent="0.25">
      <c r="A4" s="20">
        <v>45292</v>
      </c>
      <c r="B4" vm="8">
        <v>171.47</v>
      </c>
    </row>
    <row r="5" spans="1:2" x14ac:dyDescent="0.25">
      <c r="A5" s="20">
        <v>45292</v>
      </c>
      <c r="B5" vm="11">
        <v>168.94</v>
      </c>
    </row>
    <row r="6" spans="1:2" x14ac:dyDescent="0.25">
      <c r="A6" s="20">
        <v>45299</v>
      </c>
      <c r="B6" vm="14">
        <v>169.11</v>
      </c>
    </row>
    <row r="7" spans="1:2" x14ac:dyDescent="0.25">
      <c r="A7" s="20">
        <v>45299</v>
      </c>
      <c r="B7" vm="17">
        <v>167.17</v>
      </c>
    </row>
    <row r="8" spans="1:2" x14ac:dyDescent="0.25">
      <c r="A8" s="20">
        <v>45299</v>
      </c>
      <c r="B8" vm="20">
        <v>166.92</v>
      </c>
    </row>
    <row r="9" spans="1:2" x14ac:dyDescent="0.25">
      <c r="A9" s="20">
        <v>45299</v>
      </c>
      <c r="B9" vm="23">
        <v>166.13</v>
      </c>
    </row>
    <row r="10" spans="1:2" x14ac:dyDescent="0.25">
      <c r="A10" s="20">
        <v>45299</v>
      </c>
      <c r="B10" vm="26">
        <v>167.27</v>
      </c>
    </row>
    <row r="11" spans="1:2" x14ac:dyDescent="0.25">
      <c r="A11" s="20">
        <v>45306</v>
      </c>
      <c r="B11" vm="29">
        <v>166.17</v>
      </c>
    </row>
    <row r="12" spans="1:2" x14ac:dyDescent="0.25">
      <c r="A12" s="20">
        <v>45306</v>
      </c>
      <c r="B12" vm="32">
        <v>166.44</v>
      </c>
    </row>
    <row r="13" spans="1:2" x14ac:dyDescent="0.25">
      <c r="A13" s="20">
        <v>45306</v>
      </c>
      <c r="B13" vm="17">
        <v>167.17</v>
      </c>
    </row>
    <row r="14" spans="1:2" x14ac:dyDescent="0.25">
      <c r="A14" s="20">
        <v>45306</v>
      </c>
      <c r="B14" vm="37">
        <v>165.78</v>
      </c>
    </row>
    <row r="15" spans="1:2" x14ac:dyDescent="0.25">
      <c r="A15" s="20">
        <v>45313</v>
      </c>
      <c r="B15" vm="40">
        <v>165.11</v>
      </c>
    </row>
    <row r="16" spans="1:2" x14ac:dyDescent="0.25">
      <c r="A16" s="20">
        <v>45313</v>
      </c>
      <c r="B16" vm="43">
        <v>167.64</v>
      </c>
    </row>
    <row r="17" spans="1:2" x14ac:dyDescent="0.25">
      <c r="A17" s="20">
        <v>45313</v>
      </c>
      <c r="B17" vm="46">
        <v>165.6</v>
      </c>
    </row>
    <row r="18" spans="1:2" x14ac:dyDescent="0.25">
      <c r="A18" s="20">
        <v>45313</v>
      </c>
      <c r="B18" vm="49">
        <v>166.56</v>
      </c>
    </row>
    <row r="19" spans="1:2" x14ac:dyDescent="0.25">
      <c r="A19" s="20">
        <v>45313</v>
      </c>
      <c r="B19" vm="52">
        <v>167.86</v>
      </c>
    </row>
    <row r="20" spans="1:2" x14ac:dyDescent="0.25">
      <c r="A20" s="20">
        <v>45320</v>
      </c>
      <c r="B20" vm="55">
        <v>168.15</v>
      </c>
    </row>
    <row r="21" spans="1:2" x14ac:dyDescent="0.25">
      <c r="A21" s="20">
        <v>45320</v>
      </c>
      <c r="B21" vm="58">
        <v>169.62</v>
      </c>
    </row>
    <row r="22" spans="1:2" x14ac:dyDescent="0.25">
      <c r="A22" s="20">
        <v>45320</v>
      </c>
      <c r="B22" vm="61">
        <v>168.53</v>
      </c>
    </row>
    <row r="23" spans="1:2" x14ac:dyDescent="0.25">
      <c r="A23" s="20">
        <v>45320</v>
      </c>
      <c r="B23" vm="64">
        <v>171.7</v>
      </c>
    </row>
    <row r="24" spans="1:2" x14ac:dyDescent="0.25">
      <c r="A24" s="20">
        <v>45320</v>
      </c>
      <c r="B24" vm="67">
        <v>170.97</v>
      </c>
    </row>
    <row r="25" spans="1:2" x14ac:dyDescent="0.25">
      <c r="A25" s="20">
        <v>45327</v>
      </c>
      <c r="B25" vm="70">
        <v>170.92</v>
      </c>
    </row>
    <row r="26" spans="1:2" x14ac:dyDescent="0.25">
      <c r="A26" s="20">
        <v>45327</v>
      </c>
      <c r="B26" vm="73">
        <v>171.42</v>
      </c>
    </row>
    <row r="27" spans="1:2" x14ac:dyDescent="0.25">
      <c r="A27" s="20">
        <v>45327</v>
      </c>
      <c r="B27" vm="8">
        <v>171.47</v>
      </c>
    </row>
    <row r="28" spans="1:2" x14ac:dyDescent="0.25">
      <c r="A28" s="20">
        <v>45327</v>
      </c>
      <c r="B28" vm="78">
        <v>173.85</v>
      </c>
    </row>
    <row r="29" spans="1:2" x14ac:dyDescent="0.25">
      <c r="A29" s="20">
        <v>45327</v>
      </c>
      <c r="B29" vm="81">
        <v>167.67</v>
      </c>
    </row>
    <row r="30" spans="1:2" x14ac:dyDescent="0.25">
      <c r="A30" s="20">
        <v>45334</v>
      </c>
      <c r="B30" vm="84">
        <v>170.61</v>
      </c>
    </row>
    <row r="31" spans="1:2" x14ac:dyDescent="0.25">
      <c r="A31" s="20">
        <v>45334</v>
      </c>
      <c r="B31" vm="87">
        <v>168.88</v>
      </c>
    </row>
    <row r="32" spans="1:2" x14ac:dyDescent="0.25">
      <c r="A32" s="20">
        <v>45334</v>
      </c>
      <c r="B32" vm="90">
        <v>167.52</v>
      </c>
    </row>
    <row r="33" spans="1:2" x14ac:dyDescent="0.25">
      <c r="A33" s="20">
        <v>45334</v>
      </c>
      <c r="B33" vm="52">
        <v>167.86</v>
      </c>
    </row>
    <row r="34" spans="1:2" x14ac:dyDescent="0.25">
      <c r="A34" s="20">
        <v>45334</v>
      </c>
      <c r="B34" vm="95">
        <v>166.32</v>
      </c>
    </row>
    <row r="35" spans="1:2" x14ac:dyDescent="0.25">
      <c r="A35" s="20">
        <v>45341</v>
      </c>
      <c r="B35" vm="98">
        <v>168.65</v>
      </c>
    </row>
    <row r="36" spans="1:2" x14ac:dyDescent="0.25">
      <c r="A36" s="20">
        <v>45341</v>
      </c>
      <c r="B36" vm="101">
        <v>168.83</v>
      </c>
    </row>
    <row r="37" spans="1:2" x14ac:dyDescent="0.25">
      <c r="A37" s="20">
        <v>45341</v>
      </c>
      <c r="B37" vm="104">
        <v>168.25</v>
      </c>
    </row>
    <row r="38" spans="1:2" x14ac:dyDescent="0.25">
      <c r="A38" s="20">
        <v>45341</v>
      </c>
      <c r="B38" vm="107">
        <v>169.6</v>
      </c>
    </row>
    <row r="39" spans="1:2" x14ac:dyDescent="0.25">
      <c r="A39" s="20">
        <v>45348</v>
      </c>
      <c r="B39" vm="110">
        <v>168.26</v>
      </c>
    </row>
    <row r="40" spans="1:2" x14ac:dyDescent="0.25">
      <c r="A40" s="20">
        <v>45348</v>
      </c>
      <c r="B40" vm="113">
        <v>168.16</v>
      </c>
    </row>
    <row r="41" spans="1:2" x14ac:dyDescent="0.25">
      <c r="A41" s="20">
        <v>45348</v>
      </c>
      <c r="B41" vm="116">
        <v>167.03</v>
      </c>
    </row>
    <row r="42" spans="1:2" x14ac:dyDescent="0.25">
      <c r="A42" s="20">
        <v>45348</v>
      </c>
      <c r="B42" vm="119">
        <v>165.34</v>
      </c>
    </row>
    <row r="43" spans="1:2" x14ac:dyDescent="0.25">
      <c r="A43" s="20">
        <v>45348</v>
      </c>
      <c r="B43" vm="122">
        <v>164.59</v>
      </c>
    </row>
    <row r="44" spans="1:2" x14ac:dyDescent="0.25">
      <c r="A44" s="20">
        <v>45355</v>
      </c>
      <c r="B44" vm="125">
        <v>165.37</v>
      </c>
    </row>
    <row r="45" spans="1:2" x14ac:dyDescent="0.25">
      <c r="A45" s="20">
        <v>45355</v>
      </c>
      <c r="B45" vm="128">
        <v>162.04</v>
      </c>
    </row>
    <row r="46" spans="1:2" x14ac:dyDescent="0.25">
      <c r="A46" s="20">
        <v>45355</v>
      </c>
      <c r="B46" vm="131">
        <v>163</v>
      </c>
    </row>
    <row r="47" spans="1:2" x14ac:dyDescent="0.25">
      <c r="A47" s="20">
        <v>45355</v>
      </c>
      <c r="B47" vm="134">
        <v>163.11000000000001</v>
      </c>
    </row>
    <row r="48" spans="1:2" x14ac:dyDescent="0.25">
      <c r="A48" s="20">
        <v>45355</v>
      </c>
      <c r="B48" vm="137">
        <v>163.05000000000001</v>
      </c>
    </row>
    <row r="49" spans="1:2" x14ac:dyDescent="0.25">
      <c r="A49" s="20">
        <v>45362</v>
      </c>
      <c r="B49" vm="140">
        <v>164.73</v>
      </c>
    </row>
    <row r="50" spans="1:2" x14ac:dyDescent="0.25">
      <c r="A50" s="20">
        <v>45362</v>
      </c>
      <c r="B50" vm="143">
        <v>164.54</v>
      </c>
    </row>
    <row r="51" spans="1:2" x14ac:dyDescent="0.25">
      <c r="A51" s="20">
        <v>45362</v>
      </c>
      <c r="B51" vm="146">
        <v>165.3</v>
      </c>
    </row>
    <row r="52" spans="1:2" x14ac:dyDescent="0.25">
      <c r="A52" s="20">
        <v>45362</v>
      </c>
      <c r="B52" vm="149">
        <v>164.78</v>
      </c>
    </row>
    <row r="53" spans="1:2" x14ac:dyDescent="0.25">
      <c r="A53" s="20">
        <v>45362</v>
      </c>
      <c r="B53" vm="152">
        <v>164.66</v>
      </c>
    </row>
    <row r="54" spans="1:2" x14ac:dyDescent="0.25">
      <c r="A54" s="20">
        <v>45369</v>
      </c>
      <c r="B54" vm="155">
        <v>171.26</v>
      </c>
    </row>
    <row r="55" spans="1:2" x14ac:dyDescent="0.25">
      <c r="A55" s="20">
        <v>45369</v>
      </c>
      <c r="B55" vm="158">
        <v>171.8</v>
      </c>
    </row>
    <row r="56" spans="1:2" x14ac:dyDescent="0.25">
      <c r="A56" s="20">
        <v>45369</v>
      </c>
      <c r="B56" vm="161">
        <v>171.86</v>
      </c>
    </row>
    <row r="57" spans="1:2" x14ac:dyDescent="0.25">
      <c r="A57" s="20">
        <v>45369</v>
      </c>
      <c r="B57" vm="164">
        <v>172.45</v>
      </c>
    </row>
    <row r="58" spans="1:2" x14ac:dyDescent="0.25">
      <c r="A58" s="20">
        <v>45369</v>
      </c>
      <c r="B58" vm="167">
        <v>172.02</v>
      </c>
    </row>
    <row r="59" spans="1:2" x14ac:dyDescent="0.25">
      <c r="A59" s="20">
        <v>45376</v>
      </c>
      <c r="B59" vm="170">
        <v>172.6</v>
      </c>
    </row>
    <row r="60" spans="1:2" x14ac:dyDescent="0.25">
      <c r="A60" s="20">
        <v>45376</v>
      </c>
      <c r="B60" vm="173">
        <v>172.73</v>
      </c>
    </row>
    <row r="61" spans="1:2" x14ac:dyDescent="0.25">
      <c r="A61" s="20">
        <v>45376</v>
      </c>
      <c r="B61" vm="176">
        <v>173.57</v>
      </c>
    </row>
    <row r="62" spans="1:2" x14ac:dyDescent="0.25">
      <c r="A62" s="20">
        <v>45376</v>
      </c>
      <c r="B62" vm="179">
        <v>175.01</v>
      </c>
    </row>
    <row r="63" spans="1:2" x14ac:dyDescent="0.25">
      <c r="A63" s="20">
        <v>45383</v>
      </c>
      <c r="B63" vm="182">
        <v>172.98</v>
      </c>
    </row>
    <row r="64" spans="1:2" x14ac:dyDescent="0.25">
      <c r="A64" s="20">
        <v>45383</v>
      </c>
      <c r="B64" vm="185">
        <v>171.44</v>
      </c>
    </row>
    <row r="65" spans="1:2" x14ac:dyDescent="0.25">
      <c r="A65" s="20">
        <v>45383</v>
      </c>
      <c r="B65" vm="188">
        <v>169.68</v>
      </c>
    </row>
    <row r="66" spans="1:2" x14ac:dyDescent="0.25">
      <c r="A66" s="20">
        <v>45383</v>
      </c>
      <c r="B66" vm="191">
        <v>169.65</v>
      </c>
    </row>
    <row r="67" spans="1:2" x14ac:dyDescent="0.25">
      <c r="A67" s="20">
        <v>45383</v>
      </c>
      <c r="B67" vm="194">
        <v>169.14</v>
      </c>
    </row>
    <row r="68" spans="1:2" x14ac:dyDescent="0.25">
      <c r="A68" s="20">
        <v>45390</v>
      </c>
      <c r="B68" vm="197">
        <v>169.58</v>
      </c>
    </row>
    <row r="69" spans="1:2" x14ac:dyDescent="0.25">
      <c r="A69" s="20">
        <v>45390</v>
      </c>
      <c r="B69" vm="84">
        <v>170.61</v>
      </c>
    </row>
    <row r="70" spans="1:2" x14ac:dyDescent="0.25">
      <c r="A70" s="20">
        <v>45390</v>
      </c>
      <c r="B70" vm="202">
        <v>168.95</v>
      </c>
    </row>
    <row r="71" spans="1:2" x14ac:dyDescent="0.25">
      <c r="A71" s="20">
        <v>45390</v>
      </c>
      <c r="B71" vm="205">
        <v>168.36</v>
      </c>
    </row>
    <row r="72" spans="1:2" x14ac:dyDescent="0.25">
      <c r="A72" s="20">
        <v>45390</v>
      </c>
      <c r="B72" vm="208">
        <v>168.1</v>
      </c>
    </row>
    <row r="73" spans="1:2" x14ac:dyDescent="0.25">
      <c r="A73" s="20">
        <v>45397</v>
      </c>
      <c r="B73" vm="211">
        <v>166.95</v>
      </c>
    </row>
    <row r="74" spans="1:2" x14ac:dyDescent="0.25">
      <c r="A74" s="20">
        <v>45397</v>
      </c>
      <c r="B74" vm="214">
        <v>167.5</v>
      </c>
    </row>
    <row r="75" spans="1:2" x14ac:dyDescent="0.25">
      <c r="A75" s="20">
        <v>45397</v>
      </c>
      <c r="B75" vm="217">
        <v>169.48</v>
      </c>
    </row>
    <row r="76" spans="1:2" x14ac:dyDescent="0.25">
      <c r="A76" s="20">
        <v>45397</v>
      </c>
      <c r="B76" vm="220">
        <v>172.27</v>
      </c>
    </row>
    <row r="77" spans="1:2" x14ac:dyDescent="0.25">
      <c r="A77" s="20">
        <v>45397</v>
      </c>
      <c r="B77" vm="223">
        <v>174.13</v>
      </c>
    </row>
    <row r="78" spans="1:2" x14ac:dyDescent="0.25">
      <c r="A78" s="20">
        <v>45404</v>
      </c>
      <c r="B78" vm="226">
        <v>176.46</v>
      </c>
    </row>
    <row r="79" spans="1:2" x14ac:dyDescent="0.25">
      <c r="A79" s="20">
        <v>45404</v>
      </c>
      <c r="B79" vm="229">
        <v>171.22</v>
      </c>
    </row>
    <row r="80" spans="1:2" x14ac:dyDescent="0.25">
      <c r="A80" s="20">
        <v>45404</v>
      </c>
      <c r="B80" vm="232">
        <v>177.41</v>
      </c>
    </row>
    <row r="81" spans="1:2" x14ac:dyDescent="0.25">
      <c r="A81" s="20">
        <v>45404</v>
      </c>
      <c r="B81" vm="235">
        <v>176.68</v>
      </c>
    </row>
    <row r="82" spans="1:2" x14ac:dyDescent="0.25">
      <c r="A82" s="20">
        <v>45404</v>
      </c>
      <c r="B82" vm="238">
        <v>175.58</v>
      </c>
    </row>
    <row r="83" spans="1:2" x14ac:dyDescent="0.25">
      <c r="A83" s="20">
        <v>45411</v>
      </c>
      <c r="B83" vm="241">
        <v>176.14</v>
      </c>
    </row>
    <row r="84" spans="1:2" x14ac:dyDescent="0.25">
      <c r="A84" s="20">
        <v>45411</v>
      </c>
      <c r="B84" vm="244">
        <v>175.91</v>
      </c>
    </row>
    <row r="85" spans="1:2" x14ac:dyDescent="0.25">
      <c r="A85" s="20">
        <v>45411</v>
      </c>
      <c r="B85" vm="247">
        <v>175.15</v>
      </c>
    </row>
    <row r="86" spans="1:2" x14ac:dyDescent="0.25">
      <c r="A86" s="20">
        <v>45411</v>
      </c>
      <c r="B86" vm="250">
        <v>175.45</v>
      </c>
    </row>
    <row r="87" spans="1:2" x14ac:dyDescent="0.25">
      <c r="A87" s="20">
        <v>45411</v>
      </c>
      <c r="B87" vm="253">
        <v>176.15</v>
      </c>
    </row>
    <row r="88" spans="1:2" x14ac:dyDescent="0.25">
      <c r="A88" s="20">
        <v>45418</v>
      </c>
      <c r="B88" vm="256">
        <v>175.82</v>
      </c>
    </row>
    <row r="89" spans="1:2" x14ac:dyDescent="0.25">
      <c r="A89" s="20">
        <v>45418</v>
      </c>
      <c r="B89" vm="259">
        <v>178.02</v>
      </c>
    </row>
    <row r="90" spans="1:2" x14ac:dyDescent="0.25">
      <c r="A90" s="20">
        <v>45418</v>
      </c>
      <c r="B90" vm="232">
        <v>177.41</v>
      </c>
    </row>
    <row r="91" spans="1:2" x14ac:dyDescent="0.25">
      <c r="A91" s="20">
        <v>45418</v>
      </c>
      <c r="B91" vm="264">
        <v>178.06</v>
      </c>
    </row>
    <row r="92" spans="1:2" x14ac:dyDescent="0.25">
      <c r="A92" s="20">
        <v>45418</v>
      </c>
      <c r="B92" vm="267">
        <v>179.79</v>
      </c>
    </row>
    <row r="93" spans="1:2" x14ac:dyDescent="0.25">
      <c r="A93" s="20">
        <v>45425</v>
      </c>
      <c r="B93" vm="270">
        <v>180.9</v>
      </c>
    </row>
    <row r="94" spans="1:2" x14ac:dyDescent="0.25">
      <c r="A94" s="20">
        <v>45425</v>
      </c>
      <c r="B94" vm="273">
        <v>179.87</v>
      </c>
    </row>
    <row r="95" spans="1:2" x14ac:dyDescent="0.25">
      <c r="A95" s="20">
        <v>45425</v>
      </c>
      <c r="B95" vm="276">
        <v>179.46</v>
      </c>
    </row>
    <row r="96" spans="1:2" x14ac:dyDescent="0.25">
      <c r="A96" s="20">
        <v>45425</v>
      </c>
      <c r="B96" vm="279">
        <v>183.11</v>
      </c>
    </row>
    <row r="97" spans="1:2" x14ac:dyDescent="0.25">
      <c r="A97" s="20">
        <v>45425</v>
      </c>
      <c r="B97" vm="282">
        <v>182.19</v>
      </c>
    </row>
    <row r="98" spans="1:2" x14ac:dyDescent="0.25">
      <c r="A98" s="20">
        <v>45432</v>
      </c>
      <c r="B98" vm="285">
        <v>180.31</v>
      </c>
    </row>
    <row r="99" spans="1:2" x14ac:dyDescent="0.25">
      <c r="A99" s="20">
        <v>45432</v>
      </c>
      <c r="B99" vm="288">
        <v>181.08</v>
      </c>
    </row>
    <row r="100" spans="1:2" x14ac:dyDescent="0.25">
      <c r="A100" s="20">
        <v>45432</v>
      </c>
      <c r="B100" vm="291">
        <v>182.09</v>
      </c>
    </row>
    <row r="101" spans="1:2" x14ac:dyDescent="0.25">
      <c r="A101" s="20">
        <v>45432</v>
      </c>
      <c r="B101" vm="294">
        <v>179.27</v>
      </c>
    </row>
    <row r="102" spans="1:2" x14ac:dyDescent="0.25">
      <c r="A102" s="20">
        <v>45432</v>
      </c>
      <c r="B102" vm="297">
        <v>177.99</v>
      </c>
    </row>
    <row r="103" spans="1:2" x14ac:dyDescent="0.25">
      <c r="A103" s="20">
        <v>45439</v>
      </c>
      <c r="B103" vm="300">
        <v>173.38</v>
      </c>
    </row>
    <row r="104" spans="1:2" x14ac:dyDescent="0.25">
      <c r="A104" s="20">
        <v>45439</v>
      </c>
      <c r="B104" vm="303">
        <v>171.15</v>
      </c>
    </row>
    <row r="105" spans="1:2" x14ac:dyDescent="0.25">
      <c r="A105" s="20">
        <v>45439</v>
      </c>
      <c r="B105" vm="306">
        <v>170.48</v>
      </c>
    </row>
    <row r="106" spans="1:2" x14ac:dyDescent="0.25">
      <c r="A106" s="20">
        <v>45439</v>
      </c>
      <c r="B106" vm="309">
        <v>172.9</v>
      </c>
    </row>
    <row r="107" spans="1:2" x14ac:dyDescent="0.25">
      <c r="A107" s="20">
        <v>45446</v>
      </c>
      <c r="B107" vm="312">
        <v>171.23</v>
      </c>
    </row>
    <row r="108" spans="1:2" x14ac:dyDescent="0.25">
      <c r="A108" s="20">
        <v>45446</v>
      </c>
      <c r="B108" vm="315">
        <v>173.89</v>
      </c>
    </row>
    <row r="109" spans="1:2" x14ac:dyDescent="0.25">
      <c r="A109" s="20">
        <v>45446</v>
      </c>
      <c r="B109" vm="318">
        <v>173.49</v>
      </c>
    </row>
    <row r="110" spans="1:2" x14ac:dyDescent="0.25">
      <c r="A110" s="20">
        <v>45446</v>
      </c>
      <c r="B110" vm="321">
        <v>173.2</v>
      </c>
    </row>
    <row r="111" spans="1:2" x14ac:dyDescent="0.25">
      <c r="A111" s="20">
        <v>45446</v>
      </c>
      <c r="B111" vm="324">
        <v>171.04</v>
      </c>
    </row>
    <row r="112" spans="1:2" x14ac:dyDescent="0.25">
      <c r="A112" s="20">
        <v>45453</v>
      </c>
      <c r="B112" vm="327">
        <v>165.9</v>
      </c>
    </row>
    <row r="113" spans="1:2" x14ac:dyDescent="0.25">
      <c r="A113" s="20">
        <v>45453</v>
      </c>
      <c r="B113" vm="330">
        <v>165.07</v>
      </c>
    </row>
    <row r="114" spans="1:2" x14ac:dyDescent="0.25">
      <c r="A114" s="20">
        <v>45453</v>
      </c>
      <c r="B114" vm="333">
        <v>163.83000000000001</v>
      </c>
    </row>
    <row r="115" spans="1:2" x14ac:dyDescent="0.25">
      <c r="A115" s="20">
        <v>45453</v>
      </c>
      <c r="B115" vm="336">
        <v>163.33000000000001</v>
      </c>
    </row>
    <row r="116" spans="1:2" x14ac:dyDescent="0.25">
      <c r="A116" s="20">
        <v>45453</v>
      </c>
      <c r="B116" vm="339">
        <v>163.81</v>
      </c>
    </row>
    <row r="117" spans="1:2" x14ac:dyDescent="0.25">
      <c r="A117" s="20">
        <v>45460</v>
      </c>
      <c r="B117" vm="342">
        <v>166.14</v>
      </c>
    </row>
    <row r="118" spans="1:2" x14ac:dyDescent="0.25">
      <c r="A118" s="20">
        <v>45460</v>
      </c>
      <c r="B118" vm="345">
        <v>166.48</v>
      </c>
    </row>
    <row r="119" spans="1:2" x14ac:dyDescent="0.25">
      <c r="A119" s="20">
        <v>45460</v>
      </c>
      <c r="B119" vm="348">
        <v>166.68</v>
      </c>
    </row>
    <row r="120" spans="1:2" x14ac:dyDescent="0.25">
      <c r="A120" s="20">
        <v>45460</v>
      </c>
      <c r="B120" vm="351">
        <v>167.28</v>
      </c>
    </row>
    <row r="121" spans="1:2" x14ac:dyDescent="0.25">
      <c r="A121" s="20">
        <v>45467</v>
      </c>
      <c r="B121" vm="354">
        <v>168.08</v>
      </c>
    </row>
    <row r="122" spans="1:2" x14ac:dyDescent="0.25">
      <c r="A122" s="20">
        <v>45467</v>
      </c>
      <c r="B122" vm="357">
        <v>167.35</v>
      </c>
    </row>
    <row r="123" spans="1:2" x14ac:dyDescent="0.25">
      <c r="A123" s="20">
        <v>45467</v>
      </c>
      <c r="B123" vm="360">
        <v>166.74</v>
      </c>
    </row>
    <row r="124" spans="1:2" x14ac:dyDescent="0.25">
      <c r="A124" s="20">
        <v>45467</v>
      </c>
      <c r="B124" vm="363">
        <v>166.26</v>
      </c>
    </row>
    <row r="125" spans="1:2" x14ac:dyDescent="0.25">
      <c r="A125" s="20">
        <v>45467</v>
      </c>
      <c r="B125" vm="366">
        <v>164.93</v>
      </c>
    </row>
    <row r="126" spans="1:2" x14ac:dyDescent="0.25">
      <c r="A126" s="20">
        <v>45474</v>
      </c>
      <c r="B126" vm="369">
        <v>162.88999999999999</v>
      </c>
    </row>
    <row r="127" spans="1:2" x14ac:dyDescent="0.25">
      <c r="A127" s="20">
        <v>45474</v>
      </c>
      <c r="B127" vm="372">
        <v>163.58000000000001</v>
      </c>
    </row>
    <row r="128" spans="1:2" x14ac:dyDescent="0.25">
      <c r="A128" s="20">
        <v>45474</v>
      </c>
      <c r="B128" vm="375">
        <v>162.6</v>
      </c>
    </row>
    <row r="129" spans="1:2" x14ac:dyDescent="0.25">
      <c r="A129" s="20">
        <v>45474</v>
      </c>
      <c r="B129" vm="378">
        <v>164.39</v>
      </c>
    </row>
    <row r="130" spans="1:2" x14ac:dyDescent="0.25">
      <c r="A130" s="20">
        <v>45481</v>
      </c>
      <c r="B130" vm="381">
        <v>162.12</v>
      </c>
    </row>
    <row r="131" spans="1:2" x14ac:dyDescent="0.25">
      <c r="A131" s="20">
        <v>45481</v>
      </c>
      <c r="B131" vm="384">
        <v>161.9</v>
      </c>
    </row>
    <row r="132" spans="1:2" x14ac:dyDescent="0.25">
      <c r="A132" s="20">
        <v>45481</v>
      </c>
      <c r="B132" vm="387">
        <v>163.59</v>
      </c>
    </row>
    <row r="133" spans="1:2" x14ac:dyDescent="0.25">
      <c r="A133" s="20">
        <v>45481</v>
      </c>
      <c r="B133" vm="390">
        <v>163.95</v>
      </c>
    </row>
    <row r="134" spans="1:2" x14ac:dyDescent="0.25">
      <c r="A134" s="20">
        <v>45481</v>
      </c>
      <c r="B134" vm="393">
        <v>166.38</v>
      </c>
    </row>
    <row r="135" spans="1:2" x14ac:dyDescent="0.25">
      <c r="A135" s="20">
        <v>45488</v>
      </c>
      <c r="B135" vm="396">
        <v>163.86</v>
      </c>
    </row>
    <row r="136" spans="1:2" x14ac:dyDescent="0.25">
      <c r="A136" s="20">
        <v>45488</v>
      </c>
      <c r="B136" vm="399">
        <v>164.76</v>
      </c>
    </row>
    <row r="137" spans="1:2" x14ac:dyDescent="0.25">
      <c r="A137" s="20">
        <v>45488</v>
      </c>
      <c r="B137" vm="402">
        <v>169.89</v>
      </c>
    </row>
    <row r="138" spans="1:2" x14ac:dyDescent="0.25">
      <c r="A138" s="20">
        <v>45488</v>
      </c>
      <c r="B138" vm="405">
        <v>170.37</v>
      </c>
    </row>
    <row r="139" spans="1:2" x14ac:dyDescent="0.25">
      <c r="A139" s="20">
        <v>45488</v>
      </c>
      <c r="B139" vm="408">
        <v>169.36</v>
      </c>
    </row>
    <row r="140" spans="1:2" x14ac:dyDescent="0.25">
      <c r="A140" s="20">
        <v>45495</v>
      </c>
      <c r="B140" vm="411">
        <v>167.66</v>
      </c>
    </row>
    <row r="141" spans="1:2" x14ac:dyDescent="0.25">
      <c r="A141" s="20">
        <v>45495</v>
      </c>
      <c r="B141" vm="414">
        <v>166.28</v>
      </c>
    </row>
    <row r="142" spans="1:2" x14ac:dyDescent="0.25">
      <c r="A142" s="20">
        <v>45495</v>
      </c>
      <c r="B142" vm="417">
        <v>168.17</v>
      </c>
    </row>
    <row r="143" spans="1:2" x14ac:dyDescent="0.25">
      <c r="A143" s="20">
        <v>45495</v>
      </c>
      <c r="B143" vm="420">
        <v>171.02</v>
      </c>
    </row>
    <row r="144" spans="1:2" x14ac:dyDescent="0.25">
      <c r="A144" s="20">
        <v>45495</v>
      </c>
      <c r="B144" vm="423">
        <v>172.75</v>
      </c>
    </row>
    <row r="145" spans="1:2" x14ac:dyDescent="0.25">
      <c r="A145" s="20">
        <v>45502</v>
      </c>
      <c r="B145" vm="426">
        <v>173.21</v>
      </c>
    </row>
    <row r="146" spans="1:2" x14ac:dyDescent="0.25">
      <c r="A146" s="20">
        <v>45502</v>
      </c>
      <c r="B146" vm="429">
        <v>173.18</v>
      </c>
    </row>
    <row r="147" spans="1:2" x14ac:dyDescent="0.25">
      <c r="A147" s="20">
        <v>45502</v>
      </c>
      <c r="B147" vm="432">
        <v>172.67</v>
      </c>
    </row>
    <row r="148" spans="1:2" x14ac:dyDescent="0.25">
      <c r="A148" s="20">
        <v>45502</v>
      </c>
      <c r="B148" vm="435">
        <v>174.96</v>
      </c>
    </row>
    <row r="149" spans="1:2" x14ac:dyDescent="0.25">
      <c r="A149" s="20">
        <v>45502</v>
      </c>
      <c r="B149" vm="438">
        <v>178.04</v>
      </c>
    </row>
    <row r="150" spans="1:2" x14ac:dyDescent="0.25">
      <c r="A150" s="20">
        <v>45509</v>
      </c>
      <c r="B150" vm="441">
        <v>174.04</v>
      </c>
    </row>
    <row r="151" spans="1:2" x14ac:dyDescent="0.25">
      <c r="A151" s="20">
        <v>45509</v>
      </c>
      <c r="B151" vm="444">
        <v>172.49</v>
      </c>
    </row>
    <row r="152" spans="1:2" x14ac:dyDescent="0.25">
      <c r="A152" s="20">
        <v>45509</v>
      </c>
      <c r="B152" vm="447">
        <v>171.79</v>
      </c>
    </row>
    <row r="153" spans="1:2" x14ac:dyDescent="0.25">
      <c r="A153" s="20">
        <v>45509</v>
      </c>
      <c r="B153" vm="450">
        <v>172.37</v>
      </c>
    </row>
    <row r="154" spans="1:2" x14ac:dyDescent="0.25">
      <c r="A154" s="20">
        <v>45509</v>
      </c>
      <c r="B154" vm="453">
        <v>172.39</v>
      </c>
    </row>
    <row r="155" spans="1:2" x14ac:dyDescent="0.25">
      <c r="A155" s="20">
        <v>45516</v>
      </c>
      <c r="B155" vm="73">
        <v>171.42</v>
      </c>
    </row>
    <row r="156" spans="1:2" x14ac:dyDescent="0.25">
      <c r="A156" s="20">
        <v>45516</v>
      </c>
      <c r="B156" vm="450">
        <v>172.37</v>
      </c>
    </row>
    <row r="157" spans="1:2" x14ac:dyDescent="0.25">
      <c r="A157" s="20">
        <v>45516</v>
      </c>
      <c r="B157" vm="460">
        <v>173.71</v>
      </c>
    </row>
    <row r="158" spans="1:2" x14ac:dyDescent="0.25">
      <c r="A158" s="20">
        <v>45516</v>
      </c>
      <c r="B158" vm="463">
        <v>172.52</v>
      </c>
    </row>
    <row r="159" spans="1:2" x14ac:dyDescent="0.25">
      <c r="A159" s="20">
        <v>45516</v>
      </c>
      <c r="B159" vm="466">
        <v>172.62</v>
      </c>
    </row>
    <row r="160" spans="1:2" x14ac:dyDescent="0.25">
      <c r="A160" s="20">
        <v>45523</v>
      </c>
      <c r="B160" vm="469">
        <v>173.82</v>
      </c>
    </row>
    <row r="161" spans="1:2" x14ac:dyDescent="0.25">
      <c r="A161" s="20">
        <v>45523</v>
      </c>
      <c r="B161" vm="472">
        <v>175.85</v>
      </c>
    </row>
    <row r="162" spans="1:2" x14ac:dyDescent="0.25">
      <c r="A162" s="20">
        <v>45523</v>
      </c>
      <c r="B162" vm="475">
        <v>175.21</v>
      </c>
    </row>
    <row r="163" spans="1:2" x14ac:dyDescent="0.25">
      <c r="A163" s="20">
        <v>45523</v>
      </c>
      <c r="B163" vm="478">
        <v>175.74</v>
      </c>
    </row>
    <row r="164" spans="1:2" x14ac:dyDescent="0.25">
      <c r="A164" s="20">
        <v>45523</v>
      </c>
      <c r="B164" vm="481">
        <v>175.87</v>
      </c>
    </row>
    <row r="165" spans="1:2" x14ac:dyDescent="0.25">
      <c r="A165" s="20">
        <v>45530</v>
      </c>
      <c r="B165" vm="484">
        <v>175.97</v>
      </c>
    </row>
    <row r="166" spans="1:2" x14ac:dyDescent="0.25">
      <c r="A166" s="20">
        <v>45530</v>
      </c>
      <c r="B166" vm="487">
        <v>175.3</v>
      </c>
    </row>
    <row r="167" spans="1:2" x14ac:dyDescent="0.25">
      <c r="A167" s="20">
        <v>45530</v>
      </c>
      <c r="B167" vm="490">
        <v>173.92</v>
      </c>
    </row>
    <row r="168" spans="1:2" x14ac:dyDescent="0.25">
      <c r="A168" s="20">
        <v>45530</v>
      </c>
      <c r="B168" vm="493">
        <v>172.09</v>
      </c>
    </row>
    <row r="169" spans="1:2" x14ac:dyDescent="0.25">
      <c r="A169" s="20">
        <v>45530</v>
      </c>
      <c r="B169" vm="496">
        <v>172.88</v>
      </c>
    </row>
    <row r="170" spans="1:2" x14ac:dyDescent="0.25">
      <c r="A170" s="20">
        <v>45537</v>
      </c>
      <c r="B170" vm="499">
        <v>177.54</v>
      </c>
    </row>
    <row r="171" spans="1:2" x14ac:dyDescent="0.25">
      <c r="A171" s="20">
        <v>45537</v>
      </c>
      <c r="B171" vm="502">
        <v>178.52</v>
      </c>
    </row>
    <row r="172" spans="1:2" x14ac:dyDescent="0.25">
      <c r="A172" s="20">
        <v>45537</v>
      </c>
      <c r="B172" vm="505">
        <v>179.3</v>
      </c>
    </row>
    <row r="173" spans="1:2" x14ac:dyDescent="0.25">
      <c r="A173" s="20">
        <v>45537</v>
      </c>
      <c r="B173" vm="508">
        <v>177.34</v>
      </c>
    </row>
    <row r="174" spans="1:2" x14ac:dyDescent="0.25">
      <c r="A174" s="20">
        <v>45544</v>
      </c>
      <c r="B174" vm="511">
        <v>178.19</v>
      </c>
    </row>
    <row r="175" spans="1:2" x14ac:dyDescent="0.25">
      <c r="A175" s="20">
        <v>45544</v>
      </c>
      <c r="B175" vm="514">
        <v>177.81</v>
      </c>
    </row>
    <row r="176" spans="1:2" x14ac:dyDescent="0.25">
      <c r="A176" s="20">
        <v>45544</v>
      </c>
      <c r="B176" vm="517">
        <v>175.78</v>
      </c>
    </row>
    <row r="177" spans="1:2" x14ac:dyDescent="0.25">
      <c r="A177" s="20">
        <v>45544</v>
      </c>
      <c r="B177" vm="520">
        <v>177.25</v>
      </c>
    </row>
    <row r="178" spans="1:2" x14ac:dyDescent="0.25">
      <c r="A178" s="20">
        <v>45544</v>
      </c>
      <c r="B178" vm="523">
        <v>177.36</v>
      </c>
    </row>
    <row r="179" spans="1:2" x14ac:dyDescent="0.25">
      <c r="A179" s="20">
        <v>45551</v>
      </c>
      <c r="B179" vm="526">
        <v>177.21</v>
      </c>
    </row>
    <row r="180" spans="1:2" x14ac:dyDescent="0.25">
      <c r="A180" s="20">
        <v>45551</v>
      </c>
      <c r="B180" vm="529">
        <v>176.87</v>
      </c>
    </row>
    <row r="181" spans="1:2" x14ac:dyDescent="0.25">
      <c r="A181" s="20">
        <v>45551</v>
      </c>
      <c r="B181" vm="475">
        <v>175.21</v>
      </c>
    </row>
    <row r="182" spans="1:2" x14ac:dyDescent="0.25">
      <c r="A182" s="20">
        <v>45551</v>
      </c>
      <c r="B182" vm="534">
        <v>174.66</v>
      </c>
    </row>
    <row r="183" spans="1:2" x14ac:dyDescent="0.25">
      <c r="A183" s="20">
        <v>45551</v>
      </c>
      <c r="B183" vm="537">
        <v>171.18</v>
      </c>
    </row>
    <row r="184" spans="1:2" x14ac:dyDescent="0.25">
      <c r="A184" s="20">
        <v>45558</v>
      </c>
      <c r="B184" vm="540">
        <v>172.11</v>
      </c>
    </row>
    <row r="185" spans="1:2" x14ac:dyDescent="0.25">
      <c r="A185" s="20">
        <v>45558</v>
      </c>
      <c r="B185" vm="543">
        <v>169.92</v>
      </c>
    </row>
    <row r="186" spans="1:2" x14ac:dyDescent="0.25">
      <c r="A186" s="20">
        <v>45558</v>
      </c>
      <c r="B186" vm="546">
        <v>169.4</v>
      </c>
    </row>
    <row r="187" spans="1:2" x14ac:dyDescent="0.25">
      <c r="A187" s="20">
        <v>45558</v>
      </c>
      <c r="B187" vm="549">
        <v>169.69</v>
      </c>
    </row>
    <row r="188" spans="1:2" x14ac:dyDescent="0.25">
      <c r="A188" s="20">
        <v>45558</v>
      </c>
      <c r="B188" vm="552">
        <v>170</v>
      </c>
    </row>
    <row r="189" spans="1:2" x14ac:dyDescent="0.25">
      <c r="A189" s="20">
        <v>45565</v>
      </c>
      <c r="B189" vm="555">
        <v>170.05</v>
      </c>
    </row>
    <row r="190" spans="1:2" x14ac:dyDescent="0.25">
      <c r="A190" s="20">
        <v>45565</v>
      </c>
      <c r="B190" vm="558">
        <v>171.38</v>
      </c>
    </row>
    <row r="191" spans="1:2" x14ac:dyDescent="0.25">
      <c r="A191" s="20">
        <v>45565</v>
      </c>
      <c r="B191" vm="561">
        <v>169.55</v>
      </c>
    </row>
    <row r="192" spans="1:2" x14ac:dyDescent="0.25">
      <c r="A192" s="20">
        <v>45565</v>
      </c>
      <c r="B192" vm="61">
        <v>168.53</v>
      </c>
    </row>
    <row r="193" spans="1:2" x14ac:dyDescent="0.25">
      <c r="A193" s="20">
        <v>45565</v>
      </c>
      <c r="B193" vm="566">
        <v>167.97</v>
      </c>
    </row>
    <row r="194" spans="1:2" x14ac:dyDescent="0.25">
      <c r="A194" s="20">
        <v>45572</v>
      </c>
      <c r="B194" vm="569">
        <v>167.21</v>
      </c>
    </row>
    <row r="195" spans="1:2" x14ac:dyDescent="0.25">
      <c r="A195" s="20">
        <v>45572</v>
      </c>
      <c r="B195" vm="572">
        <v>170.42</v>
      </c>
    </row>
    <row r="196" spans="1:2" x14ac:dyDescent="0.25">
      <c r="A196" s="20">
        <v>45572</v>
      </c>
      <c r="B196" vm="575">
        <v>172.54</v>
      </c>
    </row>
    <row r="197" spans="1:2" x14ac:dyDescent="0.25">
      <c r="A197" s="20">
        <v>45572</v>
      </c>
      <c r="B197" vm="578">
        <v>172.99</v>
      </c>
    </row>
    <row r="198" spans="1:2" x14ac:dyDescent="0.25">
      <c r="A198" s="20">
        <v>45572</v>
      </c>
      <c r="B198" vm="581">
        <v>174.81</v>
      </c>
    </row>
    <row r="199" spans="1:2" x14ac:dyDescent="0.25">
      <c r="A199" s="20">
        <v>45579</v>
      </c>
      <c r="B199" vm="584">
        <v>176.1</v>
      </c>
    </row>
    <row r="200" spans="1:2" x14ac:dyDescent="0.25">
      <c r="A200" s="20">
        <v>45579</v>
      </c>
      <c r="B200" vm="587">
        <v>175.9</v>
      </c>
    </row>
    <row r="201" spans="1:2" x14ac:dyDescent="0.25">
      <c r="A201" s="20">
        <v>45579</v>
      </c>
      <c r="B201" vm="590">
        <v>174.48</v>
      </c>
    </row>
    <row r="202" spans="1:2" x14ac:dyDescent="0.25">
      <c r="A202" s="20">
        <v>45579</v>
      </c>
      <c r="B202" vm="593">
        <v>174.67</v>
      </c>
    </row>
    <row r="203" spans="1:2" x14ac:dyDescent="0.25">
      <c r="A203" s="20">
        <v>45579</v>
      </c>
      <c r="B203" vm="596">
        <v>175.06</v>
      </c>
    </row>
    <row r="204" spans="1:2" x14ac:dyDescent="0.25">
      <c r="A204" s="20">
        <v>45586</v>
      </c>
      <c r="B204" vm="179">
        <v>175.01</v>
      </c>
    </row>
    <row r="205" spans="1:2" x14ac:dyDescent="0.25">
      <c r="A205" s="20">
        <v>45586</v>
      </c>
      <c r="B205" vm="601">
        <v>174.37</v>
      </c>
    </row>
    <row r="206" spans="1:2" x14ac:dyDescent="0.25">
      <c r="A206" s="20">
        <v>45586</v>
      </c>
      <c r="B206" vm="5">
        <v>172.95</v>
      </c>
    </row>
    <row r="207" spans="1:2" x14ac:dyDescent="0.25">
      <c r="A207" s="20">
        <v>45586</v>
      </c>
      <c r="B207" vm="606">
        <v>172.16</v>
      </c>
    </row>
    <row r="208" spans="1:2" x14ac:dyDescent="0.25">
      <c r="A208" s="20">
        <v>45586</v>
      </c>
      <c r="B208" vm="447">
        <v>171.79</v>
      </c>
    </row>
    <row r="209" spans="1:2" x14ac:dyDescent="0.25">
      <c r="A209" s="20">
        <v>45593</v>
      </c>
      <c r="B209" vm="611">
        <v>169.84</v>
      </c>
    </row>
    <row r="210" spans="1:2" x14ac:dyDescent="0.25">
      <c r="A210" s="20">
        <v>45593</v>
      </c>
      <c r="B210" vm="214">
        <v>167.5</v>
      </c>
    </row>
    <row r="211" spans="1:2" x14ac:dyDescent="0.25">
      <c r="A211" s="20">
        <v>45593</v>
      </c>
      <c r="B211" vm="616">
        <v>166.21</v>
      </c>
    </row>
    <row r="212" spans="1:2" x14ac:dyDescent="0.25">
      <c r="A212" s="20">
        <v>45593</v>
      </c>
      <c r="B212" vm="619">
        <v>166.08</v>
      </c>
    </row>
    <row r="213" spans="1:2" x14ac:dyDescent="0.25">
      <c r="A213" s="20">
        <v>45593</v>
      </c>
      <c r="B213" vm="622">
        <v>165.59</v>
      </c>
    </row>
    <row r="214" spans="1:2" x14ac:dyDescent="0.25">
      <c r="A214" s="20">
        <v>45600</v>
      </c>
      <c r="B214" vm="625">
        <v>166.34</v>
      </c>
    </row>
    <row r="215" spans="1:2" x14ac:dyDescent="0.25">
      <c r="A215" s="20">
        <v>45600</v>
      </c>
      <c r="B215" vm="628">
        <v>167.85</v>
      </c>
    </row>
    <row r="216" spans="1:2" x14ac:dyDescent="0.25">
      <c r="A216" s="20">
        <v>45600</v>
      </c>
      <c r="B216" vm="631">
        <v>164.71</v>
      </c>
    </row>
    <row r="217" spans="1:2" x14ac:dyDescent="0.25">
      <c r="A217" s="20">
        <v>45600</v>
      </c>
      <c r="B217" vm="634">
        <v>164</v>
      </c>
    </row>
    <row r="218" spans="1:2" x14ac:dyDescent="0.25">
      <c r="A218" s="20">
        <v>45600</v>
      </c>
      <c r="B218" vm="40">
        <v>165.11</v>
      </c>
    </row>
    <row r="219" spans="1:2" x14ac:dyDescent="0.25">
      <c r="A219" s="20">
        <v>45607</v>
      </c>
      <c r="B219" vm="639">
        <v>164.26</v>
      </c>
    </row>
    <row r="220" spans="1:2" x14ac:dyDescent="0.25">
      <c r="A220" s="20">
        <v>45607</v>
      </c>
      <c r="B220" vm="642">
        <v>164.34</v>
      </c>
    </row>
    <row r="221" spans="1:2" x14ac:dyDescent="0.25">
      <c r="A221" s="20">
        <v>45607</v>
      </c>
      <c r="B221" vm="645">
        <v>164.74</v>
      </c>
    </row>
    <row r="222" spans="1:2" x14ac:dyDescent="0.25">
      <c r="A222" s="20">
        <v>45607</v>
      </c>
      <c r="B222" vm="648">
        <v>165.15</v>
      </c>
    </row>
    <row r="223" spans="1:2" x14ac:dyDescent="0.25">
      <c r="A223" s="20">
        <v>45607</v>
      </c>
      <c r="B223" vm="651">
        <v>158.62</v>
      </c>
    </row>
    <row r="224" spans="1:2" x14ac:dyDescent="0.25">
      <c r="A224" s="20">
        <v>45614</v>
      </c>
      <c r="B224" vm="654">
        <v>158.33000000000001</v>
      </c>
    </row>
    <row r="225" spans="1:2" x14ac:dyDescent="0.25">
      <c r="A225" s="20">
        <v>45614</v>
      </c>
      <c r="B225" vm="657">
        <v>156.72</v>
      </c>
    </row>
    <row r="226" spans="1:2" x14ac:dyDescent="0.25">
      <c r="A226" s="20">
        <v>45614</v>
      </c>
      <c r="B226" vm="660">
        <v>158.74</v>
      </c>
    </row>
    <row r="227" spans="1:2" x14ac:dyDescent="0.25">
      <c r="A227" s="20">
        <v>45614</v>
      </c>
      <c r="B227" vm="663">
        <v>160.34</v>
      </c>
    </row>
    <row r="228" spans="1:2" x14ac:dyDescent="0.25">
      <c r="A228" s="20">
        <v>45614</v>
      </c>
      <c r="B228" vm="666">
        <v>162</v>
      </c>
    </row>
    <row r="229" spans="1:2" x14ac:dyDescent="0.25">
      <c r="A229" s="20">
        <v>45621</v>
      </c>
      <c r="B229" vm="137">
        <v>163.05000000000001</v>
      </c>
    </row>
    <row r="230" spans="1:2" x14ac:dyDescent="0.25">
      <c r="A230" s="20">
        <v>45621</v>
      </c>
      <c r="B230" vm="671">
        <v>162.16</v>
      </c>
    </row>
    <row r="231" spans="1:2" x14ac:dyDescent="0.25">
      <c r="A231" s="20">
        <v>45621</v>
      </c>
      <c r="B231" vm="674">
        <v>162.72</v>
      </c>
    </row>
    <row r="232" spans="1:2" x14ac:dyDescent="0.25">
      <c r="A232" s="20">
        <v>45621</v>
      </c>
      <c r="B232" vm="677">
        <v>163.44999999999999</v>
      </c>
    </row>
    <row r="233" spans="1:2" x14ac:dyDescent="0.25">
      <c r="A233" s="20">
        <v>45628</v>
      </c>
      <c r="B233" vm="137">
        <v>163.05000000000001</v>
      </c>
    </row>
    <row r="234" spans="1:2" x14ac:dyDescent="0.25">
      <c r="A234" s="20">
        <v>45628</v>
      </c>
      <c r="B234" vm="682">
        <v>161.69999999999999</v>
      </c>
    </row>
    <row r="235" spans="1:2" x14ac:dyDescent="0.25">
      <c r="A235" s="20">
        <v>45628</v>
      </c>
      <c r="B235" vm="685">
        <v>160.18</v>
      </c>
    </row>
    <row r="236" spans="1:2" x14ac:dyDescent="0.25">
      <c r="A236" s="20">
        <v>45628</v>
      </c>
      <c r="B236" vm="688">
        <v>160.49</v>
      </c>
    </row>
    <row r="237" spans="1:2" x14ac:dyDescent="0.25">
      <c r="A237" s="20">
        <v>45628</v>
      </c>
      <c r="B237" vm="691">
        <v>157.79</v>
      </c>
    </row>
    <row r="238" spans="1:2" x14ac:dyDescent="0.25">
      <c r="A238" s="20">
        <v>45635</v>
      </c>
      <c r="B238" vm="694">
        <v>159.47</v>
      </c>
    </row>
    <row r="239" spans="1:2" x14ac:dyDescent="0.25">
      <c r="A239" s="20">
        <v>45635</v>
      </c>
      <c r="B239" vm="697">
        <v>159.84</v>
      </c>
    </row>
    <row r="240" spans="1:2" x14ac:dyDescent="0.25">
      <c r="A240" s="20">
        <v>45635</v>
      </c>
      <c r="B240" vm="700">
        <v>156.77000000000001</v>
      </c>
    </row>
    <row r="241" spans="1:2" x14ac:dyDescent="0.25">
      <c r="A241" s="20">
        <v>45635</v>
      </c>
      <c r="B241" vm="703">
        <v>158.9</v>
      </c>
    </row>
    <row r="242" spans="1:2" x14ac:dyDescent="0.25">
      <c r="A242" s="20">
        <v>45635</v>
      </c>
      <c r="B242" vm="706">
        <v>157.97</v>
      </c>
    </row>
    <row r="243" spans="1:2" x14ac:dyDescent="0.25">
      <c r="A243" s="20">
        <v>45642</v>
      </c>
      <c r="B243" vm="709">
        <v>156.02000000000001</v>
      </c>
    </row>
    <row r="244" spans="1:2" x14ac:dyDescent="0.25">
      <c r="A244" s="20">
        <v>45642</v>
      </c>
      <c r="B244" vm="712">
        <v>156.13999999999999</v>
      </c>
    </row>
    <row r="245" spans="1:2" x14ac:dyDescent="0.25">
      <c r="A245" s="20">
        <v>45642</v>
      </c>
      <c r="B245" vm="715">
        <v>154.43</v>
      </c>
    </row>
    <row r="246" spans="1:2" x14ac:dyDescent="0.25">
      <c r="A246" s="20">
        <v>45642</v>
      </c>
      <c r="B246" vm="718">
        <v>151.47</v>
      </c>
    </row>
    <row r="247" spans="1:2" x14ac:dyDescent="0.25">
      <c r="A247" s="20">
        <v>45642</v>
      </c>
      <c r="B247" vm="721">
        <v>152.79</v>
      </c>
    </row>
    <row r="248" spans="1:2" x14ac:dyDescent="0.25">
      <c r="A248" s="20">
        <v>45649</v>
      </c>
      <c r="B248" vm="724">
        <v>151.29</v>
      </c>
    </row>
    <row r="249" spans="1:2" x14ac:dyDescent="0.25">
      <c r="A249" s="20">
        <v>45649</v>
      </c>
      <c r="B249" vm="727">
        <v>152.81</v>
      </c>
    </row>
    <row r="250" spans="1:2" x14ac:dyDescent="0.25">
      <c r="A250" s="20">
        <v>45649</v>
      </c>
      <c r="B250" vm="730">
        <v>152.44</v>
      </c>
    </row>
    <row r="251" spans="1:2" x14ac:dyDescent="0.25">
      <c r="A251" s="20">
        <v>45649</v>
      </c>
      <c r="B251" vm="733">
        <v>152.88999999999999</v>
      </c>
    </row>
    <row r="252" spans="1:2" x14ac:dyDescent="0.25">
      <c r="A252" s="20">
        <v>45656</v>
      </c>
      <c r="B252" vm="736">
        <v>151.72</v>
      </c>
    </row>
    <row r="253" spans="1:2" x14ac:dyDescent="0.25">
      <c r="A253" s="20">
        <v>45656</v>
      </c>
      <c r="B253" vm="739">
        <v>152.06</v>
      </c>
    </row>
    <row r="254" spans="1:2" x14ac:dyDescent="0.25">
      <c r="A254" s="20">
        <v>45656</v>
      </c>
      <c r="B254" vm="742">
        <v>150.21</v>
      </c>
    </row>
    <row r="255" spans="1:2" x14ac:dyDescent="0.25">
      <c r="A255" s="20">
        <v>45656</v>
      </c>
      <c r="B255" vm="745">
        <v>149.65</v>
      </c>
    </row>
    <row r="256" spans="1:2" x14ac:dyDescent="0.25">
      <c r="A256" s="20">
        <v>45663</v>
      </c>
      <c r="B256" vm="748">
        <v>146.27000000000001</v>
      </c>
    </row>
    <row r="257" spans="1:2" x14ac:dyDescent="0.25">
      <c r="A257" s="20">
        <v>45663</v>
      </c>
      <c r="B257" vm="751">
        <v>145.4</v>
      </c>
    </row>
    <row r="258" spans="1:2" x14ac:dyDescent="0.25">
      <c r="A258" s="20">
        <v>45663</v>
      </c>
      <c r="B258" vm="754">
        <v>146.54</v>
      </c>
    </row>
    <row r="259" spans="1:2" x14ac:dyDescent="0.25">
      <c r="A259" s="20">
        <v>45663</v>
      </c>
      <c r="B259" vm="757">
        <v>142.63999999999999</v>
      </c>
    </row>
    <row r="260" spans="1:2" x14ac:dyDescent="0.25">
      <c r="A260" s="20">
        <v>45670</v>
      </c>
      <c r="B260" vm="760">
        <v>144.5</v>
      </c>
    </row>
    <row r="261" spans="1:2" x14ac:dyDescent="0.25">
      <c r="A261" s="20">
        <v>45670</v>
      </c>
      <c r="B261" vm="763">
        <v>144.94999999999999</v>
      </c>
    </row>
    <row r="262" spans="1:2" x14ac:dyDescent="0.25">
      <c r="A262" s="20">
        <v>45670</v>
      </c>
      <c r="B262" vm="766">
        <v>144.78</v>
      </c>
    </row>
    <row r="263" spans="1:2" x14ac:dyDescent="0.25">
      <c r="A263" s="20">
        <v>45670</v>
      </c>
      <c r="B263" vm="754">
        <v>146.54</v>
      </c>
    </row>
    <row r="264" spans="1:2" x14ac:dyDescent="0.25">
      <c r="A264" s="20">
        <v>45670</v>
      </c>
      <c r="B264" vm="771">
        <v>148.25</v>
      </c>
    </row>
    <row r="265" spans="1:2" x14ac:dyDescent="0.25">
      <c r="A265" s="20">
        <v>45677</v>
      </c>
      <c r="B265" vm="774">
        <v>148.55000000000001</v>
      </c>
    </row>
    <row r="266" spans="1:2" x14ac:dyDescent="0.25">
      <c r="A266" s="20">
        <v>45677</v>
      </c>
      <c r="B266" vm="777">
        <v>148.09</v>
      </c>
    </row>
    <row r="267" spans="1:2" x14ac:dyDescent="0.25">
      <c r="A267" s="20">
        <v>45677</v>
      </c>
      <c r="B267" vm="780">
        <v>148.62</v>
      </c>
    </row>
    <row r="268" spans="1:2" x14ac:dyDescent="0.25">
      <c r="A268" s="20">
        <v>45677</v>
      </c>
      <c r="B268" vm="783">
        <v>149.12</v>
      </c>
    </row>
    <row r="269" spans="1:2" x14ac:dyDescent="0.25">
      <c r="A269" s="20">
        <v>45684</v>
      </c>
      <c r="B269" vm="786">
        <v>154.61000000000001</v>
      </c>
    </row>
    <row r="270" spans="1:2" x14ac:dyDescent="0.25">
      <c r="A270" s="20">
        <v>45684</v>
      </c>
      <c r="B270" vm="789">
        <v>150.25</v>
      </c>
    </row>
    <row r="271" spans="1:2" x14ac:dyDescent="0.25">
      <c r="A271" s="20">
        <v>45684</v>
      </c>
      <c r="B271" vm="792">
        <v>150.37</v>
      </c>
    </row>
    <row r="272" spans="1:2" x14ac:dyDescent="0.25">
      <c r="A272" s="20">
        <v>45684</v>
      </c>
      <c r="B272" vm="795">
        <v>151.9</v>
      </c>
    </row>
    <row r="273" spans="1:2" x14ac:dyDescent="0.25">
      <c r="A273" s="20">
        <v>45684</v>
      </c>
      <c r="B273" vm="798">
        <v>150.69</v>
      </c>
    </row>
    <row r="274" spans="1:2" x14ac:dyDescent="0.25">
      <c r="A274" s="20">
        <v>45691</v>
      </c>
      <c r="B274" vm="801">
        <v>150.27000000000001</v>
      </c>
    </row>
    <row r="275" spans="1:2" x14ac:dyDescent="0.25">
      <c r="A275" s="20">
        <v>45691</v>
      </c>
      <c r="B275" vm="804">
        <v>143.49</v>
      </c>
    </row>
    <row r="276" spans="1:2" x14ac:dyDescent="0.25">
      <c r="A276" s="20">
        <v>45691</v>
      </c>
      <c r="B276" vm="807">
        <v>145.66</v>
      </c>
    </row>
    <row r="277" spans="1:2" x14ac:dyDescent="0.25">
      <c r="A277" s="20">
        <v>45691</v>
      </c>
      <c r="B277" vm="810">
        <v>145.35</v>
      </c>
    </row>
    <row r="278" spans="1:2" x14ac:dyDescent="0.25">
      <c r="A278" s="20">
        <v>45691</v>
      </c>
      <c r="B278" vm="813">
        <v>144.58000000000001</v>
      </c>
    </row>
    <row r="279" spans="1:2" x14ac:dyDescent="0.25">
      <c r="A279" s="20">
        <v>45698</v>
      </c>
      <c r="B279" vm="816">
        <v>144.35</v>
      </c>
    </row>
    <row r="280" spans="1:2" x14ac:dyDescent="0.25">
      <c r="A280" s="20">
        <v>45698</v>
      </c>
      <c r="B280" vm="819">
        <v>145.63999999999999</v>
      </c>
    </row>
    <row r="281" spans="1:2" x14ac:dyDescent="0.25">
      <c r="A281" s="20">
        <v>45698</v>
      </c>
      <c r="B281" vm="822">
        <v>143.99</v>
      </c>
    </row>
    <row r="282" spans="1:2" x14ac:dyDescent="0.25">
      <c r="A282" s="20">
        <v>45698</v>
      </c>
      <c r="B282" vm="813">
        <v>144.58000000000001</v>
      </c>
    </row>
    <row r="283" spans="1:2" x14ac:dyDescent="0.25">
      <c r="A283" s="20">
        <v>45698</v>
      </c>
      <c r="B283" vm="827">
        <v>143.38999999999999</v>
      </c>
    </row>
    <row r="284" spans="1:2" x14ac:dyDescent="0.25">
      <c r="A284" s="20">
        <v>45705</v>
      </c>
      <c r="B284" vm="830">
        <v>144.1</v>
      </c>
    </row>
    <row r="285" spans="1:2" x14ac:dyDescent="0.25">
      <c r="A285" s="20">
        <v>45705</v>
      </c>
      <c r="B285" vm="833">
        <v>145.81</v>
      </c>
    </row>
    <row r="286" spans="1:2" x14ac:dyDescent="0.25">
      <c r="A286" s="20">
        <v>45705</v>
      </c>
      <c r="B286" vm="836">
        <v>149.1</v>
      </c>
    </row>
    <row r="287" spans="1:2" x14ac:dyDescent="0.25">
      <c r="A287" s="20">
        <v>45705</v>
      </c>
      <c r="B287" vm="839">
        <v>153.5</v>
      </c>
    </row>
    <row r="288" spans="1:2" x14ac:dyDescent="0.25">
      <c r="A288" s="20">
        <v>45712</v>
      </c>
      <c r="B288" vm="842">
        <v>153.85</v>
      </c>
    </row>
    <row r="289" spans="1:2" x14ac:dyDescent="0.25">
      <c r="A289" s="20">
        <v>45712</v>
      </c>
      <c r="B289" vm="845">
        <v>156.41999999999999</v>
      </c>
    </row>
    <row r="290" spans="1:2" x14ac:dyDescent="0.25">
      <c r="A290" s="20">
        <v>45712</v>
      </c>
      <c r="B290" vm="848">
        <v>151.51</v>
      </c>
    </row>
    <row r="291" spans="1:2" x14ac:dyDescent="0.25">
      <c r="A291" s="20">
        <v>45712</v>
      </c>
      <c r="B291" vm="851">
        <v>152.02000000000001</v>
      </c>
    </row>
    <row r="292" spans="1:2" x14ac:dyDescent="0.25">
      <c r="A292" s="20">
        <v>45712</v>
      </c>
      <c r="B292" vm="854">
        <v>153.47</v>
      </c>
    </row>
    <row r="293" spans="1:2" x14ac:dyDescent="0.25">
      <c r="A293" s="20">
        <v>45719</v>
      </c>
      <c r="B293" vm="857">
        <v>155.99</v>
      </c>
    </row>
    <row r="294" spans="1:2" x14ac:dyDescent="0.25">
      <c r="A294" s="20">
        <v>45719</v>
      </c>
      <c r="B294" vm="860">
        <v>154.19</v>
      </c>
    </row>
    <row r="295" spans="1:2" x14ac:dyDescent="0.25">
      <c r="A295" s="20">
        <v>45719</v>
      </c>
      <c r="B295" vm="863">
        <v>153.88</v>
      </c>
    </row>
    <row r="296" spans="1:2" x14ac:dyDescent="0.25">
      <c r="A296" s="20">
        <v>45719</v>
      </c>
      <c r="B296" vm="786">
        <v>154.61000000000001</v>
      </c>
    </row>
    <row r="297" spans="1:2" x14ac:dyDescent="0.25">
      <c r="A297" s="20">
        <v>45719</v>
      </c>
      <c r="B297" vm="868">
        <v>154.44</v>
      </c>
    </row>
    <row r="298" spans="1:2" x14ac:dyDescent="0.25">
      <c r="A298" s="20">
        <v>45726</v>
      </c>
      <c r="B298" vm="871">
        <v>156.25</v>
      </c>
    </row>
    <row r="299" spans="1:2" x14ac:dyDescent="0.25">
      <c r="A299" s="20">
        <v>45726</v>
      </c>
      <c r="B299" vm="874">
        <v>152.33000000000001</v>
      </c>
    </row>
    <row r="300" spans="1:2" x14ac:dyDescent="0.25">
      <c r="A300" s="20">
        <v>45726</v>
      </c>
      <c r="B300" vm="877">
        <v>148.16999999999999</v>
      </c>
    </row>
    <row r="301" spans="1:2" x14ac:dyDescent="0.25">
      <c r="A301" s="20">
        <v>45726</v>
      </c>
      <c r="B301" vm="880">
        <v>148.34</v>
      </c>
    </row>
    <row r="302" spans="1:2" x14ac:dyDescent="0.25">
      <c r="A302" s="20">
        <v>45726</v>
      </c>
      <c r="B302" vm="883">
        <v>148.59</v>
      </c>
    </row>
    <row r="303" spans="1:2" x14ac:dyDescent="0.25">
      <c r="A303" s="20">
        <v>45733</v>
      </c>
      <c r="B303" vm="886">
        <v>151.34</v>
      </c>
    </row>
    <row r="304" spans="1:2" x14ac:dyDescent="0.25">
      <c r="A304" s="20">
        <v>45733</v>
      </c>
      <c r="B304" vm="889">
        <v>148.99</v>
      </c>
    </row>
    <row r="305" spans="1:2" x14ac:dyDescent="0.25">
      <c r="A305" s="20">
        <v>45733</v>
      </c>
      <c r="B305" vm="892">
        <v>148.11000000000001</v>
      </c>
    </row>
    <row r="306" spans="1:2" x14ac:dyDescent="0.25">
      <c r="A306" s="20">
        <v>45733</v>
      </c>
      <c r="B306" vm="895">
        <v>147.15</v>
      </c>
    </row>
    <row r="307" spans="1:2" x14ac:dyDescent="0.25">
      <c r="A307" s="20">
        <v>45733</v>
      </c>
      <c r="B307" vm="898">
        <v>145.44999999999999</v>
      </c>
    </row>
    <row r="308" spans="1:2" x14ac:dyDescent="0.25">
      <c r="A308" s="20">
        <v>45740</v>
      </c>
      <c r="B308" vm="901">
        <v>146.44999999999999</v>
      </c>
    </row>
    <row r="309" spans="1:2" x14ac:dyDescent="0.25">
      <c r="A309" s="20">
        <v>45740</v>
      </c>
      <c r="B309" vm="904">
        <v>145.54</v>
      </c>
    </row>
    <row r="310" spans="1:2" x14ac:dyDescent="0.25">
      <c r="A310" s="20">
        <v>45740</v>
      </c>
      <c r="B310" vm="907">
        <v>148.63999999999999</v>
      </c>
    </row>
    <row r="311" spans="1:2" x14ac:dyDescent="0.25">
      <c r="A311" s="20">
        <v>45740</v>
      </c>
      <c r="B311" vm="910">
        <v>149.66999999999999</v>
      </c>
    </row>
    <row r="312" spans="1:2" x14ac:dyDescent="0.25">
      <c r="A312" s="20">
        <v>45740</v>
      </c>
      <c r="B312" vm="913">
        <v>149.27000000000001</v>
      </c>
    </row>
    <row r="313" spans="1:2" x14ac:dyDescent="0.25">
      <c r="A313" s="20">
        <v>45747</v>
      </c>
      <c r="B313" vm="916">
        <v>149.94</v>
      </c>
    </row>
    <row r="314" spans="1:2" x14ac:dyDescent="0.25">
      <c r="A314" s="20">
        <v>45747</v>
      </c>
      <c r="B314" vm="910">
        <v>149.66999999999999</v>
      </c>
    </row>
    <row r="315" spans="1:2" x14ac:dyDescent="0.25">
      <c r="A315" s="20">
        <v>45747</v>
      </c>
      <c r="B315" vm="783">
        <v>149.12</v>
      </c>
    </row>
    <row r="316" spans="1:2" x14ac:dyDescent="0.25">
      <c r="A316" s="20">
        <v>45747</v>
      </c>
      <c r="B316" vm="923">
        <v>151.37</v>
      </c>
    </row>
    <row r="317" spans="1:2" x14ac:dyDescent="0.25">
      <c r="A317" s="20">
        <v>45747</v>
      </c>
      <c r="B317" vm="926">
        <v>146.61000000000001</v>
      </c>
    </row>
    <row r="318" spans="1:2" x14ac:dyDescent="0.25">
      <c r="A318" s="20">
        <v>45754</v>
      </c>
      <c r="B318" vm="929">
        <v>143.19</v>
      </c>
    </row>
    <row r="319" spans="1:2" x14ac:dyDescent="0.25">
      <c r="A319" s="20">
        <v>45754</v>
      </c>
      <c r="B319" vm="932">
        <v>140.30000000000001</v>
      </c>
    </row>
    <row r="320" spans="1:2" x14ac:dyDescent="0.25">
      <c r="A320" s="20">
        <v>45754</v>
      </c>
      <c r="B320" vm="935">
        <v>145.59</v>
      </c>
    </row>
    <row r="321" spans="1:2" x14ac:dyDescent="0.25">
      <c r="A321" s="20">
        <v>45754</v>
      </c>
      <c r="B321" vm="938">
        <v>144.13999999999999</v>
      </c>
    </row>
    <row r="322" spans="1:2" x14ac:dyDescent="0.25">
      <c r="A322" s="20">
        <v>45754</v>
      </c>
      <c r="B322" vm="941">
        <v>144.43</v>
      </c>
    </row>
    <row r="323" spans="1:2" x14ac:dyDescent="0.25">
      <c r="A323" s="20">
        <v>45761</v>
      </c>
      <c r="B323" vm="944">
        <v>146.75</v>
      </c>
    </row>
    <row r="324" spans="1:2" x14ac:dyDescent="0.25">
      <c r="A324" s="20">
        <v>45761</v>
      </c>
      <c r="B324" vm="947">
        <v>142.84</v>
      </c>
    </row>
    <row r="325" spans="1:2" x14ac:dyDescent="0.25">
      <c r="A325" s="20">
        <v>45761</v>
      </c>
      <c r="B325" vm="950">
        <v>140.09</v>
      </c>
    </row>
    <row r="326" spans="1:2" x14ac:dyDescent="0.25">
      <c r="A326" s="20">
        <v>45761</v>
      </c>
      <c r="B326" vm="947">
        <v>142.84</v>
      </c>
    </row>
    <row r="327" spans="1:2" x14ac:dyDescent="0.25">
      <c r="A327" s="20">
        <v>45768</v>
      </c>
      <c r="B327" vm="955">
        <v>141.72999999999999</v>
      </c>
    </row>
    <row r="328" spans="1:2" x14ac:dyDescent="0.25">
      <c r="A328" s="20">
        <v>45768</v>
      </c>
      <c r="B328" vm="958">
        <v>143.46</v>
      </c>
    </row>
    <row r="329" spans="1:2" x14ac:dyDescent="0.25">
      <c r="A329" s="20">
        <v>45768</v>
      </c>
      <c r="B329" vm="961">
        <v>142.26</v>
      </c>
    </row>
    <row r="330" spans="1:2" x14ac:dyDescent="0.25">
      <c r="A330" s="20">
        <v>45768</v>
      </c>
      <c r="B330" vm="964">
        <v>135.31</v>
      </c>
    </row>
    <row r="331" spans="1:2" x14ac:dyDescent="0.25">
      <c r="A331" s="20">
        <v>45768</v>
      </c>
      <c r="B331" vm="967">
        <v>133.38</v>
      </c>
    </row>
    <row r="332" spans="1:2" x14ac:dyDescent="0.25">
      <c r="A332" s="20">
        <v>45775</v>
      </c>
      <c r="B332" vm="970">
        <v>133.76</v>
      </c>
    </row>
    <row r="333" spans="1:2" x14ac:dyDescent="0.25">
      <c r="A333" s="20">
        <v>45775</v>
      </c>
      <c r="B333" vm="973">
        <v>134.31</v>
      </c>
    </row>
    <row r="334" spans="1:2" x14ac:dyDescent="0.25">
      <c r="A334" s="20">
        <v>45775</v>
      </c>
      <c r="B334" vm="976">
        <v>135.58000000000001</v>
      </c>
    </row>
    <row r="335" spans="1:2" x14ac:dyDescent="0.25">
      <c r="A335" s="20">
        <v>45775</v>
      </c>
      <c r="B335" vm="979">
        <v>133.55000000000001</v>
      </c>
    </row>
    <row r="336" spans="1:2" x14ac:dyDescent="0.25">
      <c r="A336" s="20">
        <v>45775</v>
      </c>
      <c r="B336" vm="982">
        <v>133.75</v>
      </c>
    </row>
    <row r="337" spans="1:2" x14ac:dyDescent="0.25">
      <c r="A337" s="20">
        <v>45782</v>
      </c>
      <c r="B337" vm="985">
        <v>131.99</v>
      </c>
    </row>
    <row r="338" spans="1:2" x14ac:dyDescent="0.25">
      <c r="A338" s="20">
        <v>45782</v>
      </c>
      <c r="B338" vm="988">
        <v>130.74</v>
      </c>
    </row>
    <row r="339" spans="1:2" x14ac:dyDescent="0.25">
      <c r="A339" s="20">
        <v>45782</v>
      </c>
      <c r="B339" vm="991">
        <v>131.91499999999999</v>
      </c>
    </row>
    <row r="340" spans="1:2" x14ac:dyDescent="0.25">
      <c r="A340" s="20">
        <v>45782</v>
      </c>
      <c r="B340" vm="994">
        <v>131.43</v>
      </c>
    </row>
    <row r="341" spans="1:2" x14ac:dyDescent="0.25">
      <c r="A341" s="20">
        <v>45782</v>
      </c>
      <c r="B341" vm="997">
        <v>130.44</v>
      </c>
    </row>
    <row r="342" spans="1:2" x14ac:dyDescent="0.25">
      <c r="A342" s="20">
        <v>45789</v>
      </c>
      <c r="B342" vm="1000">
        <v>131.68</v>
      </c>
    </row>
    <row r="343" spans="1:2" x14ac:dyDescent="0.25">
      <c r="A343" s="20">
        <v>45789</v>
      </c>
      <c r="B343" vm="1003">
        <v>130.31</v>
      </c>
    </row>
    <row r="344" spans="1:2" x14ac:dyDescent="0.25">
      <c r="A344" s="20">
        <v>45789</v>
      </c>
      <c r="B344" vm="1006">
        <v>128.44999999999999</v>
      </c>
    </row>
    <row r="345" spans="1:2" x14ac:dyDescent="0.25">
      <c r="A345" s="20">
        <v>45789</v>
      </c>
      <c r="B345" vm="1009">
        <v>131.5</v>
      </c>
    </row>
    <row r="346" spans="1:2" x14ac:dyDescent="0.25">
      <c r="A346" s="20">
        <v>45789</v>
      </c>
      <c r="B346" vm="1012">
        <v>131.97999999999999</v>
      </c>
    </row>
    <row r="347" spans="1:2" x14ac:dyDescent="0.25">
      <c r="A347" s="20">
        <v>45796</v>
      </c>
      <c r="B347" vm="1015">
        <v>131.79</v>
      </c>
    </row>
    <row r="348" spans="1:2" x14ac:dyDescent="0.25">
      <c r="A348" s="20">
        <v>45796</v>
      </c>
      <c r="B348" vm="1018">
        <v>131.80000000000001</v>
      </c>
    </row>
    <row r="349" spans="1:2" x14ac:dyDescent="0.25">
      <c r="A349" s="20">
        <v>45796</v>
      </c>
      <c r="B349" vm="1021">
        <v>130.15</v>
      </c>
    </row>
    <row r="350" spans="1:2" x14ac:dyDescent="0.25">
      <c r="A350" s="20">
        <v>45796</v>
      </c>
      <c r="B350" vm="1024">
        <v>130.12</v>
      </c>
    </row>
    <row r="351" spans="1:2" x14ac:dyDescent="0.25">
      <c r="A351" s="20">
        <v>45796</v>
      </c>
      <c r="B351" vm="1027">
        <v>129.34</v>
      </c>
    </row>
    <row r="352" spans="1:2" x14ac:dyDescent="0.25">
      <c r="A352" s="20">
        <v>45803</v>
      </c>
      <c r="B352" vm="1030">
        <v>131.37</v>
      </c>
    </row>
    <row r="353" spans="1:2" x14ac:dyDescent="0.25">
      <c r="A353" s="20">
        <v>45803</v>
      </c>
      <c r="B353" vm="1033">
        <v>130.66999999999999</v>
      </c>
    </row>
    <row r="354" spans="1:2" x14ac:dyDescent="0.25">
      <c r="A354" s="20">
        <v>45803</v>
      </c>
      <c r="B354" vm="1036">
        <v>131.91999999999999</v>
      </c>
    </row>
    <row r="355" spans="1:2" x14ac:dyDescent="0.25">
      <c r="A355" s="20">
        <v>45803</v>
      </c>
      <c r="B355" vm="1039">
        <v>131.44999999999999</v>
      </c>
    </row>
    <row r="356" spans="1:2" x14ac:dyDescent="0.25">
      <c r="A356" s="20">
        <v>45810</v>
      </c>
      <c r="B356" vm="1042">
        <v>130.91</v>
      </c>
    </row>
    <row r="357" spans="1:2" x14ac:dyDescent="0.25">
      <c r="A357" s="20">
        <v>45810</v>
      </c>
      <c r="B357" vm="1045">
        <v>131.85</v>
      </c>
    </row>
    <row r="358" spans="1:2" x14ac:dyDescent="0.25">
      <c r="A358" s="20">
        <v>45810</v>
      </c>
      <c r="B358" vm="1048">
        <v>131.74</v>
      </c>
    </row>
    <row r="359" spans="1:2" x14ac:dyDescent="0.25">
      <c r="A359" s="20">
        <v>45810</v>
      </c>
      <c r="B359" vm="1051">
        <v>131.11000000000001</v>
      </c>
    </row>
    <row r="360" spans="1:2" x14ac:dyDescent="0.25">
      <c r="A360" s="20">
        <v>45810</v>
      </c>
      <c r="B360" vm="1054">
        <v>130.03</v>
      </c>
    </row>
    <row r="361" spans="1:2" x14ac:dyDescent="0.25">
      <c r="A361" s="20">
        <v>45817</v>
      </c>
      <c r="B361" vm="1057">
        <v>129.96</v>
      </c>
    </row>
    <row r="362" spans="1:2" x14ac:dyDescent="0.25">
      <c r="A362" s="20">
        <v>45817</v>
      </c>
      <c r="B362" vm="1060">
        <v>131.83000000000001</v>
      </c>
    </row>
    <row r="363" spans="1:2" x14ac:dyDescent="0.25">
      <c r="A363" s="20">
        <v>45817</v>
      </c>
      <c r="B363" vm="1063">
        <v>129.9</v>
      </c>
    </row>
    <row r="364" spans="1:2" x14ac:dyDescent="0.25">
      <c r="A364" s="20">
        <v>45817</v>
      </c>
      <c r="B364" vm="1066">
        <v>132.30000000000001</v>
      </c>
    </row>
    <row r="365" spans="1:2" x14ac:dyDescent="0.25">
      <c r="A365" s="20">
        <v>45817</v>
      </c>
      <c r="B365" vm="1069">
        <v>130.85</v>
      </c>
    </row>
    <row r="366" spans="1:2" x14ac:dyDescent="0.25">
      <c r="A366" s="20">
        <v>45824</v>
      </c>
      <c r="B366" vm="1072">
        <v>131.41</v>
      </c>
    </row>
    <row r="367" spans="1:2" x14ac:dyDescent="0.25">
      <c r="A367" s="20">
        <v>45824</v>
      </c>
      <c r="B367" vm="1075">
        <v>129.29</v>
      </c>
    </row>
    <row r="368" spans="1:2" x14ac:dyDescent="0.25">
      <c r="A368" s="20">
        <v>45824</v>
      </c>
      <c r="B368" vm="1078">
        <v>129.07</v>
      </c>
    </row>
    <row r="369" spans="1:2" x14ac:dyDescent="0.25">
      <c r="A369" s="20">
        <v>45824</v>
      </c>
      <c r="B369" vm="1078">
        <v>129.07</v>
      </c>
    </row>
    <row r="370" spans="1:2" x14ac:dyDescent="0.25">
      <c r="A370" s="20">
        <v>45831</v>
      </c>
      <c r="B370" vm="1083">
        <v>129.09</v>
      </c>
    </row>
    <row r="371" spans="1:2" x14ac:dyDescent="0.25">
      <c r="A371" s="20">
        <v>45831</v>
      </c>
      <c r="B371" vm="1086">
        <v>131.05000000000001</v>
      </c>
    </row>
    <row r="372" spans="1:2" x14ac:dyDescent="0.25">
      <c r="A372" s="20">
        <v>45831</v>
      </c>
      <c r="B372" vm="1089">
        <v>128.02000000000001</v>
      </c>
    </row>
    <row r="373" spans="1:2" x14ac:dyDescent="0.25">
      <c r="A373" s="20">
        <v>45831</v>
      </c>
      <c r="B373" vm="1092">
        <v>128.22</v>
      </c>
    </row>
    <row r="374" spans="1:2" x14ac:dyDescent="0.25">
      <c r="A374" s="20">
        <v>45831</v>
      </c>
      <c r="B374" vm="1095">
        <v>131.04</v>
      </c>
    </row>
    <row r="375" spans="1:2" x14ac:dyDescent="0.25">
      <c r="A375" s="20">
        <v>45838</v>
      </c>
      <c r="B375" vm="1098">
        <v>132.04</v>
      </c>
    </row>
    <row r="376" spans="1:2" x14ac:dyDescent="0.25">
      <c r="A376" s="20">
        <v>45838</v>
      </c>
      <c r="B376" vm="1101">
        <v>135.26</v>
      </c>
    </row>
    <row r="377" spans="1:2" x14ac:dyDescent="0.25">
      <c r="A377" s="20">
        <v>45838</v>
      </c>
      <c r="B377" vm="1104">
        <v>136.47999999999999</v>
      </c>
    </row>
    <row r="378" spans="1:2" x14ac:dyDescent="0.25">
      <c r="A378" s="20">
        <v>45838</v>
      </c>
      <c r="B378" vm="1107">
        <v>135.38</v>
      </c>
    </row>
    <row r="379" spans="1:2" x14ac:dyDescent="0.25">
      <c r="A379" s="20">
        <v>45845</v>
      </c>
      <c r="B379" vm="1110">
        <v>134.44999999999999</v>
      </c>
    </row>
    <row r="380" spans="1:2" x14ac:dyDescent="0.25">
      <c r="A380" s="20">
        <v>45845</v>
      </c>
      <c r="B380" vm="1113">
        <v>135.04</v>
      </c>
    </row>
    <row r="381" spans="1:2" x14ac:dyDescent="0.25">
      <c r="A381" s="20">
        <v>45845</v>
      </c>
      <c r="B381" vm="1116">
        <v>134.47999999999999</v>
      </c>
    </row>
    <row r="382" spans="1:2" x14ac:dyDescent="0.25">
      <c r="A382" s="20">
        <v>45845</v>
      </c>
      <c r="B382" vm="1119">
        <v>136.08000000000001</v>
      </c>
    </row>
    <row r="383" spans="1:2" x14ac:dyDescent="0.25">
      <c r="A383" s="20">
        <v>45845</v>
      </c>
      <c r="B383" vm="1101">
        <v>135.26</v>
      </c>
    </row>
    <row r="384" spans="1:2" x14ac:dyDescent="0.25">
      <c r="A384" s="20">
        <v>45852</v>
      </c>
      <c r="B384" vm="1124">
        <v>135.57</v>
      </c>
    </row>
    <row r="385" spans="1:2" x14ac:dyDescent="0.25">
      <c r="A385" s="20">
        <v>45852</v>
      </c>
      <c r="B385" vm="1127">
        <v>133.81</v>
      </c>
    </row>
    <row r="386" spans="1:2" x14ac:dyDescent="0.25">
      <c r="A386" s="20">
        <v>45852</v>
      </c>
      <c r="B386" vm="1130">
        <v>135.35</v>
      </c>
    </row>
    <row r="387" spans="1:2" x14ac:dyDescent="0.25">
      <c r="A387" s="20">
        <v>45852</v>
      </c>
      <c r="B387" vm="1133">
        <v>145.44</v>
      </c>
    </row>
    <row r="388" spans="1:2" x14ac:dyDescent="0.25">
      <c r="A388" s="20">
        <v>45852</v>
      </c>
      <c r="B388" vm="1136">
        <v>143.24</v>
      </c>
    </row>
    <row r="389" spans="1:2" x14ac:dyDescent="0.25">
      <c r="A389" s="20">
        <v>45859</v>
      </c>
      <c r="B389" vm="1139">
        <v>141.69999999999999</v>
      </c>
    </row>
    <row r="390" spans="1:2" x14ac:dyDescent="0.25">
      <c r="A390" s="20">
        <v>45859</v>
      </c>
      <c r="B390" vm="1142">
        <v>146.04</v>
      </c>
    </row>
    <row r="391" spans="1:2" x14ac:dyDescent="0.25">
      <c r="A391" s="20">
        <v>45859</v>
      </c>
      <c r="B391" vm="807">
        <v>145.66</v>
      </c>
    </row>
    <row r="392" spans="1:2" x14ac:dyDescent="0.25">
      <c r="A392" s="20">
        <v>45859</v>
      </c>
      <c r="B392" vm="1147">
        <v>144.51</v>
      </c>
    </row>
    <row r="393" spans="1:2" x14ac:dyDescent="0.25">
      <c r="A393" s="20">
        <v>45859</v>
      </c>
      <c r="B393" vm="1150">
        <v>143.44999999999999</v>
      </c>
    </row>
    <row r="394" spans="1:2" x14ac:dyDescent="0.25">
      <c r="A394" s="20">
        <v>45866</v>
      </c>
      <c r="B394" vm="1153">
        <v>141.57</v>
      </c>
    </row>
    <row r="395" spans="1:2" x14ac:dyDescent="0.25">
      <c r="A395" s="20">
        <v>45866</v>
      </c>
      <c r="B395" vm="1156">
        <v>143.88999999999999</v>
      </c>
    </row>
    <row r="396" spans="1:2" x14ac:dyDescent="0.25">
      <c r="A396" s="20">
        <v>45866</v>
      </c>
      <c r="B396" vm="1159">
        <v>142.86000000000001</v>
      </c>
    </row>
    <row r="397" spans="1:2" x14ac:dyDescent="0.25">
      <c r="A397" s="20">
        <v>45866</v>
      </c>
      <c r="B397" vm="1162">
        <v>137.91999999999999</v>
      </c>
    </row>
    <row r="398" spans="1:2" x14ac:dyDescent="0.25">
      <c r="A398" s="20">
        <v>45866</v>
      </c>
      <c r="B398" vm="1165">
        <v>139.28</v>
      </c>
    </row>
    <row r="399" spans="1:2" x14ac:dyDescent="0.25">
      <c r="A399" s="20">
        <v>45873</v>
      </c>
      <c r="B399" vm="1168">
        <v>139.56</v>
      </c>
    </row>
    <row r="400" spans="1:2" x14ac:dyDescent="0.25">
      <c r="A400" s="20">
        <v>45873</v>
      </c>
      <c r="B400" vm="1171">
        <v>139.44999999999999</v>
      </c>
    </row>
    <row r="401" spans="1:2" x14ac:dyDescent="0.25">
      <c r="A401" s="20">
        <v>45873</v>
      </c>
      <c r="B401" vm="1174">
        <v>140.80000000000001</v>
      </c>
    </row>
    <row r="402" spans="1:2" x14ac:dyDescent="0.25">
      <c r="A402" s="20">
        <v>45873</v>
      </c>
      <c r="B402" vm="1177">
        <v>143.91999999999999</v>
      </c>
    </row>
    <row r="403" spans="1:2" x14ac:dyDescent="0.25">
      <c r="A403" s="20">
        <v>45873</v>
      </c>
      <c r="B403" vm="1180">
        <v>145.21</v>
      </c>
    </row>
    <row r="404" spans="1:2" x14ac:dyDescent="0.25">
      <c r="A404" s="20">
        <v>45880</v>
      </c>
      <c r="B404" vm="1183">
        <v>144.87</v>
      </c>
    </row>
    <row r="405" spans="1:2" x14ac:dyDescent="0.25">
      <c r="A405" s="20">
        <v>45880</v>
      </c>
      <c r="B405" vm="1186">
        <v>146.87</v>
      </c>
    </row>
    <row r="406" spans="1:2" x14ac:dyDescent="0.25">
      <c r="A406" s="20">
        <v>45880</v>
      </c>
      <c r="B406" vm="1189">
        <v>149.35</v>
      </c>
    </row>
    <row r="407" spans="1:2" x14ac:dyDescent="0.25">
      <c r="A407" s="20">
        <v>45880</v>
      </c>
      <c r="B407" vm="780">
        <v>148.62</v>
      </c>
    </row>
    <row r="408" spans="1:2" x14ac:dyDescent="0.25">
      <c r="A408" s="20">
        <v>45880</v>
      </c>
      <c r="B408" vm="1194">
        <v>150.4</v>
      </c>
    </row>
    <row r="409" spans="1:2" x14ac:dyDescent="0.25">
      <c r="A409" s="20">
        <v>45887</v>
      </c>
      <c r="B409" vm="1197">
        <v>149.55000000000001</v>
      </c>
    </row>
    <row r="410" spans="1:2" x14ac:dyDescent="0.25">
      <c r="A410" s="20">
        <v>45887</v>
      </c>
      <c r="B410" vm="1200">
        <v>152.16</v>
      </c>
    </row>
    <row r="411" spans="1:2" x14ac:dyDescent="0.25">
      <c r="A411" s="20">
        <v>45887</v>
      </c>
      <c r="B411" vm="1203">
        <v>150.72999999999999</v>
      </c>
    </row>
    <row r="412" spans="1:2" x14ac:dyDescent="0.25">
      <c r="A412" s="20">
        <v>45887</v>
      </c>
      <c r="B412" vm="1206">
        <v>148.97999999999999</v>
      </c>
    </row>
    <row r="413" spans="1:2" x14ac:dyDescent="0.25">
      <c r="A413" s="20">
        <v>45887</v>
      </c>
      <c r="B413" vm="1209">
        <v>149.63999999999999</v>
      </c>
    </row>
    <row r="414" spans="1:2" x14ac:dyDescent="0.25">
      <c r="A414" s="20">
        <v>45894</v>
      </c>
      <c r="B414" vm="1212">
        <v>148.19999999999999</v>
      </c>
    </row>
    <row r="415" spans="1:2" x14ac:dyDescent="0.25">
      <c r="A415" s="20">
        <v>45894</v>
      </c>
      <c r="B415" vm="1215">
        <v>147</v>
      </c>
    </row>
    <row r="416" spans="1:2" x14ac:dyDescent="0.25">
      <c r="A416" s="20">
        <v>45894</v>
      </c>
      <c r="B416" vm="1218">
        <v>147.63999999999999</v>
      </c>
    </row>
    <row r="417" spans="1:2" x14ac:dyDescent="0.25">
      <c r="A417" s="20">
        <v>45894</v>
      </c>
      <c r="B417" vm="1221">
        <v>146.97999999999999</v>
      </c>
    </row>
    <row r="418" spans="1:2" x14ac:dyDescent="0.25">
      <c r="A418" s="20">
        <v>45894</v>
      </c>
      <c r="B418" vm="1224">
        <v>148.65</v>
      </c>
    </row>
    <row r="419" spans="1:2" x14ac:dyDescent="0.25">
      <c r="A419" s="20">
        <v>45901</v>
      </c>
      <c r="B419" vm="1227">
        <v>150.28</v>
      </c>
    </row>
    <row r="420" spans="1:2" x14ac:dyDescent="0.25">
      <c r="A420" s="20">
        <v>45901</v>
      </c>
      <c r="B420" vm="907">
        <v>148.63999999999999</v>
      </c>
    </row>
    <row r="421" spans="1:2" x14ac:dyDescent="0.25">
      <c r="A421" s="20">
        <v>45901</v>
      </c>
      <c r="B421" vm="1232">
        <v>146.88999999999999</v>
      </c>
    </row>
    <row r="422" spans="1:2" x14ac:dyDescent="0.25">
      <c r="A422" s="20">
        <v>45901</v>
      </c>
      <c r="B422" vm="1235">
        <v>146.38999999999999</v>
      </c>
    </row>
    <row r="423" spans="1:2" x14ac:dyDescent="0.25">
      <c r="A423" s="20">
        <v>45908</v>
      </c>
      <c r="B423" vm="1238">
        <v>141.71</v>
      </c>
    </row>
    <row r="424" spans="1:2" x14ac:dyDescent="0.25">
      <c r="A424" s="20">
        <v>45908</v>
      </c>
      <c r="B424" vm="1241">
        <v>143.1</v>
      </c>
    </row>
    <row r="425" spans="1:2" x14ac:dyDescent="0.25">
      <c r="A425" s="20">
        <v>45908</v>
      </c>
      <c r="B425" vm="1244">
        <v>142.66</v>
      </c>
    </row>
    <row r="426" spans="1:2" x14ac:dyDescent="0.25">
      <c r="A426" s="20">
        <v>45908</v>
      </c>
      <c r="B426" vm="1247">
        <v>144.22999999999999</v>
      </c>
    </row>
    <row r="427" spans="1:2" x14ac:dyDescent="0.25">
      <c r="A427" s="20">
        <v>45908</v>
      </c>
      <c r="B427" vm="1250">
        <v>143.53</v>
      </c>
    </row>
    <row r="428" spans="1:2" x14ac:dyDescent="0.25">
      <c r="A428" s="20">
        <v>45915</v>
      </c>
      <c r="B428" vm="1253">
        <v>140.63999999999999</v>
      </c>
    </row>
    <row r="429" spans="1:2" x14ac:dyDescent="0.25">
      <c r="A429" s="20">
        <v>45915</v>
      </c>
      <c r="B429" vm="1256">
        <v>140.03</v>
      </c>
    </row>
    <row r="430" spans="1:2" x14ac:dyDescent="0.25">
      <c r="A430" s="20">
        <v>45915</v>
      </c>
      <c r="B430" vm="1259">
        <v>141.22999999999999</v>
      </c>
    </row>
    <row r="431" spans="1:2" x14ac:dyDescent="0.25">
      <c r="A431" s="20">
        <v>45915</v>
      </c>
      <c r="B431" vm="1262">
        <v>140.72999999999999</v>
      </c>
    </row>
    <row r="432" spans="1:2" x14ac:dyDescent="0.25">
      <c r="A432" s="20">
        <v>45915</v>
      </c>
      <c r="B432" vm="1265">
        <v>141.76</v>
      </c>
    </row>
    <row r="433" spans="1:2" x14ac:dyDescent="0.25">
      <c r="A433" s="20">
        <v>45922</v>
      </c>
      <c r="B433" vm="1268">
        <v>141.03</v>
      </c>
    </row>
    <row r="434" spans="1:2" x14ac:dyDescent="0.25">
      <c r="A434" s="20">
        <v>45922</v>
      </c>
      <c r="B434" vm="1271">
        <v>141.9</v>
      </c>
    </row>
    <row r="435" spans="1:2" x14ac:dyDescent="0.25">
      <c r="A435" s="20">
        <v>45922</v>
      </c>
      <c r="B435" vm="1274">
        <v>142.16999999999999</v>
      </c>
    </row>
    <row r="436" spans="1:2" x14ac:dyDescent="0.25">
      <c r="A436" s="20">
        <v>45922</v>
      </c>
      <c r="B436" vm="1277">
        <v>139.91999999999999</v>
      </c>
    </row>
    <row r="437" spans="1:2" x14ac:dyDescent="0.25">
      <c r="A437" s="20">
        <v>45922</v>
      </c>
      <c r="B437" vm="1280">
        <v>140.44</v>
      </c>
    </row>
    <row r="438" spans="1:2" x14ac:dyDescent="0.25">
      <c r="A438" s="20">
        <v>45929</v>
      </c>
      <c r="B438" vm="1283">
        <v>140.16999999999999</v>
      </c>
    </row>
    <row r="439" spans="1:2" x14ac:dyDescent="0.25">
      <c r="A439" s="20">
        <v>45929</v>
      </c>
      <c r="B439" vm="1280">
        <v>140.44</v>
      </c>
    </row>
    <row r="440" spans="1:2" x14ac:dyDescent="0.25">
      <c r="A440" s="20">
        <v>45929</v>
      </c>
      <c r="B440" vm="1288">
        <v>143.13999999999999</v>
      </c>
    </row>
    <row r="441" spans="1:2" x14ac:dyDescent="0.25">
      <c r="A441" s="20">
        <v>45929</v>
      </c>
      <c r="B441" vm="1291">
        <v>142.31</v>
      </c>
    </row>
    <row r="442" spans="1:2" x14ac:dyDescent="0.25">
      <c r="A442" s="20">
        <v>45929</v>
      </c>
      <c r="B442" vm="1294">
        <v>141.97999999999999</v>
      </c>
    </row>
    <row r="443" spans="1:2" x14ac:dyDescent="0.25">
      <c r="A443" s="20">
        <v>45936</v>
      </c>
      <c r="B443" vm="1297">
        <v>139.69999999999999</v>
      </c>
    </row>
    <row r="444" spans="1:2" x14ac:dyDescent="0.25">
      <c r="A444" s="20">
        <v>45936</v>
      </c>
      <c r="B444" vm="1300">
        <v>140.79</v>
      </c>
    </row>
    <row r="445" spans="1:2" x14ac:dyDescent="0.25">
      <c r="A445" s="20">
        <v>45936</v>
      </c>
      <c r="B445" vm="1303">
        <v>138.84</v>
      </c>
    </row>
    <row r="446" spans="1:2" x14ac:dyDescent="0.25">
      <c r="A446" s="20">
        <v>45936</v>
      </c>
      <c r="B446" vm="1306">
        <v>144.71</v>
      </c>
    </row>
    <row r="447" spans="1:2" x14ac:dyDescent="0.25">
      <c r="A447" s="20">
        <v>45936</v>
      </c>
      <c r="B447" vm="1309">
        <v>150.08000000000001</v>
      </c>
    </row>
    <row r="448" spans="1:2" x14ac:dyDescent="0.25">
      <c r="A448" s="20">
        <v>45943</v>
      </c>
      <c r="B448" vm="1312">
        <v>148.88999999999999</v>
      </c>
    </row>
    <row r="449" spans="1:2" x14ac:dyDescent="0.25">
      <c r="A449" s="20">
        <v>45943</v>
      </c>
      <c r="B449" vm="1315">
        <v>151.54</v>
      </c>
    </row>
    <row r="450" spans="1:2" x14ac:dyDescent="0.25">
      <c r="A450" s="20">
        <v>45943</v>
      </c>
      <c r="B450" vm="1318">
        <v>151.16</v>
      </c>
    </row>
    <row r="451" spans="1:2" x14ac:dyDescent="0.25">
      <c r="A451" s="20">
        <v>45943</v>
      </c>
      <c r="B451" vm="1321">
        <v>152.66999999999999</v>
      </c>
    </row>
    <row r="452" spans="1:2" x14ac:dyDescent="0.25">
      <c r="A452" s="20">
        <v>45943</v>
      </c>
      <c r="B452" vm="1324">
        <v>153.71</v>
      </c>
    </row>
    <row r="453" spans="1:2" x14ac:dyDescent="0.25">
      <c r="A453" s="20">
        <v>45950</v>
      </c>
      <c r="B453" vm="1327">
        <v>153.63999999999999</v>
      </c>
    </row>
    <row r="454" spans="1:2" x14ac:dyDescent="0.25">
      <c r="A454" s="20">
        <v>45950</v>
      </c>
      <c r="B454" vm="1330">
        <v>153.18</v>
      </c>
    </row>
    <row r="455" spans="1:2" x14ac:dyDescent="0.25">
      <c r="A455" s="20">
        <v>45950</v>
      </c>
      <c r="B455" vm="1333">
        <v>153.03</v>
      </c>
    </row>
    <row r="456" spans="1:2" x14ac:dyDescent="0.25">
      <c r="A456" s="20">
        <v>45950</v>
      </c>
      <c r="B456" vm="848">
        <v>151.51</v>
      </c>
    </row>
    <row r="457" spans="1:2" x14ac:dyDescent="0.25">
      <c r="A457" s="20">
        <v>45950</v>
      </c>
      <c r="B457" vm="1338">
        <v>151.55000000000001</v>
      </c>
    </row>
    <row r="458" spans="1:2" x14ac:dyDescent="0.25">
      <c r="A458" s="20">
        <v>45957</v>
      </c>
      <c r="B458" vm="1341">
        <v>152.63</v>
      </c>
    </row>
    <row r="459" spans="1:2" x14ac:dyDescent="0.25">
      <c r="A459" s="20">
        <v>45957</v>
      </c>
      <c r="B459" vm="1344">
        <v>150.12</v>
      </c>
    </row>
    <row r="460" spans="1:2" x14ac:dyDescent="0.25">
      <c r="A460" s="20">
        <v>45957</v>
      </c>
      <c r="B460" vm="1347">
        <v>146.16</v>
      </c>
    </row>
    <row r="461" spans="1:2" x14ac:dyDescent="0.25">
      <c r="A461" s="20">
        <v>45957</v>
      </c>
      <c r="B461" vm="1350">
        <v>147.55000000000001</v>
      </c>
    </row>
    <row r="462" spans="1:2" x14ac:dyDescent="0.25">
      <c r="A462" s="20">
        <v>45957</v>
      </c>
      <c r="B462" vm="1353">
        <v>146.09</v>
      </c>
    </row>
    <row r="463" spans="1:2" x14ac:dyDescent="0.25">
      <c r="A463" s="20">
        <v>45964</v>
      </c>
      <c r="B463" vm="1356">
        <v>143.6</v>
      </c>
    </row>
    <row r="464" spans="1:2" x14ac:dyDescent="0.25">
      <c r="A464" s="20">
        <v>45964</v>
      </c>
      <c r="B464" vm="1359">
        <v>142.9</v>
      </c>
    </row>
    <row r="465" spans="1:2" x14ac:dyDescent="0.25">
      <c r="A465" s="20">
        <v>45964</v>
      </c>
      <c r="B465" vm="1159">
        <v>142.86000000000001</v>
      </c>
    </row>
    <row r="466" spans="1:2" x14ac:dyDescent="0.25">
      <c r="A466" s="20">
        <v>45964</v>
      </c>
      <c r="B466" vm="1364">
        <v>141.58000000000001</v>
      </c>
    </row>
    <row r="467" spans="1:2" x14ac:dyDescent="0.25">
      <c r="A467" s="20">
        <v>45964</v>
      </c>
      <c r="B467" vm="1367">
        <v>142.94999999999999</v>
      </c>
    </row>
    <row r="468" spans="1:2" x14ac:dyDescent="0.25">
      <c r="A468" s="20">
        <v>45971</v>
      </c>
      <c r="B468" vm="1370">
        <v>142.62</v>
      </c>
    </row>
    <row r="469" spans="1:2" x14ac:dyDescent="0.25">
      <c r="A469" s="20">
        <v>45971</v>
      </c>
      <c r="B469" vm="1373">
        <v>145.08000000000001</v>
      </c>
    </row>
    <row r="470" spans="1:2" x14ac:dyDescent="0.25">
      <c r="A470" s="20">
        <v>45971</v>
      </c>
      <c r="B470" vm="1376">
        <v>144.38999999999999</v>
      </c>
    </row>
    <row r="471" spans="1:2" x14ac:dyDescent="0.25">
      <c r="A471" s="20">
        <v>45971</v>
      </c>
      <c r="B471" vm="1379">
        <v>145.02000000000001</v>
      </c>
    </row>
    <row r="472" spans="1:2" x14ac:dyDescent="0.25">
      <c r="A472" s="20">
        <v>45971</v>
      </c>
      <c r="B472" vm="1382">
        <v>145.85</v>
      </c>
    </row>
    <row r="473" spans="1:2" x14ac:dyDescent="0.25">
      <c r="A473" s="20">
        <v>45978</v>
      </c>
      <c r="B473" vm="1385">
        <v>147.83000000000001</v>
      </c>
    </row>
    <row r="474" spans="1:2" x14ac:dyDescent="0.25">
      <c r="A474" s="20">
        <v>45978</v>
      </c>
      <c r="B474" vm="1388">
        <v>148.77000000000001</v>
      </c>
    </row>
    <row r="475" spans="1:2" x14ac:dyDescent="0.25">
      <c r="A475" s="20">
        <v>45978</v>
      </c>
      <c r="B475" vm="1391">
        <v>147.11000000000001</v>
      </c>
    </row>
    <row r="476" spans="1:2" x14ac:dyDescent="0.25">
      <c r="A476" s="20">
        <v>45978</v>
      </c>
      <c r="B476" vm="1394">
        <v>146.1</v>
      </c>
    </row>
    <row r="477" spans="1:2" x14ac:dyDescent="0.25">
      <c r="A477" s="20">
        <v>45978</v>
      </c>
      <c r="B477" vm="1397">
        <v>146.33000000000001</v>
      </c>
    </row>
    <row r="478" spans="1:2" x14ac:dyDescent="0.25">
      <c r="A478" s="20">
        <v>45985</v>
      </c>
      <c r="B478" vm="1400">
        <v>145.5</v>
      </c>
    </row>
    <row r="479" spans="1:2" x14ac:dyDescent="0.25">
      <c r="A479" s="20">
        <v>45985</v>
      </c>
      <c r="B479" vm="1403">
        <v>146.11000000000001</v>
      </c>
    </row>
    <row r="480" spans="1:2" x14ac:dyDescent="0.25">
      <c r="A480" s="20">
        <v>45985</v>
      </c>
      <c r="B480" vm="1406">
        <v>147.97999999999999</v>
      </c>
    </row>
    <row r="481" spans="1:2" x14ac:dyDescent="0.25">
      <c r="A481" s="20">
        <v>45985</v>
      </c>
      <c r="B481" vm="1409">
        <v>148.74</v>
      </c>
    </row>
    <row r="482" spans="1:2" x14ac:dyDescent="0.25">
      <c r="A482" s="20">
        <v>45992</v>
      </c>
      <c r="B482" vm="1412">
        <v>149.51</v>
      </c>
    </row>
    <row r="483" spans="1:2" x14ac:dyDescent="0.25">
      <c r="A483" s="20">
        <v>45992</v>
      </c>
      <c r="B483" vm="1415">
        <v>148.61000000000001</v>
      </c>
    </row>
    <row r="484" spans="1:2" x14ac:dyDescent="0.25">
      <c r="A484" s="20">
        <v>45992</v>
      </c>
      <c r="B484" vm="1418">
        <v>148.06</v>
      </c>
    </row>
    <row r="485" spans="1:2" x14ac:dyDescent="0.25">
      <c r="A485" s="20">
        <v>45992</v>
      </c>
      <c r="B485" vm="1421">
        <v>146.91</v>
      </c>
    </row>
    <row r="486" spans="1:2" x14ac:dyDescent="0.25">
      <c r="A486" s="20">
        <v>45992</v>
      </c>
      <c r="B486" vm="1379">
        <v>145.02000000000001</v>
      </c>
    </row>
    <row r="487" spans="1:2" x14ac:dyDescent="0.25">
      <c r="A487" s="20">
        <v>45999</v>
      </c>
      <c r="B487" vm="1426">
        <v>145.63</v>
      </c>
    </row>
    <row r="488" spans="1:2" x14ac:dyDescent="0.25">
      <c r="A488" s="20">
        <v>45999</v>
      </c>
      <c r="B488" vm="1429">
        <v>144.63999999999999</v>
      </c>
    </row>
    <row r="489" spans="1:2" x14ac:dyDescent="0.25">
      <c r="A489" s="20">
        <v>45999</v>
      </c>
      <c r="B489" vm="1432">
        <v>149.69999999999999</v>
      </c>
    </row>
    <row r="490" spans="1:2" x14ac:dyDescent="0.25">
      <c r="A490" s="20">
        <v>45999</v>
      </c>
      <c r="B490" vm="1435">
        <v>149.04</v>
      </c>
    </row>
    <row r="491" spans="1:2" x14ac:dyDescent="0.25">
      <c r="A491" s="20">
        <v>45999</v>
      </c>
      <c r="B491" vm="1438">
        <v>150.65</v>
      </c>
    </row>
    <row r="492" spans="1:2" x14ac:dyDescent="0.25">
      <c r="A492" s="20">
        <v>46006</v>
      </c>
      <c r="B492" vm="1441">
        <v>151.22</v>
      </c>
    </row>
    <row r="493" spans="1:2" x14ac:dyDescent="0.25">
      <c r="A493" s="20">
        <v>46006</v>
      </c>
      <c r="B493" vm="792">
        <v>150.37</v>
      </c>
    </row>
    <row r="494" spans="1:2" x14ac:dyDescent="0.25">
      <c r="A494" s="20">
        <v>46006</v>
      </c>
      <c r="B494" vm="1309">
        <v>150.08000000000001</v>
      </c>
    </row>
    <row r="495" spans="1:2" x14ac:dyDescent="0.25">
      <c r="A495" s="20">
        <v>46006</v>
      </c>
      <c r="B495" vm="1448">
        <v>149.37</v>
      </c>
    </row>
    <row r="496" spans="1:2" x14ac:dyDescent="0.25">
      <c r="A496" s="20">
        <v>46006</v>
      </c>
      <c r="B496" vm="1451">
        <v>148.16</v>
      </c>
    </row>
    <row r="497" spans="1:2" x14ac:dyDescent="0.25">
      <c r="A497" s="20">
        <v>46013</v>
      </c>
      <c r="B497" vm="1454">
        <v>147.05000000000001</v>
      </c>
    </row>
    <row r="498" spans="1:2" x14ac:dyDescent="0.25">
      <c r="A498" s="20">
        <v>46013</v>
      </c>
      <c r="B498" vm="1457">
        <v>143.68</v>
      </c>
    </row>
    <row r="499" spans="1:2" x14ac:dyDescent="0.25">
      <c r="A499" s="20">
        <v>46013</v>
      </c>
      <c r="B499" vm="1460">
        <v>143.74</v>
      </c>
    </row>
    <row r="500" spans="1:2" x14ac:dyDescent="0.25">
      <c r="A500" s="20">
        <v>46013</v>
      </c>
      <c r="B500" vm="1463">
        <v>143.78</v>
      </c>
    </row>
    <row r="501" spans="1:2" x14ac:dyDescent="0.25">
      <c r="A501" s="20">
        <v>46020</v>
      </c>
      <c r="B501" vm="1466">
        <v>144.24</v>
      </c>
    </row>
    <row r="502" spans="1:2" x14ac:dyDescent="0.25">
      <c r="A502" s="20">
        <v>46020</v>
      </c>
      <c r="B502" vm="1469">
        <v>144.16</v>
      </c>
    </row>
    <row r="503" spans="1:2" x14ac:dyDescent="0.25">
      <c r="A503" s="20">
        <v>46020</v>
      </c>
      <c r="B503" vm="1472">
        <v>143.52000000000001</v>
      </c>
    </row>
    <row r="504" spans="1:2" x14ac:dyDescent="0.25">
      <c r="A504" s="20">
        <v>46020</v>
      </c>
      <c r="B504" vm="1475">
        <v>142.22999999999999</v>
      </c>
    </row>
    <row r="505" spans="1:2" x14ac:dyDescent="0.25">
      <c r="A505" s="20">
        <v>46027</v>
      </c>
      <c r="B505" vm="1277">
        <v>139.91999999999999</v>
      </c>
    </row>
    <row r="506" spans="1:2" x14ac:dyDescent="0.25">
      <c r="A506" s="20">
        <v>46027</v>
      </c>
      <c r="B506" vm="1480">
        <v>138.96</v>
      </c>
    </row>
    <row r="507" spans="1:2" x14ac:dyDescent="0.25">
      <c r="A507" s="20">
        <v>46027</v>
      </c>
      <c r="B507" vm="1483">
        <v>137.01</v>
      </c>
    </row>
    <row r="508" spans="1:2" x14ac:dyDescent="0.25">
      <c r="A508" s="20">
        <v>46027</v>
      </c>
      <c r="B508" vm="1486">
        <v>139.37</v>
      </c>
    </row>
    <row r="509" spans="1:2" x14ac:dyDescent="0.25">
      <c r="A509" s="20">
        <v>46027</v>
      </c>
      <c r="B509" vm="1489">
        <v>139.91</v>
      </c>
    </row>
    <row r="510" spans="1:2" x14ac:dyDescent="0.25">
      <c r="A510" s="20">
        <v>46034</v>
      </c>
      <c r="B510" vm="1492">
        <v>141.36000000000001</v>
      </c>
    </row>
    <row r="511" spans="1:2" x14ac:dyDescent="0.25">
      <c r="A511" s="20">
        <v>46034</v>
      </c>
      <c r="B511" vm="1495">
        <v>143.47999999999999</v>
      </c>
    </row>
    <row r="512" spans="1:2" x14ac:dyDescent="0.25">
      <c r="A512" s="20">
        <v>46034</v>
      </c>
      <c r="B512" vm="1498">
        <v>145.91999999999999</v>
      </c>
    </row>
    <row r="513" spans="1:2" x14ac:dyDescent="0.25">
      <c r="A513" s="20">
        <v>46034</v>
      </c>
      <c r="B513" vm="1501">
        <v>146.57</v>
      </c>
    </row>
    <row r="514" spans="1:2" x14ac:dyDescent="0.25">
      <c r="A514" s="20">
        <v>46034</v>
      </c>
      <c r="B514" vm="1504">
        <v>146.32</v>
      </c>
    </row>
    <row r="515" spans="1:2" x14ac:dyDescent="0.25">
      <c r="A515" s="20">
        <v>46041</v>
      </c>
      <c r="B515" vm="1507">
        <v>147.66</v>
      </c>
    </row>
    <row r="516" spans="1:2" x14ac:dyDescent="0.25">
      <c r="A516" s="20">
        <v>46041</v>
      </c>
      <c r="B516" vm="1510">
        <v>146.74</v>
      </c>
    </row>
    <row r="517" spans="1:2" x14ac:dyDescent="0.25">
      <c r="A517" s="20">
        <v>46041</v>
      </c>
      <c r="B517" vm="1513">
        <v>144.4</v>
      </c>
    </row>
    <row r="518" spans="1:2" x14ac:dyDescent="0.25">
      <c r="A518" s="20">
        <v>46041</v>
      </c>
      <c r="B518" vm="813">
        <v>144.58000000000001</v>
      </c>
    </row>
    <row r="519" spans="1:2" x14ac:dyDescent="0.25">
      <c r="A519" s="20">
        <v>46048</v>
      </c>
      <c r="B519" vm="1518">
        <v>145.87</v>
      </c>
    </row>
    <row r="520" spans="1:2" x14ac:dyDescent="0.25">
      <c r="A520" s="20">
        <v>46048</v>
      </c>
      <c r="B520" vm="1521">
        <v>148.78</v>
      </c>
    </row>
    <row r="521" spans="1:2" x14ac:dyDescent="0.25">
      <c r="A521" s="20">
        <v>46048</v>
      </c>
      <c r="B521" vm="1524">
        <v>148.5</v>
      </c>
    </row>
    <row r="522" spans="1:2" x14ac:dyDescent="0.25">
      <c r="A522" s="20">
        <v>46048</v>
      </c>
      <c r="B522" vm="1527">
        <v>148.69</v>
      </c>
    </row>
    <row r="523" spans="1:2" x14ac:dyDescent="0.25">
      <c r="A523" s="20">
        <v>46048</v>
      </c>
      <c r="B523" vm="1530">
        <v>153.63</v>
      </c>
    </row>
    <row r="524" spans="1:2" x14ac:dyDescent="0.25">
      <c r="A524" s="20">
        <v>46055</v>
      </c>
      <c r="B524" vm="1533">
        <v>155.19999999999999</v>
      </c>
    </row>
    <row r="525" spans="1:2" x14ac:dyDescent="0.25">
      <c r="A525" s="20">
        <v>46055</v>
      </c>
      <c r="B525" vm="1536">
        <v>162.85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9" workbookViewId="0">
      <selection activeCell="I70" sqref="I70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00"/>
  <sheetViews>
    <sheetView workbookViewId="0">
      <selection activeCell="B1" activeCellId="1" sqref="A1:A1048576 B1:B1048576"/>
    </sheetView>
  </sheetViews>
  <sheetFormatPr defaultRowHeight="15" x14ac:dyDescent="0.25"/>
  <cols>
    <col min="1" max="1" width="10.7109375" style="20" bestFit="1" customWidth="1"/>
    <col min="2" max="2" width="9.85546875" bestFit="1" customWidth="1"/>
  </cols>
  <sheetData>
    <row r="1" spans="1:2" ht="18" customHeight="1" thickBot="1" x14ac:dyDescent="0.3">
      <c r="A1" s="26" t="s">
        <v>49</v>
      </c>
      <c r="B1" s="22" t="s">
        <v>50</v>
      </c>
    </row>
    <row r="2" spans="1:2" ht="15.75" thickBot="1" x14ac:dyDescent="0.3">
      <c r="A2" s="27">
        <v>36593</v>
      </c>
      <c r="B2" s="24">
        <v>0.14000000000000001</v>
      </c>
    </row>
    <row r="3" spans="1:2" ht="15.75" thickBot="1" x14ac:dyDescent="0.3">
      <c r="A3" s="27">
        <v>36684</v>
      </c>
      <c r="B3" s="24">
        <v>0.14000000000000001</v>
      </c>
    </row>
    <row r="4" spans="1:2" ht="15.75" thickBot="1" x14ac:dyDescent="0.3">
      <c r="A4" s="27">
        <v>36775</v>
      </c>
      <c r="B4" s="24">
        <v>0.14000000000000001</v>
      </c>
    </row>
    <row r="5" spans="1:2" ht="15.75" thickBot="1" x14ac:dyDescent="0.3">
      <c r="A5" s="27">
        <v>36866</v>
      </c>
      <c r="B5" s="24">
        <v>0.14000000000000001</v>
      </c>
    </row>
    <row r="6" spans="1:2" ht="15.75" thickBot="1" x14ac:dyDescent="0.3">
      <c r="A6" s="27">
        <v>36957</v>
      </c>
      <c r="B6" s="24">
        <v>0.14000000000000001</v>
      </c>
    </row>
    <row r="7" spans="1:2" ht="15.75" thickBot="1" x14ac:dyDescent="0.3">
      <c r="A7" s="27">
        <v>37048</v>
      </c>
      <c r="B7" s="24">
        <v>0.15</v>
      </c>
    </row>
    <row r="8" spans="1:2" ht="15.75" thickBot="1" x14ac:dyDescent="0.3">
      <c r="A8" s="27">
        <v>37139</v>
      </c>
      <c r="B8" s="24">
        <v>0.15</v>
      </c>
    </row>
    <row r="9" spans="1:2" ht="15.75" thickBot="1" x14ac:dyDescent="0.3">
      <c r="A9" s="27">
        <v>37230</v>
      </c>
      <c r="B9" s="24">
        <v>0.15</v>
      </c>
    </row>
    <row r="10" spans="1:2" ht="15.75" thickBot="1" x14ac:dyDescent="0.3">
      <c r="A10" s="27">
        <v>37321</v>
      </c>
      <c r="B10" s="24">
        <v>0.15</v>
      </c>
    </row>
    <row r="11" spans="1:2" ht="15.75" thickBot="1" x14ac:dyDescent="0.3">
      <c r="A11" s="27">
        <v>37412</v>
      </c>
      <c r="B11" s="24">
        <v>0.15</v>
      </c>
    </row>
    <row r="12" spans="1:2" ht="15.75" thickBot="1" x14ac:dyDescent="0.3">
      <c r="A12" s="27">
        <v>37503</v>
      </c>
      <c r="B12" s="24">
        <v>0.15</v>
      </c>
    </row>
    <row r="13" spans="1:2" ht="15.75" thickBot="1" x14ac:dyDescent="0.3">
      <c r="A13" s="27">
        <v>37594</v>
      </c>
      <c r="B13" s="24">
        <v>0.15</v>
      </c>
    </row>
    <row r="14" spans="1:2" ht="15.75" thickBot="1" x14ac:dyDescent="0.3">
      <c r="A14" s="27">
        <v>37692</v>
      </c>
      <c r="B14" s="24">
        <v>0.15</v>
      </c>
    </row>
    <row r="15" spans="1:2" ht="15.75" thickBot="1" x14ac:dyDescent="0.3">
      <c r="A15" s="27">
        <v>37783</v>
      </c>
      <c r="B15" s="24">
        <v>0.16</v>
      </c>
    </row>
    <row r="16" spans="1:2" ht="15.75" thickBot="1" x14ac:dyDescent="0.3">
      <c r="A16" s="27">
        <v>37874</v>
      </c>
      <c r="B16" s="24">
        <v>0.16</v>
      </c>
    </row>
    <row r="17" spans="1:2" ht="15.75" thickBot="1" x14ac:dyDescent="0.3">
      <c r="A17" s="27">
        <v>37965</v>
      </c>
      <c r="B17" s="24">
        <v>0.16</v>
      </c>
    </row>
    <row r="18" spans="1:2" ht="15.75" thickBot="1" x14ac:dyDescent="0.3">
      <c r="A18" s="27">
        <v>38056</v>
      </c>
      <c r="B18" s="24">
        <v>0.16</v>
      </c>
    </row>
    <row r="19" spans="1:2" ht="15.75" thickBot="1" x14ac:dyDescent="0.3">
      <c r="A19" s="27">
        <v>38147</v>
      </c>
      <c r="B19" s="24">
        <v>0.23</v>
      </c>
    </row>
    <row r="20" spans="1:2" ht="15.75" thickBot="1" x14ac:dyDescent="0.3">
      <c r="A20" s="27">
        <v>38238</v>
      </c>
      <c r="B20" s="24">
        <v>0.23</v>
      </c>
    </row>
    <row r="21" spans="1:2" ht="15.75" thickBot="1" x14ac:dyDescent="0.3">
      <c r="A21" s="27">
        <v>38329</v>
      </c>
      <c r="B21" s="24">
        <v>0.23</v>
      </c>
    </row>
    <row r="22" spans="1:2" ht="15.75" thickBot="1" x14ac:dyDescent="0.3">
      <c r="A22" s="27">
        <v>38420</v>
      </c>
      <c r="B22" s="24">
        <v>0.23</v>
      </c>
    </row>
    <row r="23" spans="1:2" ht="15.75" thickBot="1" x14ac:dyDescent="0.3">
      <c r="A23" s="27">
        <v>38511</v>
      </c>
      <c r="B23" s="24">
        <v>0.26</v>
      </c>
    </row>
    <row r="24" spans="1:2" ht="15.75" thickBot="1" x14ac:dyDescent="0.3">
      <c r="A24" s="27">
        <v>38602</v>
      </c>
      <c r="B24" s="24">
        <v>0.26</v>
      </c>
    </row>
    <row r="25" spans="1:2" ht="15.75" thickBot="1" x14ac:dyDescent="0.3">
      <c r="A25" s="27">
        <v>38693</v>
      </c>
      <c r="B25" s="24">
        <v>0.26</v>
      </c>
    </row>
    <row r="26" spans="1:2" ht="15.75" thickBot="1" x14ac:dyDescent="0.3">
      <c r="A26" s="27">
        <v>38784</v>
      </c>
      <c r="B26" s="24">
        <v>0.26</v>
      </c>
    </row>
    <row r="27" spans="1:2" ht="15.75" thickBot="1" x14ac:dyDescent="0.3">
      <c r="A27" s="27">
        <v>38875</v>
      </c>
      <c r="B27" s="24">
        <v>0.3</v>
      </c>
    </row>
    <row r="28" spans="1:2" ht="15.75" thickBot="1" x14ac:dyDescent="0.3">
      <c r="A28" s="27">
        <v>38966</v>
      </c>
      <c r="B28" s="24">
        <v>0.3</v>
      </c>
    </row>
    <row r="29" spans="1:2" ht="15.75" thickBot="1" x14ac:dyDescent="0.3">
      <c r="A29" s="27">
        <v>39057</v>
      </c>
      <c r="B29" s="24">
        <v>0.3</v>
      </c>
    </row>
    <row r="30" spans="1:2" ht="15.75" thickBot="1" x14ac:dyDescent="0.3">
      <c r="A30" s="27">
        <v>39148</v>
      </c>
      <c r="B30" s="24">
        <v>0.3</v>
      </c>
    </row>
    <row r="31" spans="1:2" ht="15.75" thickBot="1" x14ac:dyDescent="0.3">
      <c r="A31" s="27">
        <v>39239</v>
      </c>
      <c r="B31" s="24">
        <v>0.38</v>
      </c>
    </row>
    <row r="32" spans="1:2" ht="15.75" thickBot="1" x14ac:dyDescent="0.3">
      <c r="A32" s="27">
        <v>39330</v>
      </c>
      <c r="B32" s="24">
        <v>0.38</v>
      </c>
    </row>
    <row r="33" spans="1:2" ht="15.75" thickBot="1" x14ac:dyDescent="0.3">
      <c r="A33" s="27">
        <v>39421</v>
      </c>
      <c r="B33" s="24">
        <v>0.38</v>
      </c>
    </row>
    <row r="34" spans="1:2" ht="15.75" thickBot="1" x14ac:dyDescent="0.3">
      <c r="A34" s="27">
        <v>39512</v>
      </c>
      <c r="B34" s="24">
        <v>0.38</v>
      </c>
    </row>
    <row r="35" spans="1:2" ht="15.75" thickBot="1" x14ac:dyDescent="0.3">
      <c r="A35" s="27">
        <v>39603</v>
      </c>
      <c r="B35" s="24">
        <v>0.43</v>
      </c>
    </row>
    <row r="36" spans="1:2" ht="15.75" thickBot="1" x14ac:dyDescent="0.3">
      <c r="A36" s="27">
        <v>39694</v>
      </c>
      <c r="B36" s="24">
        <v>0.43</v>
      </c>
    </row>
    <row r="37" spans="1:2" ht="15.75" thickBot="1" x14ac:dyDescent="0.3">
      <c r="A37" s="27">
        <v>39785</v>
      </c>
      <c r="B37" s="24">
        <v>0.43</v>
      </c>
    </row>
    <row r="38" spans="1:2" ht="15.75" thickBot="1" x14ac:dyDescent="0.3">
      <c r="A38" s="27">
        <v>39876</v>
      </c>
      <c r="B38" s="24">
        <v>0.43</v>
      </c>
    </row>
    <row r="39" spans="1:2" ht="15.75" thickBot="1" x14ac:dyDescent="0.3">
      <c r="A39" s="27">
        <v>39967</v>
      </c>
      <c r="B39" s="24">
        <v>0.45</v>
      </c>
    </row>
    <row r="40" spans="1:2" ht="15.75" thickBot="1" x14ac:dyDescent="0.3">
      <c r="A40" s="27">
        <v>40058</v>
      </c>
      <c r="B40" s="24">
        <v>0.45</v>
      </c>
    </row>
    <row r="41" spans="1:2" ht="15.75" thickBot="1" x14ac:dyDescent="0.3">
      <c r="A41" s="27">
        <v>40149</v>
      </c>
      <c r="B41" s="24">
        <v>0.45</v>
      </c>
    </row>
    <row r="42" spans="1:2" ht="15.75" thickBot="1" x14ac:dyDescent="0.3">
      <c r="A42" s="27">
        <v>40240</v>
      </c>
      <c r="B42" s="24">
        <v>0.45</v>
      </c>
    </row>
    <row r="43" spans="1:2" ht="15.75" thickBot="1" x14ac:dyDescent="0.3">
      <c r="A43" s="27">
        <v>40331</v>
      </c>
      <c r="B43" s="24">
        <v>0.48</v>
      </c>
    </row>
    <row r="44" spans="1:2" ht="15.75" thickBot="1" x14ac:dyDescent="0.3">
      <c r="A44" s="27">
        <v>40422</v>
      </c>
      <c r="B44" s="24">
        <v>0.48</v>
      </c>
    </row>
    <row r="45" spans="1:2" ht="15.75" thickBot="1" x14ac:dyDescent="0.3">
      <c r="A45" s="27">
        <v>40513</v>
      </c>
      <c r="B45" s="24">
        <v>0.48</v>
      </c>
    </row>
    <row r="46" spans="1:2" ht="15.75" thickBot="1" x14ac:dyDescent="0.3">
      <c r="A46" s="27">
        <v>40604</v>
      </c>
      <c r="B46" s="24">
        <v>0.48</v>
      </c>
    </row>
    <row r="47" spans="1:2" ht="15.75" thickBot="1" x14ac:dyDescent="0.3">
      <c r="A47" s="27">
        <v>40695</v>
      </c>
      <c r="B47" s="24">
        <v>0.52</v>
      </c>
    </row>
    <row r="48" spans="1:2" ht="15.75" thickBot="1" x14ac:dyDescent="0.3">
      <c r="A48" s="27">
        <v>40786</v>
      </c>
      <c r="B48" s="24">
        <v>0.52</v>
      </c>
    </row>
    <row r="49" spans="1:2" ht="15.75" thickBot="1" x14ac:dyDescent="0.3">
      <c r="A49" s="27">
        <v>40877</v>
      </c>
      <c r="B49" s="24">
        <v>0.52</v>
      </c>
    </row>
    <row r="50" spans="1:2" ht="15.75" thickBot="1" x14ac:dyDescent="0.3">
      <c r="A50" s="27">
        <v>40968</v>
      </c>
      <c r="B50" s="24">
        <v>0.52</v>
      </c>
    </row>
    <row r="51" spans="1:2" ht="15.75" thickBot="1" x14ac:dyDescent="0.3">
      <c r="A51" s="27">
        <v>41059</v>
      </c>
      <c r="B51" s="24">
        <v>0.54</v>
      </c>
    </row>
    <row r="52" spans="1:2" ht="15.75" thickBot="1" x14ac:dyDescent="0.3">
      <c r="A52" s="27">
        <v>41157</v>
      </c>
      <c r="B52" s="24">
        <v>0.54</v>
      </c>
    </row>
    <row r="53" spans="1:2" ht="15.75" thickBot="1" x14ac:dyDescent="0.3">
      <c r="A53" s="27">
        <v>41248</v>
      </c>
      <c r="B53" s="24">
        <v>0.54</v>
      </c>
    </row>
    <row r="54" spans="1:2" ht="15.75" thickBot="1" x14ac:dyDescent="0.3">
      <c r="A54" s="27">
        <v>41332</v>
      </c>
      <c r="B54" s="24">
        <v>0.54</v>
      </c>
    </row>
    <row r="55" spans="1:2" ht="15.75" thickBot="1" x14ac:dyDescent="0.3">
      <c r="A55" s="27">
        <v>41430</v>
      </c>
      <c r="B55" s="24">
        <v>0.56999999999999995</v>
      </c>
    </row>
    <row r="56" spans="1:2" ht="15.75" thickBot="1" x14ac:dyDescent="0.3">
      <c r="A56" s="27">
        <v>41521</v>
      </c>
      <c r="B56" s="24">
        <v>0.56999999999999995</v>
      </c>
    </row>
    <row r="57" spans="1:2" ht="15.75" thickBot="1" x14ac:dyDescent="0.3">
      <c r="A57" s="27">
        <v>41612</v>
      </c>
      <c r="B57" s="24">
        <v>0.56999999999999995</v>
      </c>
    </row>
    <row r="58" spans="1:2" ht="15.75" thickBot="1" x14ac:dyDescent="0.3">
      <c r="A58" s="27">
        <v>41703</v>
      </c>
      <c r="B58" s="24">
        <v>0.56999999999999995</v>
      </c>
    </row>
    <row r="59" spans="1:2" ht="15.75" thickBot="1" x14ac:dyDescent="0.3">
      <c r="A59" s="27">
        <v>41794</v>
      </c>
      <c r="B59" s="24">
        <v>0.66</v>
      </c>
    </row>
    <row r="60" spans="1:2" ht="15.75" thickBot="1" x14ac:dyDescent="0.3">
      <c r="A60" s="27">
        <v>41885</v>
      </c>
      <c r="B60" s="24">
        <v>0.66</v>
      </c>
    </row>
    <row r="61" spans="1:2" ht="15.75" thickBot="1" x14ac:dyDescent="0.3">
      <c r="A61" s="27">
        <v>41976</v>
      </c>
      <c r="B61" s="24">
        <v>0.66</v>
      </c>
    </row>
    <row r="62" spans="1:2" ht="15.75" thickBot="1" x14ac:dyDescent="0.3">
      <c r="A62" s="27">
        <v>42067</v>
      </c>
      <c r="B62" s="24">
        <v>0.66</v>
      </c>
    </row>
    <row r="63" spans="1:2" ht="15.75" thickBot="1" x14ac:dyDescent="0.3">
      <c r="A63" s="27">
        <v>42158</v>
      </c>
      <c r="B63" s="24">
        <v>0.7</v>
      </c>
    </row>
    <row r="64" spans="1:2" ht="15.75" thickBot="1" x14ac:dyDescent="0.3">
      <c r="A64" s="27">
        <v>42249</v>
      </c>
      <c r="B64" s="24">
        <v>0.7</v>
      </c>
    </row>
    <row r="65" spans="1:2" ht="15.75" thickBot="1" x14ac:dyDescent="0.3">
      <c r="A65" s="27">
        <v>42340</v>
      </c>
      <c r="B65" s="24">
        <v>0.7</v>
      </c>
    </row>
    <row r="66" spans="1:2" ht="15.75" thickBot="1" x14ac:dyDescent="0.3">
      <c r="A66" s="27">
        <v>42431</v>
      </c>
      <c r="B66" s="24">
        <v>0.7</v>
      </c>
    </row>
    <row r="67" spans="1:2" ht="15.75" thickBot="1" x14ac:dyDescent="0.3">
      <c r="A67" s="27">
        <v>42522</v>
      </c>
      <c r="B67" s="24">
        <v>0.75</v>
      </c>
    </row>
    <row r="68" spans="1:2" ht="15.75" thickBot="1" x14ac:dyDescent="0.3">
      <c r="A68" s="27">
        <v>42613</v>
      </c>
      <c r="B68" s="24">
        <v>0.75</v>
      </c>
    </row>
    <row r="69" spans="1:2" ht="15.75" thickBot="1" x14ac:dyDescent="0.3">
      <c r="A69" s="27">
        <v>42704</v>
      </c>
      <c r="B69" s="24">
        <v>0.75</v>
      </c>
    </row>
    <row r="70" spans="1:2" ht="15.75" thickBot="1" x14ac:dyDescent="0.3">
      <c r="A70" s="27">
        <v>42795</v>
      </c>
      <c r="B70" s="24">
        <v>0.75</v>
      </c>
    </row>
    <row r="71" spans="1:2" ht="15.75" thickBot="1" x14ac:dyDescent="0.3">
      <c r="A71" s="27">
        <v>42886</v>
      </c>
      <c r="B71" s="24">
        <v>0.81</v>
      </c>
    </row>
    <row r="72" spans="1:2" ht="15.75" thickBot="1" x14ac:dyDescent="0.3">
      <c r="A72" s="27">
        <v>42977</v>
      </c>
      <c r="B72" s="24">
        <v>0.81</v>
      </c>
    </row>
    <row r="73" spans="1:2" ht="15.75" thickBot="1" x14ac:dyDescent="0.3">
      <c r="A73" s="27">
        <v>43069</v>
      </c>
      <c r="B73" s="24">
        <v>0.81</v>
      </c>
    </row>
    <row r="74" spans="1:2" ht="15.75" thickBot="1" x14ac:dyDescent="0.3">
      <c r="A74" s="27">
        <v>43160</v>
      </c>
      <c r="B74" s="24">
        <v>0.81</v>
      </c>
    </row>
    <row r="75" spans="1:2" ht="15.75" thickBot="1" x14ac:dyDescent="0.3">
      <c r="A75" s="27">
        <v>43251</v>
      </c>
      <c r="B75" s="24">
        <v>0.93</v>
      </c>
    </row>
    <row r="76" spans="1:2" ht="15.75" thickBot="1" x14ac:dyDescent="0.3">
      <c r="A76" s="27">
        <v>43349</v>
      </c>
      <c r="B76" s="24">
        <v>0.93</v>
      </c>
    </row>
    <row r="77" spans="1:2" ht="15.75" thickBot="1" x14ac:dyDescent="0.3">
      <c r="A77" s="27">
        <v>43440</v>
      </c>
      <c r="B77" s="24">
        <v>0.93</v>
      </c>
    </row>
    <row r="78" spans="1:2" ht="15.75" thickBot="1" x14ac:dyDescent="0.3">
      <c r="A78" s="27">
        <v>43524</v>
      </c>
      <c r="B78" s="24">
        <v>0.93</v>
      </c>
    </row>
    <row r="79" spans="1:2" ht="15.75" thickBot="1" x14ac:dyDescent="0.3">
      <c r="A79" s="27">
        <v>43622</v>
      </c>
      <c r="B79" s="24">
        <v>0.96</v>
      </c>
    </row>
    <row r="80" spans="1:2" ht="15.75" thickBot="1" x14ac:dyDescent="0.3">
      <c r="A80" s="27">
        <v>43713</v>
      </c>
      <c r="B80" s="24">
        <v>0.96</v>
      </c>
    </row>
    <row r="81" spans="1:2" ht="15.75" thickBot="1" x14ac:dyDescent="0.3">
      <c r="A81" s="27">
        <v>43804</v>
      </c>
      <c r="B81" s="24">
        <v>0.96</v>
      </c>
    </row>
    <row r="82" spans="1:2" ht="15.75" thickBot="1" x14ac:dyDescent="0.3">
      <c r="A82" s="27">
        <v>43895</v>
      </c>
      <c r="B82" s="24">
        <v>0.96</v>
      </c>
    </row>
    <row r="83" spans="1:2" ht="15.75" thickBot="1" x14ac:dyDescent="0.3">
      <c r="A83" s="27">
        <v>43986</v>
      </c>
      <c r="B83" s="24">
        <v>1.02</v>
      </c>
    </row>
    <row r="84" spans="1:2" ht="15.75" thickBot="1" x14ac:dyDescent="0.3">
      <c r="A84" s="27">
        <v>44077</v>
      </c>
      <c r="B84" s="24">
        <v>1.02</v>
      </c>
    </row>
    <row r="85" spans="1:2" ht="15.75" thickBot="1" x14ac:dyDescent="0.3">
      <c r="A85" s="27">
        <v>44168</v>
      </c>
      <c r="B85" s="24">
        <v>1.02</v>
      </c>
    </row>
    <row r="86" spans="1:2" ht="15.75" thickBot="1" x14ac:dyDescent="0.3">
      <c r="A86" s="27">
        <v>44259</v>
      </c>
      <c r="B86" s="24">
        <v>1.02</v>
      </c>
    </row>
    <row r="87" spans="1:2" ht="15.75" thickBot="1" x14ac:dyDescent="0.3">
      <c r="A87" s="27">
        <v>44350</v>
      </c>
      <c r="B87" s="24">
        <v>1.08</v>
      </c>
    </row>
    <row r="88" spans="1:2" ht="15.75" thickBot="1" x14ac:dyDescent="0.3">
      <c r="A88" s="27">
        <v>44441</v>
      </c>
      <c r="B88" s="24">
        <v>1.08</v>
      </c>
    </row>
    <row r="89" spans="1:2" ht="15.75" thickBot="1" x14ac:dyDescent="0.3">
      <c r="A89" s="27">
        <v>44532</v>
      </c>
      <c r="B89" s="24">
        <v>1.08</v>
      </c>
    </row>
    <row r="90" spans="1:2" ht="15.75" thickBot="1" x14ac:dyDescent="0.3">
      <c r="A90" s="27">
        <v>44623</v>
      </c>
      <c r="B90" s="24">
        <v>1.08</v>
      </c>
    </row>
    <row r="91" spans="1:2" ht="15.75" thickBot="1" x14ac:dyDescent="0.3">
      <c r="A91" s="27">
        <v>44714</v>
      </c>
      <c r="B91" s="24">
        <v>1.1499999999999999</v>
      </c>
    </row>
    <row r="92" spans="1:2" ht="15.75" thickBot="1" x14ac:dyDescent="0.3">
      <c r="A92" s="27">
        <v>44805</v>
      </c>
      <c r="B92" s="24">
        <v>1.1499999999999999</v>
      </c>
    </row>
    <row r="93" spans="1:2" ht="15.75" thickBot="1" x14ac:dyDescent="0.3">
      <c r="A93" s="27">
        <v>44896</v>
      </c>
      <c r="B93" s="24">
        <v>1.1499999999999999</v>
      </c>
    </row>
    <row r="94" spans="1:2" ht="15.75" thickBot="1" x14ac:dyDescent="0.3">
      <c r="A94" s="27">
        <v>44987</v>
      </c>
      <c r="B94" s="24">
        <v>1.1499999999999999</v>
      </c>
    </row>
    <row r="95" spans="1:2" ht="15.75" thickBot="1" x14ac:dyDescent="0.3">
      <c r="A95" s="27">
        <v>45078</v>
      </c>
      <c r="B95" s="24">
        <v>1.27</v>
      </c>
    </row>
    <row r="96" spans="1:2" ht="15.75" thickBot="1" x14ac:dyDescent="0.3">
      <c r="A96" s="27">
        <v>45169</v>
      </c>
      <c r="B96" s="24">
        <v>1.27</v>
      </c>
    </row>
    <row r="97" spans="1:2" ht="15.75" thickBot="1" x14ac:dyDescent="0.3">
      <c r="A97" s="27">
        <v>45260</v>
      </c>
      <c r="B97" s="24">
        <v>1.27</v>
      </c>
    </row>
    <row r="98" spans="1:2" ht="15.75" thickBot="1" x14ac:dyDescent="0.3">
      <c r="A98" s="27">
        <v>45351</v>
      </c>
      <c r="B98" s="24">
        <v>1.27</v>
      </c>
    </row>
    <row r="99" spans="1:2" ht="15.75" thickBot="1" x14ac:dyDescent="0.3">
      <c r="A99" s="27">
        <v>45450</v>
      </c>
      <c r="B99" s="24">
        <v>1.36</v>
      </c>
    </row>
    <row r="100" spans="1:2" ht="15.75" thickBot="1" x14ac:dyDescent="0.3">
      <c r="A100" s="27">
        <v>45541</v>
      </c>
      <c r="B100" s="24">
        <v>1.36</v>
      </c>
    </row>
    <row r="101" spans="1:2" ht="15.75" thickBot="1" x14ac:dyDescent="0.3">
      <c r="A101" s="27">
        <v>45632</v>
      </c>
      <c r="B101" s="24">
        <v>1.36</v>
      </c>
    </row>
    <row r="102" spans="1:2" ht="15.75" thickBot="1" x14ac:dyDescent="0.3">
      <c r="A102" s="27">
        <v>45723</v>
      </c>
      <c r="B102" s="24">
        <v>1.36</v>
      </c>
    </row>
    <row r="103" spans="1:2" ht="15.75" thickBot="1" x14ac:dyDescent="0.3">
      <c r="A103" s="27">
        <v>45814</v>
      </c>
      <c r="B103" s="24">
        <v>1.42</v>
      </c>
    </row>
    <row r="104" spans="1:2" ht="15.75" thickBot="1" x14ac:dyDescent="0.3">
      <c r="A104" s="27">
        <v>45905</v>
      </c>
      <c r="B104" s="24">
        <v>1.42</v>
      </c>
    </row>
    <row r="105" spans="1:2" ht="15.75" thickBot="1" x14ac:dyDescent="0.3">
      <c r="A105" s="27">
        <v>45996</v>
      </c>
      <c r="B105" s="24">
        <v>1.42</v>
      </c>
    </row>
    <row r="106" spans="1:2" ht="15.75" thickBot="1" x14ac:dyDescent="0.3">
      <c r="A106" s="28"/>
      <c r="B106" s="25"/>
    </row>
    <row r="107" spans="1:2" ht="15.75" thickBot="1" x14ac:dyDescent="0.3">
      <c r="A107" s="28"/>
      <c r="B107" s="25"/>
    </row>
    <row r="108" spans="1:2" ht="15.75" thickBot="1" x14ac:dyDescent="0.3">
      <c r="A108" s="28"/>
      <c r="B108" s="25"/>
    </row>
    <row r="109" spans="1:2" ht="15.75" thickBot="1" x14ac:dyDescent="0.3">
      <c r="A109" s="28"/>
      <c r="B109" s="25"/>
    </row>
    <row r="110" spans="1:2" ht="15.75" thickBot="1" x14ac:dyDescent="0.3">
      <c r="A110" s="28"/>
      <c r="B110" s="25"/>
    </row>
    <row r="111" spans="1:2" ht="15.75" thickBot="1" x14ac:dyDescent="0.3">
      <c r="A111" s="28"/>
      <c r="B111" s="25"/>
    </row>
    <row r="112" spans="1:2" ht="15.75" thickBot="1" x14ac:dyDescent="0.3">
      <c r="A112" s="28"/>
      <c r="B112" s="25"/>
    </row>
    <row r="113" spans="1:2" ht="15.75" thickBot="1" x14ac:dyDescent="0.3">
      <c r="A113" s="28"/>
      <c r="B113" s="25"/>
    </row>
    <row r="114" spans="1:2" ht="15.75" thickBot="1" x14ac:dyDescent="0.3">
      <c r="A114" s="28"/>
      <c r="B114" s="25"/>
    </row>
    <row r="115" spans="1:2" ht="15.75" thickBot="1" x14ac:dyDescent="0.3">
      <c r="A115" s="28"/>
      <c r="B115" s="25"/>
    </row>
    <row r="116" spans="1:2" ht="15.75" thickBot="1" x14ac:dyDescent="0.3">
      <c r="A116" s="28"/>
      <c r="B116" s="25"/>
    </row>
    <row r="117" spans="1:2" ht="15.75" thickBot="1" x14ac:dyDescent="0.3">
      <c r="A117" s="28"/>
      <c r="B117" s="25"/>
    </row>
    <row r="118" spans="1:2" ht="15.75" thickBot="1" x14ac:dyDescent="0.3">
      <c r="A118" s="28"/>
      <c r="B118" s="25"/>
    </row>
    <row r="119" spans="1:2" ht="15.75" thickBot="1" x14ac:dyDescent="0.3">
      <c r="A119" s="28"/>
      <c r="B119" s="25"/>
    </row>
    <row r="120" spans="1:2" ht="15.75" thickBot="1" x14ac:dyDescent="0.3">
      <c r="A120" s="28"/>
      <c r="B120" s="25"/>
    </row>
    <row r="121" spans="1:2" ht="15.75" thickBot="1" x14ac:dyDescent="0.3">
      <c r="A121" s="28"/>
      <c r="B121" s="25"/>
    </row>
    <row r="122" spans="1:2" ht="15.75" thickBot="1" x14ac:dyDescent="0.3">
      <c r="A122" s="28"/>
      <c r="B122" s="25"/>
    </row>
    <row r="123" spans="1:2" ht="15.75" thickBot="1" x14ac:dyDescent="0.3">
      <c r="A123" s="28"/>
      <c r="B123" s="25"/>
    </row>
    <row r="124" spans="1:2" ht="15.75" thickBot="1" x14ac:dyDescent="0.3">
      <c r="A124" s="28"/>
      <c r="B124" s="25"/>
    </row>
    <row r="125" spans="1:2" ht="15.75" thickBot="1" x14ac:dyDescent="0.3">
      <c r="A125" s="28"/>
      <c r="B125" s="25"/>
    </row>
    <row r="126" spans="1:2" ht="15.75" thickBot="1" x14ac:dyDescent="0.3">
      <c r="A126" s="28"/>
      <c r="B126" s="25"/>
    </row>
    <row r="127" spans="1:2" ht="15.75" thickBot="1" x14ac:dyDescent="0.3">
      <c r="A127" s="28"/>
      <c r="B127" s="25"/>
    </row>
    <row r="128" spans="1:2" ht="15.75" thickBot="1" x14ac:dyDescent="0.3">
      <c r="A128" s="28"/>
      <c r="B128" s="25"/>
    </row>
    <row r="129" spans="1:2" ht="15.75" thickBot="1" x14ac:dyDescent="0.3">
      <c r="A129" s="28"/>
      <c r="B129" s="25"/>
    </row>
    <row r="130" spans="1:2" ht="15.75" thickBot="1" x14ac:dyDescent="0.3">
      <c r="A130" s="28"/>
      <c r="B130" s="25"/>
    </row>
    <row r="131" spans="1:2" ht="15.75" thickBot="1" x14ac:dyDescent="0.3">
      <c r="A131" s="28"/>
      <c r="B131" s="25"/>
    </row>
    <row r="132" spans="1:2" ht="15.75" thickBot="1" x14ac:dyDescent="0.3">
      <c r="A132" s="28"/>
      <c r="B132" s="25"/>
    </row>
    <row r="133" spans="1:2" ht="15.75" thickBot="1" x14ac:dyDescent="0.3">
      <c r="A133" s="28"/>
      <c r="B133" s="25"/>
    </row>
    <row r="134" spans="1:2" ht="15.75" thickBot="1" x14ac:dyDescent="0.3">
      <c r="A134" s="28"/>
      <c r="B134" s="25"/>
    </row>
    <row r="135" spans="1:2" ht="15.75" thickBot="1" x14ac:dyDescent="0.3">
      <c r="A135" s="28"/>
      <c r="B135" s="25"/>
    </row>
    <row r="136" spans="1:2" ht="15.75" thickBot="1" x14ac:dyDescent="0.3">
      <c r="A136" s="28"/>
      <c r="B136" s="25"/>
    </row>
    <row r="137" spans="1:2" ht="15.75" thickBot="1" x14ac:dyDescent="0.3">
      <c r="A137" s="28"/>
      <c r="B137" s="25"/>
    </row>
    <row r="138" spans="1:2" ht="15.75" thickBot="1" x14ac:dyDescent="0.3">
      <c r="A138" s="28"/>
      <c r="B138" s="25"/>
    </row>
    <row r="139" spans="1:2" ht="15.75" thickBot="1" x14ac:dyDescent="0.3">
      <c r="A139" s="28"/>
      <c r="B139" s="25"/>
    </row>
    <row r="140" spans="1:2" ht="15.75" thickBot="1" x14ac:dyDescent="0.3">
      <c r="A140" s="28"/>
      <c r="B140" s="25"/>
    </row>
    <row r="141" spans="1:2" ht="15.75" thickBot="1" x14ac:dyDescent="0.3">
      <c r="A141" s="28"/>
      <c r="B141" s="25"/>
    </row>
    <row r="142" spans="1:2" ht="15.75" thickBot="1" x14ac:dyDescent="0.3">
      <c r="A142" s="28"/>
      <c r="B142" s="25"/>
    </row>
    <row r="143" spans="1:2" ht="15.75" thickBot="1" x14ac:dyDescent="0.3">
      <c r="A143" s="28"/>
      <c r="B143" s="25"/>
    </row>
    <row r="144" spans="1:2" ht="15.75" thickBot="1" x14ac:dyDescent="0.3">
      <c r="A144" s="28"/>
      <c r="B144" s="25"/>
    </row>
    <row r="145" spans="1:2" ht="15.75" thickBot="1" x14ac:dyDescent="0.3">
      <c r="A145" s="28"/>
      <c r="B145" s="25"/>
    </row>
    <row r="146" spans="1:2" ht="15.75" thickBot="1" x14ac:dyDescent="0.3">
      <c r="A146" s="28"/>
      <c r="B146" s="25"/>
    </row>
    <row r="147" spans="1:2" ht="15.75" thickBot="1" x14ac:dyDescent="0.3">
      <c r="A147" s="28"/>
      <c r="B147" s="25"/>
    </row>
    <row r="148" spans="1:2" ht="15.75" thickBot="1" x14ac:dyDescent="0.3">
      <c r="A148" s="28"/>
      <c r="B148" s="25"/>
    </row>
    <row r="149" spans="1:2" ht="15.75" thickBot="1" x14ac:dyDescent="0.3">
      <c r="A149" s="28"/>
      <c r="B149" s="25"/>
    </row>
    <row r="150" spans="1:2" ht="15.75" thickBot="1" x14ac:dyDescent="0.3">
      <c r="A150" s="28"/>
      <c r="B150" s="25"/>
    </row>
    <row r="151" spans="1:2" ht="15.75" thickBot="1" x14ac:dyDescent="0.3">
      <c r="A151" s="28"/>
      <c r="B151" s="25"/>
    </row>
    <row r="152" spans="1:2" ht="15.75" thickBot="1" x14ac:dyDescent="0.3">
      <c r="A152" s="28"/>
      <c r="B152" s="25"/>
    </row>
    <row r="153" spans="1:2" ht="15.75" thickBot="1" x14ac:dyDescent="0.3">
      <c r="A153" s="28"/>
      <c r="B153" s="25"/>
    </row>
    <row r="154" spans="1:2" ht="15.75" thickBot="1" x14ac:dyDescent="0.3">
      <c r="A154" s="28"/>
      <c r="B154" s="25"/>
    </row>
    <row r="155" spans="1:2" ht="15.75" thickBot="1" x14ac:dyDescent="0.3">
      <c r="A155" s="28"/>
      <c r="B155" s="25"/>
    </row>
    <row r="156" spans="1:2" ht="15.75" thickBot="1" x14ac:dyDescent="0.3">
      <c r="A156" s="28"/>
      <c r="B156" s="25"/>
    </row>
    <row r="157" spans="1:2" ht="15.75" thickBot="1" x14ac:dyDescent="0.3">
      <c r="A157" s="28"/>
      <c r="B157" s="25"/>
    </row>
    <row r="158" spans="1:2" ht="15.75" thickBot="1" x14ac:dyDescent="0.3">
      <c r="A158" s="28"/>
      <c r="B158" s="25"/>
    </row>
    <row r="159" spans="1:2" ht="15.75" thickBot="1" x14ac:dyDescent="0.3">
      <c r="A159" s="28"/>
      <c r="B159" s="25"/>
    </row>
    <row r="160" spans="1:2" ht="15.75" thickBot="1" x14ac:dyDescent="0.3">
      <c r="A160" s="28"/>
      <c r="B160" s="25"/>
    </row>
    <row r="161" spans="1:2" ht="15.75" thickBot="1" x14ac:dyDescent="0.3">
      <c r="A161" s="28"/>
      <c r="B161" s="25"/>
    </row>
    <row r="162" spans="1:2" ht="15.75" thickBot="1" x14ac:dyDescent="0.3">
      <c r="A162" s="28"/>
      <c r="B162" s="25"/>
    </row>
    <row r="163" spans="1:2" ht="15.75" thickBot="1" x14ac:dyDescent="0.3">
      <c r="A163" s="28"/>
      <c r="B163" s="25"/>
    </row>
    <row r="164" spans="1:2" ht="15.75" thickBot="1" x14ac:dyDescent="0.3">
      <c r="A164" s="28"/>
      <c r="B164" s="25"/>
    </row>
    <row r="165" spans="1:2" ht="15.75" thickBot="1" x14ac:dyDescent="0.3">
      <c r="A165" s="28"/>
      <c r="B165" s="25"/>
    </row>
    <row r="166" spans="1:2" ht="15.75" thickBot="1" x14ac:dyDescent="0.3">
      <c r="A166" s="28"/>
      <c r="B166" s="25"/>
    </row>
    <row r="167" spans="1:2" ht="15.75" thickBot="1" x14ac:dyDescent="0.3">
      <c r="A167" s="28"/>
      <c r="B167" s="25"/>
    </row>
    <row r="168" spans="1:2" ht="15.75" thickBot="1" x14ac:dyDescent="0.3">
      <c r="A168" s="28"/>
      <c r="B168" s="25"/>
    </row>
    <row r="169" spans="1:2" ht="15.75" thickBot="1" x14ac:dyDescent="0.3">
      <c r="A169" s="28"/>
      <c r="B169" s="25"/>
    </row>
    <row r="170" spans="1:2" ht="15.75" thickBot="1" x14ac:dyDescent="0.3">
      <c r="A170" s="28"/>
      <c r="B170" s="25"/>
    </row>
    <row r="171" spans="1:2" ht="15.75" thickBot="1" x14ac:dyDescent="0.3">
      <c r="A171" s="28"/>
      <c r="B171" s="25"/>
    </row>
    <row r="172" spans="1:2" ht="15.75" thickBot="1" x14ac:dyDescent="0.3">
      <c r="A172" s="28"/>
      <c r="B172" s="25"/>
    </row>
    <row r="173" spans="1:2" ht="15.75" thickBot="1" x14ac:dyDescent="0.3">
      <c r="A173" s="28"/>
      <c r="B173" s="25"/>
    </row>
    <row r="174" spans="1:2" ht="15.75" thickBot="1" x14ac:dyDescent="0.3">
      <c r="A174" s="28"/>
      <c r="B174" s="25"/>
    </row>
    <row r="175" spans="1:2" ht="15.75" thickBot="1" x14ac:dyDescent="0.3">
      <c r="A175" s="28"/>
      <c r="B175" s="25"/>
    </row>
    <row r="176" spans="1:2" ht="15.75" thickBot="1" x14ac:dyDescent="0.3">
      <c r="A176" s="28"/>
      <c r="B176" s="25"/>
    </row>
    <row r="177" spans="1:2" ht="15.75" thickBot="1" x14ac:dyDescent="0.3">
      <c r="A177" s="28"/>
      <c r="B177" s="25"/>
    </row>
    <row r="178" spans="1:2" ht="15.75" thickBot="1" x14ac:dyDescent="0.3">
      <c r="A178" s="28"/>
      <c r="B178" s="25"/>
    </row>
    <row r="179" spans="1:2" ht="15.75" thickBot="1" x14ac:dyDescent="0.3">
      <c r="A179" s="28"/>
      <c r="B179" s="25"/>
    </row>
    <row r="180" spans="1:2" ht="15.75" thickBot="1" x14ac:dyDescent="0.3">
      <c r="A180" s="28"/>
      <c r="B180" s="25"/>
    </row>
    <row r="181" spans="1:2" ht="15.75" thickBot="1" x14ac:dyDescent="0.3">
      <c r="A181" s="28"/>
      <c r="B181" s="25"/>
    </row>
    <row r="182" spans="1:2" ht="15.75" thickBot="1" x14ac:dyDescent="0.3">
      <c r="A182" s="28"/>
      <c r="B182" s="25"/>
    </row>
    <row r="183" spans="1:2" ht="15.75" thickBot="1" x14ac:dyDescent="0.3">
      <c r="A183" s="28"/>
      <c r="B183" s="25"/>
    </row>
    <row r="184" spans="1:2" ht="15.75" thickBot="1" x14ac:dyDescent="0.3">
      <c r="A184" s="28"/>
      <c r="B184" s="25"/>
    </row>
    <row r="185" spans="1:2" ht="15.75" thickBot="1" x14ac:dyDescent="0.3">
      <c r="A185" s="28"/>
      <c r="B185" s="25"/>
    </row>
    <row r="186" spans="1:2" ht="15.75" thickBot="1" x14ac:dyDescent="0.3">
      <c r="A186" s="28"/>
      <c r="B186" s="25"/>
    </row>
    <row r="187" spans="1:2" ht="15.75" thickBot="1" x14ac:dyDescent="0.3">
      <c r="A187" s="28"/>
      <c r="B187" s="25"/>
    </row>
    <row r="188" spans="1:2" ht="15.75" thickBot="1" x14ac:dyDescent="0.3">
      <c r="A188" s="28"/>
      <c r="B188" s="25"/>
    </row>
    <row r="189" spans="1:2" ht="15.75" thickBot="1" x14ac:dyDescent="0.3">
      <c r="A189" s="28"/>
      <c r="B189" s="25"/>
    </row>
    <row r="190" spans="1:2" ht="15.75" thickBot="1" x14ac:dyDescent="0.3">
      <c r="A190" s="28"/>
      <c r="B190" s="25"/>
    </row>
    <row r="191" spans="1:2" ht="15.75" thickBot="1" x14ac:dyDescent="0.3">
      <c r="A191" s="28"/>
      <c r="B191" s="25"/>
    </row>
    <row r="192" spans="1:2" ht="15.75" thickBot="1" x14ac:dyDescent="0.3">
      <c r="A192" s="28"/>
      <c r="B192" s="25"/>
    </row>
    <row r="193" spans="1:2" ht="15.75" thickBot="1" x14ac:dyDescent="0.3">
      <c r="A193" s="28"/>
      <c r="B193" s="25"/>
    </row>
    <row r="194" spans="1:2" ht="15.75" thickBot="1" x14ac:dyDescent="0.3">
      <c r="A194" s="28"/>
      <c r="B194" s="25"/>
    </row>
    <row r="195" spans="1:2" ht="15.75" thickBot="1" x14ac:dyDescent="0.3">
      <c r="A195" s="28"/>
      <c r="B195" s="25"/>
    </row>
    <row r="196" spans="1:2" ht="15.75" thickBot="1" x14ac:dyDescent="0.3">
      <c r="A196" s="28"/>
      <c r="B196" s="25"/>
    </row>
    <row r="197" spans="1:2" ht="15.75" thickBot="1" x14ac:dyDescent="0.3">
      <c r="A197" s="28"/>
      <c r="B197" s="25"/>
    </row>
    <row r="198" spans="1:2" ht="15.75" thickBot="1" x14ac:dyDescent="0.3">
      <c r="A198" s="28"/>
      <c r="B198" s="25"/>
    </row>
    <row r="199" spans="1:2" ht="15.75" thickBot="1" x14ac:dyDescent="0.3">
      <c r="A199" s="28"/>
      <c r="B199" s="25"/>
    </row>
    <row r="200" spans="1:2" ht="15.75" thickBot="1" x14ac:dyDescent="0.3">
      <c r="A200" s="28"/>
      <c r="B200" s="25"/>
    </row>
    <row r="201" spans="1:2" ht="15.75" thickBot="1" x14ac:dyDescent="0.3">
      <c r="A201" s="28"/>
      <c r="B201" s="25"/>
    </row>
    <row r="202" spans="1:2" ht="15.75" thickBot="1" x14ac:dyDescent="0.3">
      <c r="A202" s="28"/>
      <c r="B202" s="25"/>
    </row>
    <row r="203" spans="1:2" ht="15.75" thickBot="1" x14ac:dyDescent="0.3">
      <c r="A203" s="28"/>
      <c r="B203" s="25"/>
    </row>
    <row r="204" spans="1:2" ht="15.75" thickBot="1" x14ac:dyDescent="0.3">
      <c r="A204" s="28"/>
      <c r="B204" s="25"/>
    </row>
    <row r="205" spans="1:2" ht="15.75" thickBot="1" x14ac:dyDescent="0.3">
      <c r="A205" s="28"/>
      <c r="B205" s="25"/>
    </row>
    <row r="206" spans="1:2" ht="15.75" thickBot="1" x14ac:dyDescent="0.3">
      <c r="A206" s="28"/>
      <c r="B206" s="25"/>
    </row>
    <row r="207" spans="1:2" ht="15.75" thickBot="1" x14ac:dyDescent="0.3">
      <c r="A207" s="28"/>
      <c r="B207" s="25"/>
    </row>
    <row r="208" spans="1:2" ht="15.75" thickBot="1" x14ac:dyDescent="0.3">
      <c r="A208" s="28"/>
      <c r="B208" s="25"/>
    </row>
    <row r="209" spans="1:2" ht="15.75" thickBot="1" x14ac:dyDescent="0.3">
      <c r="A209" s="28"/>
      <c r="B209" s="25"/>
    </row>
    <row r="210" spans="1:2" ht="15.75" thickBot="1" x14ac:dyDescent="0.3">
      <c r="A210" s="28"/>
      <c r="B210" s="25"/>
    </row>
    <row r="211" spans="1:2" ht="15.75" thickBot="1" x14ac:dyDescent="0.3">
      <c r="A211" s="28"/>
      <c r="B211" s="25"/>
    </row>
    <row r="212" spans="1:2" ht="15.75" thickBot="1" x14ac:dyDescent="0.3">
      <c r="A212" s="28"/>
      <c r="B212" s="25"/>
    </row>
    <row r="213" spans="1:2" ht="15.75" thickBot="1" x14ac:dyDescent="0.3">
      <c r="A213" s="28"/>
      <c r="B213" s="25"/>
    </row>
    <row r="214" spans="1:2" ht="15.75" thickBot="1" x14ac:dyDescent="0.3">
      <c r="A214" s="28"/>
      <c r="B214" s="25"/>
    </row>
    <row r="215" spans="1:2" ht="15.75" thickBot="1" x14ac:dyDescent="0.3">
      <c r="A215" s="28"/>
      <c r="B215" s="25"/>
    </row>
    <row r="216" spans="1:2" ht="15.75" thickBot="1" x14ac:dyDescent="0.3">
      <c r="A216" s="28"/>
      <c r="B216" s="25"/>
    </row>
    <row r="217" spans="1:2" ht="15.75" thickBot="1" x14ac:dyDescent="0.3">
      <c r="A217" s="28"/>
      <c r="B217" s="25"/>
    </row>
    <row r="218" spans="1:2" ht="15.75" thickBot="1" x14ac:dyDescent="0.3">
      <c r="A218" s="28"/>
      <c r="B218" s="25"/>
    </row>
    <row r="219" spans="1:2" ht="15.75" thickBot="1" x14ac:dyDescent="0.3">
      <c r="A219" s="28"/>
      <c r="B219" s="25"/>
    </row>
    <row r="220" spans="1:2" ht="15.75" thickBot="1" x14ac:dyDescent="0.3">
      <c r="A220" s="28"/>
      <c r="B220" s="25"/>
    </row>
    <row r="221" spans="1:2" ht="15.75" thickBot="1" x14ac:dyDescent="0.3">
      <c r="A221" s="28"/>
      <c r="B221" s="25"/>
    </row>
    <row r="222" spans="1:2" ht="15.75" thickBot="1" x14ac:dyDescent="0.3">
      <c r="A222" s="28"/>
      <c r="B222" s="25"/>
    </row>
    <row r="223" spans="1:2" ht="15.75" thickBot="1" x14ac:dyDescent="0.3">
      <c r="A223" s="28"/>
      <c r="B223" s="25"/>
    </row>
    <row r="224" spans="1:2" ht="15.75" thickBot="1" x14ac:dyDescent="0.3">
      <c r="A224" s="28"/>
      <c r="B224" s="25"/>
    </row>
    <row r="225" spans="1:2" ht="15.75" thickBot="1" x14ac:dyDescent="0.3">
      <c r="A225" s="28"/>
      <c r="B225" s="25"/>
    </row>
    <row r="226" spans="1:2" ht="15.75" thickBot="1" x14ac:dyDescent="0.3">
      <c r="A226" s="28"/>
      <c r="B226" s="25"/>
    </row>
    <row r="227" spans="1:2" ht="15.75" thickBot="1" x14ac:dyDescent="0.3">
      <c r="A227" s="28"/>
      <c r="B227" s="25"/>
    </row>
    <row r="228" spans="1:2" ht="15.75" thickBot="1" x14ac:dyDescent="0.3">
      <c r="A228" s="28"/>
      <c r="B228" s="25"/>
    </row>
    <row r="229" spans="1:2" ht="15.75" thickBot="1" x14ac:dyDescent="0.3">
      <c r="A229" s="28"/>
      <c r="B229" s="25"/>
    </row>
    <row r="230" spans="1:2" ht="15.75" thickBot="1" x14ac:dyDescent="0.3">
      <c r="A230" s="28"/>
      <c r="B230" s="25"/>
    </row>
    <row r="231" spans="1:2" ht="15.75" thickBot="1" x14ac:dyDescent="0.3">
      <c r="A231" s="28"/>
      <c r="B231" s="25"/>
    </row>
    <row r="232" spans="1:2" ht="15.75" thickBot="1" x14ac:dyDescent="0.3">
      <c r="A232" s="28"/>
      <c r="B232" s="25"/>
    </row>
    <row r="233" spans="1:2" ht="15.75" thickBot="1" x14ac:dyDescent="0.3">
      <c r="A233" s="28"/>
      <c r="B233" s="25"/>
    </row>
    <row r="234" spans="1:2" ht="15.75" thickBot="1" x14ac:dyDescent="0.3">
      <c r="A234" s="28"/>
      <c r="B234" s="25"/>
    </row>
    <row r="235" spans="1:2" ht="15.75" thickBot="1" x14ac:dyDescent="0.3">
      <c r="A235" s="28"/>
      <c r="B235" s="25"/>
    </row>
    <row r="236" spans="1:2" ht="15.75" thickBot="1" x14ac:dyDescent="0.3">
      <c r="A236" s="28"/>
      <c r="B236" s="25"/>
    </row>
    <row r="237" spans="1:2" ht="15.75" thickBot="1" x14ac:dyDescent="0.3">
      <c r="A237" s="28"/>
      <c r="B237" s="25"/>
    </row>
    <row r="238" spans="1:2" ht="15.75" thickBot="1" x14ac:dyDescent="0.3">
      <c r="A238" s="28"/>
      <c r="B238" s="25"/>
    </row>
    <row r="239" spans="1:2" ht="15.75" thickBot="1" x14ac:dyDescent="0.3">
      <c r="A239" s="28"/>
      <c r="B239" s="25"/>
    </row>
    <row r="240" spans="1:2" ht="15.75" thickBot="1" x14ac:dyDescent="0.3">
      <c r="A240" s="28"/>
      <c r="B240" s="25"/>
    </row>
    <row r="241" spans="1:2" ht="15.75" thickBot="1" x14ac:dyDescent="0.3">
      <c r="A241" s="28"/>
      <c r="B241" s="25"/>
    </row>
    <row r="242" spans="1:2" ht="15.75" thickBot="1" x14ac:dyDescent="0.3">
      <c r="A242" s="28"/>
      <c r="B242" s="25"/>
    </row>
    <row r="243" spans="1:2" ht="15.75" thickBot="1" x14ac:dyDescent="0.3">
      <c r="A243" s="28"/>
      <c r="B243" s="25"/>
    </row>
    <row r="244" spans="1:2" ht="15.75" thickBot="1" x14ac:dyDescent="0.3">
      <c r="A244" s="28"/>
      <c r="B244" s="25"/>
    </row>
    <row r="245" spans="1:2" ht="15.75" thickBot="1" x14ac:dyDescent="0.3">
      <c r="A245" s="28"/>
      <c r="B245" s="25"/>
    </row>
    <row r="246" spans="1:2" ht="15.75" thickBot="1" x14ac:dyDescent="0.3">
      <c r="A246" s="28"/>
      <c r="B246" s="25"/>
    </row>
    <row r="247" spans="1:2" ht="15.75" thickBot="1" x14ac:dyDescent="0.3">
      <c r="A247" s="28"/>
      <c r="B247" s="25"/>
    </row>
    <row r="248" spans="1:2" ht="15.75" thickBot="1" x14ac:dyDescent="0.3">
      <c r="A248" s="28"/>
      <c r="B248" s="25"/>
    </row>
    <row r="249" spans="1:2" ht="15.75" thickBot="1" x14ac:dyDescent="0.3">
      <c r="A249" s="28"/>
      <c r="B249" s="25"/>
    </row>
    <row r="250" spans="1:2" ht="15.75" thickBot="1" x14ac:dyDescent="0.3">
      <c r="A250" s="28"/>
      <c r="B250" s="25"/>
    </row>
    <row r="251" spans="1:2" ht="15.75" thickBot="1" x14ac:dyDescent="0.3">
      <c r="A251" s="28"/>
      <c r="B251" s="25"/>
    </row>
    <row r="252" spans="1:2" ht="15.75" thickBot="1" x14ac:dyDescent="0.3">
      <c r="A252" s="28"/>
      <c r="B252" s="25"/>
    </row>
    <row r="253" spans="1:2" ht="15.75" thickBot="1" x14ac:dyDescent="0.3">
      <c r="A253" s="28"/>
      <c r="B253" s="25"/>
    </row>
    <row r="254" spans="1:2" ht="15.75" thickBot="1" x14ac:dyDescent="0.3">
      <c r="A254" s="28"/>
      <c r="B254" s="25"/>
    </row>
    <row r="255" spans="1:2" ht="15.75" thickBot="1" x14ac:dyDescent="0.3">
      <c r="A255" s="28"/>
      <c r="B255" s="25"/>
    </row>
    <row r="256" spans="1:2" ht="15.75" thickBot="1" x14ac:dyDescent="0.3">
      <c r="A256" s="28"/>
      <c r="B256" s="25"/>
    </row>
    <row r="257" spans="1:2" ht="15.75" thickBot="1" x14ac:dyDescent="0.3">
      <c r="A257" s="28"/>
      <c r="B257" s="25"/>
    </row>
    <row r="258" spans="1:2" ht="15.75" thickBot="1" x14ac:dyDescent="0.3">
      <c r="A258" s="28"/>
      <c r="B258" s="25"/>
    </row>
    <row r="259" spans="1:2" ht="15.75" thickBot="1" x14ac:dyDescent="0.3">
      <c r="A259" s="28"/>
      <c r="B259" s="25"/>
    </row>
    <row r="260" spans="1:2" ht="15.75" thickBot="1" x14ac:dyDescent="0.3">
      <c r="A260" s="28"/>
      <c r="B260" s="25"/>
    </row>
    <row r="261" spans="1:2" ht="15.75" thickBot="1" x14ac:dyDescent="0.3">
      <c r="A261" s="28"/>
      <c r="B261" s="25"/>
    </row>
    <row r="262" spans="1:2" ht="15.75" thickBot="1" x14ac:dyDescent="0.3">
      <c r="A262" s="28"/>
      <c r="B262" s="25"/>
    </row>
    <row r="263" spans="1:2" ht="15.75" thickBot="1" x14ac:dyDescent="0.3">
      <c r="A263" s="28"/>
      <c r="B263" s="25"/>
    </row>
    <row r="264" spans="1:2" ht="15.75" thickBot="1" x14ac:dyDescent="0.3">
      <c r="A264" s="28"/>
      <c r="B264" s="25"/>
    </row>
    <row r="265" spans="1:2" ht="15.75" thickBot="1" x14ac:dyDescent="0.3">
      <c r="A265" s="28"/>
      <c r="B265" s="25"/>
    </row>
    <row r="266" spans="1:2" ht="15.75" thickBot="1" x14ac:dyDescent="0.3">
      <c r="A266" s="28"/>
      <c r="B266" s="25"/>
    </row>
    <row r="267" spans="1:2" ht="15.75" thickBot="1" x14ac:dyDescent="0.3">
      <c r="A267" s="28"/>
      <c r="B267" s="25"/>
    </row>
    <row r="268" spans="1:2" ht="15.75" thickBot="1" x14ac:dyDescent="0.3">
      <c r="A268" s="28"/>
      <c r="B268" s="25"/>
    </row>
    <row r="269" spans="1:2" ht="15.75" thickBot="1" x14ac:dyDescent="0.3">
      <c r="A269" s="28"/>
      <c r="B269" s="25"/>
    </row>
    <row r="270" spans="1:2" ht="15.75" thickBot="1" x14ac:dyDescent="0.3">
      <c r="A270" s="28"/>
      <c r="B270" s="25"/>
    </row>
    <row r="271" spans="1:2" ht="15.75" thickBot="1" x14ac:dyDescent="0.3">
      <c r="A271" s="28"/>
      <c r="B271" s="25"/>
    </row>
    <row r="272" spans="1:2" ht="15.75" thickBot="1" x14ac:dyDescent="0.3">
      <c r="A272" s="28"/>
      <c r="B272" s="25"/>
    </row>
    <row r="273" spans="1:2" ht="15.75" thickBot="1" x14ac:dyDescent="0.3">
      <c r="A273" s="28"/>
      <c r="B273" s="25"/>
    </row>
    <row r="274" spans="1:2" ht="15.75" thickBot="1" x14ac:dyDescent="0.3">
      <c r="A274" s="28"/>
      <c r="B274" s="25"/>
    </row>
    <row r="275" spans="1:2" ht="15.75" thickBot="1" x14ac:dyDescent="0.3">
      <c r="A275" s="28"/>
      <c r="B275" s="25"/>
    </row>
    <row r="276" spans="1:2" ht="15.75" thickBot="1" x14ac:dyDescent="0.3">
      <c r="A276" s="28"/>
      <c r="B276" s="25"/>
    </row>
    <row r="277" spans="1:2" ht="15.75" thickBot="1" x14ac:dyDescent="0.3">
      <c r="A277" s="28"/>
      <c r="B277" s="25"/>
    </row>
    <row r="278" spans="1:2" ht="15.75" thickBot="1" x14ac:dyDescent="0.3">
      <c r="A278" s="28"/>
      <c r="B278" s="25"/>
    </row>
    <row r="279" spans="1:2" ht="15.75" thickBot="1" x14ac:dyDescent="0.3">
      <c r="A279" s="28"/>
      <c r="B279" s="25"/>
    </row>
    <row r="280" spans="1:2" ht="15.75" thickBot="1" x14ac:dyDescent="0.3">
      <c r="A280" s="28"/>
      <c r="B280" s="25"/>
    </row>
    <row r="281" spans="1:2" ht="15.75" thickBot="1" x14ac:dyDescent="0.3">
      <c r="A281" s="28"/>
      <c r="B281" s="25"/>
    </row>
    <row r="282" spans="1:2" ht="15.75" thickBot="1" x14ac:dyDescent="0.3">
      <c r="A282" s="28"/>
      <c r="B282" s="25"/>
    </row>
    <row r="283" spans="1:2" ht="15.75" thickBot="1" x14ac:dyDescent="0.3">
      <c r="A283" s="28"/>
      <c r="B283" s="25"/>
    </row>
    <row r="284" spans="1:2" ht="15.75" thickBot="1" x14ac:dyDescent="0.3">
      <c r="A284" s="28"/>
      <c r="B284" s="25"/>
    </row>
    <row r="285" spans="1:2" ht="15.75" thickBot="1" x14ac:dyDescent="0.3">
      <c r="A285" s="28"/>
      <c r="B285" s="25"/>
    </row>
    <row r="286" spans="1:2" ht="15.75" thickBot="1" x14ac:dyDescent="0.3">
      <c r="A286" s="28"/>
      <c r="B286" s="25"/>
    </row>
    <row r="287" spans="1:2" ht="15.75" thickBot="1" x14ac:dyDescent="0.3">
      <c r="A287" s="28"/>
      <c r="B287" s="25"/>
    </row>
    <row r="288" spans="1:2" ht="15.75" thickBot="1" x14ac:dyDescent="0.3">
      <c r="A288" s="28"/>
      <c r="B288" s="25"/>
    </row>
    <row r="289" spans="1:2" ht="15.75" thickBot="1" x14ac:dyDescent="0.3">
      <c r="A289" s="28"/>
      <c r="B289" s="25"/>
    </row>
    <row r="290" spans="1:2" ht="15.75" thickBot="1" x14ac:dyDescent="0.3">
      <c r="A290" s="28"/>
      <c r="B290" s="25"/>
    </row>
    <row r="291" spans="1:2" ht="15.75" thickBot="1" x14ac:dyDescent="0.3">
      <c r="A291" s="28"/>
      <c r="B291" s="25"/>
    </row>
    <row r="292" spans="1:2" ht="15.75" thickBot="1" x14ac:dyDescent="0.3">
      <c r="A292" s="28"/>
      <c r="B292" s="25"/>
    </row>
    <row r="293" spans="1:2" ht="15.75" thickBot="1" x14ac:dyDescent="0.3">
      <c r="A293" s="28"/>
      <c r="B293" s="25"/>
    </row>
    <row r="294" spans="1:2" ht="15.75" thickBot="1" x14ac:dyDescent="0.3">
      <c r="A294" s="28"/>
      <c r="B294" s="25"/>
    </row>
    <row r="295" spans="1:2" ht="15.75" thickBot="1" x14ac:dyDescent="0.3">
      <c r="A295" s="28"/>
      <c r="B295" s="25"/>
    </row>
    <row r="296" spans="1:2" ht="15.75" thickBot="1" x14ac:dyDescent="0.3">
      <c r="A296" s="28"/>
      <c r="B296" s="25"/>
    </row>
    <row r="297" spans="1:2" ht="15.75" thickBot="1" x14ac:dyDescent="0.3">
      <c r="A297" s="28"/>
      <c r="B297" s="25"/>
    </row>
    <row r="298" spans="1:2" ht="15.75" thickBot="1" x14ac:dyDescent="0.3">
      <c r="A298" s="28"/>
      <c r="B298" s="25"/>
    </row>
    <row r="299" spans="1:2" ht="15.75" thickBot="1" x14ac:dyDescent="0.3">
      <c r="A299" s="28"/>
      <c r="B299" s="25"/>
    </row>
    <row r="300" spans="1:2" ht="15.75" thickBot="1" x14ac:dyDescent="0.3">
      <c r="A300" s="28"/>
      <c r="B300" s="25"/>
    </row>
    <row r="301" spans="1:2" ht="15.75" thickBot="1" x14ac:dyDescent="0.3">
      <c r="A301" s="28"/>
      <c r="B301" s="25"/>
    </row>
    <row r="302" spans="1:2" ht="15.75" thickBot="1" x14ac:dyDescent="0.3">
      <c r="A302" s="28"/>
      <c r="B302" s="25"/>
    </row>
    <row r="303" spans="1:2" ht="15.75" thickBot="1" x14ac:dyDescent="0.3">
      <c r="A303" s="28"/>
      <c r="B303" s="25"/>
    </row>
    <row r="304" spans="1:2" ht="15.75" thickBot="1" x14ac:dyDescent="0.3">
      <c r="A304" s="28"/>
      <c r="B304" s="25"/>
    </row>
    <row r="305" spans="1:2" ht="15.75" thickBot="1" x14ac:dyDescent="0.3">
      <c r="A305" s="28"/>
      <c r="B305" s="25"/>
    </row>
    <row r="306" spans="1:2" ht="15.75" thickBot="1" x14ac:dyDescent="0.3">
      <c r="A306" s="28"/>
      <c r="B306" s="25"/>
    </row>
    <row r="307" spans="1:2" ht="15.75" thickBot="1" x14ac:dyDescent="0.3">
      <c r="A307" s="28"/>
      <c r="B307" s="25"/>
    </row>
    <row r="308" spans="1:2" ht="15.75" thickBot="1" x14ac:dyDescent="0.3">
      <c r="A308" s="28"/>
      <c r="B308" s="25"/>
    </row>
    <row r="309" spans="1:2" ht="15.75" thickBot="1" x14ac:dyDescent="0.3">
      <c r="A309" s="28"/>
      <c r="B309" s="25"/>
    </row>
    <row r="310" spans="1:2" ht="15.75" thickBot="1" x14ac:dyDescent="0.3">
      <c r="A310" s="28"/>
      <c r="B310" s="25"/>
    </row>
    <row r="311" spans="1:2" ht="15.75" thickBot="1" x14ac:dyDescent="0.3">
      <c r="A311" s="28"/>
      <c r="B311" s="25"/>
    </row>
    <row r="312" spans="1:2" ht="15.75" thickBot="1" x14ac:dyDescent="0.3">
      <c r="A312" s="28"/>
      <c r="B312" s="25"/>
    </row>
    <row r="313" spans="1:2" ht="15.75" thickBot="1" x14ac:dyDescent="0.3">
      <c r="A313" s="28"/>
      <c r="B313" s="25"/>
    </row>
    <row r="314" spans="1:2" ht="15.75" thickBot="1" x14ac:dyDescent="0.3">
      <c r="A314" s="28"/>
      <c r="B314" s="25"/>
    </row>
    <row r="315" spans="1:2" ht="15.75" thickBot="1" x14ac:dyDescent="0.3">
      <c r="A315" s="28"/>
      <c r="B315" s="25"/>
    </row>
    <row r="316" spans="1:2" ht="15.75" thickBot="1" x14ac:dyDescent="0.3">
      <c r="A316" s="28"/>
      <c r="B316" s="25"/>
    </row>
    <row r="317" spans="1:2" ht="15.75" thickBot="1" x14ac:dyDescent="0.3">
      <c r="A317" s="28"/>
      <c r="B317" s="25"/>
    </row>
    <row r="318" spans="1:2" ht="15.75" thickBot="1" x14ac:dyDescent="0.3">
      <c r="A318" s="28"/>
      <c r="B318" s="25"/>
    </row>
    <row r="319" spans="1:2" ht="15.75" thickBot="1" x14ac:dyDescent="0.3">
      <c r="A319" s="28"/>
      <c r="B319" s="25"/>
    </row>
    <row r="320" spans="1:2" ht="15.75" thickBot="1" x14ac:dyDescent="0.3">
      <c r="A320" s="28"/>
      <c r="B320" s="25"/>
    </row>
    <row r="321" spans="1:2" ht="15.75" thickBot="1" x14ac:dyDescent="0.3">
      <c r="A321" s="28"/>
      <c r="B321" s="25"/>
    </row>
    <row r="322" spans="1:2" ht="15.75" thickBot="1" x14ac:dyDescent="0.3">
      <c r="A322" s="28"/>
      <c r="B322" s="25"/>
    </row>
    <row r="323" spans="1:2" ht="15.75" thickBot="1" x14ac:dyDescent="0.3">
      <c r="A323" s="28"/>
      <c r="B323" s="25"/>
    </row>
    <row r="324" spans="1:2" ht="15.75" thickBot="1" x14ac:dyDescent="0.3">
      <c r="A324" s="28"/>
      <c r="B324" s="25"/>
    </row>
    <row r="325" spans="1:2" ht="15.75" thickBot="1" x14ac:dyDescent="0.3">
      <c r="A325" s="28"/>
      <c r="B325" s="25"/>
    </row>
    <row r="326" spans="1:2" ht="15.75" thickBot="1" x14ac:dyDescent="0.3">
      <c r="A326" s="28"/>
      <c r="B326" s="25"/>
    </row>
    <row r="327" spans="1:2" ht="15.75" thickBot="1" x14ac:dyDescent="0.3">
      <c r="A327" s="28"/>
      <c r="B327" s="25"/>
    </row>
    <row r="328" spans="1:2" ht="15.75" thickBot="1" x14ac:dyDescent="0.3">
      <c r="A328" s="28"/>
      <c r="B328" s="25"/>
    </row>
    <row r="329" spans="1:2" ht="15.75" thickBot="1" x14ac:dyDescent="0.3">
      <c r="A329" s="28"/>
      <c r="B329" s="25"/>
    </row>
    <row r="330" spans="1:2" ht="15.75" thickBot="1" x14ac:dyDescent="0.3">
      <c r="A330" s="28"/>
      <c r="B330" s="25"/>
    </row>
    <row r="331" spans="1:2" ht="15.75" thickBot="1" x14ac:dyDescent="0.3">
      <c r="A331" s="28"/>
      <c r="B331" s="25"/>
    </row>
    <row r="332" spans="1:2" ht="15.75" thickBot="1" x14ac:dyDescent="0.3">
      <c r="A332" s="28"/>
      <c r="B332" s="25"/>
    </row>
    <row r="333" spans="1:2" ht="15.75" thickBot="1" x14ac:dyDescent="0.3">
      <c r="A333" s="28"/>
      <c r="B333" s="25"/>
    </row>
    <row r="334" spans="1:2" ht="15.75" thickBot="1" x14ac:dyDescent="0.3">
      <c r="A334" s="28"/>
      <c r="B334" s="25"/>
    </row>
    <row r="335" spans="1:2" ht="15.75" thickBot="1" x14ac:dyDescent="0.3">
      <c r="A335" s="28"/>
      <c r="B335" s="25"/>
    </row>
    <row r="336" spans="1:2" ht="15.75" thickBot="1" x14ac:dyDescent="0.3">
      <c r="A336" s="28"/>
      <c r="B336" s="25"/>
    </row>
    <row r="337" spans="1:2" ht="15.75" thickBot="1" x14ac:dyDescent="0.3">
      <c r="A337" s="28"/>
      <c r="B337" s="25"/>
    </row>
    <row r="338" spans="1:2" ht="15.75" thickBot="1" x14ac:dyDescent="0.3">
      <c r="A338" s="28"/>
      <c r="B338" s="25"/>
    </row>
    <row r="339" spans="1:2" ht="15.75" thickBot="1" x14ac:dyDescent="0.3">
      <c r="A339" s="28"/>
      <c r="B339" s="25"/>
    </row>
    <row r="340" spans="1:2" ht="15.75" thickBot="1" x14ac:dyDescent="0.3">
      <c r="A340" s="28"/>
      <c r="B340" s="25"/>
    </row>
    <row r="341" spans="1:2" ht="15.75" thickBot="1" x14ac:dyDescent="0.3">
      <c r="A341" s="28"/>
      <c r="B341" s="25"/>
    </row>
    <row r="342" spans="1:2" ht="15.75" thickBot="1" x14ac:dyDescent="0.3">
      <c r="A342" s="28"/>
      <c r="B342" s="25"/>
    </row>
    <row r="343" spans="1:2" ht="15.75" thickBot="1" x14ac:dyDescent="0.3">
      <c r="A343" s="28"/>
      <c r="B343" s="25"/>
    </row>
    <row r="344" spans="1:2" ht="15.75" thickBot="1" x14ac:dyDescent="0.3">
      <c r="A344" s="28"/>
      <c r="B344" s="25"/>
    </row>
    <row r="345" spans="1:2" ht="15.75" thickBot="1" x14ac:dyDescent="0.3">
      <c r="A345" s="28"/>
      <c r="B345" s="25"/>
    </row>
    <row r="346" spans="1:2" ht="15.75" thickBot="1" x14ac:dyDescent="0.3">
      <c r="A346" s="28"/>
      <c r="B346" s="25"/>
    </row>
    <row r="347" spans="1:2" ht="15.75" thickBot="1" x14ac:dyDescent="0.3">
      <c r="A347" s="28"/>
      <c r="B347" s="25"/>
    </row>
    <row r="348" spans="1:2" ht="15.75" thickBot="1" x14ac:dyDescent="0.3">
      <c r="A348" s="28"/>
      <c r="B348" s="25"/>
    </row>
    <row r="349" spans="1:2" ht="15.75" thickBot="1" x14ac:dyDescent="0.3">
      <c r="A349" s="28"/>
      <c r="B349" s="25"/>
    </row>
    <row r="350" spans="1:2" ht="15.75" thickBot="1" x14ac:dyDescent="0.3">
      <c r="A350" s="28"/>
      <c r="B350" s="25"/>
    </row>
    <row r="351" spans="1:2" ht="15.75" thickBot="1" x14ac:dyDescent="0.3">
      <c r="A351" s="28"/>
      <c r="B351" s="25"/>
    </row>
    <row r="352" spans="1:2" ht="15.75" thickBot="1" x14ac:dyDescent="0.3">
      <c r="A352" s="28"/>
      <c r="B352" s="25"/>
    </row>
    <row r="353" spans="1:2" ht="15.75" thickBot="1" x14ac:dyDescent="0.3">
      <c r="A353" s="28"/>
      <c r="B353" s="25"/>
    </row>
    <row r="354" spans="1:2" ht="15.75" thickBot="1" x14ac:dyDescent="0.3">
      <c r="A354" s="28"/>
      <c r="B354" s="25"/>
    </row>
    <row r="355" spans="1:2" ht="15.75" thickBot="1" x14ac:dyDescent="0.3">
      <c r="A355" s="28"/>
      <c r="B355" s="25"/>
    </row>
    <row r="356" spans="1:2" ht="15.75" thickBot="1" x14ac:dyDescent="0.3">
      <c r="A356" s="28"/>
      <c r="B356" s="25"/>
    </row>
    <row r="357" spans="1:2" ht="15.75" thickBot="1" x14ac:dyDescent="0.3">
      <c r="A357" s="28"/>
      <c r="B357" s="25"/>
    </row>
    <row r="358" spans="1:2" ht="15.75" thickBot="1" x14ac:dyDescent="0.3">
      <c r="A358" s="28"/>
      <c r="B358" s="25"/>
    </row>
    <row r="359" spans="1:2" ht="15.75" thickBot="1" x14ac:dyDescent="0.3">
      <c r="A359" s="28"/>
      <c r="B359" s="25"/>
    </row>
    <row r="360" spans="1:2" ht="15.75" thickBot="1" x14ac:dyDescent="0.3">
      <c r="A360" s="28"/>
      <c r="B360" s="25"/>
    </row>
    <row r="361" spans="1:2" ht="15.75" thickBot="1" x14ac:dyDescent="0.3">
      <c r="A361" s="28"/>
      <c r="B361" s="25"/>
    </row>
    <row r="362" spans="1:2" ht="15.75" thickBot="1" x14ac:dyDescent="0.3">
      <c r="A362" s="28"/>
      <c r="B362" s="25"/>
    </row>
    <row r="363" spans="1:2" ht="15.75" thickBot="1" x14ac:dyDescent="0.3">
      <c r="A363" s="28"/>
      <c r="B363" s="25"/>
    </row>
    <row r="364" spans="1:2" ht="15.75" thickBot="1" x14ac:dyDescent="0.3">
      <c r="A364" s="28"/>
      <c r="B364" s="25"/>
    </row>
    <row r="365" spans="1:2" ht="15.75" thickBot="1" x14ac:dyDescent="0.3">
      <c r="A365" s="28"/>
      <c r="B365" s="25"/>
    </row>
    <row r="366" spans="1:2" ht="15.75" thickBot="1" x14ac:dyDescent="0.3">
      <c r="A366" s="28"/>
      <c r="B366" s="25"/>
    </row>
    <row r="367" spans="1:2" ht="15.75" thickBot="1" x14ac:dyDescent="0.3">
      <c r="A367" s="28"/>
      <c r="B367" s="25"/>
    </row>
    <row r="368" spans="1:2" ht="15.75" thickBot="1" x14ac:dyDescent="0.3">
      <c r="A368" s="28"/>
      <c r="B368" s="25"/>
    </row>
    <row r="369" spans="1:2" ht="15.75" thickBot="1" x14ac:dyDescent="0.3">
      <c r="A369" s="28"/>
      <c r="B369" s="25"/>
    </row>
    <row r="370" spans="1:2" ht="15.75" thickBot="1" x14ac:dyDescent="0.3">
      <c r="A370" s="28"/>
      <c r="B370" s="25"/>
    </row>
    <row r="371" spans="1:2" ht="15.75" thickBot="1" x14ac:dyDescent="0.3">
      <c r="A371" s="28"/>
      <c r="B371" s="25"/>
    </row>
    <row r="372" spans="1:2" ht="15.75" thickBot="1" x14ac:dyDescent="0.3">
      <c r="A372" s="28"/>
      <c r="B372" s="25"/>
    </row>
    <row r="373" spans="1:2" ht="15.75" thickBot="1" x14ac:dyDescent="0.3">
      <c r="A373" s="28"/>
      <c r="B373" s="25"/>
    </row>
    <row r="374" spans="1:2" ht="15.75" thickBot="1" x14ac:dyDescent="0.3">
      <c r="A374" s="28"/>
      <c r="B374" s="25"/>
    </row>
    <row r="375" spans="1:2" ht="15.75" thickBot="1" x14ac:dyDescent="0.3">
      <c r="A375" s="28"/>
      <c r="B375" s="25"/>
    </row>
    <row r="376" spans="1:2" ht="15.75" thickBot="1" x14ac:dyDescent="0.3">
      <c r="A376" s="28"/>
      <c r="B376" s="25"/>
    </row>
    <row r="377" spans="1:2" ht="15.75" thickBot="1" x14ac:dyDescent="0.3">
      <c r="A377" s="28"/>
      <c r="B377" s="25"/>
    </row>
    <row r="378" spans="1:2" ht="15.75" thickBot="1" x14ac:dyDescent="0.3">
      <c r="A378" s="28"/>
      <c r="B378" s="25"/>
    </row>
    <row r="379" spans="1:2" ht="15.75" thickBot="1" x14ac:dyDescent="0.3">
      <c r="A379" s="28"/>
      <c r="B379" s="25"/>
    </row>
    <row r="380" spans="1:2" ht="15.75" thickBot="1" x14ac:dyDescent="0.3">
      <c r="A380" s="28"/>
      <c r="B380" s="25"/>
    </row>
    <row r="381" spans="1:2" ht="15.75" thickBot="1" x14ac:dyDescent="0.3">
      <c r="A381" s="28"/>
      <c r="B381" s="25"/>
    </row>
    <row r="382" spans="1:2" ht="15.75" thickBot="1" x14ac:dyDescent="0.3">
      <c r="A382" s="28"/>
      <c r="B382" s="25"/>
    </row>
    <row r="383" spans="1:2" ht="15.75" thickBot="1" x14ac:dyDescent="0.3">
      <c r="A383" s="28"/>
      <c r="B383" s="25"/>
    </row>
    <row r="384" spans="1:2" ht="15.75" thickBot="1" x14ac:dyDescent="0.3">
      <c r="A384" s="28"/>
      <c r="B384" s="25"/>
    </row>
    <row r="385" spans="1:2" ht="15.75" thickBot="1" x14ac:dyDescent="0.3">
      <c r="A385" s="28"/>
      <c r="B385" s="25"/>
    </row>
    <row r="386" spans="1:2" ht="15.75" thickBot="1" x14ac:dyDescent="0.3">
      <c r="A386" s="28"/>
      <c r="B386" s="25"/>
    </row>
    <row r="387" spans="1:2" ht="15.75" thickBot="1" x14ac:dyDescent="0.3">
      <c r="A387" s="28"/>
      <c r="B387" s="25"/>
    </row>
    <row r="388" spans="1:2" ht="15.75" thickBot="1" x14ac:dyDescent="0.3">
      <c r="A388" s="28"/>
      <c r="B388" s="25"/>
    </row>
    <row r="389" spans="1:2" ht="15.75" thickBot="1" x14ac:dyDescent="0.3">
      <c r="A389" s="28"/>
      <c r="B389" s="25"/>
    </row>
    <row r="390" spans="1:2" ht="15.75" thickBot="1" x14ac:dyDescent="0.3">
      <c r="A390" s="28"/>
      <c r="B390" s="25"/>
    </row>
    <row r="391" spans="1:2" ht="15.75" thickBot="1" x14ac:dyDescent="0.3">
      <c r="A391" s="28"/>
      <c r="B391" s="25"/>
    </row>
    <row r="392" spans="1:2" ht="15.75" thickBot="1" x14ac:dyDescent="0.3">
      <c r="A392" s="28"/>
      <c r="B392" s="25"/>
    </row>
    <row r="393" spans="1:2" ht="15.75" thickBot="1" x14ac:dyDescent="0.3">
      <c r="A393" s="28"/>
      <c r="B393" s="25"/>
    </row>
    <row r="394" spans="1:2" ht="15.75" thickBot="1" x14ac:dyDescent="0.3">
      <c r="A394" s="28"/>
      <c r="B394" s="25"/>
    </row>
    <row r="395" spans="1:2" ht="15.75" thickBot="1" x14ac:dyDescent="0.3">
      <c r="A395" s="28"/>
      <c r="B395" s="25"/>
    </row>
    <row r="396" spans="1:2" ht="15.75" thickBot="1" x14ac:dyDescent="0.3">
      <c r="A396" s="28"/>
      <c r="B396" s="25"/>
    </row>
    <row r="397" spans="1:2" ht="15.75" thickBot="1" x14ac:dyDescent="0.3">
      <c r="A397" s="28"/>
      <c r="B397" s="25"/>
    </row>
    <row r="398" spans="1:2" ht="15.75" thickBot="1" x14ac:dyDescent="0.3">
      <c r="A398" s="28"/>
      <c r="B398" s="25"/>
    </row>
    <row r="399" spans="1:2" ht="15.75" thickBot="1" x14ac:dyDescent="0.3">
      <c r="A399" s="28"/>
      <c r="B399" s="25"/>
    </row>
    <row r="400" spans="1:2" ht="15.75" thickBot="1" x14ac:dyDescent="0.3">
      <c r="A400" s="28"/>
      <c r="B400" s="25"/>
    </row>
    <row r="401" spans="1:2" ht="15.75" thickBot="1" x14ac:dyDescent="0.3">
      <c r="A401" s="28"/>
      <c r="B401" s="25"/>
    </row>
    <row r="402" spans="1:2" ht="15.75" thickBot="1" x14ac:dyDescent="0.3">
      <c r="A402" s="28"/>
      <c r="B402" s="25"/>
    </row>
    <row r="403" spans="1:2" ht="15.75" thickBot="1" x14ac:dyDescent="0.3">
      <c r="A403" s="28"/>
      <c r="B403" s="25"/>
    </row>
    <row r="404" spans="1:2" ht="15.75" thickBot="1" x14ac:dyDescent="0.3">
      <c r="A404" s="28"/>
      <c r="B404" s="25"/>
    </row>
    <row r="405" spans="1:2" ht="15.75" thickBot="1" x14ac:dyDescent="0.3">
      <c r="A405" s="28"/>
      <c r="B405" s="25"/>
    </row>
    <row r="406" spans="1:2" ht="15.75" thickBot="1" x14ac:dyDescent="0.3">
      <c r="A406" s="28"/>
      <c r="B406" s="25"/>
    </row>
    <row r="407" spans="1:2" ht="15.75" thickBot="1" x14ac:dyDescent="0.3">
      <c r="A407" s="28"/>
      <c r="B407" s="25"/>
    </row>
    <row r="408" spans="1:2" ht="15.75" thickBot="1" x14ac:dyDescent="0.3">
      <c r="A408" s="28"/>
      <c r="B408" s="25"/>
    </row>
    <row r="409" spans="1:2" ht="15.75" thickBot="1" x14ac:dyDescent="0.3">
      <c r="A409" s="28"/>
      <c r="B409" s="25"/>
    </row>
    <row r="410" spans="1:2" ht="15.75" thickBot="1" x14ac:dyDescent="0.3">
      <c r="A410" s="28"/>
      <c r="B410" s="25"/>
    </row>
    <row r="411" spans="1:2" ht="15.75" thickBot="1" x14ac:dyDescent="0.3">
      <c r="A411" s="28"/>
      <c r="B411" s="25"/>
    </row>
    <row r="412" spans="1:2" ht="15.75" thickBot="1" x14ac:dyDescent="0.3">
      <c r="A412" s="28"/>
      <c r="B412" s="25"/>
    </row>
    <row r="413" spans="1:2" ht="15.75" thickBot="1" x14ac:dyDescent="0.3">
      <c r="A413" s="28"/>
      <c r="B413" s="25"/>
    </row>
    <row r="414" spans="1:2" ht="15.75" thickBot="1" x14ac:dyDescent="0.3">
      <c r="A414" s="28"/>
      <c r="B414" s="25"/>
    </row>
    <row r="415" spans="1:2" ht="15.75" thickBot="1" x14ac:dyDescent="0.3">
      <c r="A415" s="28"/>
      <c r="B415" s="25"/>
    </row>
    <row r="416" spans="1:2" ht="15.75" thickBot="1" x14ac:dyDescent="0.3">
      <c r="A416" s="28"/>
      <c r="B416" s="25"/>
    </row>
    <row r="417" spans="1:2" ht="15.75" thickBot="1" x14ac:dyDescent="0.3">
      <c r="A417" s="28"/>
      <c r="B417" s="25"/>
    </row>
    <row r="418" spans="1:2" ht="15.75" thickBot="1" x14ac:dyDescent="0.3">
      <c r="A418" s="28"/>
      <c r="B418" s="25"/>
    </row>
    <row r="419" spans="1:2" ht="15.75" thickBot="1" x14ac:dyDescent="0.3">
      <c r="A419" s="28"/>
      <c r="B419" s="25"/>
    </row>
    <row r="420" spans="1:2" ht="15.75" thickBot="1" x14ac:dyDescent="0.3">
      <c r="A420" s="28"/>
      <c r="B420" s="25"/>
    </row>
    <row r="421" spans="1:2" ht="15.75" thickBot="1" x14ac:dyDescent="0.3">
      <c r="A421" s="28"/>
      <c r="B421" s="25"/>
    </row>
    <row r="422" spans="1:2" ht="15.75" thickBot="1" x14ac:dyDescent="0.3">
      <c r="A422" s="28"/>
      <c r="B422" s="25"/>
    </row>
    <row r="423" spans="1:2" ht="15.75" thickBot="1" x14ac:dyDescent="0.3">
      <c r="A423" s="28"/>
      <c r="B423" s="25"/>
    </row>
    <row r="424" spans="1:2" ht="15.75" thickBot="1" x14ac:dyDescent="0.3">
      <c r="A424" s="28"/>
      <c r="B424" s="25"/>
    </row>
    <row r="425" spans="1:2" ht="15.75" thickBot="1" x14ac:dyDescent="0.3">
      <c r="A425" s="28"/>
      <c r="B425" s="25"/>
    </row>
    <row r="426" spans="1:2" ht="15.75" thickBot="1" x14ac:dyDescent="0.3">
      <c r="A426" s="28"/>
      <c r="B426" s="25"/>
    </row>
    <row r="427" spans="1:2" ht="15.75" thickBot="1" x14ac:dyDescent="0.3">
      <c r="A427" s="28"/>
      <c r="B427" s="25"/>
    </row>
    <row r="428" spans="1:2" ht="15.75" thickBot="1" x14ac:dyDescent="0.3">
      <c r="A428" s="28"/>
      <c r="B428" s="25"/>
    </row>
    <row r="429" spans="1:2" ht="15.75" thickBot="1" x14ac:dyDescent="0.3">
      <c r="A429" s="28"/>
      <c r="B429" s="25"/>
    </row>
    <row r="430" spans="1:2" ht="15.75" thickBot="1" x14ac:dyDescent="0.3">
      <c r="A430" s="28"/>
      <c r="B430" s="25"/>
    </row>
    <row r="431" spans="1:2" ht="15.75" thickBot="1" x14ac:dyDescent="0.3">
      <c r="A431" s="28"/>
      <c r="B431" s="25"/>
    </row>
    <row r="432" spans="1:2" ht="15.75" thickBot="1" x14ac:dyDescent="0.3">
      <c r="A432" s="28"/>
      <c r="B432" s="25"/>
    </row>
    <row r="433" spans="1:2" ht="15.75" thickBot="1" x14ac:dyDescent="0.3">
      <c r="A433" s="28"/>
      <c r="B433" s="25"/>
    </row>
    <row r="434" spans="1:2" ht="15.75" thickBot="1" x14ac:dyDescent="0.3">
      <c r="A434" s="28"/>
      <c r="B434" s="25"/>
    </row>
    <row r="435" spans="1:2" ht="15.75" thickBot="1" x14ac:dyDescent="0.3">
      <c r="A435" s="28"/>
      <c r="B435" s="25"/>
    </row>
    <row r="436" spans="1:2" ht="15.75" thickBot="1" x14ac:dyDescent="0.3">
      <c r="A436" s="28"/>
      <c r="B436" s="25"/>
    </row>
    <row r="437" spans="1:2" ht="15.75" thickBot="1" x14ac:dyDescent="0.3">
      <c r="A437" s="28"/>
      <c r="B437" s="25"/>
    </row>
    <row r="438" spans="1:2" ht="15.75" thickBot="1" x14ac:dyDescent="0.3">
      <c r="A438" s="28"/>
      <c r="B438" s="25"/>
    </row>
    <row r="439" spans="1:2" ht="15.75" thickBot="1" x14ac:dyDescent="0.3">
      <c r="A439" s="28"/>
      <c r="B439" s="25"/>
    </row>
    <row r="440" spans="1:2" ht="15.75" thickBot="1" x14ac:dyDescent="0.3">
      <c r="A440" s="28"/>
      <c r="B440" s="25"/>
    </row>
    <row r="441" spans="1:2" ht="15.75" thickBot="1" x14ac:dyDescent="0.3">
      <c r="A441" s="28"/>
      <c r="B441" s="25"/>
    </row>
    <row r="442" spans="1:2" ht="15.75" thickBot="1" x14ac:dyDescent="0.3">
      <c r="A442" s="28"/>
      <c r="B442" s="25"/>
    </row>
    <row r="443" spans="1:2" ht="15.75" thickBot="1" x14ac:dyDescent="0.3">
      <c r="A443" s="28"/>
      <c r="B443" s="25"/>
    </row>
    <row r="444" spans="1:2" ht="15.75" thickBot="1" x14ac:dyDescent="0.3">
      <c r="A444" s="28"/>
      <c r="B444" s="25"/>
    </row>
    <row r="445" spans="1:2" ht="15.75" thickBot="1" x14ac:dyDescent="0.3">
      <c r="A445" s="28"/>
      <c r="B445" s="25"/>
    </row>
    <row r="446" spans="1:2" ht="15.75" thickBot="1" x14ac:dyDescent="0.3">
      <c r="A446" s="28"/>
      <c r="B446" s="25"/>
    </row>
    <row r="447" spans="1:2" ht="15.75" thickBot="1" x14ac:dyDescent="0.3">
      <c r="A447" s="28"/>
      <c r="B447" s="25"/>
    </row>
    <row r="448" spans="1:2" ht="15.75" thickBot="1" x14ac:dyDescent="0.3">
      <c r="A448" s="28"/>
      <c r="B448" s="25"/>
    </row>
    <row r="449" spans="1:2" ht="15.75" thickBot="1" x14ac:dyDescent="0.3">
      <c r="A449" s="28"/>
      <c r="B449" s="25"/>
    </row>
    <row r="450" spans="1:2" ht="15.75" thickBot="1" x14ac:dyDescent="0.3">
      <c r="A450" s="28"/>
      <c r="B450" s="25"/>
    </row>
    <row r="451" spans="1:2" ht="15.75" thickBot="1" x14ac:dyDescent="0.3">
      <c r="A451" s="28"/>
      <c r="B451" s="25"/>
    </row>
    <row r="452" spans="1:2" ht="15.75" thickBot="1" x14ac:dyDescent="0.3">
      <c r="A452" s="28"/>
      <c r="B452" s="25"/>
    </row>
    <row r="453" spans="1:2" ht="15.75" thickBot="1" x14ac:dyDescent="0.3">
      <c r="A453" s="28"/>
      <c r="B453" s="25"/>
    </row>
    <row r="454" spans="1:2" ht="15.75" thickBot="1" x14ac:dyDescent="0.3">
      <c r="A454" s="28"/>
      <c r="B454" s="25"/>
    </row>
    <row r="455" spans="1:2" ht="15.75" thickBot="1" x14ac:dyDescent="0.3">
      <c r="A455" s="28"/>
      <c r="B455" s="25"/>
    </row>
    <row r="456" spans="1:2" ht="15.75" thickBot="1" x14ac:dyDescent="0.3">
      <c r="A456" s="28"/>
      <c r="B456" s="25"/>
    </row>
    <row r="457" spans="1:2" ht="15.75" thickBot="1" x14ac:dyDescent="0.3">
      <c r="A457" s="28"/>
      <c r="B457" s="25"/>
    </row>
    <row r="458" spans="1:2" ht="15.75" thickBot="1" x14ac:dyDescent="0.3">
      <c r="A458" s="28"/>
      <c r="B458" s="25"/>
    </row>
    <row r="459" spans="1:2" ht="15.75" thickBot="1" x14ac:dyDescent="0.3">
      <c r="A459" s="28"/>
      <c r="B459" s="25"/>
    </row>
    <row r="460" spans="1:2" ht="15.75" thickBot="1" x14ac:dyDescent="0.3">
      <c r="A460" s="28"/>
      <c r="B460" s="25"/>
    </row>
    <row r="461" spans="1:2" ht="15.75" thickBot="1" x14ac:dyDescent="0.3">
      <c r="A461" s="28"/>
      <c r="B461" s="25"/>
    </row>
    <row r="462" spans="1:2" ht="15.75" thickBot="1" x14ac:dyDescent="0.3">
      <c r="A462" s="28"/>
      <c r="B462" s="25"/>
    </row>
    <row r="463" spans="1:2" ht="15.75" thickBot="1" x14ac:dyDescent="0.3">
      <c r="A463" s="28"/>
      <c r="B463" s="25"/>
    </row>
    <row r="464" spans="1:2" ht="15.75" thickBot="1" x14ac:dyDescent="0.3">
      <c r="A464" s="28"/>
      <c r="B464" s="25"/>
    </row>
    <row r="465" spans="1:2" ht="15.75" thickBot="1" x14ac:dyDescent="0.3">
      <c r="A465" s="28"/>
      <c r="B465" s="25"/>
    </row>
    <row r="466" spans="1:2" ht="15.75" thickBot="1" x14ac:dyDescent="0.3">
      <c r="A466" s="28"/>
      <c r="B466" s="25"/>
    </row>
    <row r="467" spans="1:2" ht="15.75" thickBot="1" x14ac:dyDescent="0.3">
      <c r="A467" s="28"/>
      <c r="B467" s="25"/>
    </row>
    <row r="468" spans="1:2" ht="15.75" thickBot="1" x14ac:dyDescent="0.3">
      <c r="A468" s="28"/>
      <c r="B468" s="25"/>
    </row>
    <row r="469" spans="1:2" ht="15.75" thickBot="1" x14ac:dyDescent="0.3">
      <c r="A469" s="28"/>
      <c r="B469" s="25"/>
    </row>
    <row r="470" spans="1:2" ht="15.75" thickBot="1" x14ac:dyDescent="0.3">
      <c r="A470" s="28"/>
      <c r="B470" s="25"/>
    </row>
    <row r="471" spans="1:2" ht="15.75" thickBot="1" x14ac:dyDescent="0.3">
      <c r="A471" s="28"/>
      <c r="B471" s="25"/>
    </row>
    <row r="472" spans="1:2" ht="15.75" thickBot="1" x14ac:dyDescent="0.3">
      <c r="A472" s="28"/>
      <c r="B472" s="25"/>
    </row>
    <row r="473" spans="1:2" ht="15.75" thickBot="1" x14ac:dyDescent="0.3">
      <c r="A473" s="28"/>
      <c r="B473" s="25"/>
    </row>
    <row r="474" spans="1:2" ht="15.75" thickBot="1" x14ac:dyDescent="0.3">
      <c r="A474" s="28"/>
      <c r="B474" s="25"/>
    </row>
    <row r="475" spans="1:2" ht="15.75" thickBot="1" x14ac:dyDescent="0.3">
      <c r="A475" s="28"/>
      <c r="B475" s="25"/>
    </row>
    <row r="476" spans="1:2" ht="15.75" thickBot="1" x14ac:dyDescent="0.3">
      <c r="A476" s="28"/>
      <c r="B476" s="25"/>
    </row>
    <row r="477" spans="1:2" ht="15.75" thickBot="1" x14ac:dyDescent="0.3">
      <c r="A477" s="28"/>
      <c r="B477" s="25"/>
    </row>
    <row r="478" spans="1:2" ht="15.75" thickBot="1" x14ac:dyDescent="0.3">
      <c r="A478" s="28"/>
      <c r="B478" s="25"/>
    </row>
    <row r="479" spans="1:2" ht="15.75" thickBot="1" x14ac:dyDescent="0.3">
      <c r="A479" s="28"/>
      <c r="B479" s="25"/>
    </row>
    <row r="480" spans="1:2" ht="15.75" thickBot="1" x14ac:dyDescent="0.3">
      <c r="A480" s="28"/>
      <c r="B480" s="25"/>
    </row>
    <row r="481" spans="1:2" ht="15.75" thickBot="1" x14ac:dyDescent="0.3">
      <c r="A481" s="28"/>
      <c r="B481" s="25"/>
    </row>
    <row r="482" spans="1:2" ht="15.75" thickBot="1" x14ac:dyDescent="0.3">
      <c r="A482" s="28"/>
      <c r="B482" s="25"/>
    </row>
    <row r="483" spans="1:2" ht="15.75" thickBot="1" x14ac:dyDescent="0.3">
      <c r="A483" s="28"/>
      <c r="B483" s="25"/>
    </row>
    <row r="484" spans="1:2" ht="15.75" thickBot="1" x14ac:dyDescent="0.3">
      <c r="A484" s="28"/>
      <c r="B484" s="25"/>
    </row>
    <row r="485" spans="1:2" ht="15.75" thickBot="1" x14ac:dyDescent="0.3">
      <c r="A485" s="28"/>
      <c r="B485" s="25"/>
    </row>
    <row r="486" spans="1:2" ht="15.75" thickBot="1" x14ac:dyDescent="0.3">
      <c r="A486" s="28"/>
      <c r="B486" s="25"/>
    </row>
    <row r="487" spans="1:2" ht="15.75" thickBot="1" x14ac:dyDescent="0.3">
      <c r="A487" s="28"/>
      <c r="B487" s="25"/>
    </row>
    <row r="488" spans="1:2" ht="15.75" thickBot="1" x14ac:dyDescent="0.3">
      <c r="A488" s="28"/>
      <c r="B488" s="25"/>
    </row>
    <row r="489" spans="1:2" ht="15.75" thickBot="1" x14ac:dyDescent="0.3">
      <c r="A489" s="28"/>
      <c r="B489" s="25"/>
    </row>
    <row r="490" spans="1:2" ht="15.75" thickBot="1" x14ac:dyDescent="0.3">
      <c r="A490" s="28"/>
      <c r="B490" s="25"/>
    </row>
    <row r="491" spans="1:2" ht="15.75" thickBot="1" x14ac:dyDescent="0.3">
      <c r="A491" s="28"/>
      <c r="B491" s="25"/>
    </row>
    <row r="492" spans="1:2" ht="15.75" thickBot="1" x14ac:dyDescent="0.3">
      <c r="A492" s="28"/>
      <c r="B492" s="25"/>
    </row>
    <row r="493" spans="1:2" ht="15.75" thickBot="1" x14ac:dyDescent="0.3">
      <c r="A493" s="28"/>
      <c r="B493" s="25"/>
    </row>
    <row r="494" spans="1:2" ht="15.75" thickBot="1" x14ac:dyDescent="0.3">
      <c r="A494" s="28"/>
      <c r="B494" s="25"/>
    </row>
    <row r="495" spans="1:2" ht="15.75" thickBot="1" x14ac:dyDescent="0.3">
      <c r="A495" s="28"/>
      <c r="B495" s="25"/>
    </row>
    <row r="496" spans="1:2" ht="15.75" thickBot="1" x14ac:dyDescent="0.3">
      <c r="A496" s="28"/>
      <c r="B496" s="25"/>
    </row>
    <row r="497" spans="1:2" ht="15.75" thickBot="1" x14ac:dyDescent="0.3">
      <c r="A497" s="28"/>
      <c r="B497" s="25"/>
    </row>
    <row r="498" spans="1:2" ht="15.75" thickBot="1" x14ac:dyDescent="0.3">
      <c r="A498" s="28"/>
      <c r="B498" s="25"/>
    </row>
    <row r="499" spans="1:2" ht="15.75" thickBot="1" x14ac:dyDescent="0.3">
      <c r="A499" s="28"/>
      <c r="B499" s="25"/>
    </row>
    <row r="500" spans="1:2" ht="15.75" thickBot="1" x14ac:dyDescent="0.3">
      <c r="A500" s="28"/>
      <c r="B500" s="25"/>
    </row>
    <row r="501" spans="1:2" ht="15.75" thickBot="1" x14ac:dyDescent="0.3">
      <c r="A501" s="28"/>
      <c r="B501" s="25"/>
    </row>
    <row r="502" spans="1:2" ht="15.75" thickBot="1" x14ac:dyDescent="0.3">
      <c r="A502" s="28"/>
      <c r="B502" s="25"/>
    </row>
    <row r="503" spans="1:2" ht="15.75" thickBot="1" x14ac:dyDescent="0.3">
      <c r="A503" s="28"/>
      <c r="B503" s="25"/>
    </row>
    <row r="504" spans="1:2" ht="15.75" thickBot="1" x14ac:dyDescent="0.3">
      <c r="A504" s="28"/>
      <c r="B504" s="25"/>
    </row>
    <row r="505" spans="1:2" ht="15.75" thickBot="1" x14ac:dyDescent="0.3">
      <c r="A505" s="28"/>
      <c r="B505" s="25"/>
    </row>
    <row r="506" spans="1:2" ht="15.75" thickBot="1" x14ac:dyDescent="0.3">
      <c r="A506" s="28"/>
      <c r="B506" s="25"/>
    </row>
    <row r="507" spans="1:2" ht="15.75" thickBot="1" x14ac:dyDescent="0.3">
      <c r="A507" s="28"/>
      <c r="B507" s="25"/>
    </row>
    <row r="508" spans="1:2" ht="15.75" thickBot="1" x14ac:dyDescent="0.3">
      <c r="A508" s="28"/>
      <c r="B508" s="25"/>
    </row>
    <row r="509" spans="1:2" ht="15.75" thickBot="1" x14ac:dyDescent="0.3">
      <c r="A509" s="28"/>
      <c r="B509" s="25"/>
    </row>
    <row r="510" spans="1:2" ht="15.75" thickBot="1" x14ac:dyDescent="0.3">
      <c r="A510" s="28"/>
      <c r="B510" s="25"/>
    </row>
    <row r="511" spans="1:2" ht="15.75" thickBot="1" x14ac:dyDescent="0.3">
      <c r="A511" s="28"/>
      <c r="B511" s="25"/>
    </row>
    <row r="512" spans="1:2" ht="15.75" thickBot="1" x14ac:dyDescent="0.3">
      <c r="A512" s="28"/>
      <c r="B512" s="25"/>
    </row>
    <row r="513" spans="1:2" ht="15.75" thickBot="1" x14ac:dyDescent="0.3">
      <c r="A513" s="28"/>
      <c r="B513" s="25"/>
    </row>
    <row r="514" spans="1:2" ht="15.75" thickBot="1" x14ac:dyDescent="0.3">
      <c r="A514" s="28"/>
      <c r="B514" s="25"/>
    </row>
    <row r="515" spans="1:2" ht="15.75" thickBot="1" x14ac:dyDescent="0.3">
      <c r="A515" s="28"/>
      <c r="B515" s="25"/>
    </row>
    <row r="516" spans="1:2" ht="15.75" thickBot="1" x14ac:dyDescent="0.3">
      <c r="A516" s="28"/>
      <c r="B516" s="25"/>
    </row>
    <row r="517" spans="1:2" ht="15.75" thickBot="1" x14ac:dyDescent="0.3">
      <c r="A517" s="28"/>
      <c r="B517" s="25"/>
    </row>
    <row r="518" spans="1:2" ht="15.75" thickBot="1" x14ac:dyDescent="0.3">
      <c r="A518" s="28"/>
      <c r="B518" s="25"/>
    </row>
    <row r="519" spans="1:2" ht="15.75" thickBot="1" x14ac:dyDescent="0.3">
      <c r="A519" s="28"/>
      <c r="B519" s="25"/>
    </row>
    <row r="520" spans="1:2" ht="15.75" thickBot="1" x14ac:dyDescent="0.3">
      <c r="A520" s="28"/>
      <c r="B520" s="25"/>
    </row>
    <row r="521" spans="1:2" ht="15.75" thickBot="1" x14ac:dyDescent="0.3">
      <c r="A521" s="28"/>
      <c r="B521" s="25"/>
    </row>
    <row r="522" spans="1:2" ht="15.75" thickBot="1" x14ac:dyDescent="0.3">
      <c r="A522" s="28"/>
      <c r="B522" s="25"/>
    </row>
    <row r="523" spans="1:2" ht="15.75" thickBot="1" x14ac:dyDescent="0.3">
      <c r="A523" s="28"/>
      <c r="B523" s="25"/>
    </row>
    <row r="524" spans="1:2" ht="15.75" thickBot="1" x14ac:dyDescent="0.3">
      <c r="A524" s="28"/>
      <c r="B524" s="25"/>
    </row>
    <row r="525" spans="1:2" ht="15.75" thickBot="1" x14ac:dyDescent="0.3">
      <c r="A525" s="28"/>
      <c r="B525" s="25"/>
    </row>
    <row r="526" spans="1:2" ht="15.75" thickBot="1" x14ac:dyDescent="0.3">
      <c r="A526" s="28"/>
      <c r="B526" s="25"/>
    </row>
    <row r="527" spans="1:2" ht="15.75" thickBot="1" x14ac:dyDescent="0.3">
      <c r="A527" s="28"/>
      <c r="B527" s="25"/>
    </row>
    <row r="528" spans="1:2" ht="15.75" thickBot="1" x14ac:dyDescent="0.3">
      <c r="A528" s="28"/>
      <c r="B528" s="25"/>
    </row>
    <row r="529" spans="1:2" ht="15.75" thickBot="1" x14ac:dyDescent="0.3">
      <c r="A529" s="28"/>
      <c r="B529" s="25"/>
    </row>
    <row r="530" spans="1:2" ht="15.75" thickBot="1" x14ac:dyDescent="0.3">
      <c r="A530" s="28"/>
      <c r="B530" s="25"/>
    </row>
    <row r="531" spans="1:2" ht="15.75" thickBot="1" x14ac:dyDescent="0.3">
      <c r="A531" s="28"/>
      <c r="B531" s="25"/>
    </row>
    <row r="532" spans="1:2" ht="15.75" thickBot="1" x14ac:dyDescent="0.3">
      <c r="A532" s="28"/>
      <c r="B532" s="25"/>
    </row>
    <row r="533" spans="1:2" ht="15.75" thickBot="1" x14ac:dyDescent="0.3">
      <c r="A533" s="28"/>
      <c r="B533" s="25"/>
    </row>
    <row r="534" spans="1:2" ht="15.75" thickBot="1" x14ac:dyDescent="0.3">
      <c r="A534" s="28"/>
      <c r="B534" s="25"/>
    </row>
    <row r="535" spans="1:2" ht="15.75" thickBot="1" x14ac:dyDescent="0.3">
      <c r="A535" s="28"/>
      <c r="B535" s="25"/>
    </row>
    <row r="536" spans="1:2" ht="15.75" thickBot="1" x14ac:dyDescent="0.3">
      <c r="A536" s="28"/>
      <c r="B536" s="25"/>
    </row>
    <row r="537" spans="1:2" ht="15.75" thickBot="1" x14ac:dyDescent="0.3">
      <c r="A537" s="28"/>
      <c r="B537" s="25"/>
    </row>
    <row r="538" spans="1:2" ht="15.75" thickBot="1" x14ac:dyDescent="0.3">
      <c r="A538" s="28"/>
      <c r="B538" s="25"/>
    </row>
    <row r="539" spans="1:2" ht="15.75" thickBot="1" x14ac:dyDescent="0.3">
      <c r="A539" s="28"/>
      <c r="B539" s="25"/>
    </row>
    <row r="540" spans="1:2" ht="15.75" thickBot="1" x14ac:dyDescent="0.3">
      <c r="A540" s="28"/>
      <c r="B540" s="25"/>
    </row>
    <row r="541" spans="1:2" ht="15.75" thickBot="1" x14ac:dyDescent="0.3">
      <c r="A541" s="28"/>
      <c r="B541" s="25"/>
    </row>
    <row r="542" spans="1:2" ht="15.75" thickBot="1" x14ac:dyDescent="0.3">
      <c r="A542" s="28"/>
      <c r="B542" s="25"/>
    </row>
    <row r="543" spans="1:2" ht="15.75" thickBot="1" x14ac:dyDescent="0.3">
      <c r="A543" s="28"/>
      <c r="B543" s="25"/>
    </row>
    <row r="544" spans="1:2" ht="15.75" thickBot="1" x14ac:dyDescent="0.3">
      <c r="A544" s="28"/>
      <c r="B544" s="25"/>
    </row>
    <row r="545" spans="1:2" ht="15.75" thickBot="1" x14ac:dyDescent="0.3">
      <c r="A545" s="28"/>
      <c r="B545" s="25"/>
    </row>
    <row r="546" spans="1:2" ht="15.75" thickBot="1" x14ac:dyDescent="0.3">
      <c r="A546" s="28"/>
      <c r="B546" s="25"/>
    </row>
    <row r="547" spans="1:2" ht="15.75" thickBot="1" x14ac:dyDescent="0.3">
      <c r="A547" s="28"/>
      <c r="B547" s="25"/>
    </row>
    <row r="548" spans="1:2" ht="15.75" thickBot="1" x14ac:dyDescent="0.3">
      <c r="A548" s="28"/>
      <c r="B548" s="25"/>
    </row>
    <row r="549" spans="1:2" ht="15.75" thickBot="1" x14ac:dyDescent="0.3">
      <c r="A549" s="28"/>
      <c r="B549" s="25"/>
    </row>
    <row r="550" spans="1:2" ht="15.75" thickBot="1" x14ac:dyDescent="0.3">
      <c r="A550" s="28"/>
      <c r="B550" s="25"/>
    </row>
    <row r="551" spans="1:2" ht="15.75" thickBot="1" x14ac:dyDescent="0.3">
      <c r="A551" s="28"/>
      <c r="B551" s="25"/>
    </row>
    <row r="552" spans="1:2" ht="15.75" thickBot="1" x14ac:dyDescent="0.3">
      <c r="A552" s="28"/>
      <c r="B552" s="25"/>
    </row>
    <row r="553" spans="1:2" ht="15.75" thickBot="1" x14ac:dyDescent="0.3">
      <c r="A553" s="28"/>
      <c r="B553" s="25"/>
    </row>
    <row r="554" spans="1:2" ht="15.75" thickBot="1" x14ac:dyDescent="0.3">
      <c r="A554" s="28"/>
      <c r="B554" s="25"/>
    </row>
    <row r="555" spans="1:2" ht="15.75" thickBot="1" x14ac:dyDescent="0.3">
      <c r="A555" s="28"/>
      <c r="B555" s="25"/>
    </row>
    <row r="556" spans="1:2" ht="15.75" thickBot="1" x14ac:dyDescent="0.3">
      <c r="A556" s="28"/>
      <c r="B556" s="25"/>
    </row>
    <row r="557" spans="1:2" ht="15.75" thickBot="1" x14ac:dyDescent="0.3">
      <c r="A557" s="28"/>
      <c r="B557" s="25"/>
    </row>
    <row r="558" spans="1:2" ht="15.75" thickBot="1" x14ac:dyDescent="0.3">
      <c r="A558" s="28"/>
      <c r="B558" s="25"/>
    </row>
    <row r="559" spans="1:2" ht="15.75" thickBot="1" x14ac:dyDescent="0.3">
      <c r="A559" s="28"/>
      <c r="B559" s="25"/>
    </row>
    <row r="560" spans="1:2" ht="15.75" thickBot="1" x14ac:dyDescent="0.3">
      <c r="A560" s="28"/>
      <c r="B560" s="25"/>
    </row>
    <row r="561" spans="1:2" ht="15.75" thickBot="1" x14ac:dyDescent="0.3">
      <c r="A561" s="28"/>
      <c r="B561" s="25"/>
    </row>
    <row r="562" spans="1:2" ht="15.75" thickBot="1" x14ac:dyDescent="0.3">
      <c r="A562" s="28"/>
      <c r="B562" s="25"/>
    </row>
    <row r="563" spans="1:2" ht="15.75" thickBot="1" x14ac:dyDescent="0.3">
      <c r="A563" s="28"/>
      <c r="B563" s="25"/>
    </row>
    <row r="564" spans="1:2" ht="15.75" thickBot="1" x14ac:dyDescent="0.3">
      <c r="A564" s="28"/>
      <c r="B564" s="25"/>
    </row>
    <row r="565" spans="1:2" ht="15.75" thickBot="1" x14ac:dyDescent="0.3">
      <c r="A565" s="28"/>
      <c r="B565" s="25"/>
    </row>
    <row r="566" spans="1:2" ht="15.75" thickBot="1" x14ac:dyDescent="0.3">
      <c r="A566" s="28"/>
      <c r="B566" s="25"/>
    </row>
    <row r="567" spans="1:2" ht="15.75" thickBot="1" x14ac:dyDescent="0.3">
      <c r="A567" s="28"/>
      <c r="B567" s="25"/>
    </row>
    <row r="568" spans="1:2" ht="15.75" thickBot="1" x14ac:dyDescent="0.3">
      <c r="A568" s="28"/>
      <c r="B568" s="25"/>
    </row>
    <row r="569" spans="1:2" ht="15.75" thickBot="1" x14ac:dyDescent="0.3">
      <c r="A569" s="28"/>
      <c r="B569" s="25"/>
    </row>
    <row r="570" spans="1:2" ht="15.75" thickBot="1" x14ac:dyDescent="0.3">
      <c r="A570" s="28"/>
      <c r="B570" s="25"/>
    </row>
    <row r="571" spans="1:2" ht="15.75" thickBot="1" x14ac:dyDescent="0.3">
      <c r="A571" s="28"/>
      <c r="B571" s="25"/>
    </row>
    <row r="572" spans="1:2" ht="15.75" thickBot="1" x14ac:dyDescent="0.3">
      <c r="A572" s="28"/>
      <c r="B572" s="25"/>
    </row>
    <row r="573" spans="1:2" ht="15.75" thickBot="1" x14ac:dyDescent="0.3">
      <c r="A573" s="28"/>
      <c r="B573" s="25"/>
    </row>
    <row r="574" spans="1:2" ht="15.75" thickBot="1" x14ac:dyDescent="0.3">
      <c r="A574" s="28"/>
      <c r="B574" s="25"/>
    </row>
    <row r="575" spans="1:2" ht="15.75" thickBot="1" x14ac:dyDescent="0.3">
      <c r="A575" s="28"/>
      <c r="B575" s="25"/>
    </row>
    <row r="576" spans="1:2" ht="15.75" thickBot="1" x14ac:dyDescent="0.3">
      <c r="A576" s="28"/>
      <c r="B576" s="25"/>
    </row>
    <row r="577" spans="1:2" ht="15.75" thickBot="1" x14ac:dyDescent="0.3">
      <c r="A577" s="28"/>
      <c r="B577" s="25"/>
    </row>
    <row r="578" spans="1:2" ht="15.75" thickBot="1" x14ac:dyDescent="0.3">
      <c r="A578" s="28"/>
      <c r="B578" s="25"/>
    </row>
    <row r="579" spans="1:2" ht="15.75" thickBot="1" x14ac:dyDescent="0.3">
      <c r="A579" s="28"/>
      <c r="B579" s="25"/>
    </row>
    <row r="580" spans="1:2" ht="15.75" thickBot="1" x14ac:dyDescent="0.3">
      <c r="A580" s="28"/>
      <c r="B580" s="25"/>
    </row>
    <row r="581" spans="1:2" ht="15.75" thickBot="1" x14ac:dyDescent="0.3">
      <c r="A581" s="28"/>
      <c r="B581" s="25"/>
    </row>
    <row r="582" spans="1:2" ht="15.75" thickBot="1" x14ac:dyDescent="0.3">
      <c r="A582" s="28"/>
      <c r="B582" s="25"/>
    </row>
    <row r="583" spans="1:2" ht="15.75" thickBot="1" x14ac:dyDescent="0.3">
      <c r="A583" s="28"/>
      <c r="B583" s="25"/>
    </row>
    <row r="584" spans="1:2" ht="15.75" thickBot="1" x14ac:dyDescent="0.3">
      <c r="A584" s="28"/>
      <c r="B584" s="25"/>
    </row>
    <row r="585" spans="1:2" ht="15.75" thickBot="1" x14ac:dyDescent="0.3">
      <c r="A585" s="28"/>
      <c r="B585" s="25"/>
    </row>
    <row r="586" spans="1:2" ht="15.75" thickBot="1" x14ac:dyDescent="0.3">
      <c r="A586" s="28"/>
      <c r="B586" s="25"/>
    </row>
    <row r="587" spans="1:2" ht="15.75" thickBot="1" x14ac:dyDescent="0.3">
      <c r="A587" s="28"/>
      <c r="B587" s="25"/>
    </row>
    <row r="588" spans="1:2" ht="15.75" thickBot="1" x14ac:dyDescent="0.3">
      <c r="A588" s="28"/>
      <c r="B588" s="25"/>
    </row>
    <row r="589" spans="1:2" ht="15.75" thickBot="1" x14ac:dyDescent="0.3">
      <c r="A589" s="28"/>
      <c r="B589" s="25"/>
    </row>
    <row r="590" spans="1:2" ht="15.75" thickBot="1" x14ac:dyDescent="0.3">
      <c r="A590" s="28"/>
      <c r="B590" s="25"/>
    </row>
    <row r="591" spans="1:2" ht="15.75" thickBot="1" x14ac:dyDescent="0.3">
      <c r="A591" s="28"/>
      <c r="B591" s="25"/>
    </row>
    <row r="592" spans="1:2" ht="15.75" thickBot="1" x14ac:dyDescent="0.3">
      <c r="A592" s="28"/>
      <c r="B592" s="25"/>
    </row>
    <row r="593" spans="1:2" ht="15.75" thickBot="1" x14ac:dyDescent="0.3">
      <c r="A593" s="28"/>
      <c r="B593" s="25"/>
    </row>
    <row r="594" spans="1:2" ht="15.75" thickBot="1" x14ac:dyDescent="0.3">
      <c r="A594" s="28"/>
      <c r="B594" s="25"/>
    </row>
    <row r="595" spans="1:2" ht="15.75" thickBot="1" x14ac:dyDescent="0.3">
      <c r="A595" s="28"/>
      <c r="B595" s="25"/>
    </row>
    <row r="596" spans="1:2" ht="15.75" thickBot="1" x14ac:dyDescent="0.3">
      <c r="A596" s="28"/>
      <c r="B596" s="25"/>
    </row>
    <row r="597" spans="1:2" ht="15.75" thickBot="1" x14ac:dyDescent="0.3">
      <c r="A597" s="28"/>
      <c r="B597" s="25"/>
    </row>
    <row r="598" spans="1:2" ht="15.75" thickBot="1" x14ac:dyDescent="0.3">
      <c r="A598" s="28"/>
      <c r="B598" s="25"/>
    </row>
    <row r="599" spans="1:2" ht="15.75" thickBot="1" x14ac:dyDescent="0.3">
      <c r="A599" s="28"/>
      <c r="B599" s="25"/>
    </row>
    <row r="600" spans="1:2" ht="15.75" thickBot="1" x14ac:dyDescent="0.3">
      <c r="A600" s="28"/>
      <c r="B600" s="25"/>
    </row>
    <row r="601" spans="1:2" ht="15.75" thickBot="1" x14ac:dyDescent="0.3">
      <c r="A601" s="28"/>
      <c r="B601" s="25"/>
    </row>
    <row r="602" spans="1:2" ht="15.75" thickBot="1" x14ac:dyDescent="0.3">
      <c r="A602" s="28"/>
      <c r="B602" s="25"/>
    </row>
    <row r="603" spans="1:2" ht="15.75" thickBot="1" x14ac:dyDescent="0.3">
      <c r="A603" s="28"/>
      <c r="B603" s="25"/>
    </row>
    <row r="604" spans="1:2" ht="15.75" thickBot="1" x14ac:dyDescent="0.3">
      <c r="A604" s="28"/>
      <c r="B604" s="25"/>
    </row>
    <row r="605" spans="1:2" ht="15.75" thickBot="1" x14ac:dyDescent="0.3">
      <c r="A605" s="28"/>
      <c r="B605" s="25"/>
    </row>
    <row r="606" spans="1:2" ht="15.75" thickBot="1" x14ac:dyDescent="0.3">
      <c r="A606" s="28"/>
      <c r="B606" s="25"/>
    </row>
    <row r="607" spans="1:2" ht="15.75" thickBot="1" x14ac:dyDescent="0.3">
      <c r="A607" s="28"/>
      <c r="B607" s="25"/>
    </row>
    <row r="608" spans="1:2" ht="15.75" thickBot="1" x14ac:dyDescent="0.3">
      <c r="A608" s="28"/>
      <c r="B608" s="25"/>
    </row>
    <row r="609" spans="1:2" ht="15.75" thickBot="1" x14ac:dyDescent="0.3">
      <c r="A609" s="28"/>
      <c r="B609" s="25"/>
    </row>
    <row r="610" spans="1:2" ht="15.75" thickBot="1" x14ac:dyDescent="0.3">
      <c r="A610" s="28"/>
      <c r="B610" s="25"/>
    </row>
    <row r="611" spans="1:2" ht="15.75" thickBot="1" x14ac:dyDescent="0.3">
      <c r="A611" s="28"/>
      <c r="B611" s="25"/>
    </row>
    <row r="612" spans="1:2" ht="15.75" thickBot="1" x14ac:dyDescent="0.3">
      <c r="A612" s="28"/>
      <c r="B612" s="25"/>
    </row>
    <row r="613" spans="1:2" ht="15.75" thickBot="1" x14ac:dyDescent="0.3">
      <c r="A613" s="28"/>
      <c r="B613" s="25"/>
    </row>
    <row r="614" spans="1:2" ht="15.75" thickBot="1" x14ac:dyDescent="0.3">
      <c r="A614" s="28"/>
      <c r="B614" s="25"/>
    </row>
    <row r="615" spans="1:2" ht="15.75" thickBot="1" x14ac:dyDescent="0.3">
      <c r="A615" s="28"/>
      <c r="B615" s="25"/>
    </row>
    <row r="616" spans="1:2" ht="15.75" thickBot="1" x14ac:dyDescent="0.3">
      <c r="A616" s="28"/>
      <c r="B616" s="25"/>
    </row>
    <row r="617" spans="1:2" ht="15.75" thickBot="1" x14ac:dyDescent="0.3">
      <c r="A617" s="28"/>
      <c r="B617" s="25"/>
    </row>
    <row r="618" spans="1:2" ht="15.75" thickBot="1" x14ac:dyDescent="0.3">
      <c r="A618" s="28"/>
      <c r="B618" s="25"/>
    </row>
    <row r="619" spans="1:2" ht="15.75" thickBot="1" x14ac:dyDescent="0.3">
      <c r="A619" s="28"/>
      <c r="B619" s="25"/>
    </row>
    <row r="620" spans="1:2" ht="15.75" thickBot="1" x14ac:dyDescent="0.3">
      <c r="A620" s="28"/>
      <c r="B620" s="25"/>
    </row>
    <row r="621" spans="1:2" ht="15.75" thickBot="1" x14ac:dyDescent="0.3">
      <c r="A621" s="28"/>
      <c r="B621" s="25"/>
    </row>
    <row r="622" spans="1:2" ht="15.75" thickBot="1" x14ac:dyDescent="0.3">
      <c r="A622" s="28"/>
      <c r="B622" s="25"/>
    </row>
    <row r="623" spans="1:2" ht="15.75" thickBot="1" x14ac:dyDescent="0.3">
      <c r="A623" s="28"/>
      <c r="B623" s="25"/>
    </row>
    <row r="624" spans="1:2" ht="15.75" thickBot="1" x14ac:dyDescent="0.3">
      <c r="A624" s="28"/>
      <c r="B624" s="25"/>
    </row>
    <row r="625" spans="1:2" ht="15.75" thickBot="1" x14ac:dyDescent="0.3">
      <c r="A625" s="28"/>
      <c r="B625" s="25"/>
    </row>
    <row r="626" spans="1:2" ht="15.75" thickBot="1" x14ac:dyDescent="0.3">
      <c r="A626" s="28"/>
      <c r="B626" s="25"/>
    </row>
    <row r="627" spans="1:2" ht="15.75" thickBot="1" x14ac:dyDescent="0.3">
      <c r="A627" s="28"/>
      <c r="B627" s="25"/>
    </row>
    <row r="628" spans="1:2" ht="15.75" thickBot="1" x14ac:dyDescent="0.3">
      <c r="A628" s="28"/>
      <c r="B628" s="25"/>
    </row>
    <row r="629" spans="1:2" ht="15.75" thickBot="1" x14ac:dyDescent="0.3">
      <c r="A629" s="28"/>
      <c r="B629" s="25"/>
    </row>
    <row r="630" spans="1:2" ht="15.75" thickBot="1" x14ac:dyDescent="0.3">
      <c r="A630" s="28"/>
      <c r="B630" s="25"/>
    </row>
    <row r="631" spans="1:2" ht="15.75" thickBot="1" x14ac:dyDescent="0.3">
      <c r="A631" s="28"/>
      <c r="B631" s="25"/>
    </row>
    <row r="632" spans="1:2" ht="15.75" thickBot="1" x14ac:dyDescent="0.3">
      <c r="A632" s="28"/>
      <c r="B632" s="25"/>
    </row>
    <row r="633" spans="1:2" ht="15.75" thickBot="1" x14ac:dyDescent="0.3">
      <c r="A633" s="28"/>
      <c r="B633" s="25"/>
    </row>
    <row r="634" spans="1:2" ht="15.75" thickBot="1" x14ac:dyDescent="0.3">
      <c r="A634" s="28"/>
      <c r="B634" s="25"/>
    </row>
    <row r="635" spans="1:2" ht="15.75" thickBot="1" x14ac:dyDescent="0.3">
      <c r="A635" s="28"/>
      <c r="B635" s="25"/>
    </row>
    <row r="636" spans="1:2" ht="15.75" thickBot="1" x14ac:dyDescent="0.3">
      <c r="A636" s="28"/>
      <c r="B636" s="25"/>
    </row>
    <row r="637" spans="1:2" ht="15.75" thickBot="1" x14ac:dyDescent="0.3">
      <c r="A637" s="28"/>
      <c r="B637" s="25"/>
    </row>
    <row r="638" spans="1:2" ht="15.75" thickBot="1" x14ac:dyDescent="0.3">
      <c r="A638" s="28"/>
      <c r="B638" s="25"/>
    </row>
    <row r="639" spans="1:2" ht="15.75" thickBot="1" x14ac:dyDescent="0.3">
      <c r="A639" s="28"/>
      <c r="B639" s="25"/>
    </row>
    <row r="640" spans="1:2" ht="15.75" thickBot="1" x14ac:dyDescent="0.3">
      <c r="A640" s="28"/>
      <c r="B640" s="25"/>
    </row>
    <row r="641" spans="1:2" ht="15.75" thickBot="1" x14ac:dyDescent="0.3">
      <c r="A641" s="28"/>
      <c r="B641" s="25"/>
    </row>
    <row r="642" spans="1:2" ht="15.75" thickBot="1" x14ac:dyDescent="0.3">
      <c r="A642" s="28"/>
      <c r="B642" s="25"/>
    </row>
    <row r="643" spans="1:2" ht="15.75" thickBot="1" x14ac:dyDescent="0.3">
      <c r="A643" s="28"/>
      <c r="B643" s="25"/>
    </row>
    <row r="644" spans="1:2" ht="15.75" thickBot="1" x14ac:dyDescent="0.3">
      <c r="A644" s="28"/>
      <c r="B644" s="25"/>
    </row>
    <row r="645" spans="1:2" ht="15.75" thickBot="1" x14ac:dyDescent="0.3">
      <c r="A645" s="28"/>
      <c r="B645" s="25"/>
    </row>
    <row r="646" spans="1:2" ht="15.75" thickBot="1" x14ac:dyDescent="0.3">
      <c r="A646" s="28"/>
      <c r="B646" s="25"/>
    </row>
    <row r="647" spans="1:2" ht="15.75" thickBot="1" x14ac:dyDescent="0.3">
      <c r="A647" s="28"/>
      <c r="B647" s="25"/>
    </row>
    <row r="648" spans="1:2" ht="15.75" thickBot="1" x14ac:dyDescent="0.3">
      <c r="A648" s="28"/>
      <c r="B648" s="25"/>
    </row>
    <row r="649" spans="1:2" ht="15.75" thickBot="1" x14ac:dyDescent="0.3">
      <c r="A649" s="28"/>
      <c r="B649" s="25"/>
    </row>
    <row r="650" spans="1:2" ht="15.75" thickBot="1" x14ac:dyDescent="0.3">
      <c r="A650" s="28"/>
      <c r="B650" s="25"/>
    </row>
    <row r="651" spans="1:2" ht="15.75" thickBot="1" x14ac:dyDescent="0.3">
      <c r="A651" s="28"/>
      <c r="B651" s="25"/>
    </row>
    <row r="652" spans="1:2" ht="15.75" thickBot="1" x14ac:dyDescent="0.3">
      <c r="A652" s="28"/>
      <c r="B652" s="25"/>
    </row>
    <row r="653" spans="1:2" ht="15.75" thickBot="1" x14ac:dyDescent="0.3">
      <c r="A653" s="28"/>
      <c r="B653" s="25"/>
    </row>
    <row r="654" spans="1:2" ht="15.75" thickBot="1" x14ac:dyDescent="0.3">
      <c r="A654" s="28"/>
      <c r="B654" s="25"/>
    </row>
    <row r="655" spans="1:2" ht="15.75" thickBot="1" x14ac:dyDescent="0.3">
      <c r="A655" s="28"/>
      <c r="B655" s="25"/>
    </row>
    <row r="656" spans="1:2" ht="15.75" thickBot="1" x14ac:dyDescent="0.3">
      <c r="A656" s="28"/>
      <c r="B656" s="25"/>
    </row>
    <row r="657" spans="1:2" ht="15.75" thickBot="1" x14ac:dyDescent="0.3">
      <c r="A657" s="28"/>
      <c r="B657" s="25"/>
    </row>
    <row r="658" spans="1:2" ht="15.75" thickBot="1" x14ac:dyDescent="0.3">
      <c r="A658" s="28"/>
      <c r="B658" s="25"/>
    </row>
    <row r="659" spans="1:2" ht="15.75" thickBot="1" x14ac:dyDescent="0.3">
      <c r="A659" s="28"/>
      <c r="B659" s="25"/>
    </row>
    <row r="660" spans="1:2" ht="15.75" thickBot="1" x14ac:dyDescent="0.3">
      <c r="A660" s="28"/>
      <c r="B660" s="25"/>
    </row>
    <row r="661" spans="1:2" ht="15.75" thickBot="1" x14ac:dyDescent="0.3">
      <c r="A661" s="28"/>
      <c r="B661" s="25"/>
    </row>
    <row r="662" spans="1:2" ht="15.75" thickBot="1" x14ac:dyDescent="0.3">
      <c r="A662" s="28"/>
      <c r="B662" s="25"/>
    </row>
    <row r="663" spans="1:2" ht="15.75" thickBot="1" x14ac:dyDescent="0.3">
      <c r="A663" s="28"/>
      <c r="B663" s="25"/>
    </row>
    <row r="664" spans="1:2" ht="15.75" thickBot="1" x14ac:dyDescent="0.3">
      <c r="A664" s="28"/>
      <c r="B664" s="25"/>
    </row>
    <row r="665" spans="1:2" ht="15.75" thickBot="1" x14ac:dyDescent="0.3">
      <c r="A665" s="28"/>
      <c r="B665" s="25"/>
    </row>
    <row r="666" spans="1:2" ht="15.75" thickBot="1" x14ac:dyDescent="0.3">
      <c r="A666" s="28"/>
      <c r="B666" s="25"/>
    </row>
    <row r="667" spans="1:2" ht="15.75" thickBot="1" x14ac:dyDescent="0.3">
      <c r="A667" s="28"/>
      <c r="B667" s="25"/>
    </row>
    <row r="668" spans="1:2" ht="15.75" thickBot="1" x14ac:dyDescent="0.3">
      <c r="A668" s="28"/>
      <c r="B668" s="25"/>
    </row>
    <row r="669" spans="1:2" ht="15.75" thickBot="1" x14ac:dyDescent="0.3">
      <c r="A669" s="28"/>
      <c r="B669" s="25"/>
    </row>
    <row r="670" spans="1:2" ht="15.75" thickBot="1" x14ac:dyDescent="0.3">
      <c r="A670" s="28"/>
      <c r="B670" s="25"/>
    </row>
    <row r="671" spans="1:2" ht="15.75" thickBot="1" x14ac:dyDescent="0.3">
      <c r="A671" s="28"/>
      <c r="B671" s="25"/>
    </row>
    <row r="672" spans="1:2" ht="15.75" thickBot="1" x14ac:dyDescent="0.3">
      <c r="A672" s="28"/>
      <c r="B672" s="25"/>
    </row>
    <row r="673" spans="1:2" ht="15.75" thickBot="1" x14ac:dyDescent="0.3">
      <c r="A673" s="28"/>
      <c r="B673" s="25"/>
    </row>
    <row r="674" spans="1:2" ht="15.75" thickBot="1" x14ac:dyDescent="0.3">
      <c r="A674" s="28"/>
      <c r="B674" s="25"/>
    </row>
    <row r="675" spans="1:2" ht="15.75" thickBot="1" x14ac:dyDescent="0.3">
      <c r="A675" s="28"/>
      <c r="B675" s="25"/>
    </row>
    <row r="676" spans="1:2" ht="15.75" thickBot="1" x14ac:dyDescent="0.3">
      <c r="A676" s="28"/>
      <c r="B676" s="25"/>
    </row>
    <row r="677" spans="1:2" ht="15.75" thickBot="1" x14ac:dyDescent="0.3">
      <c r="A677" s="28"/>
      <c r="B677" s="25"/>
    </row>
    <row r="678" spans="1:2" ht="15.75" thickBot="1" x14ac:dyDescent="0.3">
      <c r="A678" s="28"/>
      <c r="B678" s="25"/>
    </row>
    <row r="679" spans="1:2" ht="15.75" thickBot="1" x14ac:dyDescent="0.3">
      <c r="A679" s="28"/>
      <c r="B679" s="25"/>
    </row>
    <row r="680" spans="1:2" ht="15.75" thickBot="1" x14ac:dyDescent="0.3">
      <c r="A680" s="28"/>
      <c r="B680" s="25"/>
    </row>
    <row r="681" spans="1:2" ht="15.75" thickBot="1" x14ac:dyDescent="0.3">
      <c r="A681" s="28"/>
      <c r="B681" s="25"/>
    </row>
    <row r="682" spans="1:2" ht="15.75" thickBot="1" x14ac:dyDescent="0.3">
      <c r="A682" s="28"/>
      <c r="B682" s="25"/>
    </row>
    <row r="683" spans="1:2" ht="15.75" thickBot="1" x14ac:dyDescent="0.3">
      <c r="A683" s="28"/>
      <c r="B683" s="25"/>
    </row>
    <row r="684" spans="1:2" ht="15.75" thickBot="1" x14ac:dyDescent="0.3">
      <c r="A684" s="28"/>
      <c r="B684" s="25"/>
    </row>
    <row r="685" spans="1:2" ht="15.75" thickBot="1" x14ac:dyDescent="0.3">
      <c r="A685" s="28"/>
      <c r="B685" s="25"/>
    </row>
    <row r="686" spans="1:2" ht="15.75" thickBot="1" x14ac:dyDescent="0.3">
      <c r="A686" s="28"/>
      <c r="B686" s="25"/>
    </row>
    <row r="687" spans="1:2" ht="15.75" thickBot="1" x14ac:dyDescent="0.3">
      <c r="A687" s="28"/>
      <c r="B687" s="25"/>
    </row>
    <row r="688" spans="1:2" ht="15.75" thickBot="1" x14ac:dyDescent="0.3">
      <c r="A688" s="28"/>
      <c r="B688" s="25"/>
    </row>
    <row r="689" spans="1:2" ht="15.75" thickBot="1" x14ac:dyDescent="0.3">
      <c r="A689" s="28"/>
      <c r="B689" s="25"/>
    </row>
    <row r="690" spans="1:2" ht="15.75" thickBot="1" x14ac:dyDescent="0.3">
      <c r="A690" s="28"/>
      <c r="B690" s="25"/>
    </row>
    <row r="691" spans="1:2" ht="15.75" thickBot="1" x14ac:dyDescent="0.3">
      <c r="A691" s="28"/>
      <c r="B691" s="25"/>
    </row>
    <row r="692" spans="1:2" ht="15.75" thickBot="1" x14ac:dyDescent="0.3">
      <c r="A692" s="28"/>
      <c r="B692" s="25"/>
    </row>
    <row r="693" spans="1:2" ht="15.75" thickBot="1" x14ac:dyDescent="0.3">
      <c r="A693" s="28"/>
      <c r="B693" s="25"/>
    </row>
    <row r="694" spans="1:2" ht="15.75" thickBot="1" x14ac:dyDescent="0.3">
      <c r="A694" s="28"/>
      <c r="B694" s="25"/>
    </row>
    <row r="695" spans="1:2" ht="15.75" thickBot="1" x14ac:dyDescent="0.3">
      <c r="A695" s="28"/>
      <c r="B695" s="25"/>
    </row>
    <row r="696" spans="1:2" ht="15.75" thickBot="1" x14ac:dyDescent="0.3">
      <c r="A696" s="28"/>
      <c r="B696" s="25"/>
    </row>
    <row r="697" spans="1:2" ht="15.75" thickBot="1" x14ac:dyDescent="0.3">
      <c r="A697" s="28"/>
      <c r="B697" s="25"/>
    </row>
    <row r="698" spans="1:2" ht="15.75" thickBot="1" x14ac:dyDescent="0.3">
      <c r="A698" s="28"/>
      <c r="B698" s="25"/>
    </row>
    <row r="699" spans="1:2" ht="15.75" thickBot="1" x14ac:dyDescent="0.3">
      <c r="A699" s="28"/>
      <c r="B699" s="25"/>
    </row>
    <row r="700" spans="1:2" ht="15.75" thickBot="1" x14ac:dyDescent="0.3">
      <c r="A700" s="28"/>
      <c r="B700" s="25"/>
    </row>
    <row r="701" spans="1:2" ht="15.75" thickBot="1" x14ac:dyDescent="0.3">
      <c r="A701" s="28"/>
      <c r="B701" s="25"/>
    </row>
    <row r="702" spans="1:2" ht="15.75" thickBot="1" x14ac:dyDescent="0.3">
      <c r="A702" s="28"/>
      <c r="B702" s="25"/>
    </row>
    <row r="703" spans="1:2" ht="15.75" thickBot="1" x14ac:dyDescent="0.3">
      <c r="A703" s="28"/>
      <c r="B703" s="25"/>
    </row>
    <row r="704" spans="1:2" ht="15.75" thickBot="1" x14ac:dyDescent="0.3">
      <c r="A704" s="28"/>
      <c r="B704" s="25"/>
    </row>
    <row r="705" spans="1:2" ht="15.75" thickBot="1" x14ac:dyDescent="0.3">
      <c r="A705" s="28"/>
      <c r="B705" s="25"/>
    </row>
    <row r="706" spans="1:2" ht="15.75" thickBot="1" x14ac:dyDescent="0.3">
      <c r="A706" s="28"/>
      <c r="B706" s="25"/>
    </row>
    <row r="707" spans="1:2" ht="15.75" thickBot="1" x14ac:dyDescent="0.3">
      <c r="A707" s="28"/>
      <c r="B707" s="25"/>
    </row>
    <row r="708" spans="1:2" ht="15.75" thickBot="1" x14ac:dyDescent="0.3">
      <c r="A708" s="28"/>
      <c r="B708" s="25"/>
    </row>
    <row r="709" spans="1:2" ht="15.75" thickBot="1" x14ac:dyDescent="0.3">
      <c r="A709" s="28"/>
      <c r="B709" s="25"/>
    </row>
    <row r="710" spans="1:2" ht="15.75" thickBot="1" x14ac:dyDescent="0.3">
      <c r="A710" s="28"/>
      <c r="B710" s="25"/>
    </row>
    <row r="711" spans="1:2" ht="15.75" thickBot="1" x14ac:dyDescent="0.3">
      <c r="A711" s="28"/>
      <c r="B711" s="25"/>
    </row>
    <row r="712" spans="1:2" ht="15.75" thickBot="1" x14ac:dyDescent="0.3">
      <c r="A712" s="28"/>
      <c r="B712" s="25"/>
    </row>
    <row r="713" spans="1:2" ht="15.75" thickBot="1" x14ac:dyDescent="0.3">
      <c r="A713" s="28"/>
      <c r="B713" s="25"/>
    </row>
    <row r="714" spans="1:2" ht="15.75" thickBot="1" x14ac:dyDescent="0.3">
      <c r="A714" s="28"/>
      <c r="B714" s="25"/>
    </row>
    <row r="715" spans="1:2" ht="15.75" thickBot="1" x14ac:dyDescent="0.3">
      <c r="A715" s="28"/>
      <c r="B715" s="25"/>
    </row>
    <row r="716" spans="1:2" ht="15.75" thickBot="1" x14ac:dyDescent="0.3">
      <c r="A716" s="28"/>
      <c r="B716" s="25"/>
    </row>
    <row r="717" spans="1:2" ht="15.75" thickBot="1" x14ac:dyDescent="0.3">
      <c r="A717" s="28"/>
      <c r="B717" s="25"/>
    </row>
    <row r="718" spans="1:2" ht="15.75" thickBot="1" x14ac:dyDescent="0.3">
      <c r="A718" s="28"/>
      <c r="B718" s="25"/>
    </row>
    <row r="719" spans="1:2" ht="15.75" thickBot="1" x14ac:dyDescent="0.3">
      <c r="A719" s="28"/>
      <c r="B719" s="25"/>
    </row>
    <row r="720" spans="1:2" ht="15.75" thickBot="1" x14ac:dyDescent="0.3">
      <c r="A720" s="28"/>
      <c r="B720" s="25"/>
    </row>
    <row r="721" spans="1:2" ht="15.75" thickBot="1" x14ac:dyDescent="0.3">
      <c r="A721" s="28"/>
      <c r="B721" s="25"/>
    </row>
    <row r="722" spans="1:2" ht="15.75" thickBot="1" x14ac:dyDescent="0.3">
      <c r="A722" s="28"/>
      <c r="B722" s="25"/>
    </row>
    <row r="723" spans="1:2" ht="15.75" thickBot="1" x14ac:dyDescent="0.3">
      <c r="A723" s="28"/>
      <c r="B723" s="25"/>
    </row>
    <row r="724" spans="1:2" ht="15.75" thickBot="1" x14ac:dyDescent="0.3">
      <c r="A724" s="28"/>
      <c r="B724" s="25"/>
    </row>
    <row r="725" spans="1:2" ht="15.75" thickBot="1" x14ac:dyDescent="0.3">
      <c r="A725" s="28"/>
      <c r="B725" s="25"/>
    </row>
    <row r="726" spans="1:2" ht="15.75" thickBot="1" x14ac:dyDescent="0.3">
      <c r="A726" s="28"/>
      <c r="B726" s="25"/>
    </row>
    <row r="727" spans="1:2" ht="15.75" thickBot="1" x14ac:dyDescent="0.3">
      <c r="A727" s="28"/>
      <c r="B727" s="25"/>
    </row>
    <row r="728" spans="1:2" ht="15.75" thickBot="1" x14ac:dyDescent="0.3">
      <c r="A728" s="28"/>
      <c r="B728" s="25"/>
    </row>
    <row r="729" spans="1:2" ht="15.75" thickBot="1" x14ac:dyDescent="0.3">
      <c r="A729" s="28"/>
      <c r="B729" s="25"/>
    </row>
    <row r="730" spans="1:2" ht="15.75" thickBot="1" x14ac:dyDescent="0.3">
      <c r="A730" s="28"/>
      <c r="B730" s="25"/>
    </row>
    <row r="731" spans="1:2" ht="15.75" thickBot="1" x14ac:dyDescent="0.3">
      <c r="A731" s="28"/>
      <c r="B731" s="25"/>
    </row>
    <row r="732" spans="1:2" ht="15.75" thickBot="1" x14ac:dyDescent="0.3">
      <c r="A732" s="28"/>
      <c r="B732" s="25"/>
    </row>
    <row r="733" spans="1:2" ht="15.75" thickBot="1" x14ac:dyDescent="0.3">
      <c r="A733" s="28"/>
      <c r="B733" s="25"/>
    </row>
    <row r="734" spans="1:2" ht="15.75" thickBot="1" x14ac:dyDescent="0.3">
      <c r="A734" s="28"/>
      <c r="B734" s="25"/>
    </row>
    <row r="735" spans="1:2" ht="15.75" thickBot="1" x14ac:dyDescent="0.3">
      <c r="A735" s="28"/>
      <c r="B735" s="25"/>
    </row>
    <row r="736" spans="1:2" ht="15.75" thickBot="1" x14ac:dyDescent="0.3">
      <c r="A736" s="28"/>
      <c r="B736" s="25"/>
    </row>
    <row r="737" spans="1:2" ht="15.75" thickBot="1" x14ac:dyDescent="0.3">
      <c r="A737" s="28"/>
      <c r="B737" s="25"/>
    </row>
    <row r="738" spans="1:2" ht="15.75" thickBot="1" x14ac:dyDescent="0.3">
      <c r="A738" s="28"/>
      <c r="B738" s="25"/>
    </row>
    <row r="739" spans="1:2" ht="15.75" thickBot="1" x14ac:dyDescent="0.3">
      <c r="A739" s="28"/>
      <c r="B739" s="25"/>
    </row>
    <row r="740" spans="1:2" ht="15.75" thickBot="1" x14ac:dyDescent="0.3">
      <c r="A740" s="28"/>
      <c r="B740" s="25"/>
    </row>
    <row r="741" spans="1:2" ht="15.75" thickBot="1" x14ac:dyDescent="0.3">
      <c r="A741" s="28"/>
      <c r="B741" s="25"/>
    </row>
    <row r="742" spans="1:2" ht="15.75" thickBot="1" x14ac:dyDescent="0.3">
      <c r="A742" s="28"/>
      <c r="B742" s="25"/>
    </row>
    <row r="743" spans="1:2" ht="15.75" thickBot="1" x14ac:dyDescent="0.3">
      <c r="A743" s="28"/>
      <c r="B743" s="25"/>
    </row>
    <row r="744" spans="1:2" ht="15.75" thickBot="1" x14ac:dyDescent="0.3">
      <c r="A744" s="28"/>
      <c r="B744" s="25"/>
    </row>
    <row r="745" spans="1:2" ht="15.75" thickBot="1" x14ac:dyDescent="0.3">
      <c r="A745" s="28"/>
      <c r="B745" s="25"/>
    </row>
    <row r="746" spans="1:2" ht="15.75" thickBot="1" x14ac:dyDescent="0.3">
      <c r="A746" s="28"/>
      <c r="B746" s="25"/>
    </row>
    <row r="747" spans="1:2" ht="15.75" thickBot="1" x14ac:dyDescent="0.3">
      <c r="A747" s="28"/>
      <c r="B747" s="25"/>
    </row>
    <row r="748" spans="1:2" ht="15.75" thickBot="1" x14ac:dyDescent="0.3">
      <c r="A748" s="28"/>
      <c r="B748" s="25"/>
    </row>
    <row r="749" spans="1:2" ht="15.75" thickBot="1" x14ac:dyDescent="0.3">
      <c r="A749" s="28"/>
      <c r="B749" s="25"/>
    </row>
    <row r="750" spans="1:2" ht="15.75" thickBot="1" x14ac:dyDescent="0.3">
      <c r="A750" s="28"/>
      <c r="B750" s="25"/>
    </row>
    <row r="751" spans="1:2" ht="15.75" thickBot="1" x14ac:dyDescent="0.3">
      <c r="A751" s="28"/>
      <c r="B751" s="25"/>
    </row>
    <row r="752" spans="1:2" ht="15.75" thickBot="1" x14ac:dyDescent="0.3">
      <c r="A752" s="28"/>
      <c r="B752" s="25"/>
    </row>
    <row r="753" spans="1:2" ht="15.75" thickBot="1" x14ac:dyDescent="0.3">
      <c r="A753" s="28"/>
      <c r="B753" s="25"/>
    </row>
    <row r="754" spans="1:2" ht="15.75" thickBot="1" x14ac:dyDescent="0.3">
      <c r="A754" s="28"/>
      <c r="B754" s="25"/>
    </row>
    <row r="755" spans="1:2" ht="15.75" thickBot="1" x14ac:dyDescent="0.3">
      <c r="A755" s="28"/>
      <c r="B755" s="25"/>
    </row>
    <row r="756" spans="1:2" ht="15.75" thickBot="1" x14ac:dyDescent="0.3">
      <c r="A756" s="28"/>
      <c r="B756" s="25"/>
    </row>
    <row r="757" spans="1:2" ht="15.75" thickBot="1" x14ac:dyDescent="0.3">
      <c r="A757" s="28"/>
      <c r="B757" s="25"/>
    </row>
    <row r="758" spans="1:2" ht="15.75" thickBot="1" x14ac:dyDescent="0.3">
      <c r="A758" s="28"/>
      <c r="B758" s="25"/>
    </row>
    <row r="759" spans="1:2" ht="15.75" thickBot="1" x14ac:dyDescent="0.3">
      <c r="A759" s="28"/>
      <c r="B759" s="25"/>
    </row>
    <row r="760" spans="1:2" ht="15.75" thickBot="1" x14ac:dyDescent="0.3">
      <c r="A760" s="28"/>
      <c r="B760" s="25"/>
    </row>
    <row r="761" spans="1:2" ht="15.75" thickBot="1" x14ac:dyDescent="0.3">
      <c r="A761" s="28"/>
      <c r="B761" s="25"/>
    </row>
    <row r="762" spans="1:2" ht="15.75" thickBot="1" x14ac:dyDescent="0.3">
      <c r="A762" s="28"/>
      <c r="B762" s="25"/>
    </row>
    <row r="763" spans="1:2" ht="15.75" thickBot="1" x14ac:dyDescent="0.3">
      <c r="A763" s="28"/>
      <c r="B763" s="25"/>
    </row>
    <row r="764" spans="1:2" ht="15.75" thickBot="1" x14ac:dyDescent="0.3">
      <c r="A764" s="28"/>
      <c r="B764" s="25"/>
    </row>
    <row r="765" spans="1:2" ht="15.75" thickBot="1" x14ac:dyDescent="0.3">
      <c r="A765" s="28"/>
      <c r="B765" s="25"/>
    </row>
    <row r="766" spans="1:2" ht="15.75" thickBot="1" x14ac:dyDescent="0.3">
      <c r="A766" s="28"/>
      <c r="B766" s="25"/>
    </row>
    <row r="767" spans="1:2" ht="15.75" thickBot="1" x14ac:dyDescent="0.3">
      <c r="A767" s="28"/>
      <c r="B767" s="25"/>
    </row>
    <row r="768" spans="1:2" ht="15.75" thickBot="1" x14ac:dyDescent="0.3">
      <c r="A768" s="28"/>
      <c r="B768" s="25"/>
    </row>
    <row r="769" spans="1:2" ht="15.75" thickBot="1" x14ac:dyDescent="0.3">
      <c r="A769" s="28"/>
      <c r="B769" s="25"/>
    </row>
    <row r="770" spans="1:2" ht="15.75" thickBot="1" x14ac:dyDescent="0.3">
      <c r="A770" s="28"/>
      <c r="B770" s="25"/>
    </row>
    <row r="771" spans="1:2" ht="15.75" thickBot="1" x14ac:dyDescent="0.3">
      <c r="A771" s="28"/>
      <c r="B771" s="25"/>
    </row>
    <row r="772" spans="1:2" ht="15.75" thickBot="1" x14ac:dyDescent="0.3">
      <c r="A772" s="28"/>
      <c r="B772" s="25"/>
    </row>
    <row r="773" spans="1:2" ht="15.75" thickBot="1" x14ac:dyDescent="0.3">
      <c r="A773" s="28"/>
      <c r="B773" s="25"/>
    </row>
    <row r="774" spans="1:2" ht="15.75" thickBot="1" x14ac:dyDescent="0.3">
      <c r="A774" s="28"/>
      <c r="B774" s="25"/>
    </row>
    <row r="775" spans="1:2" ht="15.75" thickBot="1" x14ac:dyDescent="0.3">
      <c r="A775" s="28"/>
      <c r="B775" s="25"/>
    </row>
    <row r="776" spans="1:2" ht="15.75" thickBot="1" x14ac:dyDescent="0.3">
      <c r="A776" s="28"/>
      <c r="B776" s="25"/>
    </row>
    <row r="777" spans="1:2" ht="15.75" thickBot="1" x14ac:dyDescent="0.3">
      <c r="A777" s="28"/>
      <c r="B777" s="25"/>
    </row>
    <row r="778" spans="1:2" ht="15.75" thickBot="1" x14ac:dyDescent="0.3">
      <c r="A778" s="28"/>
      <c r="B778" s="25"/>
    </row>
    <row r="779" spans="1:2" ht="15.75" thickBot="1" x14ac:dyDescent="0.3">
      <c r="A779" s="28"/>
      <c r="B779" s="25"/>
    </row>
    <row r="780" spans="1:2" ht="15.75" thickBot="1" x14ac:dyDescent="0.3">
      <c r="A780" s="28"/>
      <c r="B780" s="25"/>
    </row>
    <row r="781" spans="1:2" ht="15.75" thickBot="1" x14ac:dyDescent="0.3">
      <c r="A781" s="28"/>
      <c r="B781" s="25"/>
    </row>
    <row r="782" spans="1:2" ht="15.75" thickBot="1" x14ac:dyDescent="0.3">
      <c r="A782" s="28"/>
      <c r="B782" s="25"/>
    </row>
    <row r="783" spans="1:2" ht="15.75" thickBot="1" x14ac:dyDescent="0.3">
      <c r="A783" s="28"/>
      <c r="B783" s="25"/>
    </row>
    <row r="784" spans="1:2" ht="15.75" thickBot="1" x14ac:dyDescent="0.3">
      <c r="A784" s="28"/>
      <c r="B784" s="25"/>
    </row>
    <row r="785" spans="1:2" ht="15.75" thickBot="1" x14ac:dyDescent="0.3">
      <c r="A785" s="28"/>
      <c r="B785" s="25"/>
    </row>
    <row r="786" spans="1:2" ht="15.75" thickBot="1" x14ac:dyDescent="0.3">
      <c r="A786" s="28"/>
      <c r="B786" s="25"/>
    </row>
    <row r="787" spans="1:2" ht="15.75" thickBot="1" x14ac:dyDescent="0.3">
      <c r="A787" s="28"/>
      <c r="B787" s="25"/>
    </row>
    <row r="788" spans="1:2" ht="15.75" thickBot="1" x14ac:dyDescent="0.3">
      <c r="A788" s="28"/>
      <c r="B788" s="25"/>
    </row>
    <row r="789" spans="1:2" ht="15.75" thickBot="1" x14ac:dyDescent="0.3">
      <c r="A789" s="28"/>
      <c r="B789" s="25"/>
    </row>
    <row r="790" spans="1:2" ht="15.75" thickBot="1" x14ac:dyDescent="0.3">
      <c r="A790" s="28"/>
      <c r="B790" s="25"/>
    </row>
    <row r="791" spans="1:2" ht="15.75" thickBot="1" x14ac:dyDescent="0.3">
      <c r="A791" s="28"/>
      <c r="B791" s="25"/>
    </row>
    <row r="792" spans="1:2" ht="15.75" thickBot="1" x14ac:dyDescent="0.3">
      <c r="A792" s="28"/>
      <c r="B792" s="25"/>
    </row>
    <row r="793" spans="1:2" ht="15.75" thickBot="1" x14ac:dyDescent="0.3">
      <c r="A793" s="28"/>
      <c r="B793" s="25"/>
    </row>
    <row r="794" spans="1:2" ht="15.75" thickBot="1" x14ac:dyDescent="0.3">
      <c r="A794" s="28"/>
      <c r="B794" s="25"/>
    </row>
    <row r="795" spans="1:2" ht="15.75" thickBot="1" x14ac:dyDescent="0.3">
      <c r="A795" s="28"/>
      <c r="B795" s="25"/>
    </row>
    <row r="796" spans="1:2" ht="15.75" thickBot="1" x14ac:dyDescent="0.3">
      <c r="A796" s="28"/>
      <c r="B796" s="25"/>
    </row>
    <row r="797" spans="1:2" ht="15.75" thickBot="1" x14ac:dyDescent="0.3">
      <c r="A797" s="28"/>
      <c r="B797" s="25"/>
    </row>
    <row r="798" spans="1:2" ht="15.75" thickBot="1" x14ac:dyDescent="0.3">
      <c r="A798" s="28"/>
      <c r="B798" s="25"/>
    </row>
    <row r="799" spans="1:2" ht="15.75" thickBot="1" x14ac:dyDescent="0.3">
      <c r="A799" s="28"/>
      <c r="B799" s="25"/>
    </row>
    <row r="800" spans="1:2" ht="15.75" thickBot="1" x14ac:dyDescent="0.3">
      <c r="A800" s="28"/>
      <c r="B800" s="25"/>
    </row>
    <row r="801" spans="1:2" ht="15.75" thickBot="1" x14ac:dyDescent="0.3">
      <c r="A801" s="28"/>
      <c r="B801" s="25"/>
    </row>
    <row r="802" spans="1:2" ht="15.75" thickBot="1" x14ac:dyDescent="0.3">
      <c r="A802" s="28"/>
      <c r="B802" s="25"/>
    </row>
    <row r="803" spans="1:2" ht="15.75" thickBot="1" x14ac:dyDescent="0.3">
      <c r="A803" s="28"/>
      <c r="B803" s="25"/>
    </row>
    <row r="804" spans="1:2" ht="15.75" thickBot="1" x14ac:dyDescent="0.3">
      <c r="A804" s="28"/>
      <c r="B804" s="25"/>
    </row>
    <row r="805" spans="1:2" ht="15.75" thickBot="1" x14ac:dyDescent="0.3">
      <c r="A805" s="28"/>
      <c r="B805" s="25"/>
    </row>
    <row r="806" spans="1:2" ht="15.75" thickBot="1" x14ac:dyDescent="0.3">
      <c r="A806" s="28"/>
      <c r="B806" s="25"/>
    </row>
    <row r="807" spans="1:2" ht="15.75" thickBot="1" x14ac:dyDescent="0.3">
      <c r="A807" s="28"/>
      <c r="B807" s="25"/>
    </row>
    <row r="808" spans="1:2" ht="15.75" thickBot="1" x14ac:dyDescent="0.3">
      <c r="A808" s="28"/>
      <c r="B808" s="25"/>
    </row>
    <row r="809" spans="1:2" ht="15.75" thickBot="1" x14ac:dyDescent="0.3">
      <c r="A809" s="28"/>
      <c r="B809" s="25"/>
    </row>
    <row r="810" spans="1:2" ht="15.75" thickBot="1" x14ac:dyDescent="0.3">
      <c r="A810" s="28"/>
      <c r="B810" s="25"/>
    </row>
    <row r="811" spans="1:2" ht="15.75" thickBot="1" x14ac:dyDescent="0.3">
      <c r="A811" s="28"/>
      <c r="B811" s="25"/>
    </row>
    <row r="812" spans="1:2" ht="15.75" thickBot="1" x14ac:dyDescent="0.3">
      <c r="A812" s="28"/>
      <c r="B812" s="25"/>
    </row>
    <row r="813" spans="1:2" ht="15.75" thickBot="1" x14ac:dyDescent="0.3">
      <c r="A813" s="28"/>
      <c r="B813" s="25"/>
    </row>
    <row r="814" spans="1:2" ht="15.75" thickBot="1" x14ac:dyDescent="0.3">
      <c r="A814" s="28"/>
      <c r="B814" s="25"/>
    </row>
    <row r="815" spans="1:2" ht="15.75" thickBot="1" x14ac:dyDescent="0.3">
      <c r="A815" s="28"/>
      <c r="B815" s="25"/>
    </row>
    <row r="816" spans="1:2" ht="15.75" thickBot="1" x14ac:dyDescent="0.3">
      <c r="A816" s="28"/>
      <c r="B816" s="25"/>
    </row>
    <row r="817" spans="1:2" ht="15.75" thickBot="1" x14ac:dyDescent="0.3">
      <c r="A817" s="28"/>
      <c r="B817" s="25"/>
    </row>
    <row r="818" spans="1:2" ht="15.75" thickBot="1" x14ac:dyDescent="0.3">
      <c r="A818" s="28"/>
      <c r="B818" s="25"/>
    </row>
    <row r="819" spans="1:2" ht="15.75" thickBot="1" x14ac:dyDescent="0.3">
      <c r="A819" s="28"/>
      <c r="B819" s="25"/>
    </row>
    <row r="820" spans="1:2" ht="15.75" thickBot="1" x14ac:dyDescent="0.3">
      <c r="A820" s="28"/>
      <c r="B820" s="25"/>
    </row>
    <row r="821" spans="1:2" ht="15.75" thickBot="1" x14ac:dyDescent="0.3">
      <c r="A821" s="28"/>
      <c r="B821" s="25"/>
    </row>
    <row r="822" spans="1:2" ht="15.75" thickBot="1" x14ac:dyDescent="0.3">
      <c r="A822" s="28"/>
      <c r="B822" s="25"/>
    </row>
    <row r="823" spans="1:2" ht="15.75" thickBot="1" x14ac:dyDescent="0.3">
      <c r="A823" s="28"/>
      <c r="B823" s="25"/>
    </row>
    <row r="824" spans="1:2" ht="15.75" thickBot="1" x14ac:dyDescent="0.3">
      <c r="A824" s="28"/>
      <c r="B824" s="25"/>
    </row>
    <row r="825" spans="1:2" ht="15.75" thickBot="1" x14ac:dyDescent="0.3">
      <c r="A825" s="28"/>
      <c r="B825" s="25"/>
    </row>
    <row r="826" spans="1:2" ht="15.75" thickBot="1" x14ac:dyDescent="0.3">
      <c r="A826" s="28"/>
      <c r="B826" s="25"/>
    </row>
    <row r="827" spans="1:2" ht="15.75" thickBot="1" x14ac:dyDescent="0.3">
      <c r="A827" s="28"/>
      <c r="B827" s="25"/>
    </row>
    <row r="828" spans="1:2" ht="15.75" thickBot="1" x14ac:dyDescent="0.3">
      <c r="A828" s="28"/>
      <c r="B828" s="25"/>
    </row>
    <row r="829" spans="1:2" ht="15.75" thickBot="1" x14ac:dyDescent="0.3">
      <c r="A829" s="28"/>
      <c r="B829" s="25"/>
    </row>
    <row r="830" spans="1:2" ht="15.75" thickBot="1" x14ac:dyDescent="0.3">
      <c r="A830" s="28"/>
      <c r="B830" s="25"/>
    </row>
    <row r="831" spans="1:2" ht="15.75" thickBot="1" x14ac:dyDescent="0.3">
      <c r="A831" s="28"/>
      <c r="B831" s="25"/>
    </row>
    <row r="832" spans="1:2" ht="15.75" thickBot="1" x14ac:dyDescent="0.3">
      <c r="A832" s="28"/>
      <c r="B832" s="25"/>
    </row>
    <row r="833" spans="1:2" ht="15.75" thickBot="1" x14ac:dyDescent="0.3">
      <c r="A833" s="28"/>
      <c r="B833" s="25"/>
    </row>
    <row r="834" spans="1:2" ht="15.75" thickBot="1" x14ac:dyDescent="0.3">
      <c r="A834" s="28"/>
      <c r="B834" s="25"/>
    </row>
    <row r="835" spans="1:2" ht="15.75" thickBot="1" x14ac:dyDescent="0.3">
      <c r="A835" s="28"/>
      <c r="B835" s="25"/>
    </row>
    <row r="836" spans="1:2" ht="15.75" thickBot="1" x14ac:dyDescent="0.3">
      <c r="A836" s="28"/>
      <c r="B836" s="25"/>
    </row>
    <row r="837" spans="1:2" ht="15.75" thickBot="1" x14ac:dyDescent="0.3">
      <c r="A837" s="28"/>
      <c r="B837" s="25"/>
    </row>
    <row r="838" spans="1:2" ht="15.75" thickBot="1" x14ac:dyDescent="0.3">
      <c r="A838" s="28"/>
      <c r="B838" s="25"/>
    </row>
    <row r="839" spans="1:2" ht="15.75" thickBot="1" x14ac:dyDescent="0.3">
      <c r="A839" s="28"/>
      <c r="B839" s="25"/>
    </row>
    <row r="840" spans="1:2" ht="15.75" thickBot="1" x14ac:dyDescent="0.3">
      <c r="A840" s="28"/>
      <c r="B840" s="25"/>
    </row>
    <row r="841" spans="1:2" ht="15.75" thickBot="1" x14ac:dyDescent="0.3">
      <c r="A841" s="28"/>
      <c r="B841" s="25"/>
    </row>
    <row r="842" spans="1:2" ht="15.75" thickBot="1" x14ac:dyDescent="0.3">
      <c r="A842" s="28"/>
      <c r="B842" s="25"/>
    </row>
    <row r="843" spans="1:2" ht="15.75" thickBot="1" x14ac:dyDescent="0.3">
      <c r="A843" s="28"/>
      <c r="B843" s="25"/>
    </row>
    <row r="844" spans="1:2" ht="15.75" thickBot="1" x14ac:dyDescent="0.3">
      <c r="A844" s="28"/>
      <c r="B844" s="25"/>
    </row>
    <row r="845" spans="1:2" ht="15.75" thickBot="1" x14ac:dyDescent="0.3">
      <c r="A845" s="28"/>
      <c r="B845" s="25"/>
    </row>
    <row r="846" spans="1:2" ht="15.75" thickBot="1" x14ac:dyDescent="0.3">
      <c r="A846" s="28"/>
      <c r="B846" s="25"/>
    </row>
    <row r="847" spans="1:2" ht="15.75" thickBot="1" x14ac:dyDescent="0.3">
      <c r="A847" s="28"/>
      <c r="B847" s="25"/>
    </row>
    <row r="848" spans="1:2" ht="15.75" thickBot="1" x14ac:dyDescent="0.3">
      <c r="A848" s="28"/>
      <c r="B848" s="25"/>
    </row>
    <row r="849" spans="1:2" ht="15.75" thickBot="1" x14ac:dyDescent="0.3">
      <c r="A849" s="28"/>
      <c r="B849" s="25"/>
    </row>
    <row r="850" spans="1:2" ht="15.75" thickBot="1" x14ac:dyDescent="0.3">
      <c r="A850" s="28"/>
      <c r="B850" s="25"/>
    </row>
    <row r="851" spans="1:2" ht="15.75" thickBot="1" x14ac:dyDescent="0.3">
      <c r="A851" s="28"/>
      <c r="B851" s="25"/>
    </row>
    <row r="852" spans="1:2" ht="15.75" thickBot="1" x14ac:dyDescent="0.3">
      <c r="A852" s="28"/>
      <c r="B852" s="25"/>
    </row>
    <row r="853" spans="1:2" ht="15.75" thickBot="1" x14ac:dyDescent="0.3">
      <c r="A853" s="28"/>
      <c r="B853" s="25"/>
    </row>
    <row r="854" spans="1:2" ht="15.75" thickBot="1" x14ac:dyDescent="0.3">
      <c r="A854" s="28"/>
      <c r="B854" s="25"/>
    </row>
    <row r="855" spans="1:2" ht="15.75" thickBot="1" x14ac:dyDescent="0.3">
      <c r="A855" s="28"/>
      <c r="B855" s="25"/>
    </row>
    <row r="856" spans="1:2" ht="15.75" thickBot="1" x14ac:dyDescent="0.3">
      <c r="A856" s="28"/>
      <c r="B856" s="25"/>
    </row>
    <row r="857" spans="1:2" ht="15.75" thickBot="1" x14ac:dyDescent="0.3">
      <c r="A857" s="28"/>
      <c r="B857" s="25"/>
    </row>
    <row r="858" spans="1:2" ht="15.75" thickBot="1" x14ac:dyDescent="0.3">
      <c r="A858" s="28"/>
      <c r="B858" s="25"/>
    </row>
    <row r="859" spans="1:2" ht="15.75" thickBot="1" x14ac:dyDescent="0.3">
      <c r="A859" s="28"/>
      <c r="B859" s="25"/>
    </row>
    <row r="860" spans="1:2" ht="15.75" thickBot="1" x14ac:dyDescent="0.3">
      <c r="A860" s="28"/>
      <c r="B860" s="25"/>
    </row>
    <row r="861" spans="1:2" ht="15.75" thickBot="1" x14ac:dyDescent="0.3">
      <c r="A861" s="28"/>
      <c r="B861" s="25"/>
    </row>
    <row r="862" spans="1:2" ht="15.75" thickBot="1" x14ac:dyDescent="0.3">
      <c r="A862" s="28"/>
      <c r="B862" s="25"/>
    </row>
    <row r="863" spans="1:2" ht="15.75" thickBot="1" x14ac:dyDescent="0.3">
      <c r="A863" s="28"/>
      <c r="B863" s="25"/>
    </row>
    <row r="864" spans="1:2" ht="15.75" thickBot="1" x14ac:dyDescent="0.3">
      <c r="A864" s="28"/>
      <c r="B864" s="25"/>
    </row>
    <row r="865" spans="1:2" ht="15.75" thickBot="1" x14ac:dyDescent="0.3">
      <c r="A865" s="28"/>
      <c r="B865" s="25"/>
    </row>
    <row r="866" spans="1:2" ht="15.75" thickBot="1" x14ac:dyDescent="0.3">
      <c r="A866" s="28"/>
      <c r="B866" s="25"/>
    </row>
    <row r="867" spans="1:2" ht="15.75" thickBot="1" x14ac:dyDescent="0.3">
      <c r="A867" s="28"/>
      <c r="B867" s="25"/>
    </row>
    <row r="868" spans="1:2" ht="15.75" thickBot="1" x14ac:dyDescent="0.3">
      <c r="A868" s="28"/>
      <c r="B868" s="25"/>
    </row>
    <row r="869" spans="1:2" ht="15.75" thickBot="1" x14ac:dyDescent="0.3">
      <c r="A869" s="28"/>
      <c r="B869" s="25"/>
    </row>
    <row r="870" spans="1:2" ht="15.75" thickBot="1" x14ac:dyDescent="0.3">
      <c r="A870" s="28"/>
      <c r="B870" s="25"/>
    </row>
    <row r="871" spans="1:2" ht="15.75" thickBot="1" x14ac:dyDescent="0.3">
      <c r="A871" s="28"/>
      <c r="B871" s="25"/>
    </row>
    <row r="872" spans="1:2" ht="15.75" thickBot="1" x14ac:dyDescent="0.3">
      <c r="A872" s="28"/>
      <c r="B872" s="25"/>
    </row>
    <row r="873" spans="1:2" ht="15.75" thickBot="1" x14ac:dyDescent="0.3">
      <c r="A873" s="28"/>
      <c r="B873" s="25"/>
    </row>
    <row r="874" spans="1:2" ht="15.75" thickBot="1" x14ac:dyDescent="0.3">
      <c r="A874" s="28"/>
      <c r="B874" s="25"/>
    </row>
    <row r="875" spans="1:2" ht="15.75" thickBot="1" x14ac:dyDescent="0.3">
      <c r="A875" s="28"/>
      <c r="B875" s="25"/>
    </row>
    <row r="876" spans="1:2" ht="15.75" thickBot="1" x14ac:dyDescent="0.3">
      <c r="A876" s="28"/>
      <c r="B876" s="25"/>
    </row>
    <row r="877" spans="1:2" ht="15.75" thickBot="1" x14ac:dyDescent="0.3">
      <c r="A877" s="28"/>
      <c r="B877" s="25"/>
    </row>
    <row r="878" spans="1:2" ht="15.75" thickBot="1" x14ac:dyDescent="0.3">
      <c r="A878" s="28"/>
      <c r="B878" s="25"/>
    </row>
    <row r="879" spans="1:2" ht="15.75" thickBot="1" x14ac:dyDescent="0.3">
      <c r="A879" s="28"/>
      <c r="B879" s="25"/>
    </row>
    <row r="880" spans="1:2" ht="15.75" thickBot="1" x14ac:dyDescent="0.3">
      <c r="A880" s="28"/>
      <c r="B880" s="25"/>
    </row>
    <row r="881" spans="1:2" ht="15.75" thickBot="1" x14ac:dyDescent="0.3">
      <c r="A881" s="28"/>
      <c r="B881" s="25"/>
    </row>
    <row r="882" spans="1:2" ht="15.75" thickBot="1" x14ac:dyDescent="0.3">
      <c r="A882" s="28"/>
      <c r="B882" s="25"/>
    </row>
    <row r="883" spans="1:2" ht="15.75" thickBot="1" x14ac:dyDescent="0.3">
      <c r="A883" s="28"/>
      <c r="B883" s="25"/>
    </row>
    <row r="884" spans="1:2" ht="15.75" thickBot="1" x14ac:dyDescent="0.3">
      <c r="A884" s="28"/>
      <c r="B884" s="25"/>
    </row>
    <row r="885" spans="1:2" ht="15.75" thickBot="1" x14ac:dyDescent="0.3">
      <c r="A885" s="28"/>
      <c r="B885" s="25"/>
    </row>
    <row r="886" spans="1:2" ht="15.75" thickBot="1" x14ac:dyDescent="0.3">
      <c r="A886" s="28"/>
      <c r="B886" s="25"/>
    </row>
    <row r="887" spans="1:2" ht="15.75" thickBot="1" x14ac:dyDescent="0.3">
      <c r="A887" s="28"/>
      <c r="B887" s="25"/>
    </row>
    <row r="888" spans="1:2" ht="15.75" thickBot="1" x14ac:dyDescent="0.3">
      <c r="A888" s="28"/>
      <c r="B888" s="25"/>
    </row>
    <row r="889" spans="1:2" ht="15.75" thickBot="1" x14ac:dyDescent="0.3">
      <c r="A889" s="28"/>
      <c r="B889" s="25"/>
    </row>
    <row r="890" spans="1:2" ht="15.75" thickBot="1" x14ac:dyDescent="0.3">
      <c r="A890" s="28"/>
      <c r="B890" s="25"/>
    </row>
    <row r="891" spans="1:2" ht="15.75" thickBot="1" x14ac:dyDescent="0.3">
      <c r="A891" s="28"/>
      <c r="B891" s="25"/>
    </row>
    <row r="892" spans="1:2" ht="15.75" thickBot="1" x14ac:dyDescent="0.3">
      <c r="A892" s="28"/>
      <c r="B892" s="25"/>
    </row>
    <row r="893" spans="1:2" ht="15.75" thickBot="1" x14ac:dyDescent="0.3">
      <c r="A893" s="28"/>
      <c r="B893" s="25"/>
    </row>
    <row r="894" spans="1:2" ht="15.75" thickBot="1" x14ac:dyDescent="0.3">
      <c r="A894" s="28"/>
      <c r="B894" s="25"/>
    </row>
    <row r="895" spans="1:2" ht="15.75" thickBot="1" x14ac:dyDescent="0.3">
      <c r="A895" s="28"/>
      <c r="B895" s="25"/>
    </row>
    <row r="896" spans="1:2" ht="15.75" thickBot="1" x14ac:dyDescent="0.3">
      <c r="A896" s="28"/>
      <c r="B896" s="25"/>
    </row>
    <row r="897" spans="1:2" ht="15.75" thickBot="1" x14ac:dyDescent="0.3">
      <c r="A897" s="28"/>
      <c r="B897" s="25"/>
    </row>
    <row r="898" spans="1:2" ht="15.75" thickBot="1" x14ac:dyDescent="0.3">
      <c r="A898" s="28"/>
      <c r="B898" s="25"/>
    </row>
    <row r="899" spans="1:2" ht="15.75" thickBot="1" x14ac:dyDescent="0.3">
      <c r="A899" s="28"/>
      <c r="B899" s="25"/>
    </row>
    <row r="900" spans="1:2" ht="15.75" thickBot="1" x14ac:dyDescent="0.3">
      <c r="A900" s="28"/>
      <c r="B900" s="25"/>
    </row>
    <row r="901" spans="1:2" ht="15.75" thickBot="1" x14ac:dyDescent="0.3">
      <c r="A901" s="28"/>
      <c r="B901" s="25"/>
    </row>
    <row r="902" spans="1:2" ht="15.75" thickBot="1" x14ac:dyDescent="0.3">
      <c r="A902" s="28"/>
      <c r="B902" s="25"/>
    </row>
    <row r="903" spans="1:2" ht="15.75" thickBot="1" x14ac:dyDescent="0.3">
      <c r="A903" s="28"/>
      <c r="B903" s="25"/>
    </row>
    <row r="904" spans="1:2" ht="15.75" thickBot="1" x14ac:dyDescent="0.3">
      <c r="A904" s="28"/>
      <c r="B904" s="25"/>
    </row>
    <row r="905" spans="1:2" ht="15.75" thickBot="1" x14ac:dyDescent="0.3">
      <c r="A905" s="28"/>
      <c r="B905" s="25"/>
    </row>
    <row r="906" spans="1:2" ht="15.75" thickBot="1" x14ac:dyDescent="0.3">
      <c r="A906" s="28"/>
      <c r="B906" s="25"/>
    </row>
    <row r="907" spans="1:2" ht="15.75" thickBot="1" x14ac:dyDescent="0.3">
      <c r="A907" s="28"/>
      <c r="B907" s="25"/>
    </row>
    <row r="908" spans="1:2" ht="15.75" thickBot="1" x14ac:dyDescent="0.3">
      <c r="A908" s="28"/>
      <c r="B908" s="25"/>
    </row>
    <row r="909" spans="1:2" ht="15.75" thickBot="1" x14ac:dyDescent="0.3">
      <c r="A909" s="28"/>
      <c r="B909" s="25"/>
    </row>
    <row r="910" spans="1:2" ht="15.75" thickBot="1" x14ac:dyDescent="0.3">
      <c r="A910" s="28"/>
      <c r="B910" s="25"/>
    </row>
    <row r="911" spans="1:2" ht="15.75" thickBot="1" x14ac:dyDescent="0.3">
      <c r="A911" s="28"/>
      <c r="B911" s="25"/>
    </row>
    <row r="912" spans="1:2" ht="15.75" thickBot="1" x14ac:dyDescent="0.3">
      <c r="A912" s="28"/>
      <c r="B912" s="25"/>
    </row>
    <row r="913" spans="1:2" ht="15.75" thickBot="1" x14ac:dyDescent="0.3">
      <c r="A913" s="28"/>
      <c r="B913" s="25"/>
    </row>
    <row r="914" spans="1:2" ht="15.75" thickBot="1" x14ac:dyDescent="0.3">
      <c r="A914" s="28"/>
      <c r="B914" s="25"/>
    </row>
    <row r="915" spans="1:2" ht="15.75" thickBot="1" x14ac:dyDescent="0.3">
      <c r="A915" s="28"/>
      <c r="B915" s="25"/>
    </row>
    <row r="916" spans="1:2" ht="15.75" thickBot="1" x14ac:dyDescent="0.3">
      <c r="A916" s="28"/>
      <c r="B916" s="25"/>
    </row>
    <row r="917" spans="1:2" ht="15.75" thickBot="1" x14ac:dyDescent="0.3">
      <c r="A917" s="28"/>
      <c r="B917" s="25"/>
    </row>
    <row r="918" spans="1:2" ht="15.75" thickBot="1" x14ac:dyDescent="0.3">
      <c r="A918" s="28"/>
      <c r="B918" s="25"/>
    </row>
    <row r="919" spans="1:2" ht="15.75" thickBot="1" x14ac:dyDescent="0.3">
      <c r="A919" s="28"/>
      <c r="B919" s="25"/>
    </row>
    <row r="920" spans="1:2" ht="15.75" thickBot="1" x14ac:dyDescent="0.3">
      <c r="A920" s="28"/>
      <c r="B920" s="25"/>
    </row>
    <row r="921" spans="1:2" ht="15.75" thickBot="1" x14ac:dyDescent="0.3">
      <c r="A921" s="28"/>
      <c r="B921" s="25"/>
    </row>
    <row r="922" spans="1:2" ht="15.75" thickBot="1" x14ac:dyDescent="0.3">
      <c r="A922" s="28"/>
      <c r="B922" s="25"/>
    </row>
    <row r="923" spans="1:2" ht="15.75" thickBot="1" x14ac:dyDescent="0.3">
      <c r="A923" s="28"/>
      <c r="B923" s="25"/>
    </row>
    <row r="924" spans="1:2" ht="15.75" thickBot="1" x14ac:dyDescent="0.3">
      <c r="A924" s="28"/>
      <c r="B924" s="25"/>
    </row>
    <row r="925" spans="1:2" ht="15.75" thickBot="1" x14ac:dyDescent="0.3">
      <c r="A925" s="28"/>
      <c r="B925" s="25"/>
    </row>
    <row r="926" spans="1:2" ht="15.75" thickBot="1" x14ac:dyDescent="0.3">
      <c r="A926" s="28"/>
      <c r="B926" s="25"/>
    </row>
    <row r="927" spans="1:2" ht="15.75" thickBot="1" x14ac:dyDescent="0.3">
      <c r="A927" s="28"/>
      <c r="B927" s="25"/>
    </row>
    <row r="928" spans="1:2" ht="15.75" thickBot="1" x14ac:dyDescent="0.3">
      <c r="A928" s="28"/>
      <c r="B928" s="25"/>
    </row>
    <row r="929" spans="1:2" ht="15.75" thickBot="1" x14ac:dyDescent="0.3">
      <c r="A929" s="28"/>
      <c r="B929" s="25"/>
    </row>
    <row r="930" spans="1:2" ht="15.75" thickBot="1" x14ac:dyDescent="0.3">
      <c r="A930" s="28"/>
      <c r="B930" s="25"/>
    </row>
    <row r="931" spans="1:2" ht="15.75" thickBot="1" x14ac:dyDescent="0.3">
      <c r="A931" s="28"/>
      <c r="B931" s="25"/>
    </row>
    <row r="932" spans="1:2" ht="15.75" thickBot="1" x14ac:dyDescent="0.3">
      <c r="A932" s="28"/>
      <c r="B932" s="25"/>
    </row>
    <row r="933" spans="1:2" ht="15.75" thickBot="1" x14ac:dyDescent="0.3">
      <c r="A933" s="28"/>
      <c r="B933" s="25"/>
    </row>
    <row r="934" spans="1:2" ht="15.75" thickBot="1" x14ac:dyDescent="0.3">
      <c r="A934" s="28"/>
      <c r="B934" s="25"/>
    </row>
    <row r="935" spans="1:2" ht="15.75" thickBot="1" x14ac:dyDescent="0.3">
      <c r="A935" s="28"/>
      <c r="B935" s="25"/>
    </row>
    <row r="936" spans="1:2" ht="15.75" thickBot="1" x14ac:dyDescent="0.3">
      <c r="A936" s="28"/>
      <c r="B936" s="25"/>
    </row>
    <row r="937" spans="1:2" ht="15.75" thickBot="1" x14ac:dyDescent="0.3">
      <c r="A937" s="28"/>
      <c r="B937" s="25"/>
    </row>
    <row r="938" spans="1:2" ht="15.75" thickBot="1" x14ac:dyDescent="0.3">
      <c r="A938" s="28"/>
      <c r="B938" s="25"/>
    </row>
    <row r="939" spans="1:2" ht="15.75" thickBot="1" x14ac:dyDescent="0.3">
      <c r="A939" s="28"/>
      <c r="B939" s="25"/>
    </row>
    <row r="940" spans="1:2" ht="15.75" thickBot="1" x14ac:dyDescent="0.3">
      <c r="A940" s="28"/>
      <c r="B940" s="25"/>
    </row>
    <row r="941" spans="1:2" ht="15.75" thickBot="1" x14ac:dyDescent="0.3">
      <c r="A941" s="28"/>
      <c r="B941" s="25"/>
    </row>
    <row r="942" spans="1:2" ht="15.75" thickBot="1" x14ac:dyDescent="0.3">
      <c r="A942" s="28"/>
      <c r="B942" s="25"/>
    </row>
    <row r="943" spans="1:2" ht="15.75" thickBot="1" x14ac:dyDescent="0.3">
      <c r="A943" s="28"/>
      <c r="B943" s="25"/>
    </row>
    <row r="944" spans="1:2" ht="15.75" thickBot="1" x14ac:dyDescent="0.3">
      <c r="A944" s="28"/>
      <c r="B944" s="25"/>
    </row>
    <row r="945" spans="1:2" ht="15.75" thickBot="1" x14ac:dyDescent="0.3">
      <c r="A945" s="28"/>
      <c r="B945" s="25"/>
    </row>
    <row r="946" spans="1:2" ht="15.75" thickBot="1" x14ac:dyDescent="0.3">
      <c r="A946" s="28"/>
      <c r="B946" s="25"/>
    </row>
    <row r="947" spans="1:2" ht="15.75" thickBot="1" x14ac:dyDescent="0.3">
      <c r="A947" s="28"/>
      <c r="B947" s="25"/>
    </row>
    <row r="948" spans="1:2" ht="15.75" thickBot="1" x14ac:dyDescent="0.3">
      <c r="A948" s="28"/>
      <c r="B948" s="25"/>
    </row>
    <row r="949" spans="1:2" ht="15.75" thickBot="1" x14ac:dyDescent="0.3">
      <c r="A949" s="28"/>
      <c r="B949" s="25"/>
    </row>
    <row r="950" spans="1:2" ht="15.75" thickBot="1" x14ac:dyDescent="0.3">
      <c r="A950" s="28"/>
      <c r="B950" s="25"/>
    </row>
    <row r="951" spans="1:2" ht="15.75" thickBot="1" x14ac:dyDescent="0.3">
      <c r="A951" s="28"/>
      <c r="B951" s="25"/>
    </row>
    <row r="952" spans="1:2" ht="15.75" thickBot="1" x14ac:dyDescent="0.3">
      <c r="A952" s="28"/>
      <c r="B952" s="25"/>
    </row>
    <row r="953" spans="1:2" ht="15.75" thickBot="1" x14ac:dyDescent="0.3">
      <c r="A953" s="28"/>
      <c r="B953" s="25"/>
    </row>
    <row r="954" spans="1:2" ht="15.75" thickBot="1" x14ac:dyDescent="0.3">
      <c r="A954" s="28"/>
      <c r="B954" s="25"/>
    </row>
    <row r="955" spans="1:2" ht="15.75" thickBot="1" x14ac:dyDescent="0.3">
      <c r="A955" s="28"/>
      <c r="B955" s="25"/>
    </row>
    <row r="956" spans="1:2" ht="15.75" thickBot="1" x14ac:dyDescent="0.3">
      <c r="A956" s="28"/>
      <c r="B956" s="25"/>
    </row>
    <row r="957" spans="1:2" ht="15.75" thickBot="1" x14ac:dyDescent="0.3">
      <c r="A957" s="28"/>
      <c r="B957" s="25"/>
    </row>
    <row r="958" spans="1:2" ht="15.75" thickBot="1" x14ac:dyDescent="0.3">
      <c r="A958" s="28"/>
      <c r="B958" s="25"/>
    </row>
    <row r="959" spans="1:2" ht="15.75" thickBot="1" x14ac:dyDescent="0.3">
      <c r="A959" s="28"/>
      <c r="B959" s="25"/>
    </row>
    <row r="960" spans="1:2" ht="15.75" thickBot="1" x14ac:dyDescent="0.3">
      <c r="A960" s="28"/>
      <c r="B960" s="25"/>
    </row>
    <row r="961" spans="1:2" ht="15.75" thickBot="1" x14ac:dyDescent="0.3">
      <c r="A961" s="28"/>
      <c r="B961" s="25"/>
    </row>
    <row r="962" spans="1:2" ht="15.75" thickBot="1" x14ac:dyDescent="0.3">
      <c r="A962" s="28"/>
      <c r="B962" s="25"/>
    </row>
    <row r="963" spans="1:2" ht="15.75" thickBot="1" x14ac:dyDescent="0.3">
      <c r="A963" s="28"/>
      <c r="B963" s="25"/>
    </row>
    <row r="964" spans="1:2" ht="15.75" thickBot="1" x14ac:dyDescent="0.3">
      <c r="A964" s="28"/>
      <c r="B964" s="25"/>
    </row>
    <row r="965" spans="1:2" ht="15.75" thickBot="1" x14ac:dyDescent="0.3">
      <c r="A965" s="28"/>
      <c r="B965" s="25"/>
    </row>
    <row r="966" spans="1:2" ht="15.75" thickBot="1" x14ac:dyDescent="0.3">
      <c r="A966" s="28"/>
      <c r="B966" s="25"/>
    </row>
    <row r="967" spans="1:2" ht="15.75" thickBot="1" x14ac:dyDescent="0.3">
      <c r="A967" s="28"/>
      <c r="B967" s="25"/>
    </row>
    <row r="968" spans="1:2" ht="15.75" thickBot="1" x14ac:dyDescent="0.3">
      <c r="A968" s="28"/>
      <c r="B968" s="25"/>
    </row>
    <row r="969" spans="1:2" ht="15.75" thickBot="1" x14ac:dyDescent="0.3">
      <c r="A969" s="28"/>
      <c r="B969" s="25"/>
    </row>
    <row r="970" spans="1:2" ht="15.75" thickBot="1" x14ac:dyDescent="0.3">
      <c r="A970" s="28"/>
      <c r="B970" s="25"/>
    </row>
    <row r="971" spans="1:2" ht="15.75" thickBot="1" x14ac:dyDescent="0.3">
      <c r="A971" s="28"/>
      <c r="B971" s="25"/>
    </row>
    <row r="972" spans="1:2" ht="15.75" thickBot="1" x14ac:dyDescent="0.3">
      <c r="A972" s="28"/>
      <c r="B972" s="25"/>
    </row>
    <row r="973" spans="1:2" ht="15.75" thickBot="1" x14ac:dyDescent="0.3">
      <c r="A973" s="28"/>
      <c r="B973" s="25"/>
    </row>
    <row r="974" spans="1:2" ht="15.75" thickBot="1" x14ac:dyDescent="0.3">
      <c r="A974" s="28"/>
      <c r="B974" s="25"/>
    </row>
    <row r="975" spans="1:2" ht="15.75" thickBot="1" x14ac:dyDescent="0.3">
      <c r="A975" s="28"/>
      <c r="B975" s="25"/>
    </row>
    <row r="976" spans="1:2" ht="15.75" thickBot="1" x14ac:dyDescent="0.3">
      <c r="A976" s="28"/>
      <c r="B976" s="25"/>
    </row>
    <row r="977" spans="1:2" ht="15.75" thickBot="1" x14ac:dyDescent="0.3">
      <c r="A977" s="28"/>
      <c r="B977" s="25"/>
    </row>
    <row r="978" spans="1:2" ht="15.75" thickBot="1" x14ac:dyDescent="0.3">
      <c r="A978" s="28"/>
      <c r="B978" s="25"/>
    </row>
    <row r="979" spans="1:2" ht="15.75" thickBot="1" x14ac:dyDescent="0.3">
      <c r="A979" s="28"/>
      <c r="B979" s="25"/>
    </row>
    <row r="980" spans="1:2" ht="15.75" thickBot="1" x14ac:dyDescent="0.3">
      <c r="A980" s="28"/>
      <c r="B980" s="25"/>
    </row>
    <row r="981" spans="1:2" ht="15.75" thickBot="1" x14ac:dyDescent="0.3">
      <c r="A981" s="28"/>
      <c r="B981" s="25"/>
    </row>
    <row r="982" spans="1:2" ht="15.75" thickBot="1" x14ac:dyDescent="0.3">
      <c r="A982" s="28"/>
      <c r="B982" s="25"/>
    </row>
    <row r="983" spans="1:2" ht="15.75" thickBot="1" x14ac:dyDescent="0.3">
      <c r="A983" s="28"/>
      <c r="B983" s="25"/>
    </row>
    <row r="984" spans="1:2" ht="15.75" thickBot="1" x14ac:dyDescent="0.3">
      <c r="A984" s="28"/>
      <c r="B984" s="25"/>
    </row>
    <row r="985" spans="1:2" ht="15.75" thickBot="1" x14ac:dyDescent="0.3">
      <c r="A985" s="28"/>
      <c r="B985" s="25"/>
    </row>
    <row r="986" spans="1:2" ht="15.75" thickBot="1" x14ac:dyDescent="0.3">
      <c r="A986" s="28"/>
      <c r="B986" s="25"/>
    </row>
    <row r="987" spans="1:2" ht="15.75" thickBot="1" x14ac:dyDescent="0.3">
      <c r="A987" s="28"/>
      <c r="B987" s="25"/>
    </row>
    <row r="988" spans="1:2" ht="15.75" thickBot="1" x14ac:dyDescent="0.3">
      <c r="A988" s="28"/>
      <c r="B988" s="25"/>
    </row>
    <row r="989" spans="1:2" ht="15.75" thickBot="1" x14ac:dyDescent="0.3">
      <c r="A989" s="28"/>
      <c r="B989" s="25"/>
    </row>
    <row r="990" spans="1:2" ht="15.75" thickBot="1" x14ac:dyDescent="0.3">
      <c r="A990" s="28"/>
      <c r="B990" s="25"/>
    </row>
    <row r="991" spans="1:2" ht="15.75" thickBot="1" x14ac:dyDescent="0.3">
      <c r="A991" s="28"/>
      <c r="B991" s="25"/>
    </row>
    <row r="992" spans="1:2" ht="15.75" thickBot="1" x14ac:dyDescent="0.3">
      <c r="A992" s="28"/>
      <c r="B992" s="25"/>
    </row>
    <row r="993" spans="1:2" ht="15.75" thickBot="1" x14ac:dyDescent="0.3">
      <c r="A993" s="28"/>
      <c r="B993" s="25"/>
    </row>
    <row r="994" spans="1:2" ht="15.75" thickBot="1" x14ac:dyDescent="0.3">
      <c r="A994" s="28"/>
      <c r="B994" s="25"/>
    </row>
    <row r="995" spans="1:2" ht="15.75" thickBot="1" x14ac:dyDescent="0.3">
      <c r="A995" s="28"/>
      <c r="B995" s="25"/>
    </row>
    <row r="996" spans="1:2" ht="15.75" thickBot="1" x14ac:dyDescent="0.3">
      <c r="A996" s="28"/>
      <c r="B996" s="25"/>
    </row>
    <row r="997" spans="1:2" ht="15.75" thickBot="1" x14ac:dyDescent="0.3">
      <c r="A997" s="28"/>
      <c r="B997" s="25"/>
    </row>
    <row r="998" spans="1:2" ht="15.75" thickBot="1" x14ac:dyDescent="0.3">
      <c r="A998" s="28"/>
      <c r="B998" s="25"/>
    </row>
    <row r="999" spans="1:2" ht="15.75" thickBot="1" x14ac:dyDescent="0.3">
      <c r="A999" s="28"/>
      <c r="B999" s="25"/>
    </row>
    <row r="1000" spans="1:2" ht="15.75" thickBot="1" x14ac:dyDescent="0.3">
      <c r="A1000" s="28"/>
      <c r="B1000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</vt:lpstr>
      <vt:lpstr>Weekly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2026-02-05T01:07:26Z</dcterms:modified>
</cp:coreProperties>
</file>