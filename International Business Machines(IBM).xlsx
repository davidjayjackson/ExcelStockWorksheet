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9FB21E13-D6E4-4611-9C9B-4B6F95437003}" xr6:coauthVersionLast="47" xr6:coauthVersionMax="47" xr10:uidLastSave="{00000000-0000-0000-0000-000000000000}"/>
  <bookViews>
    <workbookView xWindow="-120" yWindow="-120" windowWidth="20730" windowHeight="11040" activeTab="1" xr2:uid="{92AFEA67-FCE1-458C-9A7E-ADF426D7B024}"/>
  </bookViews>
  <sheets>
    <sheet name="Intro" sheetId="10" r:id="rId1"/>
    <sheet name="Dashboard" sheetId="7" r:id="rId2"/>
    <sheet name="Data" sheetId="1" r:id="rId3"/>
    <sheet name="Weekly (2)" sheetId="27" r:id="rId4"/>
    <sheet name="Forecast" sheetId="28" r:id="rId5"/>
    <sheet name="Dividends" sheetId="18" r:id="rId6"/>
  </sheets>
  <definedNames>
    <definedName name="data">Data!$1:$1048576</definedName>
    <definedName name="ExternalData_1" localSheetId="3" hidden="1">'Weekly (2)'!$A$1:$B$54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28" l="1"/>
  <c r="A57" i="28" s="1"/>
  <c r="A58" i="28" s="1"/>
  <c r="A59" i="28" s="1"/>
  <c r="A60" i="28" s="1"/>
  <c r="A55" i="28"/>
  <c r="U252" i="1"/>
  <c r="V252" i="1"/>
  <c r="Y252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15" i="1"/>
  <c r="C56" i="28"/>
  <c r="C57" i="28"/>
  <c r="C58" i="28"/>
  <c r="C59" i="28"/>
  <c r="C60" i="28"/>
  <c r="C55" i="28"/>
  <c r="C54" i="28"/>
  <c r="B1" i="1" a="1"/>
  <c r="E252" i="1" l="1"/>
  <c r="J252" i="1"/>
  <c r="K252" i="1"/>
  <c r="AB252" i="1"/>
  <c r="N252" i="1"/>
  <c r="G252" i="1"/>
  <c r="A252" i="1"/>
  <c r="B1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6" i="1"/>
  <c r="A82" i="1"/>
  <c r="A114" i="1"/>
  <c r="A138" i="1"/>
  <c r="A162" i="1"/>
  <c r="A186" i="1"/>
  <c r="A218" i="1"/>
  <c r="A250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18" i="1"/>
  <c r="A34" i="1"/>
  <c r="A50" i="1"/>
  <c r="A66" i="1"/>
  <c r="A90" i="1"/>
  <c r="A106" i="1"/>
  <c r="A130" i="1"/>
  <c r="A154" i="1"/>
  <c r="A178" i="1"/>
  <c r="A202" i="1"/>
  <c r="A242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10" i="1"/>
  <c r="A42" i="1"/>
  <c r="A58" i="1"/>
  <c r="A74" i="1"/>
  <c r="A98" i="1"/>
  <c r="A122" i="1"/>
  <c r="A146" i="1"/>
  <c r="A170" i="1"/>
  <c r="A194" i="1"/>
  <c r="A226" i="1"/>
  <c r="A210" i="1"/>
  <c r="A234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N114" i="1"/>
  <c r="AB105" i="1"/>
  <c r="AB241" i="1"/>
  <c r="N34" i="1"/>
  <c r="N108" i="1"/>
  <c r="AB178" i="1"/>
  <c r="N54" i="1"/>
  <c r="N142" i="1"/>
  <c r="N59" i="1"/>
  <c r="N139" i="1"/>
  <c r="N145" i="1"/>
  <c r="AB101" i="1"/>
  <c r="AB115" i="1"/>
  <c r="AB104" i="1"/>
  <c r="AB211" i="1"/>
  <c r="AB217" i="1"/>
  <c r="AB220" i="1"/>
  <c r="N132" i="1"/>
  <c r="N121" i="1"/>
  <c r="N71" i="1"/>
  <c r="N167" i="1"/>
  <c r="N80" i="1"/>
  <c r="N56" i="1"/>
  <c r="K102" i="1"/>
  <c r="AB174" i="1"/>
  <c r="N168" i="1"/>
  <c r="AB145" i="1"/>
  <c r="AB225" i="1"/>
  <c r="N51" i="1"/>
  <c r="N150" i="1"/>
  <c r="K205" i="1"/>
  <c r="N53" i="1"/>
  <c r="N125" i="1"/>
  <c r="AB235" i="1"/>
  <c r="K53" i="1"/>
  <c r="AB135" i="1"/>
  <c r="AB231" i="1"/>
  <c r="N77" i="1"/>
  <c r="K135" i="1"/>
  <c r="N35" i="1"/>
  <c r="AB116" i="1"/>
  <c r="AB215" i="1"/>
  <c r="K86" i="1"/>
  <c r="N129" i="1"/>
  <c r="N126" i="1"/>
  <c r="AB187" i="1"/>
  <c r="AB120" i="1"/>
  <c r="AB197" i="1"/>
  <c r="N55" i="1"/>
  <c r="N5" i="1"/>
  <c r="N143" i="1"/>
  <c r="AB111" i="1"/>
  <c r="AB158" i="1"/>
  <c r="N165" i="1"/>
  <c r="AB216" i="1"/>
  <c r="AB121" i="1"/>
  <c r="AB190" i="1"/>
  <c r="AB125" i="1"/>
  <c r="AB205" i="1"/>
  <c r="AB188" i="1"/>
  <c r="N68" i="1"/>
  <c r="N90" i="1"/>
  <c r="N186" i="1"/>
  <c r="AB119" i="1"/>
  <c r="N175" i="1"/>
  <c r="AB131" i="1"/>
  <c r="AB234" i="1"/>
  <c r="AB207" i="1"/>
  <c r="N243" i="1"/>
  <c r="AB237" i="1"/>
  <c r="N195" i="1"/>
  <c r="N219" i="1"/>
  <c r="J150" i="1"/>
  <c r="AB160" i="1"/>
  <c r="N29" i="1"/>
  <c r="N100" i="1"/>
  <c r="N111" i="1"/>
  <c r="K164" i="1"/>
  <c r="AB132" i="1"/>
  <c r="AB210" i="1"/>
  <c r="AB236" i="1"/>
  <c r="K94" i="1"/>
  <c r="AB230" i="1"/>
  <c r="N224" i="1"/>
  <c r="N74" i="1"/>
  <c r="N217" i="1"/>
  <c r="AB122" i="1"/>
  <c r="N162" i="1"/>
  <c r="AB138" i="1"/>
  <c r="AB136" i="1"/>
  <c r="AB218" i="1"/>
  <c r="AB191" i="1"/>
  <c r="N6" i="1"/>
  <c r="AB223" i="1"/>
  <c r="N102" i="1"/>
  <c r="N182" i="1"/>
  <c r="N87" i="1"/>
  <c r="K127" i="1"/>
  <c r="N91" i="1"/>
  <c r="AB228" i="1"/>
  <c r="AB206" i="1"/>
  <c r="AB144" i="1"/>
  <c r="N238" i="1"/>
  <c r="AB243" i="1"/>
  <c r="AB232" i="1"/>
  <c r="N203" i="1"/>
  <c r="N17" i="1"/>
  <c r="N88" i="1"/>
  <c r="N220" i="1"/>
  <c r="K32" i="1"/>
  <c r="N169" i="1"/>
  <c r="AB177" i="1"/>
  <c r="N45" i="1"/>
  <c r="N123" i="1"/>
  <c r="AB114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N214" i="1"/>
  <c r="AB107" i="1"/>
  <c r="N221" i="1"/>
  <c r="N78" i="1"/>
  <c r="N75" i="1"/>
  <c r="N229" i="1"/>
  <c r="N163" i="1"/>
  <c r="AB147" i="1"/>
  <c r="AB153" i="1"/>
  <c r="AB227" i="1"/>
  <c r="K214" i="1"/>
  <c r="N7" i="1"/>
  <c r="AB248" i="1"/>
  <c r="N103" i="1"/>
  <c r="N16" i="1"/>
  <c r="N107" i="1"/>
  <c r="N95" i="1"/>
  <c r="K38" i="1"/>
  <c r="AB110" i="1"/>
  <c r="N104" i="1"/>
  <c r="AB239" i="1"/>
  <c r="AB161" i="1"/>
  <c r="N196" i="1"/>
  <c r="AB129" i="1"/>
  <c r="AB157" i="1"/>
  <c r="AB249" i="1"/>
  <c r="AB244" i="1"/>
  <c r="N69" i="1"/>
  <c r="AB212" i="1"/>
  <c r="K175" i="1"/>
  <c r="N152" i="1"/>
  <c r="K129" i="1"/>
  <c r="AB182" i="1"/>
  <c r="K22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AB123" i="1"/>
  <c r="AB133" i="1"/>
  <c r="N234" i="1"/>
  <c r="N222" i="1"/>
  <c r="N79" i="1"/>
  <c r="N33" i="1"/>
  <c r="N200" i="1"/>
  <c r="AB164" i="1"/>
  <c r="AB126" i="1"/>
  <c r="AB141" i="1"/>
  <c r="K222" i="1"/>
  <c r="N26" i="1"/>
  <c r="AB229" i="1"/>
  <c r="N122" i="1"/>
  <c r="N202" i="1"/>
  <c r="N115" i="1"/>
  <c r="AB170" i="1"/>
  <c r="AB143" i="1"/>
  <c r="N209" i="1"/>
  <c r="N117" i="1"/>
  <c r="N134" i="1"/>
  <c r="N230" i="1"/>
  <c r="AB140" i="1"/>
  <c r="N176" i="1"/>
  <c r="K238" i="1"/>
  <c r="K192" i="1"/>
  <c r="N207" i="1"/>
  <c r="K58" i="1"/>
  <c r="K40" i="1"/>
  <c r="AB146" i="1"/>
  <c r="AB148" i="1"/>
  <c r="AB246" i="1"/>
  <c r="K30" i="1"/>
  <c r="AB166" i="1"/>
  <c r="N160" i="1"/>
  <c r="N10" i="1"/>
  <c r="N76" i="1"/>
  <c r="N242" i="1"/>
  <c r="N98" i="1"/>
  <c r="AB154" i="1"/>
  <c r="AB127" i="1"/>
  <c r="N236" i="1"/>
  <c r="N28" i="1"/>
  <c r="N137" i="1"/>
  <c r="AB139" i="1"/>
  <c r="AB242" i="1"/>
  <c r="AB159" i="1"/>
  <c r="N38" i="1"/>
  <c r="N118" i="1"/>
  <c r="K63" i="1"/>
  <c r="N27" i="1"/>
  <c r="N206" i="1"/>
  <c r="AB142" i="1"/>
  <c r="N49" i="1"/>
  <c r="N110" i="1"/>
  <c r="AB179" i="1"/>
  <c r="AB168" i="1"/>
  <c r="N52" i="1"/>
  <c r="AB233" i="1"/>
  <c r="N127" i="1"/>
  <c r="N135" i="1"/>
  <c r="N64" i="1"/>
  <c r="AB150" i="1"/>
  <c r="N144" i="1"/>
  <c r="N93" i="1"/>
  <c r="N184" i="1"/>
  <c r="AB176" i="1"/>
  <c r="K166" i="1"/>
  <c r="N227" i="1"/>
  <c r="K70" i="1"/>
  <c r="N245" i="1"/>
  <c r="K244" i="1"/>
  <c r="K137" i="1"/>
  <c r="N84" i="1"/>
  <c r="AB251" i="1"/>
  <c r="N119" i="1"/>
  <c r="N41" i="1"/>
  <c r="K95" i="1"/>
  <c r="AB203" i="1"/>
  <c r="K221" i="1"/>
  <c r="N180" i="1"/>
  <c r="J214" i="1"/>
  <c r="N85" i="1"/>
  <c r="K223" i="1"/>
  <c r="N92" i="1"/>
  <c r="N73" i="1"/>
  <c r="AB171" i="1"/>
  <c r="K37" i="1"/>
  <c r="K239" i="1"/>
  <c r="J156" i="1"/>
  <c r="J82" i="1"/>
  <c r="K235" i="1"/>
  <c r="N198" i="1"/>
  <c r="K62" i="1"/>
  <c r="K97" i="1"/>
  <c r="N65" i="1"/>
  <c r="J110" i="1"/>
  <c r="K28" i="1"/>
  <c r="K100" i="1"/>
  <c r="N128" i="1"/>
  <c r="N140" i="1"/>
  <c r="K77" i="1"/>
  <c r="N67" i="1"/>
  <c r="K216" i="1"/>
  <c r="N249" i="1"/>
  <c r="AB193" i="1"/>
  <c r="K55" i="1"/>
  <c r="K248" i="1"/>
  <c r="J94" i="1"/>
  <c r="J127" i="1"/>
  <c r="G221" i="1"/>
  <c r="E213" i="1"/>
  <c r="E106" i="1"/>
  <c r="K154" i="1"/>
  <c r="K36" i="1"/>
  <c r="J28" i="1"/>
  <c r="J69" i="1"/>
  <c r="J188" i="1"/>
  <c r="J177" i="1"/>
  <c r="G134" i="1"/>
  <c r="G193" i="1"/>
  <c r="J197" i="1"/>
  <c r="K181" i="1"/>
  <c r="K80" i="1"/>
  <c r="J87" i="1"/>
  <c r="K89" i="1"/>
  <c r="E21" i="1"/>
  <c r="J125" i="1"/>
  <c r="J48" i="1"/>
  <c r="G113" i="1"/>
  <c r="G212" i="1"/>
  <c r="J78" i="1"/>
  <c r="J248" i="1"/>
  <c r="K69" i="1"/>
  <c r="G135" i="1"/>
  <c r="J244" i="1"/>
  <c r="E144" i="1"/>
  <c r="E158" i="1"/>
  <c r="J180" i="1"/>
  <c r="K49" i="1"/>
  <c r="J215" i="1"/>
  <c r="K113" i="1"/>
  <c r="J68" i="1"/>
  <c r="G20" i="1"/>
  <c r="G195" i="1"/>
  <c r="G217" i="1"/>
  <c r="G24" i="1"/>
  <c r="G81" i="1"/>
  <c r="E39" i="1"/>
  <c r="E191" i="1"/>
  <c r="N21" i="1"/>
  <c r="N173" i="1"/>
  <c r="K158" i="1"/>
  <c r="AB165" i="1"/>
  <c r="N138" i="1"/>
  <c r="AB202" i="1"/>
  <c r="N89" i="1"/>
  <c r="N70" i="1"/>
  <c r="K191" i="1"/>
  <c r="N157" i="1"/>
  <c r="N105" i="1"/>
  <c r="K103" i="1"/>
  <c r="N120" i="1"/>
  <c r="N190" i="1"/>
  <c r="N188" i="1"/>
  <c r="K132" i="1"/>
  <c r="N241" i="1"/>
  <c r="K250" i="1"/>
  <c r="K232" i="1"/>
  <c r="K147" i="1"/>
  <c r="J245" i="1"/>
  <c r="N18" i="1"/>
  <c r="N30" i="1"/>
  <c r="AB151" i="1"/>
  <c r="N151" i="1"/>
  <c r="K26" i="1"/>
  <c r="K87" i="1"/>
  <c r="N185" i="1"/>
  <c r="AB214" i="1"/>
  <c r="N179" i="1"/>
  <c r="J22" i="1"/>
  <c r="N251" i="1"/>
  <c r="J137" i="1"/>
  <c r="J238" i="1"/>
  <c r="N66" i="1"/>
  <c r="K106" i="1"/>
  <c r="J103" i="1"/>
  <c r="K42" i="1"/>
  <c r="G9" i="1"/>
  <c r="J161" i="1"/>
  <c r="G59" i="1"/>
  <c r="G225" i="1"/>
  <c r="G203" i="1"/>
  <c r="G167" i="1"/>
  <c r="E16" i="1"/>
  <c r="G125" i="1"/>
  <c r="K130" i="1"/>
  <c r="N164" i="1"/>
  <c r="K211" i="1"/>
  <c r="J122" i="1"/>
  <c r="K184" i="1"/>
  <c r="N147" i="1"/>
  <c r="J40" i="1"/>
  <c r="J231" i="1"/>
  <c r="G162" i="1"/>
  <c r="E182" i="1"/>
  <c r="K186" i="1"/>
  <c r="J199" i="1"/>
  <c r="J95" i="1"/>
  <c r="J105" i="1"/>
  <c r="J221" i="1"/>
  <c r="G90" i="1"/>
  <c r="G5" i="1"/>
  <c r="G72" i="1"/>
  <c r="J57" i="1"/>
  <c r="E53" i="1"/>
  <c r="E84" i="1"/>
  <c r="G126" i="1"/>
  <c r="J146" i="1"/>
  <c r="E201" i="1"/>
  <c r="K200" i="1"/>
  <c r="J168" i="1"/>
  <c r="K195" i="1"/>
  <c r="K116" i="1"/>
  <c r="J93" i="1"/>
  <c r="E4" i="1"/>
  <c r="J106" i="1"/>
  <c r="K201" i="1"/>
  <c r="N86" i="1"/>
  <c r="AB199" i="1"/>
  <c r="N97" i="1"/>
  <c r="AB163" i="1"/>
  <c r="AB184" i="1"/>
  <c r="AB175" i="1"/>
  <c r="AB185" i="1"/>
  <c r="AB103" i="1"/>
  <c r="K218" i="1"/>
  <c r="K45" i="1"/>
  <c r="N187" i="1"/>
  <c r="N148" i="1"/>
  <c r="N194" i="1"/>
  <c r="N36" i="1"/>
  <c r="N136" i="1"/>
  <c r="K57" i="1"/>
  <c r="N181" i="1"/>
  <c r="AB186" i="1"/>
  <c r="N20" i="1"/>
  <c r="K171" i="1"/>
  <c r="J158" i="1"/>
  <c r="N50" i="1"/>
  <c r="K84" i="1"/>
  <c r="N240" i="1"/>
  <c r="K88" i="1"/>
  <c r="J246" i="1"/>
  <c r="N146" i="1"/>
  <c r="N158" i="1"/>
  <c r="K111" i="1"/>
  <c r="N208" i="1"/>
  <c r="K242" i="1"/>
  <c r="AB149" i="1"/>
  <c r="N218" i="1"/>
  <c r="K226" i="1"/>
  <c r="J56" i="1"/>
  <c r="K29" i="1"/>
  <c r="K153" i="1"/>
  <c r="G85" i="1"/>
  <c r="K251" i="1"/>
  <c r="G169" i="1"/>
  <c r="E195" i="1"/>
  <c r="G21" i="1"/>
  <c r="G160" i="1"/>
  <c r="E231" i="1"/>
  <c r="N213" i="1"/>
  <c r="K117" i="1"/>
  <c r="J23" i="1"/>
  <c r="K108" i="1"/>
  <c r="J222" i="1"/>
  <c r="K144" i="1"/>
  <c r="E140" i="1"/>
  <c r="G112" i="1"/>
  <c r="AB167" i="1"/>
  <c r="K119" i="1"/>
  <c r="J138" i="1"/>
  <c r="K68" i="1"/>
  <c r="J184" i="1"/>
  <c r="G208" i="1"/>
  <c r="J116" i="1"/>
  <c r="J54" i="1"/>
  <c r="J203" i="1"/>
  <c r="J234" i="1"/>
  <c r="J205" i="1"/>
  <c r="N24" i="1"/>
  <c r="G182" i="1"/>
  <c r="G43" i="1"/>
  <c r="E61" i="1"/>
  <c r="E156" i="1"/>
  <c r="E249" i="1"/>
  <c r="K61" i="1"/>
  <c r="E116" i="1"/>
  <c r="AB247" i="1"/>
  <c r="K96" i="1"/>
  <c r="K213" i="1"/>
  <c r="J25" i="1"/>
  <c r="J206" i="1"/>
  <c r="K21" i="1"/>
  <c r="J183" i="1"/>
  <c r="G241" i="1"/>
  <c r="E171" i="1"/>
  <c r="N106" i="1"/>
  <c r="AB224" i="1"/>
  <c r="AB106" i="1"/>
  <c r="AB200" i="1"/>
  <c r="N61" i="1"/>
  <c r="N246" i="1"/>
  <c r="N149" i="1"/>
  <c r="AB128" i="1"/>
  <c r="AB192" i="1"/>
  <c r="K139" i="1"/>
  <c r="AB113" i="1"/>
  <c r="N237" i="1"/>
  <c r="N193" i="1"/>
  <c r="N124" i="1"/>
  <c r="K228" i="1"/>
  <c r="N216" i="1"/>
  <c r="K237" i="1"/>
  <c r="J135" i="1"/>
  <c r="K177" i="1"/>
  <c r="N233" i="1"/>
  <c r="K185" i="1"/>
  <c r="N8" i="1"/>
  <c r="N178" i="1"/>
  <c r="N210" i="1"/>
  <c r="K152" i="1"/>
  <c r="J216" i="1"/>
  <c r="N172" i="1"/>
  <c r="K196" i="1"/>
  <c r="N174" i="1"/>
  <c r="K163" i="1"/>
  <c r="K72" i="1"/>
  <c r="J207" i="1"/>
  <c r="J162" i="1"/>
  <c r="J210" i="1"/>
  <c r="E85" i="1"/>
  <c r="G10" i="1"/>
  <c r="E96" i="1"/>
  <c r="E146" i="1"/>
  <c r="E118" i="1"/>
  <c r="E187" i="1"/>
  <c r="AB226" i="1"/>
  <c r="J167" i="1"/>
  <c r="K170" i="1"/>
  <c r="G249" i="1"/>
  <c r="G142" i="1"/>
  <c r="E20" i="1"/>
  <c r="K122" i="1"/>
  <c r="J71" i="1"/>
  <c r="J31" i="1"/>
  <c r="J41" i="1"/>
  <c r="J242" i="1"/>
  <c r="G84" i="1"/>
  <c r="G181" i="1"/>
  <c r="E172" i="1"/>
  <c r="J59" i="1"/>
  <c r="J172" i="1"/>
  <c r="K212" i="1"/>
  <c r="G236" i="1"/>
  <c r="E35" i="1"/>
  <c r="E240" i="1"/>
  <c r="J164" i="1"/>
  <c r="N37" i="1"/>
  <c r="J159" i="1"/>
  <c r="J169" i="1"/>
  <c r="J47" i="1"/>
  <c r="G22" i="1"/>
  <c r="G73" i="1"/>
  <c r="J185" i="1"/>
  <c r="G123" i="1"/>
  <c r="E244" i="1"/>
  <c r="G248" i="1"/>
  <c r="E243" i="1"/>
  <c r="AB213" i="1"/>
  <c r="N99" i="1"/>
  <c r="AB112" i="1"/>
  <c r="N39" i="1"/>
  <c r="N130" i="1"/>
  <c r="AB173" i="1"/>
  <c r="N250" i="1"/>
  <c r="N116" i="1"/>
  <c r="K66" i="1"/>
  <c r="AB238" i="1"/>
  <c r="AB169" i="1"/>
  <c r="K246" i="1"/>
  <c r="N235" i="1"/>
  <c r="K54" i="1"/>
  <c r="K207" i="1"/>
  <c r="N177" i="1"/>
  <c r="N248" i="1"/>
  <c r="N47" i="1"/>
  <c r="K24" i="1"/>
  <c r="J182" i="1"/>
  <c r="K179" i="1"/>
  <c r="J88" i="1"/>
  <c r="K27" i="1"/>
  <c r="N153" i="1"/>
  <c r="K78" i="1"/>
  <c r="K114" i="1"/>
  <c r="AB204" i="1"/>
  <c r="N141" i="1"/>
  <c r="N9" i="1"/>
  <c r="K156" i="1"/>
  <c r="K249" i="1"/>
  <c r="K134" i="1"/>
  <c r="N42" i="1"/>
  <c r="J73" i="1"/>
  <c r="K110" i="1"/>
  <c r="N197" i="1"/>
  <c r="K64" i="1"/>
  <c r="N244" i="1"/>
  <c r="K229" i="1"/>
  <c r="K98" i="1"/>
  <c r="K109" i="1"/>
  <c r="E68" i="1"/>
  <c r="J154" i="1"/>
  <c r="E65" i="1"/>
  <c r="G175" i="1"/>
  <c r="G152" i="1"/>
  <c r="E154" i="1"/>
  <c r="K23" i="1"/>
  <c r="J166" i="1"/>
  <c r="J120" i="1"/>
  <c r="K157" i="1"/>
  <c r="K82" i="1"/>
  <c r="G238" i="1"/>
  <c r="J229" i="1"/>
  <c r="J139" i="1"/>
  <c r="J50" i="1"/>
  <c r="G128" i="1"/>
  <c r="G75" i="1"/>
  <c r="J171" i="1"/>
  <c r="K141" i="1"/>
  <c r="K168" i="1"/>
  <c r="J220" i="1"/>
  <c r="K187" i="1"/>
  <c r="K34" i="1"/>
  <c r="E246" i="1"/>
  <c r="G185" i="1"/>
  <c r="J51" i="1"/>
  <c r="K25" i="1"/>
  <c r="G28" i="1"/>
  <c r="G218" i="1"/>
  <c r="E217" i="1"/>
  <c r="G15" i="1"/>
  <c r="J118" i="1"/>
  <c r="J201" i="1"/>
  <c r="K151" i="1"/>
  <c r="J114" i="1"/>
  <c r="J115" i="1"/>
  <c r="G102" i="1"/>
  <c r="G156" i="1"/>
  <c r="E192" i="1"/>
  <c r="N94" i="1"/>
  <c r="N189" i="1"/>
  <c r="N72" i="1"/>
  <c r="AB118" i="1"/>
  <c r="N58" i="1"/>
  <c r="N48" i="1"/>
  <c r="N19" i="1"/>
  <c r="AB156" i="1"/>
  <c r="N82" i="1"/>
  <c r="N232" i="1"/>
  <c r="AB130" i="1"/>
  <c r="AB109" i="1"/>
  <c r="K159" i="1"/>
  <c r="N43" i="1"/>
  <c r="AB194" i="1"/>
  <c r="K180" i="1"/>
  <c r="N228" i="1"/>
  <c r="N170" i="1"/>
  <c r="K121" i="1"/>
  <c r="N212" i="1"/>
  <c r="K245" i="1"/>
  <c r="J38" i="1"/>
  <c r="AB108" i="1"/>
  <c r="K35" i="1"/>
  <c r="N109" i="1"/>
  <c r="N205" i="1"/>
  <c r="K178" i="1"/>
  <c r="AB240" i="1"/>
  <c r="N32" i="1"/>
  <c r="K126" i="1"/>
  <c r="K161" i="1"/>
  <c r="J174" i="1"/>
  <c r="K85" i="1"/>
  <c r="K190" i="1"/>
  <c r="N4" i="1"/>
  <c r="K92" i="1"/>
  <c r="J181" i="1"/>
  <c r="J155" i="1"/>
  <c r="J84" i="1"/>
  <c r="K123" i="1"/>
  <c r="G41" i="1"/>
  <c r="J80" i="1"/>
  <c r="G233" i="1"/>
  <c r="E174" i="1"/>
  <c r="K71" i="1"/>
  <c r="J144" i="1"/>
  <c r="G211" i="1"/>
  <c r="J250" i="1"/>
  <c r="K209" i="1"/>
  <c r="J108" i="1"/>
  <c r="K247" i="1"/>
  <c r="J134" i="1"/>
  <c r="E67" i="1"/>
  <c r="J157" i="1"/>
  <c r="N215" i="1"/>
  <c r="J198" i="1"/>
  <c r="N57" i="1"/>
  <c r="J35" i="1"/>
  <c r="K210" i="1"/>
  <c r="G104" i="1"/>
  <c r="J45" i="1"/>
  <c r="J235" i="1"/>
  <c r="E228" i="1"/>
  <c r="G23" i="1"/>
  <c r="G230" i="1"/>
  <c r="J123" i="1"/>
  <c r="J236" i="1"/>
  <c r="K136" i="1"/>
  <c r="J109" i="1"/>
  <c r="J119" i="1"/>
  <c r="G157" i="1"/>
  <c r="E149" i="1"/>
  <c r="E236" i="1"/>
  <c r="E73" i="1"/>
  <c r="E22" i="1"/>
  <c r="G194" i="1"/>
  <c r="K160" i="1"/>
  <c r="AB155" i="1"/>
  <c r="K199" i="1"/>
  <c r="AB183" i="1"/>
  <c r="N159" i="1"/>
  <c r="K231" i="1"/>
  <c r="J79" i="1"/>
  <c r="N199" i="1"/>
  <c r="K99" i="1"/>
  <c r="K90" i="1"/>
  <c r="K143" i="1"/>
  <c r="K233" i="1"/>
  <c r="J75" i="1"/>
  <c r="J186" i="1"/>
  <c r="J43" i="1"/>
  <c r="J92" i="1"/>
  <c r="E44" i="1"/>
  <c r="K217" i="1"/>
  <c r="G147" i="1"/>
  <c r="G133" i="1"/>
  <c r="J64" i="1"/>
  <c r="J243" i="1"/>
  <c r="K176" i="1"/>
  <c r="G228" i="1"/>
  <c r="E129" i="1"/>
  <c r="E58" i="1"/>
  <c r="J96" i="1"/>
  <c r="K227" i="1"/>
  <c r="J126" i="1"/>
  <c r="J196" i="1"/>
  <c r="G117" i="1"/>
  <c r="J170" i="1"/>
  <c r="E108" i="1"/>
  <c r="E196" i="1"/>
  <c r="E226" i="1"/>
  <c r="E59" i="1"/>
  <c r="G82" i="1"/>
  <c r="E204" i="1"/>
  <c r="G141" i="1"/>
  <c r="E107" i="1"/>
  <c r="G154" i="1"/>
  <c r="G166" i="1"/>
  <c r="E242" i="1"/>
  <c r="E210" i="1"/>
  <c r="E10" i="1"/>
  <c r="E36" i="1"/>
  <c r="E184" i="1"/>
  <c r="E87" i="1"/>
  <c r="G111" i="1"/>
  <c r="AB208" i="1"/>
  <c r="N171" i="1"/>
  <c r="K206" i="1"/>
  <c r="K224" i="1"/>
  <c r="AB221" i="1"/>
  <c r="K33" i="1"/>
  <c r="N44" i="1"/>
  <c r="K165" i="1"/>
  <c r="AB134" i="1"/>
  <c r="K83" i="1"/>
  <c r="J74" i="1"/>
  <c r="J148" i="1"/>
  <c r="K31" i="1"/>
  <c r="J44" i="1"/>
  <c r="J212" i="1"/>
  <c r="J37" i="1"/>
  <c r="N191" i="1"/>
  <c r="K67" i="1"/>
  <c r="E139" i="1"/>
  <c r="G27" i="1"/>
  <c r="G19" i="1"/>
  <c r="J99" i="1"/>
  <c r="G105" i="1"/>
  <c r="K43" i="1"/>
  <c r="J251" i="1"/>
  <c r="J226" i="1"/>
  <c r="G48" i="1"/>
  <c r="J65" i="1"/>
  <c r="E117" i="1"/>
  <c r="E178" i="1"/>
  <c r="E102" i="1"/>
  <c r="G3" i="1"/>
  <c r="K169" i="1"/>
  <c r="AB189" i="1"/>
  <c r="K208" i="1"/>
  <c r="N12" i="1"/>
  <c r="K230" i="1"/>
  <c r="K183" i="1"/>
  <c r="J124" i="1"/>
  <c r="E229" i="1"/>
  <c r="K173" i="1"/>
  <c r="J98" i="1"/>
  <c r="G237" i="1"/>
  <c r="K59" i="1"/>
  <c r="J241" i="1"/>
  <c r="J86" i="1"/>
  <c r="J21" i="1"/>
  <c r="E132" i="1"/>
  <c r="G16" i="1"/>
  <c r="E13" i="1"/>
  <c r="E91" i="1"/>
  <c r="G14" i="1"/>
  <c r="E14" i="1"/>
  <c r="K65" i="1"/>
  <c r="J30" i="1"/>
  <c r="J153" i="1"/>
  <c r="J230" i="1"/>
  <c r="J63" i="1"/>
  <c r="G93" i="1"/>
  <c r="E3" i="1"/>
  <c r="J149" i="1"/>
  <c r="J72" i="1"/>
  <c r="G7" i="1"/>
  <c r="G88" i="1"/>
  <c r="G188" i="1"/>
  <c r="E225" i="1"/>
  <c r="E27" i="1"/>
  <c r="J217" i="1"/>
  <c r="J200" i="1"/>
  <c r="G122" i="1"/>
  <c r="E234" i="1"/>
  <c r="J239" i="1"/>
  <c r="N101" i="1"/>
  <c r="E209" i="1"/>
  <c r="E241" i="1"/>
  <c r="J218" i="1"/>
  <c r="G40" i="1"/>
  <c r="E162" i="1"/>
  <c r="E64" i="1"/>
  <c r="G192" i="1"/>
  <c r="E142" i="1"/>
  <c r="E230" i="1"/>
  <c r="K105" i="1"/>
  <c r="E165" i="1"/>
  <c r="AB196" i="1"/>
  <c r="N166" i="1"/>
  <c r="K234" i="1"/>
  <c r="AB250" i="1"/>
  <c r="AB162" i="1"/>
  <c r="J117" i="1"/>
  <c r="N3" i="1"/>
  <c r="N204" i="1"/>
  <c r="K189" i="1"/>
  <c r="J208" i="1"/>
  <c r="J70" i="1"/>
  <c r="G213" i="1"/>
  <c r="K47" i="1"/>
  <c r="G183" i="1"/>
  <c r="E89" i="1"/>
  <c r="G144" i="1"/>
  <c r="N223" i="1"/>
  <c r="K167" i="1"/>
  <c r="J163" i="1"/>
  <c r="G145" i="1"/>
  <c r="J133" i="1"/>
  <c r="K197" i="1"/>
  <c r="G74" i="1"/>
  <c r="J81" i="1"/>
  <c r="E120" i="1"/>
  <c r="K107" i="1"/>
  <c r="J24" i="1"/>
  <c r="N46" i="1"/>
  <c r="J90" i="1"/>
  <c r="N15" i="1"/>
  <c r="AB152" i="1"/>
  <c r="N226" i="1"/>
  <c r="AB181" i="1"/>
  <c r="N31" i="1"/>
  <c r="K182" i="1"/>
  <c r="N161" i="1"/>
  <c r="K215" i="1"/>
  <c r="J26" i="1"/>
  <c r="E56" i="1"/>
  <c r="E75" i="1"/>
  <c r="J58" i="1"/>
  <c r="J219" i="1"/>
  <c r="G130" i="1"/>
  <c r="K155" i="1"/>
  <c r="G174" i="1"/>
  <c r="G226" i="1"/>
  <c r="K149" i="1"/>
  <c r="J165" i="1"/>
  <c r="E159" i="1"/>
  <c r="J62" i="1"/>
  <c r="K124" i="1"/>
  <c r="J232" i="1"/>
  <c r="K91" i="1"/>
  <c r="E221" i="1"/>
  <c r="E62" i="1"/>
  <c r="G108" i="1"/>
  <c r="E202" i="1"/>
  <c r="K79" i="1"/>
  <c r="K138" i="1"/>
  <c r="K188" i="1"/>
  <c r="J189" i="1"/>
  <c r="G131" i="1"/>
  <c r="J32" i="1"/>
  <c r="G49" i="1"/>
  <c r="G148" i="1"/>
  <c r="G245" i="1"/>
  <c r="J193" i="1"/>
  <c r="G187" i="1"/>
  <c r="K74" i="1"/>
  <c r="E38" i="1"/>
  <c r="G219" i="1"/>
  <c r="G127" i="1"/>
  <c r="G95" i="1"/>
  <c r="J225" i="1"/>
  <c r="J152" i="1"/>
  <c r="E232" i="1"/>
  <c r="E103" i="1"/>
  <c r="E12" i="1"/>
  <c r="G109" i="1"/>
  <c r="N156" i="1"/>
  <c r="G115" i="1"/>
  <c r="E17" i="1"/>
  <c r="E80" i="1"/>
  <c r="E48" i="1"/>
  <c r="E150" i="1"/>
  <c r="K128" i="1"/>
  <c r="G132" i="1"/>
  <c r="E30" i="1"/>
  <c r="N11" i="1"/>
  <c r="AB222" i="1"/>
  <c r="N154" i="1"/>
  <c r="K118" i="1"/>
  <c r="N131" i="1"/>
  <c r="N83" i="1"/>
  <c r="K50" i="1"/>
  <c r="K101" i="1"/>
  <c r="K140" i="1"/>
  <c r="AB137" i="1"/>
  <c r="K225" i="1"/>
  <c r="G53" i="1"/>
  <c r="G137" i="1"/>
  <c r="J209" i="1"/>
  <c r="K104" i="1"/>
  <c r="J42" i="1"/>
  <c r="J194" i="1"/>
  <c r="J151" i="1"/>
  <c r="G106" i="1"/>
  <c r="G63" i="1"/>
  <c r="G51" i="1"/>
  <c r="N113" i="1"/>
  <c r="K41" i="1"/>
  <c r="J89" i="1"/>
  <c r="J102" i="1"/>
  <c r="G172" i="1"/>
  <c r="G176" i="1"/>
  <c r="G197" i="1"/>
  <c r="G178" i="1"/>
  <c r="E181" i="1"/>
  <c r="E127" i="1"/>
  <c r="N23" i="1"/>
  <c r="K125" i="1"/>
  <c r="J66" i="1"/>
  <c r="E251" i="1"/>
  <c r="G139" i="1"/>
  <c r="E212" i="1"/>
  <c r="E19" i="1"/>
  <c r="N14" i="1"/>
  <c r="AB124" i="1"/>
  <c r="N225" i="1"/>
  <c r="K142" i="1"/>
  <c r="E123" i="1"/>
  <c r="K75" i="1"/>
  <c r="G66" i="1"/>
  <c r="J179" i="1"/>
  <c r="J132" i="1"/>
  <c r="N201" i="1"/>
  <c r="J129" i="1"/>
  <c r="G78" i="1"/>
  <c r="E199" i="1"/>
  <c r="E223" i="1"/>
  <c r="E69" i="1"/>
  <c r="E219" i="1"/>
  <c r="G92" i="1"/>
  <c r="G98" i="1"/>
  <c r="E74" i="1"/>
  <c r="G29" i="1"/>
  <c r="J91" i="1"/>
  <c r="G101" i="1"/>
  <c r="G140" i="1"/>
  <c r="G45" i="1"/>
  <c r="J60" i="1"/>
  <c r="E121" i="1"/>
  <c r="E41" i="1"/>
  <c r="E60" i="1"/>
  <c r="E105" i="1"/>
  <c r="G68" i="1"/>
  <c r="E220" i="1"/>
  <c r="G37" i="1"/>
  <c r="J85" i="1"/>
  <c r="E200" i="1"/>
  <c r="G171" i="1"/>
  <c r="K198" i="1"/>
  <c r="E45" i="1"/>
  <c r="E110" i="1"/>
  <c r="E148" i="1"/>
  <c r="K133" i="1"/>
  <c r="G168" i="1"/>
  <c r="E190" i="1"/>
  <c r="E83" i="1"/>
  <c r="G204" i="1"/>
  <c r="E37" i="1"/>
  <c r="E46" i="1"/>
  <c r="E18" i="1"/>
  <c r="E141" i="1"/>
  <c r="E124" i="1"/>
  <c r="E2" i="1"/>
  <c r="G17" i="1"/>
  <c r="K148" i="1"/>
  <c r="E49" i="1"/>
  <c r="G177" i="1"/>
  <c r="J39" i="1"/>
  <c r="E197" i="1"/>
  <c r="J33" i="1"/>
  <c r="E138" i="1"/>
  <c r="G170" i="1"/>
  <c r="E125" i="1"/>
  <c r="G200" i="1"/>
  <c r="E9" i="1"/>
  <c r="E24" i="1"/>
  <c r="E115" i="1"/>
  <c r="G205" i="1"/>
  <c r="E168" i="1"/>
  <c r="E180" i="1"/>
  <c r="E167" i="1"/>
  <c r="K56" i="1"/>
  <c r="E93" i="1"/>
  <c r="E29" i="1"/>
  <c r="E203" i="1"/>
  <c r="K204" i="1"/>
  <c r="E185" i="1"/>
  <c r="E42" i="1"/>
  <c r="N62" i="1"/>
  <c r="G62" i="1"/>
  <c r="G6" i="1"/>
  <c r="E179" i="1"/>
  <c r="E70" i="1"/>
  <c r="G30" i="1"/>
  <c r="N247" i="1"/>
  <c r="G55" i="1"/>
  <c r="K44" i="1"/>
  <c r="K194" i="1"/>
  <c r="J104" i="1"/>
  <c r="J52" i="1"/>
  <c r="J27" i="1"/>
  <c r="G149" i="1"/>
  <c r="J140" i="1"/>
  <c r="J83" i="1"/>
  <c r="E216" i="1"/>
  <c r="G47" i="1"/>
  <c r="E164" i="1"/>
  <c r="J192" i="1"/>
  <c r="E157" i="1"/>
  <c r="G36" i="1"/>
  <c r="J173" i="1"/>
  <c r="E206" i="1"/>
  <c r="J49" i="1"/>
  <c r="E25" i="1"/>
  <c r="E183" i="1"/>
  <c r="E82" i="1"/>
  <c r="J34" i="1"/>
  <c r="G240" i="1"/>
  <c r="J97" i="1"/>
  <c r="E8" i="1"/>
  <c r="G184" i="1"/>
  <c r="J130" i="1"/>
  <c r="G138" i="1"/>
  <c r="G38" i="1"/>
  <c r="E79" i="1"/>
  <c r="J237" i="1"/>
  <c r="G103" i="1"/>
  <c r="J136" i="1"/>
  <c r="E248" i="1"/>
  <c r="E250" i="1"/>
  <c r="E6" i="1"/>
  <c r="G100" i="1"/>
  <c r="G13" i="1"/>
  <c r="J249" i="1"/>
  <c r="E40" i="1"/>
  <c r="E189" i="1"/>
  <c r="E235" i="1"/>
  <c r="G242" i="1"/>
  <c r="J211" i="1"/>
  <c r="G159" i="1"/>
  <c r="E113" i="1"/>
  <c r="G4" i="1"/>
  <c r="J143" i="1"/>
  <c r="K150" i="1"/>
  <c r="AB209" i="1"/>
  <c r="AB180" i="1"/>
  <c r="AB195" i="1"/>
  <c r="J113" i="1"/>
  <c r="J141" i="1"/>
  <c r="K236" i="1"/>
  <c r="K73" i="1"/>
  <c r="G39" i="1"/>
  <c r="G110" i="1"/>
  <c r="G25" i="1"/>
  <c r="AB117" i="1"/>
  <c r="G215" i="1"/>
  <c r="J142" i="1"/>
  <c r="E131" i="1"/>
  <c r="E137" i="1"/>
  <c r="J121" i="1"/>
  <c r="G206" i="1"/>
  <c r="J247" i="1"/>
  <c r="E95" i="1"/>
  <c r="E166" i="1"/>
  <c r="E76" i="1"/>
  <c r="G70" i="1"/>
  <c r="E109" i="1"/>
  <c r="J160" i="1"/>
  <c r="E98" i="1"/>
  <c r="G96" i="1"/>
  <c r="E239" i="1"/>
  <c r="N231" i="1"/>
  <c r="G83" i="1"/>
  <c r="G231" i="1"/>
  <c r="E194" i="1"/>
  <c r="K120" i="1"/>
  <c r="G94" i="1"/>
  <c r="E160" i="1"/>
  <c r="G150" i="1"/>
  <c r="G143" i="1"/>
  <c r="J204" i="1"/>
  <c r="E81" i="1"/>
  <c r="E55" i="1"/>
  <c r="E133" i="1"/>
  <c r="G18" i="1"/>
  <c r="E147" i="1"/>
  <c r="G239" i="1"/>
  <c r="J224" i="1"/>
  <c r="G120" i="1"/>
  <c r="G246" i="1"/>
  <c r="E50" i="1"/>
  <c r="E7" i="1"/>
  <c r="G60" i="1"/>
  <c r="G151" i="1"/>
  <c r="G89" i="1"/>
  <c r="E238" i="1"/>
  <c r="G223" i="1"/>
  <c r="E173" i="1"/>
  <c r="G32" i="1"/>
  <c r="E26" i="1"/>
  <c r="E222" i="1"/>
  <c r="E122" i="1"/>
  <c r="J55" i="1"/>
  <c r="E101" i="1"/>
  <c r="K48" i="1"/>
  <c r="J112" i="1"/>
  <c r="G179" i="1"/>
  <c r="J76" i="1"/>
  <c r="G173" i="1"/>
  <c r="J187" i="1"/>
  <c r="J111" i="1"/>
  <c r="J178" i="1"/>
  <c r="E78" i="1"/>
  <c r="E193" i="1"/>
  <c r="J46" i="1"/>
  <c r="K81" i="1"/>
  <c r="J29" i="1"/>
  <c r="AB245" i="1"/>
  <c r="N81" i="1"/>
  <c r="J223" i="1"/>
  <c r="K115" i="1"/>
  <c r="K219" i="1"/>
  <c r="J147" i="1"/>
  <c r="E11" i="1"/>
  <c r="G107" i="1"/>
  <c r="E134" i="1"/>
  <c r="E23" i="1"/>
  <c r="J77" i="1"/>
  <c r="K202" i="1"/>
  <c r="E177" i="1"/>
  <c r="G116" i="1"/>
  <c r="G199" i="1"/>
  <c r="G153" i="1"/>
  <c r="E237" i="1"/>
  <c r="G186" i="1"/>
  <c r="G161" i="1"/>
  <c r="E51" i="1"/>
  <c r="E32" i="1"/>
  <c r="G124" i="1"/>
  <c r="E245" i="1"/>
  <c r="G67" i="1"/>
  <c r="G235" i="1"/>
  <c r="E145" i="1"/>
  <c r="K220" i="1"/>
  <c r="G201" i="1"/>
  <c r="N40" i="1"/>
  <c r="K203" i="1"/>
  <c r="N133" i="1"/>
  <c r="N25" i="1"/>
  <c r="G190" i="1"/>
  <c r="J176" i="1"/>
  <c r="K162" i="1"/>
  <c r="K51" i="1"/>
  <c r="J202" i="1"/>
  <c r="G196" i="1"/>
  <c r="G2" i="1"/>
  <c r="G52" i="1"/>
  <c r="J175" i="1"/>
  <c r="G79" i="1"/>
  <c r="K60" i="1"/>
  <c r="N60" i="1"/>
  <c r="G189" i="1"/>
  <c r="E143" i="1"/>
  <c r="G224" i="1"/>
  <c r="K39" i="1"/>
  <c r="G69" i="1"/>
  <c r="K52" i="1"/>
  <c r="N183" i="1"/>
  <c r="G80" i="1"/>
  <c r="E54" i="1"/>
  <c r="E104" i="1"/>
  <c r="J53" i="1"/>
  <c r="N112" i="1"/>
  <c r="G114" i="1"/>
  <c r="E34" i="1"/>
  <c r="E119" i="1"/>
  <c r="G214" i="1"/>
  <c r="N211" i="1"/>
  <c r="G164" i="1"/>
  <c r="E205" i="1"/>
  <c r="G163" i="1"/>
  <c r="G216" i="1"/>
  <c r="E100" i="1"/>
  <c r="E153" i="1"/>
  <c r="E152" i="1"/>
  <c r="E186" i="1"/>
  <c r="J213" i="1"/>
  <c r="E92" i="1"/>
  <c r="E5" i="1"/>
  <c r="K146" i="1"/>
  <c r="E128" i="1"/>
  <c r="E126" i="1"/>
  <c r="G129" i="1"/>
  <c r="E33" i="1"/>
  <c r="J145" i="1"/>
  <c r="K241" i="1"/>
  <c r="G202" i="1"/>
  <c r="J100" i="1"/>
  <c r="E218" i="1"/>
  <c r="E57" i="1"/>
  <c r="K240" i="1"/>
  <c r="G42" i="1"/>
  <c r="G77" i="1"/>
  <c r="E161" i="1"/>
  <c r="G91" i="1"/>
  <c r="N63" i="1"/>
  <c r="G243" i="1"/>
  <c r="E188" i="1"/>
  <c r="E28" i="1"/>
  <c r="E155" i="1"/>
  <c r="E163" i="1"/>
  <c r="G57" i="1"/>
  <c r="E111" i="1"/>
  <c r="N155" i="1"/>
  <c r="AB201" i="1"/>
  <c r="K112" i="1"/>
  <c r="K172" i="1"/>
  <c r="K46" i="1"/>
  <c r="G86" i="1"/>
  <c r="J131" i="1"/>
  <c r="N239" i="1"/>
  <c r="J233" i="1"/>
  <c r="G35" i="1"/>
  <c r="E170" i="1"/>
  <c r="N13" i="1"/>
  <c r="J128" i="1"/>
  <c r="J191" i="1"/>
  <c r="G165" i="1"/>
  <c r="E77" i="1"/>
  <c r="G146" i="1"/>
  <c r="K174" i="1"/>
  <c r="E233" i="1"/>
  <c r="G222" i="1"/>
  <c r="E215" i="1"/>
  <c r="N22" i="1"/>
  <c r="G244" i="1"/>
  <c r="G58" i="1"/>
  <c r="G136" i="1"/>
  <c r="G99" i="1"/>
  <c r="J61" i="1"/>
  <c r="G250" i="1"/>
  <c r="G44" i="1"/>
  <c r="G54" i="1"/>
  <c r="G56" i="1"/>
  <c r="E97" i="1"/>
  <c r="G180" i="1"/>
  <c r="J101" i="1"/>
  <c r="E86" i="1"/>
  <c r="G34" i="1"/>
  <c r="E227" i="1"/>
  <c r="E136" i="1"/>
  <c r="E112" i="1"/>
  <c r="E214" i="1"/>
  <c r="G234" i="1"/>
  <c r="J36" i="1"/>
  <c r="G8" i="1"/>
  <c r="G220" i="1"/>
  <c r="E31" i="1"/>
  <c r="G229" i="1"/>
  <c r="G227" i="1"/>
  <c r="E15" i="1"/>
  <c r="E176" i="1"/>
  <c r="G121" i="1"/>
  <c r="G87" i="1"/>
  <c r="G119" i="1"/>
  <c r="G64" i="1"/>
  <c r="E208" i="1"/>
  <c r="E72" i="1"/>
  <c r="E71" i="1"/>
  <c r="E207" i="1"/>
  <c r="J190" i="1"/>
  <c r="G61" i="1"/>
  <c r="K93" i="1"/>
  <c r="J227" i="1"/>
  <c r="K193" i="1"/>
  <c r="G76" i="1"/>
  <c r="G31" i="1"/>
  <c r="G71" i="1"/>
  <c r="G12" i="1"/>
  <c r="E94" i="1"/>
  <c r="E52" i="1"/>
  <c r="G191" i="1"/>
  <c r="G155" i="1"/>
  <c r="E130" i="1"/>
  <c r="E175" i="1"/>
  <c r="K131" i="1"/>
  <c r="G158" i="1"/>
  <c r="G11" i="1"/>
  <c r="K145" i="1"/>
  <c r="G118" i="1"/>
  <c r="G65" i="1"/>
  <c r="G97" i="1"/>
  <c r="G232" i="1"/>
  <c r="G210" i="1"/>
  <c r="E114" i="1"/>
  <c r="E66" i="1"/>
  <c r="E90" i="1"/>
  <c r="J195" i="1"/>
  <c r="E224" i="1"/>
  <c r="J67" i="1"/>
  <c r="E43" i="1"/>
  <c r="G46" i="1"/>
  <c r="E169" i="1"/>
  <c r="G198" i="1"/>
  <c r="K76" i="1"/>
  <c r="E198" i="1"/>
  <c r="E151" i="1"/>
  <c r="J107" i="1"/>
  <c r="E47" i="1"/>
  <c r="G251" i="1"/>
  <c r="E63" i="1"/>
  <c r="J228" i="1"/>
  <c r="E88" i="1"/>
  <c r="G247" i="1"/>
  <c r="G207" i="1"/>
  <c r="E247" i="1"/>
  <c r="E99" i="1"/>
  <c r="G209" i="1"/>
  <c r="J240" i="1"/>
  <c r="K243" i="1"/>
  <c r="E211" i="1"/>
  <c r="G50" i="1"/>
  <c r="G33" i="1"/>
  <c r="G26" i="1"/>
  <c r="E135" i="1"/>
  <c r="F252" i="1" l="1"/>
  <c r="P252" i="1"/>
  <c r="O252" i="1"/>
  <c r="M252" i="1"/>
  <c r="L252" i="1"/>
  <c r="Y28" i="1"/>
  <c r="Y27" i="1"/>
  <c r="M36" i="1"/>
  <c r="L36" i="1"/>
  <c r="O22" i="1"/>
  <c r="P22" i="1"/>
  <c r="L191" i="1"/>
  <c r="M191" i="1"/>
  <c r="M53" i="1"/>
  <c r="L53" i="1"/>
  <c r="O60" i="1"/>
  <c r="P60" i="1"/>
  <c r="M224" i="1"/>
  <c r="L224" i="1"/>
  <c r="M121" i="1"/>
  <c r="L121" i="1"/>
  <c r="M49" i="1"/>
  <c r="L49" i="1"/>
  <c r="L192" i="1"/>
  <c r="M192" i="1"/>
  <c r="O247" i="1"/>
  <c r="P247" i="1"/>
  <c r="M39" i="1"/>
  <c r="L39" i="1"/>
  <c r="F75" i="1"/>
  <c r="F201" i="1"/>
  <c r="F29" i="1"/>
  <c r="F5" i="1"/>
  <c r="F246" i="1"/>
  <c r="F92" i="1"/>
  <c r="F25" i="1"/>
  <c r="F67" i="1"/>
  <c r="F131" i="1"/>
  <c r="F12" i="1"/>
  <c r="F118" i="1"/>
  <c r="F99" i="1"/>
  <c r="F206" i="1"/>
  <c r="F239" i="1"/>
  <c r="F79" i="1"/>
  <c r="F177" i="1"/>
  <c r="F72" i="1"/>
  <c r="F107" i="1"/>
  <c r="F175" i="1"/>
  <c r="F36" i="1"/>
  <c r="F115" i="1"/>
  <c r="F105" i="1"/>
  <c r="F145" i="1"/>
  <c r="F164" i="1"/>
  <c r="F43" i="1"/>
  <c r="F28" i="1"/>
  <c r="F60" i="1"/>
  <c r="F33" i="1"/>
  <c r="F41" i="1"/>
  <c r="F236" i="1"/>
  <c r="F158" i="1"/>
  <c r="F104" i="1"/>
  <c r="F130" i="1"/>
  <c r="F191" i="1"/>
  <c r="F51" i="1"/>
  <c r="F174" i="1"/>
  <c r="F232" i="1"/>
  <c r="F53" i="1"/>
  <c r="F31" i="1"/>
  <c r="F134" i="1"/>
  <c r="F103" i="1"/>
  <c r="F139" i="1"/>
  <c r="F214" i="1"/>
  <c r="F126" i="1"/>
  <c r="F240" i="1"/>
  <c r="F80" i="1"/>
  <c r="F45" i="1"/>
  <c r="F113" i="1"/>
  <c r="F204" i="1"/>
  <c r="F9" i="1"/>
  <c r="F58" i="1"/>
  <c r="F192" i="1"/>
  <c r="F76" i="1"/>
  <c r="F187" i="1"/>
  <c r="F223" i="1"/>
  <c r="F16" i="1"/>
  <c r="F132" i="1"/>
  <c r="F196" i="1"/>
  <c r="F225" i="1"/>
  <c r="F137" i="1"/>
  <c r="F250" i="1"/>
  <c r="F98" i="1"/>
  <c r="F112" i="1"/>
  <c r="F165" i="1"/>
  <c r="F63" i="1"/>
  <c r="F194" i="1"/>
  <c r="F182" i="1"/>
  <c r="F142" i="1"/>
  <c r="F121" i="1"/>
  <c r="F54" i="1"/>
  <c r="F124" i="1"/>
  <c r="F69" i="1"/>
  <c r="F219" i="1"/>
  <c r="F153" i="1"/>
  <c r="F21" i="1"/>
  <c r="F111" i="1"/>
  <c r="F73" i="1"/>
  <c r="F116" i="1"/>
  <c r="F68" i="1"/>
  <c r="F6" i="1"/>
  <c r="F35" i="1"/>
  <c r="F189" i="1"/>
  <c r="F179" i="1"/>
  <c r="F211" i="1"/>
  <c r="F215" i="1"/>
  <c r="F231" i="1"/>
  <c r="F247" i="1"/>
  <c r="F83" i="1"/>
  <c r="F245" i="1"/>
  <c r="F198" i="1"/>
  <c r="F208" i="1"/>
  <c r="F96" i="1"/>
  <c r="F30" i="1"/>
  <c r="F123" i="1"/>
  <c r="F178" i="1"/>
  <c r="F248" i="1"/>
  <c r="F37" i="1"/>
  <c r="F218" i="1"/>
  <c r="F149" i="1"/>
  <c r="F154" i="1"/>
  <c r="F148" i="1"/>
  <c r="F109" i="1"/>
  <c r="F169" i="1"/>
  <c r="F203" i="1"/>
  <c r="F81" i="1"/>
  <c r="F184" i="1"/>
  <c r="F32" i="1"/>
  <c r="F197" i="1"/>
  <c r="F224" i="1"/>
  <c r="F185" i="1"/>
  <c r="F106" i="1"/>
  <c r="F4" i="1"/>
  <c r="F167" i="1"/>
  <c r="F108" i="1"/>
  <c r="F146" i="1"/>
  <c r="F2" i="1"/>
  <c r="F55" i="1"/>
  <c r="F46" i="1"/>
  <c r="F89" i="1"/>
  <c r="F24" i="1"/>
  <c r="F249" i="1"/>
  <c r="F230" i="1"/>
  <c r="F242" i="1"/>
  <c r="F61" i="1"/>
  <c r="F155" i="1"/>
  <c r="F56" i="1"/>
  <c r="F237" i="1"/>
  <c r="F229" i="1"/>
  <c r="F94" i="1"/>
  <c r="F3" i="1"/>
  <c r="F222" i="1"/>
  <c r="F34" i="1"/>
  <c r="F166" i="1"/>
  <c r="F151" i="1"/>
  <c r="F23" i="1"/>
  <c r="F86" i="1"/>
  <c r="F38" i="1"/>
  <c r="F135" i="1"/>
  <c r="F27" i="1"/>
  <c r="F220" i="1"/>
  <c r="F8" i="1"/>
  <c r="F95" i="1"/>
  <c r="F90" i="1"/>
  <c r="F244" i="1"/>
  <c r="F181" i="1"/>
  <c r="F183" i="1"/>
  <c r="F42" i="1"/>
  <c r="F101" i="1"/>
  <c r="F173" i="1"/>
  <c r="F241" i="1"/>
  <c r="F162" i="1"/>
  <c r="F18" i="1"/>
  <c r="F205" i="1"/>
  <c r="F77" i="1"/>
  <c r="F120" i="1"/>
  <c r="F163" i="1"/>
  <c r="F235" i="1"/>
  <c r="F114" i="1"/>
  <c r="F40" i="1"/>
  <c r="F207" i="1"/>
  <c r="F156" i="1"/>
  <c r="F44" i="1"/>
  <c r="F93" i="1"/>
  <c r="F228" i="1"/>
  <c r="F152" i="1"/>
  <c r="F168" i="1"/>
  <c r="F234" i="1"/>
  <c r="F119" i="1"/>
  <c r="F117" i="1"/>
  <c r="F102" i="1"/>
  <c r="F110" i="1"/>
  <c r="F199" i="1"/>
  <c r="F22" i="1"/>
  <c r="F87" i="1"/>
  <c r="F200" i="1"/>
  <c r="F39" i="1"/>
  <c r="F157" i="1"/>
  <c r="F147" i="1"/>
  <c r="F195" i="1"/>
  <c r="F129" i="1"/>
  <c r="F171" i="1"/>
  <c r="F85" i="1"/>
  <c r="F57" i="1"/>
  <c r="F251" i="1"/>
  <c r="F144" i="1"/>
  <c r="F19" i="1"/>
  <c r="F243" i="1"/>
  <c r="F213" i="1"/>
  <c r="F216" i="1"/>
  <c r="F52" i="1"/>
  <c r="F26" i="1"/>
  <c r="F59" i="1"/>
  <c r="F217" i="1"/>
  <c r="F188" i="1"/>
  <c r="F15" i="1"/>
  <c r="F186" i="1"/>
  <c r="F14" i="1"/>
  <c r="F161" i="1"/>
  <c r="F47" i="1"/>
  <c r="F238" i="1"/>
  <c r="F233" i="1"/>
  <c r="F140" i="1"/>
  <c r="F65" i="1"/>
  <c r="F78" i="1"/>
  <c r="F88" i="1"/>
  <c r="F20" i="1"/>
  <c r="F133" i="1"/>
  <c r="F190" i="1"/>
  <c r="F91" i="1"/>
  <c r="F138" i="1"/>
  <c r="F84" i="1"/>
  <c r="F50" i="1"/>
  <c r="F172" i="1"/>
  <c r="F176" i="1"/>
  <c r="F48" i="1"/>
  <c r="F74" i="1"/>
  <c r="F127" i="1"/>
  <c r="F49" i="1"/>
  <c r="F62" i="1"/>
  <c r="F141" i="1"/>
  <c r="F82" i="1"/>
  <c r="F180" i="1"/>
  <c r="F70" i="1"/>
  <c r="F221" i="1"/>
  <c r="F227" i="1"/>
  <c r="F11" i="1"/>
  <c r="F128" i="1"/>
  <c r="F122" i="1"/>
  <c r="F170" i="1"/>
  <c r="F71" i="1"/>
  <c r="F97" i="1"/>
  <c r="F193" i="1"/>
  <c r="F150" i="1"/>
  <c r="F160" i="1"/>
  <c r="F17" i="1"/>
  <c r="F210" i="1"/>
  <c r="F13" i="1"/>
  <c r="F64" i="1"/>
  <c r="F226" i="1"/>
  <c r="F202" i="1"/>
  <c r="F212" i="1"/>
  <c r="F7" i="1"/>
  <c r="F159" i="1"/>
  <c r="F143" i="1"/>
  <c r="F10" i="1"/>
  <c r="F125" i="1"/>
  <c r="F209" i="1"/>
  <c r="F136" i="1"/>
  <c r="F66" i="1"/>
  <c r="F100" i="1"/>
  <c r="L85" i="1"/>
  <c r="M85" i="1"/>
  <c r="O201" i="1"/>
  <c r="P201" i="1"/>
  <c r="P23" i="1"/>
  <c r="O23" i="1"/>
  <c r="L89" i="1"/>
  <c r="M89" i="1"/>
  <c r="M81" i="1"/>
  <c r="L81" i="1"/>
  <c r="P204" i="1"/>
  <c r="O204" i="1"/>
  <c r="M218" i="1"/>
  <c r="L218" i="1"/>
  <c r="L86" i="1"/>
  <c r="M86" i="1"/>
  <c r="M124" i="1"/>
  <c r="L124" i="1"/>
  <c r="P12" i="1"/>
  <c r="O12" i="1"/>
  <c r="L37" i="1"/>
  <c r="M37" i="1"/>
  <c r="M64" i="1"/>
  <c r="L64" i="1"/>
  <c r="P43" i="1"/>
  <c r="O43" i="1"/>
  <c r="O19" i="1"/>
  <c r="P19" i="1"/>
  <c r="P189" i="1"/>
  <c r="O189" i="1"/>
  <c r="M220" i="1"/>
  <c r="L220" i="1"/>
  <c r="L50" i="1"/>
  <c r="M50" i="1"/>
  <c r="L120" i="1"/>
  <c r="M120" i="1"/>
  <c r="O42" i="1"/>
  <c r="P42" i="1"/>
  <c r="P47" i="1"/>
  <c r="O47" i="1"/>
  <c r="L169" i="1"/>
  <c r="M169" i="1"/>
  <c r="L164" i="1"/>
  <c r="M164" i="1"/>
  <c r="L203" i="1"/>
  <c r="M203" i="1"/>
  <c r="O158" i="1"/>
  <c r="P158" i="1"/>
  <c r="O97" i="1"/>
  <c r="P97" i="1"/>
  <c r="L105" i="1"/>
  <c r="M105" i="1"/>
  <c r="L40" i="1"/>
  <c r="M40" i="1"/>
  <c r="L28" i="1"/>
  <c r="M28" i="1"/>
  <c r="O65" i="1"/>
  <c r="P65" i="1"/>
  <c r="O92" i="1"/>
  <c r="P92" i="1"/>
  <c r="P93" i="1"/>
  <c r="O93" i="1"/>
  <c r="O137" i="1"/>
  <c r="P137" i="1"/>
  <c r="P230" i="1"/>
  <c r="O230" i="1"/>
  <c r="P26" i="1"/>
  <c r="O26" i="1"/>
  <c r="O33" i="1"/>
  <c r="P33" i="1"/>
  <c r="O16" i="1"/>
  <c r="P16" i="1"/>
  <c r="O45" i="1"/>
  <c r="P45" i="1"/>
  <c r="P220" i="1"/>
  <c r="O220" i="1"/>
  <c r="O143" i="1"/>
  <c r="P143" i="1"/>
  <c r="P145" i="1"/>
  <c r="O145" i="1"/>
  <c r="M228" i="1"/>
  <c r="L228" i="1"/>
  <c r="L90" i="1"/>
  <c r="M90" i="1"/>
  <c r="M163" i="1"/>
  <c r="L163" i="1"/>
  <c r="P199" i="1"/>
  <c r="O199" i="1"/>
  <c r="L236" i="1"/>
  <c r="M236" i="1"/>
  <c r="P116" i="1"/>
  <c r="O116" i="1"/>
  <c r="L159" i="1"/>
  <c r="M159" i="1"/>
  <c r="O146" i="1"/>
  <c r="P146" i="1"/>
  <c r="O50" i="1"/>
  <c r="P50" i="1"/>
  <c r="P20" i="1"/>
  <c r="O20" i="1"/>
  <c r="O194" i="1"/>
  <c r="P194" i="1"/>
  <c r="M93" i="1"/>
  <c r="L93" i="1"/>
  <c r="M95" i="1"/>
  <c r="L95" i="1"/>
  <c r="L103" i="1"/>
  <c r="M103" i="1"/>
  <c r="L87" i="1"/>
  <c r="M87" i="1"/>
  <c r="O140" i="1"/>
  <c r="P140" i="1"/>
  <c r="P144" i="1"/>
  <c r="O144" i="1"/>
  <c r="O118" i="1"/>
  <c r="P118" i="1"/>
  <c r="P28" i="1"/>
  <c r="O28" i="1"/>
  <c r="O115" i="1"/>
  <c r="P115" i="1"/>
  <c r="O222" i="1"/>
  <c r="P222" i="1"/>
  <c r="P152" i="1"/>
  <c r="O152" i="1"/>
  <c r="P104" i="1"/>
  <c r="O104" i="1"/>
  <c r="O78" i="1"/>
  <c r="P78" i="1"/>
  <c r="O217" i="1"/>
  <c r="P217" i="1"/>
  <c r="O186" i="1"/>
  <c r="P186" i="1"/>
  <c r="P150" i="1"/>
  <c r="O150" i="1"/>
  <c r="O71" i="1"/>
  <c r="P71" i="1"/>
  <c r="P139" i="1"/>
  <c r="O139" i="1"/>
  <c r="L240" i="1"/>
  <c r="M240" i="1"/>
  <c r="O155" i="1"/>
  <c r="P155" i="1"/>
  <c r="O25" i="1"/>
  <c r="P25" i="1"/>
  <c r="M178" i="1"/>
  <c r="L178" i="1"/>
  <c r="M112" i="1"/>
  <c r="L112" i="1"/>
  <c r="L249" i="1"/>
  <c r="M249" i="1"/>
  <c r="M33" i="1"/>
  <c r="L33" i="1"/>
  <c r="L60" i="1"/>
  <c r="M60" i="1"/>
  <c r="M91" i="1"/>
  <c r="L91" i="1"/>
  <c r="P156" i="1"/>
  <c r="O156" i="1"/>
  <c r="M225" i="1"/>
  <c r="L225" i="1"/>
  <c r="M32" i="1"/>
  <c r="L32" i="1"/>
  <c r="L26" i="1"/>
  <c r="M26" i="1"/>
  <c r="O161" i="1"/>
  <c r="P161" i="1"/>
  <c r="O46" i="1"/>
  <c r="P46" i="1"/>
  <c r="M239" i="1"/>
  <c r="L239" i="1"/>
  <c r="M230" i="1"/>
  <c r="L230" i="1"/>
  <c r="L44" i="1"/>
  <c r="M44" i="1"/>
  <c r="M126" i="1"/>
  <c r="L126" i="1"/>
  <c r="P159" i="1"/>
  <c r="O159" i="1"/>
  <c r="O215" i="1"/>
  <c r="P215" i="1"/>
  <c r="O4" i="1"/>
  <c r="P4" i="1"/>
  <c r="L38" i="1"/>
  <c r="M38" i="1"/>
  <c r="O170" i="1"/>
  <c r="P170" i="1"/>
  <c r="P58" i="1"/>
  <c r="O58" i="1"/>
  <c r="O250" i="1"/>
  <c r="P250" i="1"/>
  <c r="O39" i="1"/>
  <c r="P39" i="1"/>
  <c r="M185" i="1"/>
  <c r="L185" i="1"/>
  <c r="L242" i="1"/>
  <c r="M242" i="1"/>
  <c r="O174" i="1"/>
  <c r="P174" i="1"/>
  <c r="P8" i="1"/>
  <c r="O8" i="1"/>
  <c r="O124" i="1"/>
  <c r="P124" i="1"/>
  <c r="O237" i="1"/>
  <c r="P237" i="1"/>
  <c r="P106" i="1"/>
  <c r="O106" i="1"/>
  <c r="L206" i="1"/>
  <c r="M206" i="1"/>
  <c r="M222" i="1"/>
  <c r="L222" i="1"/>
  <c r="M57" i="1"/>
  <c r="L57" i="1"/>
  <c r="L122" i="1"/>
  <c r="M122" i="1"/>
  <c r="P89" i="1"/>
  <c r="O89" i="1"/>
  <c r="L68" i="1"/>
  <c r="M68" i="1"/>
  <c r="L180" i="1"/>
  <c r="M180" i="1"/>
  <c r="M78" i="1"/>
  <c r="L78" i="1"/>
  <c r="M48" i="1"/>
  <c r="L48" i="1"/>
  <c r="M94" i="1"/>
  <c r="L94" i="1"/>
  <c r="O128" i="1"/>
  <c r="P128" i="1"/>
  <c r="O206" i="1"/>
  <c r="P206" i="1"/>
  <c r="P236" i="1"/>
  <c r="O236" i="1"/>
  <c r="P234" i="1"/>
  <c r="O234" i="1"/>
  <c r="O103" i="1"/>
  <c r="P103" i="1"/>
  <c r="P169" i="1"/>
  <c r="O169" i="1"/>
  <c r="O6" i="1"/>
  <c r="P6" i="1"/>
  <c r="P74" i="1"/>
  <c r="O74" i="1"/>
  <c r="P165" i="1"/>
  <c r="O165" i="1"/>
  <c r="P51" i="1"/>
  <c r="O51" i="1"/>
  <c r="P56" i="1"/>
  <c r="O56" i="1"/>
  <c r="O34" i="1"/>
  <c r="P34" i="1"/>
  <c r="M247" i="1"/>
  <c r="L247" i="1"/>
  <c r="L140" i="1"/>
  <c r="M140" i="1"/>
  <c r="P62" i="1"/>
  <c r="O62" i="1"/>
  <c r="M66" i="1"/>
  <c r="L66" i="1"/>
  <c r="O154" i="1"/>
  <c r="P154" i="1"/>
  <c r="L63" i="1"/>
  <c r="M63" i="1"/>
  <c r="M251" i="1"/>
  <c r="L251" i="1"/>
  <c r="M212" i="1"/>
  <c r="L212" i="1"/>
  <c r="M170" i="1"/>
  <c r="L170" i="1"/>
  <c r="O94" i="1"/>
  <c r="P94" i="1"/>
  <c r="O244" i="1"/>
  <c r="P244" i="1"/>
  <c r="M59" i="1"/>
  <c r="L59" i="1"/>
  <c r="L167" i="1"/>
  <c r="M167" i="1"/>
  <c r="M207" i="1"/>
  <c r="L207" i="1"/>
  <c r="O70" i="1"/>
  <c r="P70" i="1"/>
  <c r="L248" i="1"/>
  <c r="M248" i="1"/>
  <c r="O243" i="1"/>
  <c r="P243" i="1"/>
  <c r="L128" i="1"/>
  <c r="M128" i="1"/>
  <c r="P239" i="1"/>
  <c r="O239" i="1"/>
  <c r="M100" i="1"/>
  <c r="L100" i="1"/>
  <c r="M202" i="1"/>
  <c r="L202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136" i="1"/>
  <c r="M136" i="1"/>
  <c r="L97" i="1"/>
  <c r="M97" i="1"/>
  <c r="M173" i="1"/>
  <c r="L173" i="1"/>
  <c r="M52" i="1"/>
  <c r="L52" i="1"/>
  <c r="M132" i="1"/>
  <c r="L132" i="1"/>
  <c r="P113" i="1"/>
  <c r="O113" i="1"/>
  <c r="L232" i="1"/>
  <c r="M232" i="1"/>
  <c r="O31" i="1"/>
  <c r="P31" i="1"/>
  <c r="M24" i="1"/>
  <c r="L24" i="1"/>
  <c r="P3" i="1"/>
  <c r="O3" i="1"/>
  <c r="L98" i="1"/>
  <c r="M98" i="1"/>
  <c r="L92" i="1"/>
  <c r="M92" i="1"/>
  <c r="L123" i="1"/>
  <c r="M123" i="1"/>
  <c r="L35" i="1"/>
  <c r="M35" i="1"/>
  <c r="M84" i="1"/>
  <c r="L84" i="1"/>
  <c r="O228" i="1"/>
  <c r="P228" i="1"/>
  <c r="L201" i="1"/>
  <c r="M201" i="1"/>
  <c r="M229" i="1"/>
  <c r="L229" i="1"/>
  <c r="L166" i="1"/>
  <c r="M166" i="1"/>
  <c r="O197" i="1"/>
  <c r="P197" i="1"/>
  <c r="M88" i="1"/>
  <c r="L88" i="1"/>
  <c r="O248" i="1"/>
  <c r="P248" i="1"/>
  <c r="P235" i="1"/>
  <c r="O235" i="1"/>
  <c r="L41" i="1"/>
  <c r="M41" i="1"/>
  <c r="P193" i="1"/>
  <c r="O193" i="1"/>
  <c r="L183" i="1"/>
  <c r="M183" i="1"/>
  <c r="M25" i="1"/>
  <c r="L25" i="1"/>
  <c r="O24" i="1"/>
  <c r="P24" i="1"/>
  <c r="M54" i="1"/>
  <c r="L54" i="1"/>
  <c r="L246" i="1"/>
  <c r="M246" i="1"/>
  <c r="P136" i="1"/>
  <c r="O136" i="1"/>
  <c r="P148" i="1"/>
  <c r="O148" i="1"/>
  <c r="P86" i="1"/>
  <c r="O86" i="1"/>
  <c r="L146" i="1"/>
  <c r="M146" i="1"/>
  <c r="P147" i="1"/>
  <c r="O147" i="1"/>
  <c r="P30" i="1"/>
  <c r="O30" i="1"/>
  <c r="P241" i="1"/>
  <c r="O241" i="1"/>
  <c r="O190" i="1"/>
  <c r="P190" i="1"/>
  <c r="M125" i="1"/>
  <c r="L125" i="1"/>
  <c r="M177" i="1"/>
  <c r="L177" i="1"/>
  <c r="P249" i="1"/>
  <c r="O249" i="1"/>
  <c r="P85" i="1"/>
  <c r="O85" i="1"/>
  <c r="O41" i="1"/>
  <c r="P41" i="1"/>
  <c r="P64" i="1"/>
  <c r="O64" i="1"/>
  <c r="P110" i="1"/>
  <c r="O110" i="1"/>
  <c r="P27" i="1"/>
  <c r="O27" i="1"/>
  <c r="P38" i="1"/>
  <c r="O38" i="1"/>
  <c r="O160" i="1"/>
  <c r="P160" i="1"/>
  <c r="P134" i="1"/>
  <c r="O134" i="1"/>
  <c r="P202" i="1"/>
  <c r="O202" i="1"/>
  <c r="P229" i="1"/>
  <c r="O229" i="1"/>
  <c r="O88" i="1"/>
  <c r="P88" i="1"/>
  <c r="P203" i="1"/>
  <c r="O203" i="1"/>
  <c r="O162" i="1"/>
  <c r="P162" i="1"/>
  <c r="M150" i="1"/>
  <c r="L150" i="1"/>
  <c r="O5" i="1"/>
  <c r="P5" i="1"/>
  <c r="O77" i="1"/>
  <c r="P77" i="1"/>
  <c r="P121" i="1"/>
  <c r="O121" i="1"/>
  <c r="O59" i="1"/>
  <c r="P59" i="1"/>
  <c r="P192" i="1"/>
  <c r="O192" i="1"/>
  <c r="P231" i="1"/>
  <c r="O231" i="1"/>
  <c r="L130" i="1"/>
  <c r="M130" i="1"/>
  <c r="L83" i="1"/>
  <c r="M83" i="1"/>
  <c r="L27" i="1"/>
  <c r="M27" i="1"/>
  <c r="L151" i="1"/>
  <c r="M151" i="1"/>
  <c r="P83" i="1"/>
  <c r="O83" i="1"/>
  <c r="O11" i="1"/>
  <c r="P11" i="1"/>
  <c r="L189" i="1"/>
  <c r="M189" i="1"/>
  <c r="M70" i="1"/>
  <c r="L70" i="1"/>
  <c r="M200" i="1"/>
  <c r="L200" i="1"/>
  <c r="L226" i="1"/>
  <c r="M226" i="1"/>
  <c r="P191" i="1"/>
  <c r="O191" i="1"/>
  <c r="L196" i="1"/>
  <c r="M196" i="1"/>
  <c r="L96" i="1"/>
  <c r="M96" i="1"/>
  <c r="M43" i="1"/>
  <c r="L43" i="1"/>
  <c r="M79" i="1"/>
  <c r="L79" i="1"/>
  <c r="L119" i="1"/>
  <c r="M119" i="1"/>
  <c r="L235" i="1"/>
  <c r="M235" i="1"/>
  <c r="P57" i="1"/>
  <c r="O57" i="1"/>
  <c r="L157" i="1"/>
  <c r="M157" i="1"/>
  <c r="L108" i="1"/>
  <c r="M108" i="1"/>
  <c r="O232" i="1"/>
  <c r="P232" i="1"/>
  <c r="P48" i="1"/>
  <c r="O48" i="1"/>
  <c r="M118" i="1"/>
  <c r="L118" i="1"/>
  <c r="M171" i="1"/>
  <c r="L171" i="1"/>
  <c r="L139" i="1"/>
  <c r="M139" i="1"/>
  <c r="P177" i="1"/>
  <c r="O177" i="1"/>
  <c r="M31" i="1"/>
  <c r="L31" i="1"/>
  <c r="P210" i="1"/>
  <c r="O210" i="1"/>
  <c r="L135" i="1"/>
  <c r="M135" i="1"/>
  <c r="O149" i="1"/>
  <c r="P149" i="1"/>
  <c r="M205" i="1"/>
  <c r="L205" i="1"/>
  <c r="L184" i="1"/>
  <c r="M184" i="1"/>
  <c r="L23" i="1"/>
  <c r="M23" i="1"/>
  <c r="O187" i="1"/>
  <c r="P187" i="1"/>
  <c r="M199" i="1"/>
  <c r="L199" i="1"/>
  <c r="L161" i="1"/>
  <c r="M161" i="1"/>
  <c r="P251" i="1"/>
  <c r="O251" i="1"/>
  <c r="P18" i="1"/>
  <c r="O18" i="1"/>
  <c r="P173" i="1"/>
  <c r="O173" i="1"/>
  <c r="L244" i="1"/>
  <c r="M244" i="1"/>
  <c r="M188" i="1"/>
  <c r="L188" i="1"/>
  <c r="M214" i="1"/>
  <c r="L214" i="1"/>
  <c r="O227" i="1"/>
  <c r="P227" i="1"/>
  <c r="P242" i="1"/>
  <c r="O242" i="1"/>
  <c r="P207" i="1"/>
  <c r="O207" i="1"/>
  <c r="P79" i="1"/>
  <c r="O79" i="1"/>
  <c r="O196" i="1"/>
  <c r="P196" i="1"/>
  <c r="O221" i="1"/>
  <c r="P221" i="1"/>
  <c r="P17" i="1"/>
  <c r="O17" i="1"/>
  <c r="P87" i="1"/>
  <c r="O87" i="1"/>
  <c r="P111" i="1"/>
  <c r="O111" i="1"/>
  <c r="O29" i="1"/>
  <c r="P29" i="1"/>
  <c r="O219" i="1"/>
  <c r="P219" i="1"/>
  <c r="P90" i="1"/>
  <c r="O90" i="1"/>
  <c r="O80" i="1"/>
  <c r="P80" i="1"/>
  <c r="P132" i="1"/>
  <c r="O132" i="1"/>
  <c r="P54" i="1"/>
  <c r="O54" i="1"/>
  <c r="M233" i="1"/>
  <c r="L233" i="1"/>
  <c r="L195" i="1"/>
  <c r="M195" i="1"/>
  <c r="M61" i="1"/>
  <c r="L61" i="1"/>
  <c r="O81" i="1"/>
  <c r="P81" i="1"/>
  <c r="L107" i="1"/>
  <c r="M107" i="1"/>
  <c r="L213" i="1"/>
  <c r="M213" i="1"/>
  <c r="M175" i="1"/>
  <c r="L175" i="1"/>
  <c r="M187" i="1"/>
  <c r="L187" i="1"/>
  <c r="M55" i="1"/>
  <c r="L55" i="1"/>
  <c r="L160" i="1"/>
  <c r="M160" i="1"/>
  <c r="L113" i="1"/>
  <c r="M113" i="1"/>
  <c r="M237" i="1"/>
  <c r="L237" i="1"/>
  <c r="L104" i="1"/>
  <c r="M104" i="1"/>
  <c r="L129" i="1"/>
  <c r="M129" i="1"/>
  <c r="M179" i="1"/>
  <c r="L179" i="1"/>
  <c r="P225" i="1"/>
  <c r="O225" i="1"/>
  <c r="L102" i="1"/>
  <c r="M102" i="1"/>
  <c r="M194" i="1"/>
  <c r="L194" i="1"/>
  <c r="M209" i="1"/>
  <c r="L209" i="1"/>
  <c r="L152" i="1"/>
  <c r="M152" i="1"/>
  <c r="M62" i="1"/>
  <c r="L62" i="1"/>
  <c r="L219" i="1"/>
  <c r="M219" i="1"/>
  <c r="O226" i="1"/>
  <c r="P226" i="1"/>
  <c r="L208" i="1"/>
  <c r="M208" i="1"/>
  <c r="L117" i="1"/>
  <c r="M117" i="1"/>
  <c r="L217" i="1"/>
  <c r="M217" i="1"/>
  <c r="M72" i="1"/>
  <c r="L72" i="1"/>
  <c r="L153" i="1"/>
  <c r="M153" i="1"/>
  <c r="M99" i="1"/>
  <c r="L99" i="1"/>
  <c r="M148" i="1"/>
  <c r="L148" i="1"/>
  <c r="P44" i="1"/>
  <c r="O44" i="1"/>
  <c r="L186" i="1"/>
  <c r="M186" i="1"/>
  <c r="L109" i="1"/>
  <c r="M109" i="1"/>
  <c r="M45" i="1"/>
  <c r="L45" i="1"/>
  <c r="M155" i="1"/>
  <c r="L155" i="1"/>
  <c r="P82" i="1"/>
  <c r="O82" i="1"/>
  <c r="M115" i="1"/>
  <c r="L115" i="1"/>
  <c r="L51" i="1"/>
  <c r="M51" i="1"/>
  <c r="P9" i="1"/>
  <c r="O9" i="1"/>
  <c r="M182" i="1"/>
  <c r="L182" i="1"/>
  <c r="P99" i="1"/>
  <c r="O99" i="1"/>
  <c r="P172" i="1"/>
  <c r="O172" i="1"/>
  <c r="P233" i="1"/>
  <c r="O233" i="1"/>
  <c r="O216" i="1"/>
  <c r="P216" i="1"/>
  <c r="P246" i="1"/>
  <c r="O246" i="1"/>
  <c r="L234" i="1"/>
  <c r="M234" i="1"/>
  <c r="P218" i="1"/>
  <c r="O218" i="1"/>
  <c r="M158" i="1"/>
  <c r="L158" i="1"/>
  <c r="P36" i="1"/>
  <c r="O36" i="1"/>
  <c r="M168" i="1"/>
  <c r="L168" i="1"/>
  <c r="O164" i="1"/>
  <c r="P164" i="1"/>
  <c r="P66" i="1"/>
  <c r="O66" i="1"/>
  <c r="M22" i="1"/>
  <c r="L22" i="1"/>
  <c r="O157" i="1"/>
  <c r="P157" i="1"/>
  <c r="P138" i="1"/>
  <c r="O138" i="1"/>
  <c r="L197" i="1"/>
  <c r="M197" i="1"/>
  <c r="L127" i="1"/>
  <c r="M127" i="1"/>
  <c r="O67" i="1"/>
  <c r="P67" i="1"/>
  <c r="P198" i="1"/>
  <c r="O198" i="1"/>
  <c r="O73" i="1"/>
  <c r="P73" i="1"/>
  <c r="O180" i="1"/>
  <c r="P180" i="1"/>
  <c r="O84" i="1"/>
  <c r="P84" i="1"/>
  <c r="O76" i="1"/>
  <c r="P76" i="1"/>
  <c r="P176" i="1"/>
  <c r="O176" i="1"/>
  <c r="O117" i="1"/>
  <c r="P117" i="1"/>
  <c r="P122" i="1"/>
  <c r="O122" i="1"/>
  <c r="O200" i="1"/>
  <c r="P200" i="1"/>
  <c r="O7" i="1"/>
  <c r="P7" i="1"/>
  <c r="P75" i="1"/>
  <c r="O75" i="1"/>
  <c r="P182" i="1"/>
  <c r="O182" i="1"/>
  <c r="O100" i="1"/>
  <c r="P100" i="1"/>
  <c r="O175" i="1"/>
  <c r="P175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P13" i="1"/>
  <c r="O13" i="1"/>
  <c r="P133" i="1"/>
  <c r="O133" i="1"/>
  <c r="L67" i="1"/>
  <c r="M67" i="1"/>
  <c r="L131" i="1"/>
  <c r="M131" i="1"/>
  <c r="O63" i="1"/>
  <c r="P63" i="1"/>
  <c r="P40" i="1"/>
  <c r="O40" i="1"/>
  <c r="L193" i="1"/>
  <c r="M193" i="1"/>
  <c r="M149" i="1"/>
  <c r="L149" i="1"/>
  <c r="L65" i="1"/>
  <c r="M65" i="1"/>
  <c r="M74" i="1"/>
  <c r="L74" i="1"/>
  <c r="M75" i="1"/>
  <c r="L75" i="1"/>
  <c r="M250" i="1"/>
  <c r="L250" i="1"/>
  <c r="M144" i="1"/>
  <c r="L144" i="1"/>
  <c r="M80" i="1"/>
  <c r="L80" i="1"/>
  <c r="P32" i="1"/>
  <c r="O32" i="1"/>
  <c r="P205" i="1"/>
  <c r="O205" i="1"/>
  <c r="O212" i="1"/>
  <c r="P212" i="1"/>
  <c r="P72" i="1"/>
  <c r="O72" i="1"/>
  <c r="M73" i="1"/>
  <c r="L73" i="1"/>
  <c r="P153" i="1"/>
  <c r="O153" i="1"/>
  <c r="P130" i="1"/>
  <c r="O130" i="1"/>
  <c r="O37" i="1"/>
  <c r="P37" i="1"/>
  <c r="L210" i="1"/>
  <c r="M210" i="1"/>
  <c r="M138" i="1"/>
  <c r="L138" i="1"/>
  <c r="P240" i="1"/>
  <c r="O240" i="1"/>
  <c r="P181" i="1"/>
  <c r="O181" i="1"/>
  <c r="M106" i="1"/>
  <c r="L106" i="1"/>
  <c r="L231" i="1"/>
  <c r="M231" i="1"/>
  <c r="L238" i="1"/>
  <c r="M238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L215" i="1"/>
  <c r="M215" i="1"/>
  <c r="M69" i="1"/>
  <c r="L69" i="1"/>
  <c r="M110" i="1"/>
  <c r="L110" i="1"/>
  <c r="P119" i="1"/>
  <c r="O119" i="1"/>
  <c r="P245" i="1"/>
  <c r="O245" i="1"/>
  <c r="P135" i="1"/>
  <c r="O135" i="1"/>
  <c r="O49" i="1"/>
  <c r="P49" i="1"/>
  <c r="P10" i="1"/>
  <c r="O10" i="1"/>
  <c r="O209" i="1"/>
  <c r="P209" i="1"/>
  <c r="P95" i="1"/>
  <c r="O95" i="1"/>
  <c r="P163" i="1"/>
  <c r="O163" i="1"/>
  <c r="O195" i="1"/>
  <c r="P195" i="1"/>
  <c r="O68" i="1"/>
  <c r="P68" i="1"/>
  <c r="P167" i="1"/>
  <c r="O167" i="1"/>
  <c r="O96" i="1"/>
  <c r="P96" i="1"/>
  <c r="L190" i="1"/>
  <c r="M190" i="1"/>
  <c r="M101" i="1"/>
  <c r="L101" i="1"/>
  <c r="P183" i="1"/>
  <c r="O183" i="1"/>
  <c r="M176" i="1"/>
  <c r="L176" i="1"/>
  <c r="L29" i="1"/>
  <c r="M29" i="1"/>
  <c r="M42" i="1"/>
  <c r="L42" i="1"/>
  <c r="M58" i="1"/>
  <c r="L58" i="1"/>
  <c r="P166" i="1"/>
  <c r="O166" i="1"/>
  <c r="P171" i="1"/>
  <c r="O171" i="1"/>
  <c r="W30" i="1"/>
  <c r="M227" i="1"/>
  <c r="L227" i="1"/>
  <c r="M145" i="1"/>
  <c r="L145" i="1"/>
  <c r="P211" i="1"/>
  <c r="O211" i="1"/>
  <c r="P112" i="1"/>
  <c r="O112" i="1"/>
  <c r="L77" i="1"/>
  <c r="M77" i="1"/>
  <c r="M76" i="1"/>
  <c r="L76" i="1"/>
  <c r="L204" i="1"/>
  <c r="M204" i="1"/>
  <c r="M142" i="1"/>
  <c r="L142" i="1"/>
  <c r="M211" i="1"/>
  <c r="L211" i="1"/>
  <c r="L34" i="1"/>
  <c r="M34" i="1"/>
  <c r="P14" i="1"/>
  <c r="O14" i="1"/>
  <c r="P131" i="1"/>
  <c r="O131" i="1"/>
  <c r="L165" i="1"/>
  <c r="M165" i="1"/>
  <c r="O15" i="1"/>
  <c r="P15" i="1"/>
  <c r="M133" i="1"/>
  <c r="L133" i="1"/>
  <c r="P223" i="1"/>
  <c r="O223" i="1"/>
  <c r="O101" i="1"/>
  <c r="P101" i="1"/>
  <c r="L30" i="1"/>
  <c r="M30" i="1"/>
  <c r="L21" i="1"/>
  <c r="M21" i="1"/>
  <c r="L241" i="1"/>
  <c r="M241" i="1"/>
  <c r="L243" i="1"/>
  <c r="M243" i="1"/>
  <c r="M198" i="1"/>
  <c r="L198" i="1"/>
  <c r="L134" i="1"/>
  <c r="M134" i="1"/>
  <c r="L181" i="1"/>
  <c r="M181" i="1"/>
  <c r="M174" i="1"/>
  <c r="L174" i="1"/>
  <c r="O109" i="1"/>
  <c r="P109" i="1"/>
  <c r="L114" i="1"/>
  <c r="M114" i="1"/>
  <c r="L154" i="1"/>
  <c r="M154" i="1"/>
  <c r="O141" i="1"/>
  <c r="P141" i="1"/>
  <c r="L47" i="1"/>
  <c r="M47" i="1"/>
  <c r="M172" i="1"/>
  <c r="L172" i="1"/>
  <c r="M71" i="1"/>
  <c r="L71" i="1"/>
  <c r="L162" i="1"/>
  <c r="M162" i="1"/>
  <c r="L216" i="1"/>
  <c r="M216" i="1"/>
  <c r="P178" i="1"/>
  <c r="O178" i="1"/>
  <c r="O61" i="1"/>
  <c r="P61" i="1"/>
  <c r="M116" i="1"/>
  <c r="L116" i="1"/>
  <c r="P213" i="1"/>
  <c r="O213" i="1"/>
  <c r="M56" i="1"/>
  <c r="L56" i="1"/>
  <c r="P208" i="1"/>
  <c r="O208" i="1"/>
  <c r="M221" i="1"/>
  <c r="L221" i="1"/>
  <c r="L137" i="1"/>
  <c r="M137" i="1"/>
  <c r="P179" i="1"/>
  <c r="O179" i="1"/>
  <c r="O21" i="1"/>
  <c r="P21" i="1"/>
  <c r="M82" i="1"/>
  <c r="L82" i="1"/>
  <c r="L156" i="1"/>
  <c r="M156" i="1"/>
  <c r="P184" i="1"/>
  <c r="O184" i="1"/>
  <c r="P127" i="1"/>
  <c r="O127" i="1"/>
  <c r="P52" i="1"/>
  <c r="O52" i="1"/>
  <c r="P98" i="1"/>
  <c r="O98" i="1"/>
  <c r="O69" i="1"/>
  <c r="P69" i="1"/>
  <c r="P107" i="1"/>
  <c r="O107" i="1"/>
  <c r="O214" i="1"/>
  <c r="P214" i="1"/>
  <c r="P123" i="1"/>
  <c r="O123" i="1"/>
  <c r="O238" i="1"/>
  <c r="P238" i="1"/>
  <c r="P91" i="1"/>
  <c r="O91" i="1"/>
  <c r="P102" i="1"/>
  <c r="O102" i="1"/>
  <c r="P224" i="1"/>
  <c r="O224" i="1"/>
  <c r="P55" i="1"/>
  <c r="O55" i="1"/>
  <c r="P129" i="1"/>
  <c r="O129" i="1"/>
  <c r="O53" i="1"/>
  <c r="P53" i="1"/>
  <c r="P114" i="1"/>
  <c r="O114" i="1"/>
  <c r="H252" i="1" l="1"/>
  <c r="I252" i="1"/>
  <c r="H171" i="1"/>
  <c r="I171" i="1"/>
  <c r="R15" i="1"/>
  <c r="H143" i="1"/>
  <c r="I14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1" i="1"/>
  <c r="H251" i="1"/>
  <c r="H39" i="1"/>
  <c r="I39" i="1"/>
  <c r="H110" i="1"/>
  <c r="I110" i="1"/>
  <c r="H234" i="1"/>
  <c r="I234" i="1"/>
  <c r="H205" i="1"/>
  <c r="I205" i="1"/>
  <c r="H8" i="1"/>
  <c r="I8" i="1"/>
  <c r="H135" i="1"/>
  <c r="I135" i="1"/>
  <c r="I3" i="1"/>
  <c r="H3" i="1"/>
  <c r="H55" i="1"/>
  <c r="I55" i="1"/>
  <c r="I224" i="1"/>
  <c r="H224" i="1"/>
  <c r="H81" i="1"/>
  <c r="I81" i="1"/>
  <c r="I6" i="1"/>
  <c r="H6" i="1"/>
  <c r="H73" i="1"/>
  <c r="I73" i="1"/>
  <c r="H69" i="1"/>
  <c r="I69" i="1"/>
  <c r="H121" i="1"/>
  <c r="I121" i="1"/>
  <c r="I223" i="1"/>
  <c r="H223" i="1"/>
  <c r="H58" i="1"/>
  <c r="I58" i="1"/>
  <c r="H53" i="1"/>
  <c r="I53" i="1"/>
  <c r="I130" i="1"/>
  <c r="H130" i="1"/>
  <c r="H41" i="1"/>
  <c r="I41" i="1"/>
  <c r="I43" i="1"/>
  <c r="H43" i="1"/>
  <c r="I115" i="1"/>
  <c r="H115" i="1"/>
  <c r="H246" i="1"/>
  <c r="I246" i="1"/>
  <c r="H201" i="1"/>
  <c r="I201" i="1"/>
  <c r="H160" i="1"/>
  <c r="I160" i="1"/>
  <c r="I221" i="1"/>
  <c r="H221" i="1"/>
  <c r="H172" i="1"/>
  <c r="I172" i="1"/>
  <c r="H133" i="1"/>
  <c r="I133" i="1"/>
  <c r="H217" i="1"/>
  <c r="I217" i="1"/>
  <c r="I57" i="1"/>
  <c r="H57" i="1"/>
  <c r="I168" i="1"/>
  <c r="H168" i="1"/>
  <c r="H18" i="1"/>
  <c r="I18" i="1"/>
  <c r="I183" i="1"/>
  <c r="H183" i="1"/>
  <c r="H38" i="1"/>
  <c r="I38" i="1"/>
  <c r="I166" i="1"/>
  <c r="H166" i="1"/>
  <c r="H155" i="1"/>
  <c r="I155" i="1"/>
  <c r="H2" i="1"/>
  <c r="I2" i="1"/>
  <c r="I106" i="1"/>
  <c r="H106" i="1"/>
  <c r="I203" i="1"/>
  <c r="H203" i="1"/>
  <c r="H148" i="1"/>
  <c r="I148" i="1"/>
  <c r="I37" i="1"/>
  <c r="H37" i="1"/>
  <c r="H96" i="1"/>
  <c r="I96" i="1"/>
  <c r="I111" i="1"/>
  <c r="H111" i="1"/>
  <c r="H142" i="1"/>
  <c r="I142" i="1"/>
  <c r="H63" i="1"/>
  <c r="I63" i="1"/>
  <c r="H250" i="1"/>
  <c r="I250" i="1"/>
  <c r="I187" i="1"/>
  <c r="H187" i="1"/>
  <c r="I9" i="1"/>
  <c r="H9" i="1"/>
  <c r="I104" i="1"/>
  <c r="H104" i="1"/>
  <c r="H33" i="1"/>
  <c r="I33" i="1"/>
  <c r="H164" i="1"/>
  <c r="I164" i="1"/>
  <c r="H36" i="1"/>
  <c r="I36" i="1"/>
  <c r="H79" i="1"/>
  <c r="I79" i="1"/>
  <c r="H118" i="1"/>
  <c r="I118" i="1"/>
  <c r="I75" i="1"/>
  <c r="H75" i="1"/>
  <c r="H100" i="1"/>
  <c r="I100" i="1"/>
  <c r="H125" i="1"/>
  <c r="I125" i="1"/>
  <c r="H159" i="1"/>
  <c r="I159" i="1"/>
  <c r="I150" i="1"/>
  <c r="H150" i="1"/>
  <c r="I128" i="1"/>
  <c r="H128" i="1"/>
  <c r="I49" i="1"/>
  <c r="H49" i="1"/>
  <c r="I50" i="1"/>
  <c r="H50" i="1"/>
  <c r="H78" i="1"/>
  <c r="I78" i="1"/>
  <c r="I47" i="1"/>
  <c r="H47" i="1"/>
  <c r="H59" i="1"/>
  <c r="I59" i="1"/>
  <c r="H213" i="1"/>
  <c r="I213" i="1"/>
  <c r="H200" i="1"/>
  <c r="I200" i="1"/>
  <c r="H102" i="1"/>
  <c r="I102" i="1"/>
  <c r="I152" i="1"/>
  <c r="H152" i="1"/>
  <c r="I93" i="1"/>
  <c r="H93" i="1"/>
  <c r="H114" i="1"/>
  <c r="I114" i="1"/>
  <c r="H162" i="1"/>
  <c r="I162" i="1"/>
  <c r="H94" i="1"/>
  <c r="I94" i="1"/>
  <c r="I61" i="1"/>
  <c r="H61" i="1"/>
  <c r="H108" i="1"/>
  <c r="I108" i="1"/>
  <c r="H154" i="1"/>
  <c r="I154" i="1"/>
  <c r="H248" i="1"/>
  <c r="I248" i="1"/>
  <c r="H83" i="1"/>
  <c r="I83" i="1"/>
  <c r="I211" i="1"/>
  <c r="H211" i="1"/>
  <c r="H68" i="1"/>
  <c r="I68" i="1"/>
  <c r="H182" i="1"/>
  <c r="I182" i="1"/>
  <c r="H165" i="1"/>
  <c r="I165" i="1"/>
  <c r="I137" i="1"/>
  <c r="H137" i="1"/>
  <c r="H204" i="1"/>
  <c r="I204" i="1"/>
  <c r="I214" i="1"/>
  <c r="H214" i="1"/>
  <c r="H232" i="1"/>
  <c r="I232" i="1"/>
  <c r="H60" i="1"/>
  <c r="I60" i="1"/>
  <c r="H239" i="1"/>
  <c r="I239" i="1"/>
  <c r="H12" i="1"/>
  <c r="I12" i="1"/>
  <c r="H5" i="1"/>
  <c r="I5" i="1"/>
  <c r="H195" i="1"/>
  <c r="I195" i="1"/>
  <c r="I66" i="1"/>
  <c r="H66" i="1"/>
  <c r="I7" i="1"/>
  <c r="H7" i="1"/>
  <c r="H226" i="1"/>
  <c r="I226" i="1"/>
  <c r="H193" i="1"/>
  <c r="I193" i="1"/>
  <c r="H70" i="1"/>
  <c r="I70" i="1"/>
  <c r="H127" i="1"/>
  <c r="I127" i="1"/>
  <c r="H84" i="1"/>
  <c r="I84" i="1"/>
  <c r="H65" i="1"/>
  <c r="I65" i="1"/>
  <c r="H26" i="1"/>
  <c r="I26" i="1"/>
  <c r="H243" i="1"/>
  <c r="I243" i="1"/>
  <c r="I85" i="1"/>
  <c r="H85" i="1"/>
  <c r="H235" i="1"/>
  <c r="I235" i="1"/>
  <c r="I173" i="1"/>
  <c r="H173" i="1"/>
  <c r="H181" i="1"/>
  <c r="I181" i="1"/>
  <c r="I220" i="1"/>
  <c r="H220" i="1"/>
  <c r="H86" i="1"/>
  <c r="I86" i="1"/>
  <c r="H242" i="1"/>
  <c r="I242" i="1"/>
  <c r="H197" i="1"/>
  <c r="I197" i="1"/>
  <c r="I178" i="1"/>
  <c r="H178" i="1"/>
  <c r="H208" i="1"/>
  <c r="I208" i="1"/>
  <c r="H179" i="1"/>
  <c r="I179" i="1"/>
  <c r="I21" i="1"/>
  <c r="H21" i="1"/>
  <c r="H225" i="1"/>
  <c r="I225" i="1"/>
  <c r="H113" i="1"/>
  <c r="I113" i="1"/>
  <c r="I80" i="1"/>
  <c r="H80" i="1"/>
  <c r="H139" i="1"/>
  <c r="I139" i="1"/>
  <c r="H174" i="1"/>
  <c r="I174" i="1"/>
  <c r="H158" i="1"/>
  <c r="I158" i="1"/>
  <c r="I28" i="1"/>
  <c r="H28" i="1"/>
  <c r="H175" i="1"/>
  <c r="I175" i="1"/>
  <c r="H163" i="1"/>
  <c r="I163" i="1"/>
  <c r="H101" i="1"/>
  <c r="I101" i="1"/>
  <c r="H244" i="1"/>
  <c r="I244" i="1"/>
  <c r="H23" i="1"/>
  <c r="I23" i="1"/>
  <c r="H34" i="1"/>
  <c r="I34" i="1"/>
  <c r="I229" i="1"/>
  <c r="H229" i="1"/>
  <c r="H24" i="1"/>
  <c r="I24" i="1"/>
  <c r="H146" i="1"/>
  <c r="I146" i="1"/>
  <c r="I32" i="1"/>
  <c r="H32" i="1"/>
  <c r="H169" i="1"/>
  <c r="I169" i="1"/>
  <c r="H247" i="1"/>
  <c r="I247" i="1"/>
  <c r="I189" i="1"/>
  <c r="H189" i="1"/>
  <c r="H116" i="1"/>
  <c r="I116" i="1"/>
  <c r="I153" i="1"/>
  <c r="H153" i="1"/>
  <c r="H112" i="1"/>
  <c r="I112" i="1"/>
  <c r="I196" i="1"/>
  <c r="H196" i="1"/>
  <c r="I240" i="1"/>
  <c r="H240" i="1"/>
  <c r="I103" i="1"/>
  <c r="H103" i="1"/>
  <c r="I51" i="1"/>
  <c r="H51" i="1"/>
  <c r="H107" i="1"/>
  <c r="I107" i="1"/>
  <c r="H206" i="1"/>
  <c r="I206" i="1"/>
  <c r="H131" i="1"/>
  <c r="I131" i="1"/>
  <c r="H180" i="1"/>
  <c r="I180" i="1"/>
  <c r="I138" i="1"/>
  <c r="H138" i="1"/>
  <c r="H20" i="1"/>
  <c r="I20" i="1"/>
  <c r="I136" i="1"/>
  <c r="H136" i="1"/>
  <c r="I212" i="1"/>
  <c r="H212" i="1"/>
  <c r="H13" i="1"/>
  <c r="I13" i="1"/>
  <c r="I71" i="1"/>
  <c r="H71" i="1"/>
  <c r="I82" i="1"/>
  <c r="H82" i="1"/>
  <c r="H161" i="1"/>
  <c r="I161" i="1"/>
  <c r="H15" i="1"/>
  <c r="I15" i="1"/>
  <c r="H52" i="1"/>
  <c r="I52" i="1"/>
  <c r="H22" i="1"/>
  <c r="I22" i="1"/>
  <c r="I117" i="1"/>
  <c r="H117" i="1"/>
  <c r="H44" i="1"/>
  <c r="I44" i="1"/>
  <c r="H120" i="1"/>
  <c r="I120" i="1"/>
  <c r="H241" i="1"/>
  <c r="I241" i="1"/>
  <c r="H27" i="1"/>
  <c r="I27" i="1"/>
  <c r="H222" i="1"/>
  <c r="I222" i="1"/>
  <c r="H89" i="1"/>
  <c r="I89" i="1"/>
  <c r="I167" i="1"/>
  <c r="H167" i="1"/>
  <c r="I185" i="1"/>
  <c r="H185" i="1"/>
  <c r="H109" i="1"/>
  <c r="I109" i="1"/>
  <c r="H231" i="1"/>
  <c r="I231" i="1"/>
  <c r="H219" i="1"/>
  <c r="I219" i="1"/>
  <c r="H194" i="1"/>
  <c r="I194" i="1"/>
  <c r="H98" i="1"/>
  <c r="I98" i="1"/>
  <c r="H76" i="1"/>
  <c r="I76" i="1"/>
  <c r="I126" i="1"/>
  <c r="H126" i="1"/>
  <c r="I134" i="1"/>
  <c r="H134" i="1"/>
  <c r="I145" i="1"/>
  <c r="H145" i="1"/>
  <c r="I72" i="1"/>
  <c r="H72" i="1"/>
  <c r="H67" i="1"/>
  <c r="I67" i="1"/>
  <c r="H64" i="1"/>
  <c r="I64" i="1"/>
  <c r="I97" i="1"/>
  <c r="H97" i="1"/>
  <c r="H140" i="1"/>
  <c r="I140" i="1"/>
  <c r="H87" i="1"/>
  <c r="I87" i="1"/>
  <c r="Y29" i="1"/>
  <c r="W31" i="1"/>
  <c r="H209" i="1"/>
  <c r="I209" i="1"/>
  <c r="H10" i="1"/>
  <c r="I10" i="1"/>
  <c r="I202" i="1"/>
  <c r="H202" i="1"/>
  <c r="I170" i="1"/>
  <c r="H170" i="1"/>
  <c r="H141" i="1"/>
  <c r="I141" i="1"/>
  <c r="I74" i="1"/>
  <c r="H74" i="1"/>
  <c r="I91" i="1"/>
  <c r="H91" i="1"/>
  <c r="H233" i="1"/>
  <c r="I233" i="1"/>
  <c r="H19" i="1"/>
  <c r="I19" i="1"/>
  <c r="I147" i="1"/>
  <c r="H147" i="1"/>
  <c r="H157" i="1"/>
  <c r="I157" i="1"/>
  <c r="H119" i="1"/>
  <c r="I119" i="1"/>
  <c r="H156" i="1"/>
  <c r="I156" i="1"/>
  <c r="I40" i="1"/>
  <c r="H40" i="1"/>
  <c r="H42" i="1"/>
  <c r="I42" i="1"/>
  <c r="H90" i="1"/>
  <c r="I90" i="1"/>
  <c r="H237" i="1"/>
  <c r="I237" i="1"/>
  <c r="I230" i="1"/>
  <c r="H230" i="1"/>
  <c r="H46" i="1"/>
  <c r="I46" i="1"/>
  <c r="I4" i="1"/>
  <c r="H4" i="1"/>
  <c r="H149" i="1"/>
  <c r="I149" i="1"/>
  <c r="H123" i="1"/>
  <c r="I123" i="1"/>
  <c r="H198" i="1"/>
  <c r="I198" i="1"/>
  <c r="I124" i="1"/>
  <c r="H124" i="1"/>
  <c r="I132" i="1"/>
  <c r="H132" i="1"/>
  <c r="H192" i="1"/>
  <c r="I192" i="1"/>
  <c r="H45" i="1"/>
  <c r="I45" i="1"/>
  <c r="H31" i="1"/>
  <c r="I31" i="1"/>
  <c r="I99" i="1"/>
  <c r="H99" i="1"/>
  <c r="H25" i="1"/>
  <c r="I25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H210" i="1"/>
  <c r="I210" i="1"/>
  <c r="H11" i="1"/>
  <c r="I11" i="1"/>
  <c r="I48" i="1"/>
  <c r="H48" i="1"/>
  <c r="I14" i="1"/>
  <c r="H14" i="1"/>
  <c r="H188" i="1"/>
  <c r="I188" i="1"/>
  <c r="I216" i="1"/>
  <c r="H216" i="1"/>
  <c r="I144" i="1"/>
  <c r="H144" i="1"/>
  <c r="I129" i="1"/>
  <c r="H129" i="1"/>
  <c r="H199" i="1"/>
  <c r="I199" i="1"/>
  <c r="H228" i="1"/>
  <c r="I228" i="1"/>
  <c r="H207" i="1"/>
  <c r="I207" i="1"/>
  <c r="I77" i="1"/>
  <c r="H77" i="1"/>
  <c r="I95" i="1"/>
  <c r="H95" i="1"/>
  <c r="H151" i="1"/>
  <c r="I151" i="1"/>
  <c r="I56" i="1"/>
  <c r="H56" i="1"/>
  <c r="I249" i="1"/>
  <c r="H249" i="1"/>
  <c r="H184" i="1"/>
  <c r="I184" i="1"/>
  <c r="H218" i="1"/>
  <c r="I218" i="1"/>
  <c r="I30" i="1"/>
  <c r="H30" i="1"/>
  <c r="I245" i="1"/>
  <c r="H245" i="1"/>
  <c r="I215" i="1"/>
  <c r="H215" i="1"/>
  <c r="H35" i="1"/>
  <c r="I35" i="1"/>
  <c r="H54" i="1"/>
  <c r="I54" i="1"/>
  <c r="H16" i="1"/>
  <c r="I16" i="1"/>
  <c r="H191" i="1"/>
  <c r="I191" i="1"/>
  <c r="H236" i="1"/>
  <c r="I236" i="1"/>
  <c r="I105" i="1"/>
  <c r="H105" i="1"/>
  <c r="I177" i="1"/>
  <c r="H177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W238" i="1"/>
  <c r="R222" i="1"/>
  <c r="S221" i="1"/>
  <c r="T221" i="1" s="1"/>
  <c r="Z236" i="1" l="1"/>
  <c r="AA236" i="1" s="1"/>
  <c r="R223" i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W252" i="1" s="1"/>
  <c r="Y250" i="1" l="1"/>
  <c r="Z250" i="1" s="1"/>
  <c r="AA250" i="1" s="1"/>
  <c r="R236" i="1"/>
  <c r="S235" i="1"/>
  <c r="T235" i="1" s="1"/>
  <c r="R237" i="1" l="1"/>
  <c r="S236" i="1"/>
  <c r="T236" i="1" s="1"/>
  <c r="Y251" i="1"/>
  <c r="Z251" i="1" s="1"/>
  <c r="AA251" i="1" l="1"/>
  <c r="Z252" i="1"/>
  <c r="AA252" i="1" s="1"/>
  <c r="R238" i="1"/>
  <c r="S237" i="1"/>
  <c r="T237" i="1" s="1"/>
  <c r="R239" i="1" l="1"/>
  <c r="S238" i="1"/>
  <c r="T238" i="1" s="1"/>
  <c r="R240" i="1" l="1"/>
  <c r="S239" i="1"/>
  <c r="T239" i="1" s="1"/>
  <c r="R241" i="1" l="1"/>
  <c r="S240" i="1"/>
  <c r="T240" i="1" s="1"/>
  <c r="R242" i="1" l="1"/>
  <c r="S241" i="1"/>
  <c r="T241" i="1" s="1"/>
  <c r="R243" i="1" l="1"/>
  <c r="S242" i="1"/>
  <c r="T242" i="1" s="1"/>
  <c r="R244" i="1" l="1"/>
  <c r="S243" i="1"/>
  <c r="T243" i="1" s="1"/>
  <c r="R245" i="1" l="1"/>
  <c r="S244" i="1"/>
  <c r="T244" i="1" s="1"/>
  <c r="R246" i="1" l="1"/>
  <c r="S245" i="1"/>
  <c r="T245" i="1" s="1"/>
  <c r="R247" i="1" l="1"/>
  <c r="S246" i="1"/>
  <c r="T246" i="1" s="1"/>
  <c r="R248" i="1" l="1"/>
  <c r="S247" i="1"/>
  <c r="T247" i="1" s="1"/>
  <c r="R249" i="1" l="1"/>
  <c r="S248" i="1"/>
  <c r="T248" i="1" s="1"/>
  <c r="R250" i="1" l="1"/>
  <c r="S249" i="1"/>
  <c r="T249" i="1" s="1"/>
  <c r="R251" i="1" l="1"/>
  <c r="R252" i="1" s="1"/>
  <c r="S252" i="1" s="1"/>
  <c r="T252" i="1" s="1"/>
  <c r="S250" i="1"/>
  <c r="T250" i="1" s="1"/>
  <c r="S251" i="1" l="1"/>
  <c r="T25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203FC8-1EFB-48B9-ABF0-8869CF9E3AA6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</futureMetadata>
  <cellMetadata count="1">
    <bk>
      <rc t="1" v="0"/>
    </bk>
  </cellMetadata>
  <valueMetadata count="74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</valueMetadata>
</metadata>
</file>

<file path=xl/sharedStrings.xml><?xml version="1.0" encoding="utf-8"?>
<sst xmlns="http://schemas.openxmlformats.org/spreadsheetml/2006/main" count="60" uniqueCount="53">
  <si>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</si>
  <si>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</si>
  <si>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</si>
  <si>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</si>
  <si>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</si>
  <si>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</si>
  <si>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</si>
  <si>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</si>
  <si>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</si>
  <si>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</si>
  <si>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</si>
  <si>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</si>
  <si>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</si>
  <si>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</si>
  <si>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</si>
  <si>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</si>
  <si>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</si>
  <si>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</si>
  <si>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</si>
  <si>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</si>
  <si>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</si>
  <si>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</si>
  <si>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</si>
  <si>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</si>
  <si>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</si>
  <si>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</si>
  <si>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</si>
  <si>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</si>
  <si>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</si>
  <si>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</si>
  <si>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</si>
  <si>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</si>
  <si>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</si>
  <si>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</si>
  <si>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</si>
  <si>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</si>
  <si>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</si>
  <si>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</si>
  <si>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</si>
  <si>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</si>
  <si>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</si>
  <si>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</si>
  <si>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</si>
  <si>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</si>
  <si>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</si>
  <si>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</si>
  <si>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Date</t>
  </si>
  <si>
    <t>Dividends</t>
  </si>
  <si>
    <t>Average</t>
  </si>
  <si>
    <t>XL Forecast</t>
  </si>
  <si>
    <t>Calc Forecast</t>
  </si>
  <si>
    <t xml:space="preserve"> </t>
  </si>
  <si>
    <t>Simple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</si>
</sst>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yyyy\-mm\-dd;@"/>
    <numFmt numFmtId="165" formatCode="yyyy\-mm\-dd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165" fontId="0" fillId="0" borderId="0" xfId="0" applyNumberFormat="1"/>
    <xf numFmtId="14" fontId="0" fillId="0" borderId="0" xfId="0" applyNumberFormat="1"/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right" wrapText="1"/>
    </xf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m/d/yyyy</c:formatCode>
                <c:ptCount val="105"/>
                <c:pt idx="0">
                  <c:v>36564</c:v>
                </c:pt>
                <c:pt idx="1">
                  <c:v>36654</c:v>
                </c:pt>
                <c:pt idx="2">
                  <c:v>36746</c:v>
                </c:pt>
                <c:pt idx="3">
                  <c:v>36838</c:v>
                </c:pt>
                <c:pt idx="4">
                  <c:v>36929</c:v>
                </c:pt>
                <c:pt idx="5">
                  <c:v>37019</c:v>
                </c:pt>
                <c:pt idx="6">
                  <c:v>37111</c:v>
                </c:pt>
                <c:pt idx="7">
                  <c:v>37202</c:v>
                </c:pt>
                <c:pt idx="8">
                  <c:v>37293</c:v>
                </c:pt>
                <c:pt idx="9">
                  <c:v>37384</c:v>
                </c:pt>
                <c:pt idx="10">
                  <c:v>37475</c:v>
                </c:pt>
                <c:pt idx="11">
                  <c:v>37566</c:v>
                </c:pt>
                <c:pt idx="12">
                  <c:v>37658</c:v>
                </c:pt>
                <c:pt idx="13">
                  <c:v>37748</c:v>
                </c:pt>
                <c:pt idx="14">
                  <c:v>37839</c:v>
                </c:pt>
                <c:pt idx="15">
                  <c:v>37931</c:v>
                </c:pt>
                <c:pt idx="16">
                  <c:v>38023</c:v>
                </c:pt>
                <c:pt idx="17">
                  <c:v>38113</c:v>
                </c:pt>
                <c:pt idx="18">
                  <c:v>38205</c:v>
                </c:pt>
                <c:pt idx="19">
                  <c:v>38299</c:v>
                </c:pt>
                <c:pt idx="20">
                  <c:v>38391</c:v>
                </c:pt>
                <c:pt idx="21">
                  <c:v>38478</c:v>
                </c:pt>
                <c:pt idx="22">
                  <c:v>38572</c:v>
                </c:pt>
                <c:pt idx="23">
                  <c:v>38664</c:v>
                </c:pt>
                <c:pt idx="24">
                  <c:v>38756</c:v>
                </c:pt>
                <c:pt idx="25">
                  <c:v>38845</c:v>
                </c:pt>
                <c:pt idx="26">
                  <c:v>38937</c:v>
                </c:pt>
                <c:pt idx="27">
                  <c:v>39029</c:v>
                </c:pt>
                <c:pt idx="28">
                  <c:v>39120</c:v>
                </c:pt>
                <c:pt idx="29">
                  <c:v>39210</c:v>
                </c:pt>
                <c:pt idx="30">
                  <c:v>39302</c:v>
                </c:pt>
                <c:pt idx="31">
                  <c:v>39393</c:v>
                </c:pt>
                <c:pt idx="32">
                  <c:v>39484</c:v>
                </c:pt>
                <c:pt idx="33">
                  <c:v>39575</c:v>
                </c:pt>
                <c:pt idx="34">
                  <c:v>39666</c:v>
                </c:pt>
                <c:pt idx="35">
                  <c:v>39758</c:v>
                </c:pt>
                <c:pt idx="36">
                  <c:v>39850</c:v>
                </c:pt>
                <c:pt idx="37">
                  <c:v>39939</c:v>
                </c:pt>
                <c:pt idx="38">
                  <c:v>40031</c:v>
                </c:pt>
                <c:pt idx="39">
                  <c:v>40123</c:v>
                </c:pt>
                <c:pt idx="40">
                  <c:v>40217</c:v>
                </c:pt>
                <c:pt idx="41">
                  <c:v>40304</c:v>
                </c:pt>
                <c:pt idx="42">
                  <c:v>40396</c:v>
                </c:pt>
                <c:pt idx="43">
                  <c:v>40490</c:v>
                </c:pt>
                <c:pt idx="44">
                  <c:v>40582</c:v>
                </c:pt>
                <c:pt idx="45">
                  <c:v>40669</c:v>
                </c:pt>
                <c:pt idx="46">
                  <c:v>40763</c:v>
                </c:pt>
                <c:pt idx="47">
                  <c:v>40855</c:v>
                </c:pt>
                <c:pt idx="48">
                  <c:v>40947</c:v>
                </c:pt>
                <c:pt idx="49">
                  <c:v>41037</c:v>
                </c:pt>
                <c:pt idx="50">
                  <c:v>41129</c:v>
                </c:pt>
                <c:pt idx="51">
                  <c:v>41220</c:v>
                </c:pt>
                <c:pt idx="52">
                  <c:v>41311</c:v>
                </c:pt>
                <c:pt idx="53">
                  <c:v>41402</c:v>
                </c:pt>
                <c:pt idx="54">
                  <c:v>41493</c:v>
                </c:pt>
                <c:pt idx="55">
                  <c:v>41584</c:v>
                </c:pt>
                <c:pt idx="56">
                  <c:v>41676</c:v>
                </c:pt>
                <c:pt idx="57">
                  <c:v>41766</c:v>
                </c:pt>
                <c:pt idx="58">
                  <c:v>41857</c:v>
                </c:pt>
                <c:pt idx="59">
                  <c:v>41949</c:v>
                </c:pt>
                <c:pt idx="60">
                  <c:v>42041</c:v>
                </c:pt>
                <c:pt idx="61">
                  <c:v>42130</c:v>
                </c:pt>
                <c:pt idx="62">
                  <c:v>42222</c:v>
                </c:pt>
                <c:pt idx="63">
                  <c:v>42314</c:v>
                </c:pt>
                <c:pt idx="64">
                  <c:v>42408</c:v>
                </c:pt>
                <c:pt idx="65">
                  <c:v>42496</c:v>
                </c:pt>
                <c:pt idx="66">
                  <c:v>42590</c:v>
                </c:pt>
                <c:pt idx="67">
                  <c:v>42682</c:v>
                </c:pt>
                <c:pt idx="68">
                  <c:v>42774</c:v>
                </c:pt>
                <c:pt idx="69">
                  <c:v>42863</c:v>
                </c:pt>
                <c:pt idx="70">
                  <c:v>42955</c:v>
                </c:pt>
                <c:pt idx="71">
                  <c:v>43048</c:v>
                </c:pt>
                <c:pt idx="72">
                  <c:v>43139</c:v>
                </c:pt>
                <c:pt idx="73">
                  <c:v>43229</c:v>
                </c:pt>
                <c:pt idx="74">
                  <c:v>43321</c:v>
                </c:pt>
                <c:pt idx="75">
                  <c:v>43412</c:v>
                </c:pt>
                <c:pt idx="76">
                  <c:v>43503</c:v>
                </c:pt>
                <c:pt idx="77">
                  <c:v>43594</c:v>
                </c:pt>
                <c:pt idx="78">
                  <c:v>43685</c:v>
                </c:pt>
                <c:pt idx="79">
                  <c:v>43776</c:v>
                </c:pt>
                <c:pt idx="80">
                  <c:v>43868</c:v>
                </c:pt>
                <c:pt idx="81">
                  <c:v>43958</c:v>
                </c:pt>
                <c:pt idx="82">
                  <c:v>44050</c:v>
                </c:pt>
                <c:pt idx="83">
                  <c:v>44144</c:v>
                </c:pt>
                <c:pt idx="84">
                  <c:v>44236</c:v>
                </c:pt>
                <c:pt idx="85">
                  <c:v>44323</c:v>
                </c:pt>
                <c:pt idx="86">
                  <c:v>44417</c:v>
                </c:pt>
                <c:pt idx="87">
                  <c:v>44509</c:v>
                </c:pt>
                <c:pt idx="88">
                  <c:v>44602</c:v>
                </c:pt>
                <c:pt idx="89">
                  <c:v>44690</c:v>
                </c:pt>
                <c:pt idx="90">
                  <c:v>44782</c:v>
                </c:pt>
                <c:pt idx="91">
                  <c:v>44874</c:v>
                </c:pt>
                <c:pt idx="92">
                  <c:v>44966</c:v>
                </c:pt>
                <c:pt idx="93">
                  <c:v>45055</c:v>
                </c:pt>
                <c:pt idx="94">
                  <c:v>45147</c:v>
                </c:pt>
                <c:pt idx="95">
                  <c:v>45239</c:v>
                </c:pt>
                <c:pt idx="96">
                  <c:v>45330</c:v>
                </c:pt>
                <c:pt idx="97">
                  <c:v>45421</c:v>
                </c:pt>
                <c:pt idx="98">
                  <c:v>45513</c:v>
                </c:pt>
                <c:pt idx="99">
                  <c:v>45608</c:v>
                </c:pt>
                <c:pt idx="100">
                  <c:v>45698</c:v>
                </c:pt>
                <c:pt idx="101">
                  <c:v>45786</c:v>
                </c:pt>
                <c:pt idx="102">
                  <c:v>45877</c:v>
                </c:pt>
                <c:pt idx="103">
                  <c:v>45971</c:v>
                </c:pt>
                <c:pt idx="104" formatCode="yyyy\-mm\-dd">
                  <c:v>45975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0.11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0.19</c:v>
                </c:pt>
                <c:pt idx="25">
                  <c:v>0.28999999999999998</c:v>
                </c:pt>
                <c:pt idx="26">
                  <c:v>0.28999999999999998</c:v>
                </c:pt>
                <c:pt idx="27">
                  <c:v>0.28999999999999998</c:v>
                </c:pt>
                <c:pt idx="28">
                  <c:v>0.28999999999999998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0.48</c:v>
                </c:pt>
                <c:pt idx="34">
                  <c:v>0.48</c:v>
                </c:pt>
                <c:pt idx="35">
                  <c:v>0.48</c:v>
                </c:pt>
                <c:pt idx="36">
                  <c:v>0.48</c:v>
                </c:pt>
                <c:pt idx="37">
                  <c:v>0.53</c:v>
                </c:pt>
                <c:pt idx="38">
                  <c:v>0.53</c:v>
                </c:pt>
                <c:pt idx="39">
                  <c:v>0.53</c:v>
                </c:pt>
                <c:pt idx="40">
                  <c:v>0.53</c:v>
                </c:pt>
                <c:pt idx="41">
                  <c:v>0.62</c:v>
                </c:pt>
                <c:pt idx="42">
                  <c:v>0.62</c:v>
                </c:pt>
                <c:pt idx="43">
                  <c:v>0.62</c:v>
                </c:pt>
                <c:pt idx="44">
                  <c:v>0.62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0.91</c:v>
                </c:pt>
                <c:pt idx="54">
                  <c:v>0.91</c:v>
                </c:pt>
                <c:pt idx="55">
                  <c:v>0.91</c:v>
                </c:pt>
                <c:pt idx="56">
                  <c:v>0.91</c:v>
                </c:pt>
                <c:pt idx="57">
                  <c:v>1.05</c:v>
                </c:pt>
                <c:pt idx="58">
                  <c:v>1.05</c:v>
                </c:pt>
                <c:pt idx="59">
                  <c:v>1.05</c:v>
                </c:pt>
                <c:pt idx="60">
                  <c:v>1.05</c:v>
                </c:pt>
                <c:pt idx="61">
                  <c:v>1.24</c:v>
                </c:pt>
                <c:pt idx="62">
                  <c:v>1.24</c:v>
                </c:pt>
                <c:pt idx="63">
                  <c:v>1.24</c:v>
                </c:pt>
                <c:pt idx="64">
                  <c:v>1.24</c:v>
                </c:pt>
                <c:pt idx="65">
                  <c:v>1.34</c:v>
                </c:pt>
                <c:pt idx="66">
                  <c:v>1.34</c:v>
                </c:pt>
                <c:pt idx="67">
                  <c:v>1.34</c:v>
                </c:pt>
                <c:pt idx="68">
                  <c:v>1.34</c:v>
                </c:pt>
                <c:pt idx="69">
                  <c:v>1.43</c:v>
                </c:pt>
                <c:pt idx="70">
                  <c:v>1.43</c:v>
                </c:pt>
                <c:pt idx="71">
                  <c:v>1.43</c:v>
                </c:pt>
                <c:pt idx="72">
                  <c:v>1.43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1.55</c:v>
                </c:pt>
                <c:pt idx="78">
                  <c:v>1.55</c:v>
                </c:pt>
                <c:pt idx="79">
                  <c:v>1.55</c:v>
                </c:pt>
                <c:pt idx="80">
                  <c:v>1.55</c:v>
                </c:pt>
                <c:pt idx="81">
                  <c:v>1.56</c:v>
                </c:pt>
                <c:pt idx="82">
                  <c:v>1.56</c:v>
                </c:pt>
                <c:pt idx="83">
                  <c:v>1.56</c:v>
                </c:pt>
                <c:pt idx="84">
                  <c:v>1.56</c:v>
                </c:pt>
                <c:pt idx="85">
                  <c:v>1.57</c:v>
                </c:pt>
                <c:pt idx="86">
                  <c:v>1.57</c:v>
                </c:pt>
                <c:pt idx="87">
                  <c:v>1.64</c:v>
                </c:pt>
                <c:pt idx="88">
                  <c:v>1.64</c:v>
                </c:pt>
                <c:pt idx="89">
                  <c:v>1.65</c:v>
                </c:pt>
                <c:pt idx="90">
                  <c:v>1.65</c:v>
                </c:pt>
                <c:pt idx="91">
                  <c:v>1.65</c:v>
                </c:pt>
                <c:pt idx="92">
                  <c:v>1.65</c:v>
                </c:pt>
                <c:pt idx="93">
                  <c:v>1.66</c:v>
                </c:pt>
                <c:pt idx="94">
                  <c:v>1.66</c:v>
                </c:pt>
                <c:pt idx="95">
                  <c:v>1.66</c:v>
                </c:pt>
                <c:pt idx="96">
                  <c:v>1.66</c:v>
                </c:pt>
                <c:pt idx="97">
                  <c:v>1.67</c:v>
                </c:pt>
                <c:pt idx="98">
                  <c:v>1.67</c:v>
                </c:pt>
                <c:pt idx="99">
                  <c:v>1.67</c:v>
                </c:pt>
                <c:pt idx="100">
                  <c:v>1.67</c:v>
                </c:pt>
                <c:pt idx="101">
                  <c:v>1.68</c:v>
                </c:pt>
                <c:pt idx="102">
                  <c:v>1.68</c:v>
                </c:pt>
                <c:pt idx="103">
                  <c:v>1.68</c:v>
                </c:pt>
                <c:pt idx="104" formatCode="General">
                  <c:v>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D-48C6-BAD2-D1DCC537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45295"/>
        <c:axId val="77052015"/>
      </c:barChart>
      <c:dateAx>
        <c:axId val="770452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2015"/>
        <c:crosses val="autoZero"/>
        <c:auto val="1"/>
        <c:lblOffset val="100"/>
        <c:baseTimeUnit val="days"/>
      </c:dateAx>
      <c:valAx>
        <c:axId val="770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4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+ 20/100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261.87</c:v>
                </c:pt>
                <c:pt idx="1">
                  <c:v>257.75</c:v>
                </c:pt>
                <c:pt idx="2">
                  <c:v>255.84</c:v>
                </c:pt>
                <c:pt idx="3">
                  <c:v>253.23</c:v>
                </c:pt>
                <c:pt idx="4">
                  <c:v>252.44</c:v>
                </c:pt>
                <c:pt idx="5">
                  <c:v>250.19</c:v>
                </c:pt>
                <c:pt idx="6">
                  <c:v>253.21</c:v>
                </c:pt>
                <c:pt idx="7">
                  <c:v>251.35</c:v>
                </c:pt>
                <c:pt idx="8">
                  <c:v>248.69</c:v>
                </c:pt>
                <c:pt idx="9">
                  <c:v>261.54000000000002</c:v>
                </c:pt>
                <c:pt idx="10">
                  <c:v>256.89999999999998</c:v>
                </c:pt>
                <c:pt idx="11">
                  <c:v>248.95</c:v>
                </c:pt>
                <c:pt idx="12">
                  <c:v>249.63</c:v>
                </c:pt>
                <c:pt idx="13">
                  <c:v>245.8</c:v>
                </c:pt>
                <c:pt idx="14">
                  <c:v>248.35</c:v>
                </c:pt>
                <c:pt idx="15">
                  <c:v>252.97</c:v>
                </c:pt>
                <c:pt idx="16">
                  <c:v>246.95</c:v>
                </c:pt>
                <c:pt idx="17">
                  <c:v>252.29</c:v>
                </c:pt>
                <c:pt idx="18">
                  <c:v>243.32</c:v>
                </c:pt>
                <c:pt idx="19">
                  <c:v>243.87</c:v>
                </c:pt>
                <c:pt idx="20">
                  <c:v>248.45</c:v>
                </c:pt>
                <c:pt idx="21">
                  <c:v>249.9</c:v>
                </c:pt>
                <c:pt idx="22">
                  <c:v>250.34</c:v>
                </c:pt>
                <c:pt idx="23">
                  <c:v>246.21</c:v>
                </c:pt>
                <c:pt idx="24">
                  <c:v>244</c:v>
                </c:pt>
                <c:pt idx="25">
                  <c:v>248.66</c:v>
                </c:pt>
                <c:pt idx="26">
                  <c:v>250.34</c:v>
                </c:pt>
                <c:pt idx="27">
                  <c:v>249.98</c:v>
                </c:pt>
                <c:pt idx="28">
                  <c:v>243.49</c:v>
                </c:pt>
                <c:pt idx="29">
                  <c:v>227.48</c:v>
                </c:pt>
                <c:pt idx="30">
                  <c:v>225.78</c:v>
                </c:pt>
                <c:pt idx="31">
                  <c:v>221.03</c:v>
                </c:pt>
                <c:pt idx="32">
                  <c:v>235.31</c:v>
                </c:pt>
                <c:pt idx="33">
                  <c:v>229.55</c:v>
                </c:pt>
                <c:pt idx="34">
                  <c:v>235.48</c:v>
                </c:pt>
                <c:pt idx="35">
                  <c:v>239.06</c:v>
                </c:pt>
                <c:pt idx="36">
                  <c:v>240.7</c:v>
                </c:pt>
                <c:pt idx="37">
                  <c:v>238.57</c:v>
                </c:pt>
                <c:pt idx="38">
                  <c:v>238.81</c:v>
                </c:pt>
                <c:pt idx="39">
                  <c:v>236.22</c:v>
                </c:pt>
                <c:pt idx="40">
                  <c:v>240.9</c:v>
                </c:pt>
                <c:pt idx="41">
                  <c:v>245.48</c:v>
                </c:pt>
                <c:pt idx="42">
                  <c:v>229.33</c:v>
                </c:pt>
                <c:pt idx="43">
                  <c:v>232.41</c:v>
                </c:pt>
                <c:pt idx="44">
                  <c:v>236.16</c:v>
                </c:pt>
                <c:pt idx="45">
                  <c:v>239.39</c:v>
                </c:pt>
                <c:pt idx="46">
                  <c:v>241.82</c:v>
                </c:pt>
                <c:pt idx="47">
                  <c:v>239.66</c:v>
                </c:pt>
                <c:pt idx="48">
                  <c:v>245.55</c:v>
                </c:pt>
                <c:pt idx="49">
                  <c:v>249.18</c:v>
                </c:pt>
                <c:pt idx="50">
                  <c:v>249.12</c:v>
                </c:pt>
                <c:pt idx="51">
                  <c:v>253.37</c:v>
                </c:pt>
                <c:pt idx="52">
                  <c:v>254.14</c:v>
                </c:pt>
                <c:pt idx="53">
                  <c:v>249.2</c:v>
                </c:pt>
                <c:pt idx="54">
                  <c:v>253.69</c:v>
                </c:pt>
                <c:pt idx="55">
                  <c:v>258.58999999999997</c:v>
                </c:pt>
                <c:pt idx="56">
                  <c:v>257.82</c:v>
                </c:pt>
                <c:pt idx="57">
                  <c:v>266.68</c:v>
                </c:pt>
                <c:pt idx="58">
                  <c:v>266.76</c:v>
                </c:pt>
                <c:pt idx="59">
                  <c:v>268.41000000000003</c:v>
                </c:pt>
                <c:pt idx="60">
                  <c:v>266.95</c:v>
                </c:pt>
                <c:pt idx="61">
                  <c:v>260.87</c:v>
                </c:pt>
                <c:pt idx="62">
                  <c:v>258.37</c:v>
                </c:pt>
                <c:pt idx="63">
                  <c:v>258.63</c:v>
                </c:pt>
                <c:pt idx="64">
                  <c:v>263.23</c:v>
                </c:pt>
                <c:pt idx="65">
                  <c:v>260.24</c:v>
                </c:pt>
                <c:pt idx="66">
                  <c:v>258.69</c:v>
                </c:pt>
                <c:pt idx="67">
                  <c:v>259.06</c:v>
                </c:pt>
                <c:pt idx="68">
                  <c:v>263.89999999999998</c:v>
                </c:pt>
                <c:pt idx="69">
                  <c:v>265.2</c:v>
                </c:pt>
                <c:pt idx="70">
                  <c:v>265.52</c:v>
                </c:pt>
                <c:pt idx="71">
                  <c:v>266.86</c:v>
                </c:pt>
                <c:pt idx="72">
                  <c:v>268.87</c:v>
                </c:pt>
                <c:pt idx="73">
                  <c:v>272.08</c:v>
                </c:pt>
                <c:pt idx="74">
                  <c:v>276.24</c:v>
                </c:pt>
                <c:pt idx="75">
                  <c:v>281.52</c:v>
                </c:pt>
                <c:pt idx="76">
                  <c:v>281.02999999999997</c:v>
                </c:pt>
                <c:pt idx="77">
                  <c:v>277.22000000000003</c:v>
                </c:pt>
                <c:pt idx="78">
                  <c:v>281.83</c:v>
                </c:pt>
                <c:pt idx="79">
                  <c:v>283.05</c:v>
                </c:pt>
                <c:pt idx="80">
                  <c:v>283.20999999999998</c:v>
                </c:pt>
                <c:pt idx="81">
                  <c:v>280.97000000000003</c:v>
                </c:pt>
                <c:pt idx="82">
                  <c:v>289.18</c:v>
                </c:pt>
                <c:pt idx="83">
                  <c:v>293.79000000000002</c:v>
                </c:pt>
                <c:pt idx="84">
                  <c:v>291.06</c:v>
                </c:pt>
                <c:pt idx="85">
                  <c:v>291.93</c:v>
                </c:pt>
                <c:pt idx="86">
                  <c:v>289.7</c:v>
                </c:pt>
                <c:pt idx="87">
                  <c:v>294.77999999999997</c:v>
                </c:pt>
                <c:pt idx="88">
                  <c:v>291.2</c:v>
                </c:pt>
                <c:pt idx="89">
                  <c:v>287.64999999999998</c:v>
                </c:pt>
                <c:pt idx="90">
                  <c:v>291.97000000000003</c:v>
                </c:pt>
                <c:pt idx="91">
                  <c:v>292.47000000000003</c:v>
                </c:pt>
                <c:pt idx="92">
                  <c:v>290.42</c:v>
                </c:pt>
                <c:pt idx="93">
                  <c:v>290.14</c:v>
                </c:pt>
                <c:pt idx="94">
                  <c:v>287.43</c:v>
                </c:pt>
                <c:pt idx="95">
                  <c:v>283.58999999999997</c:v>
                </c:pt>
                <c:pt idx="96">
                  <c:v>283.79000000000002</c:v>
                </c:pt>
                <c:pt idx="97">
                  <c:v>282.7</c:v>
                </c:pt>
                <c:pt idx="98">
                  <c:v>281.92</c:v>
                </c:pt>
                <c:pt idx="99">
                  <c:v>282</c:v>
                </c:pt>
                <c:pt idx="100">
                  <c:v>285.87</c:v>
                </c:pt>
                <c:pt idx="101">
                  <c:v>284.70999999999998</c:v>
                </c:pt>
                <c:pt idx="102">
                  <c:v>281.95999999999998</c:v>
                </c:pt>
                <c:pt idx="103">
                  <c:v>282.01</c:v>
                </c:pt>
                <c:pt idx="104">
                  <c:v>260.51</c:v>
                </c:pt>
                <c:pt idx="105">
                  <c:v>259.72000000000003</c:v>
                </c:pt>
                <c:pt idx="106">
                  <c:v>263.20999999999998</c:v>
                </c:pt>
                <c:pt idx="107">
                  <c:v>262.41000000000003</c:v>
                </c:pt>
                <c:pt idx="108">
                  <c:v>260.26</c:v>
                </c:pt>
                <c:pt idx="109">
                  <c:v>253.15</c:v>
                </c:pt>
                <c:pt idx="110">
                  <c:v>250.05</c:v>
                </c:pt>
                <c:pt idx="111">
                  <c:v>251.98</c:v>
                </c:pt>
                <c:pt idx="112">
                  <c:v>250.67</c:v>
                </c:pt>
                <c:pt idx="113">
                  <c:v>252.28</c:v>
                </c:pt>
                <c:pt idx="114">
                  <c:v>250.16</c:v>
                </c:pt>
                <c:pt idx="115">
                  <c:v>242.27</c:v>
                </c:pt>
                <c:pt idx="116">
                  <c:v>236.3</c:v>
                </c:pt>
                <c:pt idx="117">
                  <c:v>234.77</c:v>
                </c:pt>
                <c:pt idx="118">
                  <c:v>240.07</c:v>
                </c:pt>
                <c:pt idx="119">
                  <c:v>237.11</c:v>
                </c:pt>
                <c:pt idx="120">
                  <c:v>239.72</c:v>
                </c:pt>
                <c:pt idx="121">
                  <c:v>239.45</c:v>
                </c:pt>
                <c:pt idx="122">
                  <c:v>241.28</c:v>
                </c:pt>
                <c:pt idx="123">
                  <c:v>242.55</c:v>
                </c:pt>
                <c:pt idx="124">
                  <c:v>239.4</c:v>
                </c:pt>
                <c:pt idx="125">
                  <c:v>242.09</c:v>
                </c:pt>
                <c:pt idx="126">
                  <c:v>239.43</c:v>
                </c:pt>
                <c:pt idx="127">
                  <c:v>242.63</c:v>
                </c:pt>
                <c:pt idx="128">
                  <c:v>244.84</c:v>
                </c:pt>
                <c:pt idx="129">
                  <c:v>245.73</c:v>
                </c:pt>
                <c:pt idx="130">
                  <c:v>243.49</c:v>
                </c:pt>
                <c:pt idx="131">
                  <c:v>241.5</c:v>
                </c:pt>
                <c:pt idx="132">
                  <c:v>244.1</c:v>
                </c:pt>
                <c:pt idx="133">
                  <c:v>247.18</c:v>
                </c:pt>
                <c:pt idx="134">
                  <c:v>248.53</c:v>
                </c:pt>
                <c:pt idx="135">
                  <c:v>256.08999999999997</c:v>
                </c:pt>
                <c:pt idx="136">
                  <c:v>259.11</c:v>
                </c:pt>
                <c:pt idx="137">
                  <c:v>256.88</c:v>
                </c:pt>
                <c:pt idx="138">
                  <c:v>257.01</c:v>
                </c:pt>
                <c:pt idx="139">
                  <c:v>253.44</c:v>
                </c:pt>
                <c:pt idx="140">
                  <c:v>256.24</c:v>
                </c:pt>
                <c:pt idx="141">
                  <c:v>257.52</c:v>
                </c:pt>
                <c:pt idx="142">
                  <c:v>259.08</c:v>
                </c:pt>
                <c:pt idx="143">
                  <c:v>265</c:v>
                </c:pt>
                <c:pt idx="144">
                  <c:v>266.39999999999998</c:v>
                </c:pt>
                <c:pt idx="145">
                  <c:v>271.37</c:v>
                </c:pt>
                <c:pt idx="146">
                  <c:v>272.24</c:v>
                </c:pt>
                <c:pt idx="147">
                  <c:v>267.52999999999997</c:v>
                </c:pt>
                <c:pt idx="148">
                  <c:v>281.44</c:v>
                </c:pt>
                <c:pt idx="149">
                  <c:v>284.31</c:v>
                </c:pt>
                <c:pt idx="150">
                  <c:v>279.8</c:v>
                </c:pt>
                <c:pt idx="151">
                  <c:v>282.16000000000003</c:v>
                </c:pt>
                <c:pt idx="152">
                  <c:v>286.49</c:v>
                </c:pt>
                <c:pt idx="153">
                  <c:v>286.72000000000003</c:v>
                </c:pt>
                <c:pt idx="154">
                  <c:v>288.37</c:v>
                </c:pt>
                <c:pt idx="155">
                  <c:v>289.42</c:v>
                </c:pt>
                <c:pt idx="156">
                  <c:v>293.87</c:v>
                </c:pt>
                <c:pt idx="157">
                  <c:v>289.45999999999998</c:v>
                </c:pt>
                <c:pt idx="158">
                  <c:v>288.23</c:v>
                </c:pt>
                <c:pt idx="159">
                  <c:v>277.82</c:v>
                </c:pt>
                <c:pt idx="160">
                  <c:v>277.22000000000003</c:v>
                </c:pt>
                <c:pt idx="161">
                  <c:v>276.14999999999998</c:v>
                </c:pt>
                <c:pt idx="162">
                  <c:v>280.75</c:v>
                </c:pt>
                <c:pt idx="163">
                  <c:v>275.97000000000003</c:v>
                </c:pt>
                <c:pt idx="164">
                  <c:v>281.27999999999997</c:v>
                </c:pt>
                <c:pt idx="165">
                  <c:v>283.64999999999998</c:v>
                </c:pt>
                <c:pt idx="166">
                  <c:v>282.05</c:v>
                </c:pt>
                <c:pt idx="167">
                  <c:v>287.51</c:v>
                </c:pt>
                <c:pt idx="168">
                  <c:v>285</c:v>
                </c:pt>
                <c:pt idx="169">
                  <c:v>307.45999999999998</c:v>
                </c:pt>
                <c:pt idx="170">
                  <c:v>313.08999999999997</c:v>
                </c:pt>
                <c:pt idx="171">
                  <c:v>312.57</c:v>
                </c:pt>
                <c:pt idx="172">
                  <c:v>308.20999999999998</c:v>
                </c:pt>
                <c:pt idx="173">
                  <c:v>310.06</c:v>
                </c:pt>
                <c:pt idx="174">
                  <c:v>307.41000000000003</c:v>
                </c:pt>
                <c:pt idx="175">
                  <c:v>304.73</c:v>
                </c:pt>
                <c:pt idx="176">
                  <c:v>300.85000000000002</c:v>
                </c:pt>
                <c:pt idx="177">
                  <c:v>306.77</c:v>
                </c:pt>
                <c:pt idx="178">
                  <c:v>312.42</c:v>
                </c:pt>
                <c:pt idx="179">
                  <c:v>306.38</c:v>
                </c:pt>
                <c:pt idx="180">
                  <c:v>309.13</c:v>
                </c:pt>
                <c:pt idx="181">
                  <c:v>313.72000000000003</c:v>
                </c:pt>
                <c:pt idx="182">
                  <c:v>314.98</c:v>
                </c:pt>
                <c:pt idx="183">
                  <c:v>304.86</c:v>
                </c:pt>
                <c:pt idx="184">
                  <c:v>305.69</c:v>
                </c:pt>
                <c:pt idx="185">
                  <c:v>297.17</c:v>
                </c:pt>
                <c:pt idx="186">
                  <c:v>289.95</c:v>
                </c:pt>
                <c:pt idx="187">
                  <c:v>288.52999999999997</c:v>
                </c:pt>
                <c:pt idx="188">
                  <c:v>290.39999999999998</c:v>
                </c:pt>
                <c:pt idx="189">
                  <c:v>297.44</c:v>
                </c:pt>
                <c:pt idx="190">
                  <c:v>304.12</c:v>
                </c:pt>
                <c:pt idx="191">
                  <c:v>304.48</c:v>
                </c:pt>
                <c:pt idx="192">
                  <c:v>303.20999999999998</c:v>
                </c:pt>
                <c:pt idx="193">
                  <c:v>308.58</c:v>
                </c:pt>
                <c:pt idx="194">
                  <c:v>305.67</c:v>
                </c:pt>
                <c:pt idx="195">
                  <c:v>301.77999999999997</c:v>
                </c:pt>
                <c:pt idx="196">
                  <c:v>302.62</c:v>
                </c:pt>
                <c:pt idx="197">
                  <c:v>307.99</c:v>
                </c:pt>
                <c:pt idx="198">
                  <c:v>307.94</c:v>
                </c:pt>
                <c:pt idx="199">
                  <c:v>309.18</c:v>
                </c:pt>
                <c:pt idx="200">
                  <c:v>310.48</c:v>
                </c:pt>
                <c:pt idx="201">
                  <c:v>312.67</c:v>
                </c:pt>
                <c:pt idx="202">
                  <c:v>310.74</c:v>
                </c:pt>
                <c:pt idx="203">
                  <c:v>309.24</c:v>
                </c:pt>
                <c:pt idx="204">
                  <c:v>308.66000000000003</c:v>
                </c:pt>
                <c:pt idx="205">
                  <c:v>303.18</c:v>
                </c:pt>
                <c:pt idx="206">
                  <c:v>303.32</c:v>
                </c:pt>
                <c:pt idx="207">
                  <c:v>300.45</c:v>
                </c:pt>
                <c:pt idx="208">
                  <c:v>300.98</c:v>
                </c:pt>
                <c:pt idx="209">
                  <c:v>302.79000000000002</c:v>
                </c:pt>
                <c:pt idx="210">
                  <c:v>303.77999999999997</c:v>
                </c:pt>
                <c:pt idx="211">
                  <c:v>304.56</c:v>
                </c:pt>
                <c:pt idx="212">
                  <c:v>305.08999999999997</c:v>
                </c:pt>
                <c:pt idx="213">
                  <c:v>305.74</c:v>
                </c:pt>
                <c:pt idx="214">
                  <c:v>302.05</c:v>
                </c:pt>
                <c:pt idx="215">
                  <c:v>296.20999999999998</c:v>
                </c:pt>
                <c:pt idx="216">
                  <c:v>291.5</c:v>
                </c:pt>
                <c:pt idx="217">
                  <c:v>294.97000000000003</c:v>
                </c:pt>
                <c:pt idx="218">
                  <c:v>302.47000000000003</c:v>
                </c:pt>
                <c:pt idx="219">
                  <c:v>296.73</c:v>
                </c:pt>
                <c:pt idx="220">
                  <c:v>302.72000000000003</c:v>
                </c:pt>
                <c:pt idx="221">
                  <c:v>304.22000000000003</c:v>
                </c:pt>
                <c:pt idx="222">
                  <c:v>312.18</c:v>
                </c:pt>
                <c:pt idx="223">
                  <c:v>303.16000000000003</c:v>
                </c:pt>
                <c:pt idx="224">
                  <c:v>309.02999999999997</c:v>
                </c:pt>
                <c:pt idx="225">
                  <c:v>297.95</c:v>
                </c:pt>
                <c:pt idx="226">
                  <c:v>305.67</c:v>
                </c:pt>
                <c:pt idx="227">
                  <c:v>291.35000000000002</c:v>
                </c:pt>
                <c:pt idx="228">
                  <c:v>297.54000000000002</c:v>
                </c:pt>
                <c:pt idx="229">
                  <c:v>294.67</c:v>
                </c:pt>
                <c:pt idx="230">
                  <c:v>292.44</c:v>
                </c:pt>
                <c:pt idx="231">
                  <c:v>296.33</c:v>
                </c:pt>
                <c:pt idx="232">
                  <c:v>293.86</c:v>
                </c:pt>
                <c:pt idx="233">
                  <c:v>294.16000000000003</c:v>
                </c:pt>
                <c:pt idx="234">
                  <c:v>309.24</c:v>
                </c:pt>
                <c:pt idx="235">
                  <c:v>306.7</c:v>
                </c:pt>
                <c:pt idx="236">
                  <c:v>314.73</c:v>
                </c:pt>
                <c:pt idx="237">
                  <c:v>294.31</c:v>
                </c:pt>
                <c:pt idx="238">
                  <c:v>289.05</c:v>
                </c:pt>
                <c:pt idx="239">
                  <c:v>289.89</c:v>
                </c:pt>
                <c:pt idx="240">
                  <c:v>298.93</c:v>
                </c:pt>
                <c:pt idx="241">
                  <c:v>296.33999999999997</c:v>
                </c:pt>
                <c:pt idx="242">
                  <c:v>291.76</c:v>
                </c:pt>
                <c:pt idx="243">
                  <c:v>272.81</c:v>
                </c:pt>
                <c:pt idx="244">
                  <c:v>259.52</c:v>
                </c:pt>
                <c:pt idx="245">
                  <c:v>262.38</c:v>
                </c:pt>
                <c:pt idx="246">
                  <c:v>258.31</c:v>
                </c:pt>
                <c:pt idx="247">
                  <c:v>260.79000000000002</c:v>
                </c:pt>
                <c:pt idx="248">
                  <c:v>256.27999999999997</c:v>
                </c:pt>
                <c:pt idx="249">
                  <c:v>257.16000000000003</c:v>
                </c:pt>
                <c:pt idx="250">
                  <c:v>223.35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7-4FD9-A054-AD2DF7C7BF18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251.75699999999998</c:v>
                </c:pt>
                <c:pt idx="20">
                  <c:v>251.08599999999996</c:v>
                </c:pt>
                <c:pt idx="21">
                  <c:v>250.69349999999994</c:v>
                </c:pt>
                <c:pt idx="22">
                  <c:v>250.41849999999994</c:v>
                </c:pt>
                <c:pt idx="23">
                  <c:v>250.06749999999997</c:v>
                </c:pt>
                <c:pt idx="24">
                  <c:v>249.6455</c:v>
                </c:pt>
                <c:pt idx="25">
                  <c:v>249.56899999999996</c:v>
                </c:pt>
                <c:pt idx="26">
                  <c:v>249.42549999999997</c:v>
                </c:pt>
                <c:pt idx="27">
                  <c:v>249.35699999999997</c:v>
                </c:pt>
                <c:pt idx="28">
                  <c:v>249.09699999999998</c:v>
                </c:pt>
                <c:pt idx="29">
                  <c:v>247.39399999999992</c:v>
                </c:pt>
                <c:pt idx="30">
                  <c:v>245.83799999999997</c:v>
                </c:pt>
                <c:pt idx="31">
                  <c:v>244.44199999999995</c:v>
                </c:pt>
                <c:pt idx="32">
                  <c:v>243.72599999999997</c:v>
                </c:pt>
                <c:pt idx="33">
                  <c:v>242.91350000000003</c:v>
                </c:pt>
                <c:pt idx="34">
                  <c:v>242.27000000000004</c:v>
                </c:pt>
                <c:pt idx="35">
                  <c:v>241.57450000000003</c:v>
                </c:pt>
                <c:pt idx="36">
                  <c:v>241.26200000000003</c:v>
                </c:pt>
                <c:pt idx="37">
                  <c:v>240.57600000000002</c:v>
                </c:pt>
                <c:pt idx="38">
                  <c:v>240.35050000000001</c:v>
                </c:pt>
                <c:pt idx="39">
                  <c:v>239.96800000000002</c:v>
                </c:pt>
                <c:pt idx="40">
                  <c:v>239.59050000000002</c:v>
                </c:pt>
                <c:pt idx="41">
                  <c:v>239.36949999999996</c:v>
                </c:pt>
                <c:pt idx="42">
                  <c:v>238.31899999999996</c:v>
                </c:pt>
                <c:pt idx="43">
                  <c:v>237.62899999999999</c:v>
                </c:pt>
                <c:pt idx="44">
                  <c:v>237.23699999999999</c:v>
                </c:pt>
                <c:pt idx="45">
                  <c:v>236.77349999999996</c:v>
                </c:pt>
                <c:pt idx="46">
                  <c:v>236.3475</c:v>
                </c:pt>
                <c:pt idx="47">
                  <c:v>235.83149999999995</c:v>
                </c:pt>
                <c:pt idx="48">
                  <c:v>235.93449999999999</c:v>
                </c:pt>
                <c:pt idx="49">
                  <c:v>237.01950000000002</c:v>
                </c:pt>
                <c:pt idx="50">
                  <c:v>238.18649999999997</c:v>
                </c:pt>
                <c:pt idx="51">
                  <c:v>239.80349999999999</c:v>
                </c:pt>
                <c:pt idx="52">
                  <c:v>240.74499999999998</c:v>
                </c:pt>
                <c:pt idx="53">
                  <c:v>241.72750000000002</c:v>
                </c:pt>
                <c:pt idx="54">
                  <c:v>242.63799999999998</c:v>
                </c:pt>
                <c:pt idx="55">
                  <c:v>243.61449999999996</c:v>
                </c:pt>
                <c:pt idx="56">
                  <c:v>244.47049999999996</c:v>
                </c:pt>
                <c:pt idx="57">
                  <c:v>245.87599999999998</c:v>
                </c:pt>
                <c:pt idx="58">
                  <c:v>247.27350000000001</c:v>
                </c:pt>
                <c:pt idx="59">
                  <c:v>248.88299999999998</c:v>
                </c:pt>
                <c:pt idx="60">
                  <c:v>250.18549999999999</c:v>
                </c:pt>
                <c:pt idx="61">
                  <c:v>250.95499999999998</c:v>
                </c:pt>
                <c:pt idx="62">
                  <c:v>252.40699999999998</c:v>
                </c:pt>
                <c:pt idx="63">
                  <c:v>253.71799999999999</c:v>
                </c:pt>
                <c:pt idx="64">
                  <c:v>255.07150000000001</c:v>
                </c:pt>
                <c:pt idx="65">
                  <c:v>256.11399999999992</c:v>
                </c:pt>
                <c:pt idx="66">
                  <c:v>256.95749999999992</c:v>
                </c:pt>
                <c:pt idx="67">
                  <c:v>257.92749999999995</c:v>
                </c:pt>
                <c:pt idx="68">
                  <c:v>258.84499999999997</c:v>
                </c:pt>
                <c:pt idx="69">
                  <c:v>259.64599999999996</c:v>
                </c:pt>
                <c:pt idx="70">
                  <c:v>260.46600000000001</c:v>
                </c:pt>
                <c:pt idx="71">
                  <c:v>261.14049999999992</c:v>
                </c:pt>
                <c:pt idx="72">
                  <c:v>261.87699999999995</c:v>
                </c:pt>
                <c:pt idx="73">
                  <c:v>263.02100000000002</c:v>
                </c:pt>
                <c:pt idx="74">
                  <c:v>264.14849999999996</c:v>
                </c:pt>
                <c:pt idx="75">
                  <c:v>265.29499999999996</c:v>
                </c:pt>
                <c:pt idx="76">
                  <c:v>266.45549999999997</c:v>
                </c:pt>
                <c:pt idx="77">
                  <c:v>266.98249999999996</c:v>
                </c:pt>
                <c:pt idx="78">
                  <c:v>267.73599999999999</c:v>
                </c:pt>
                <c:pt idx="79">
                  <c:v>268.46799999999996</c:v>
                </c:pt>
                <c:pt idx="80">
                  <c:v>269.28100000000001</c:v>
                </c:pt>
                <c:pt idx="81">
                  <c:v>270.286</c:v>
                </c:pt>
                <c:pt idx="82">
                  <c:v>271.82650000000007</c:v>
                </c:pt>
                <c:pt idx="83">
                  <c:v>273.58450000000005</c:v>
                </c:pt>
                <c:pt idx="84">
                  <c:v>274.97600000000006</c:v>
                </c:pt>
                <c:pt idx="85">
                  <c:v>276.5605000000001</c:v>
                </c:pt>
                <c:pt idx="86">
                  <c:v>278.11100000000005</c:v>
                </c:pt>
                <c:pt idx="87">
                  <c:v>279.89700000000005</c:v>
                </c:pt>
                <c:pt idx="88">
                  <c:v>281.26200000000006</c:v>
                </c:pt>
                <c:pt idx="89">
                  <c:v>282.3845</c:v>
                </c:pt>
                <c:pt idx="90">
                  <c:v>283.70699999999999</c:v>
                </c:pt>
                <c:pt idx="91">
                  <c:v>284.98750000000001</c:v>
                </c:pt>
                <c:pt idx="92">
                  <c:v>286.06499999999994</c:v>
                </c:pt>
                <c:pt idx="93">
                  <c:v>286.96799999999996</c:v>
                </c:pt>
                <c:pt idx="94">
                  <c:v>287.52750000000003</c:v>
                </c:pt>
                <c:pt idx="95">
                  <c:v>287.63100000000003</c:v>
                </c:pt>
                <c:pt idx="96">
                  <c:v>287.76900000000001</c:v>
                </c:pt>
                <c:pt idx="97">
                  <c:v>288.04300000000001</c:v>
                </c:pt>
                <c:pt idx="98">
                  <c:v>288.04750000000001</c:v>
                </c:pt>
                <c:pt idx="99">
                  <c:v>287.995</c:v>
                </c:pt>
                <c:pt idx="100">
                  <c:v>288.12800000000004</c:v>
                </c:pt>
                <c:pt idx="101">
                  <c:v>288.315</c:v>
                </c:pt>
                <c:pt idx="102">
                  <c:v>287.95400000000001</c:v>
                </c:pt>
                <c:pt idx="103">
                  <c:v>287.36500000000001</c:v>
                </c:pt>
                <c:pt idx="104">
                  <c:v>285.83749999999998</c:v>
                </c:pt>
                <c:pt idx="105">
                  <c:v>284.22700000000003</c:v>
                </c:pt>
                <c:pt idx="106">
                  <c:v>282.90250000000003</c:v>
                </c:pt>
                <c:pt idx="107">
                  <c:v>281.28399999999999</c:v>
                </c:pt>
                <c:pt idx="108">
                  <c:v>279.73700000000002</c:v>
                </c:pt>
                <c:pt idx="109">
                  <c:v>278.012</c:v>
                </c:pt>
                <c:pt idx="110">
                  <c:v>275.91600000000005</c:v>
                </c:pt>
                <c:pt idx="111">
                  <c:v>273.89150000000001</c:v>
                </c:pt>
                <c:pt idx="112">
                  <c:v>271.904</c:v>
                </c:pt>
                <c:pt idx="113">
                  <c:v>270.01100000000002</c:v>
                </c:pt>
                <c:pt idx="114">
                  <c:v>268.14749999999998</c:v>
                </c:pt>
                <c:pt idx="115">
                  <c:v>266.08150000000006</c:v>
                </c:pt>
                <c:pt idx="116">
                  <c:v>263.70700000000005</c:v>
                </c:pt>
                <c:pt idx="117">
                  <c:v>261.31050000000005</c:v>
                </c:pt>
                <c:pt idx="118">
                  <c:v>259.21800000000007</c:v>
                </c:pt>
                <c:pt idx="119">
                  <c:v>256.9735</c:v>
                </c:pt>
                <c:pt idx="120">
                  <c:v>254.66600000000003</c:v>
                </c:pt>
                <c:pt idx="121">
                  <c:v>252.40300000000002</c:v>
                </c:pt>
                <c:pt idx="122">
                  <c:v>250.369</c:v>
                </c:pt>
                <c:pt idx="123">
                  <c:v>248.39600000000002</c:v>
                </c:pt>
                <c:pt idx="124">
                  <c:v>247.34050000000002</c:v>
                </c:pt>
                <c:pt idx="125">
                  <c:v>246.459</c:v>
                </c:pt>
                <c:pt idx="126">
                  <c:v>245.27000000000004</c:v>
                </c:pt>
                <c:pt idx="127">
                  <c:v>244.28100000000003</c:v>
                </c:pt>
                <c:pt idx="128">
                  <c:v>243.51000000000005</c:v>
                </c:pt>
                <c:pt idx="129">
                  <c:v>243.13899999999998</c:v>
                </c:pt>
                <c:pt idx="130">
                  <c:v>242.81099999999998</c:v>
                </c:pt>
                <c:pt idx="131">
                  <c:v>242.28699999999998</c:v>
                </c:pt>
                <c:pt idx="132">
                  <c:v>241.95850000000004</c:v>
                </c:pt>
                <c:pt idx="133">
                  <c:v>241.70350000000008</c:v>
                </c:pt>
                <c:pt idx="134">
                  <c:v>241.62200000000001</c:v>
                </c:pt>
                <c:pt idx="135">
                  <c:v>242.31300000000002</c:v>
                </c:pt>
                <c:pt idx="136">
                  <c:v>243.45349999999999</c:v>
                </c:pt>
                <c:pt idx="137">
                  <c:v>244.55899999999997</c:v>
                </c:pt>
                <c:pt idx="138">
                  <c:v>245.40600000000001</c:v>
                </c:pt>
                <c:pt idx="139">
                  <c:v>246.22250000000003</c:v>
                </c:pt>
                <c:pt idx="140">
                  <c:v>247.04849999999996</c:v>
                </c:pt>
                <c:pt idx="141">
                  <c:v>247.95199999999994</c:v>
                </c:pt>
                <c:pt idx="142">
                  <c:v>248.84200000000001</c:v>
                </c:pt>
                <c:pt idx="143">
                  <c:v>249.96450000000004</c:v>
                </c:pt>
                <c:pt idx="144">
                  <c:v>251.31450000000004</c:v>
                </c:pt>
                <c:pt idx="145">
                  <c:v>252.77850000000004</c:v>
                </c:pt>
                <c:pt idx="146">
                  <c:v>254.41900000000001</c:v>
                </c:pt>
                <c:pt idx="147">
                  <c:v>255.66399999999999</c:v>
                </c:pt>
                <c:pt idx="148">
                  <c:v>257.49399999999997</c:v>
                </c:pt>
                <c:pt idx="149">
                  <c:v>259.423</c:v>
                </c:pt>
                <c:pt idx="150">
                  <c:v>261.23849999999999</c:v>
                </c:pt>
                <c:pt idx="151">
                  <c:v>263.27149999999995</c:v>
                </c:pt>
                <c:pt idx="152">
                  <c:v>265.39099999999996</c:v>
                </c:pt>
                <c:pt idx="153">
                  <c:v>267.36799999999999</c:v>
                </c:pt>
                <c:pt idx="154">
                  <c:v>269.36</c:v>
                </c:pt>
                <c:pt idx="155">
                  <c:v>271.0265</c:v>
                </c:pt>
                <c:pt idx="156">
                  <c:v>272.76449999999994</c:v>
                </c:pt>
                <c:pt idx="157">
                  <c:v>274.39350000000002</c:v>
                </c:pt>
                <c:pt idx="158">
                  <c:v>275.9545</c:v>
                </c:pt>
                <c:pt idx="159">
                  <c:v>277.17349999999999</c:v>
                </c:pt>
                <c:pt idx="160">
                  <c:v>278.22249999999997</c:v>
                </c:pt>
                <c:pt idx="161">
                  <c:v>279.15399999999994</c:v>
                </c:pt>
                <c:pt idx="162">
                  <c:v>280.23749999999995</c:v>
                </c:pt>
                <c:pt idx="163">
                  <c:v>280.78599999999994</c:v>
                </c:pt>
                <c:pt idx="164">
                  <c:v>281.53000000000003</c:v>
                </c:pt>
                <c:pt idx="165">
                  <c:v>282.14399999999995</c:v>
                </c:pt>
                <c:pt idx="166">
                  <c:v>282.6345</c:v>
                </c:pt>
                <c:pt idx="167">
                  <c:v>283.63350000000003</c:v>
                </c:pt>
                <c:pt idx="168">
                  <c:v>283.81149999999997</c:v>
                </c:pt>
                <c:pt idx="169">
                  <c:v>284.96899999999999</c:v>
                </c:pt>
                <c:pt idx="170">
                  <c:v>286.63350000000003</c:v>
                </c:pt>
                <c:pt idx="171">
                  <c:v>288.154</c:v>
                </c:pt>
                <c:pt idx="172">
                  <c:v>289.24</c:v>
                </c:pt>
                <c:pt idx="173">
                  <c:v>290.40700000000004</c:v>
                </c:pt>
                <c:pt idx="174">
                  <c:v>291.35900000000004</c:v>
                </c:pt>
                <c:pt idx="175">
                  <c:v>292.12450000000001</c:v>
                </c:pt>
                <c:pt idx="176">
                  <c:v>292.47350000000006</c:v>
                </c:pt>
                <c:pt idx="177">
                  <c:v>293.33900000000006</c:v>
                </c:pt>
                <c:pt idx="178">
                  <c:v>294.54850000000005</c:v>
                </c:pt>
                <c:pt idx="179">
                  <c:v>295.9765000000001</c:v>
                </c:pt>
                <c:pt idx="180">
                  <c:v>297.57200000000012</c:v>
                </c:pt>
                <c:pt idx="181">
                  <c:v>299.45050000000003</c:v>
                </c:pt>
                <c:pt idx="182">
                  <c:v>301.16200000000009</c:v>
                </c:pt>
                <c:pt idx="183">
                  <c:v>302.60649999999998</c:v>
                </c:pt>
                <c:pt idx="184">
                  <c:v>303.82699999999994</c:v>
                </c:pt>
                <c:pt idx="185">
                  <c:v>304.50299999999999</c:v>
                </c:pt>
                <c:pt idx="186">
                  <c:v>304.89800000000002</c:v>
                </c:pt>
                <c:pt idx="187">
                  <c:v>304.94899999999996</c:v>
                </c:pt>
                <c:pt idx="188">
                  <c:v>305.21899999999994</c:v>
                </c:pt>
                <c:pt idx="189">
                  <c:v>304.71799999999996</c:v>
                </c:pt>
                <c:pt idx="190">
                  <c:v>304.26949999999994</c:v>
                </c:pt>
                <c:pt idx="191">
                  <c:v>303.86499999999995</c:v>
                </c:pt>
                <c:pt idx="192">
                  <c:v>303.61500000000001</c:v>
                </c:pt>
                <c:pt idx="193">
                  <c:v>303.54100000000005</c:v>
                </c:pt>
                <c:pt idx="194">
                  <c:v>303.45399999999995</c:v>
                </c:pt>
                <c:pt idx="195">
                  <c:v>303.30649999999997</c:v>
                </c:pt>
                <c:pt idx="196">
                  <c:v>303.39500000000004</c:v>
                </c:pt>
                <c:pt idx="197">
                  <c:v>303.45600000000002</c:v>
                </c:pt>
                <c:pt idx="198">
                  <c:v>303.23199999999991</c:v>
                </c:pt>
                <c:pt idx="199">
                  <c:v>303.37199999999996</c:v>
                </c:pt>
                <c:pt idx="200">
                  <c:v>303.43949999999995</c:v>
                </c:pt>
                <c:pt idx="201">
                  <c:v>303.387</c:v>
                </c:pt>
                <c:pt idx="202">
                  <c:v>303.17500000000001</c:v>
                </c:pt>
                <c:pt idx="203">
                  <c:v>303.39399999999995</c:v>
                </c:pt>
                <c:pt idx="204">
                  <c:v>303.5424999999999</c:v>
                </c:pt>
                <c:pt idx="205">
                  <c:v>303.84299999999996</c:v>
                </c:pt>
                <c:pt idx="206">
                  <c:v>304.51149999999996</c:v>
                </c:pt>
                <c:pt idx="207">
                  <c:v>305.10749999999996</c:v>
                </c:pt>
                <c:pt idx="208">
                  <c:v>305.63649999999996</c:v>
                </c:pt>
                <c:pt idx="209">
                  <c:v>305.90399999999994</c:v>
                </c:pt>
                <c:pt idx="210">
                  <c:v>305.887</c:v>
                </c:pt>
                <c:pt idx="211">
                  <c:v>305.89099999999996</c:v>
                </c:pt>
                <c:pt idx="212">
                  <c:v>305.98500000000001</c:v>
                </c:pt>
                <c:pt idx="213">
                  <c:v>305.84299999999996</c:v>
                </c:pt>
                <c:pt idx="214">
                  <c:v>305.66199999999998</c:v>
                </c:pt>
                <c:pt idx="215">
                  <c:v>305.38350000000003</c:v>
                </c:pt>
                <c:pt idx="216">
                  <c:v>304.82749999999999</c:v>
                </c:pt>
                <c:pt idx="217">
                  <c:v>304.17650000000003</c:v>
                </c:pt>
                <c:pt idx="218">
                  <c:v>303.90300000000002</c:v>
                </c:pt>
                <c:pt idx="219">
                  <c:v>303.28050000000002</c:v>
                </c:pt>
                <c:pt idx="220">
                  <c:v>302.89250000000004</c:v>
                </c:pt>
                <c:pt idx="221">
                  <c:v>302.47000000000008</c:v>
                </c:pt>
                <c:pt idx="222">
                  <c:v>302.54200000000009</c:v>
                </c:pt>
                <c:pt idx="223">
                  <c:v>302.23800000000011</c:v>
                </c:pt>
                <c:pt idx="224">
                  <c:v>302.25650000000007</c:v>
                </c:pt>
                <c:pt idx="225">
                  <c:v>301.99500000000006</c:v>
                </c:pt>
                <c:pt idx="226">
                  <c:v>302.11250000000001</c:v>
                </c:pt>
                <c:pt idx="227">
                  <c:v>301.65750000000003</c:v>
                </c:pt>
                <c:pt idx="228">
                  <c:v>301.4855</c:v>
                </c:pt>
                <c:pt idx="229">
                  <c:v>301.0795</c:v>
                </c:pt>
                <c:pt idx="230">
                  <c:v>300.51249999999999</c:v>
                </c:pt>
                <c:pt idx="231">
                  <c:v>300.101</c:v>
                </c:pt>
                <c:pt idx="232">
                  <c:v>299.53949999999998</c:v>
                </c:pt>
                <c:pt idx="233">
                  <c:v>298.96049999999997</c:v>
                </c:pt>
                <c:pt idx="234">
                  <c:v>299.31999999999994</c:v>
                </c:pt>
                <c:pt idx="235">
                  <c:v>299.84449999999987</c:v>
                </c:pt>
                <c:pt idx="236">
                  <c:v>301.00599999999997</c:v>
                </c:pt>
                <c:pt idx="237">
                  <c:v>300.97300000000001</c:v>
                </c:pt>
                <c:pt idx="238">
                  <c:v>300.30200000000002</c:v>
                </c:pt>
                <c:pt idx="239">
                  <c:v>299.96000000000009</c:v>
                </c:pt>
                <c:pt idx="240">
                  <c:v>299.77050000000003</c:v>
                </c:pt>
                <c:pt idx="241">
                  <c:v>299.37650000000008</c:v>
                </c:pt>
                <c:pt idx="242">
                  <c:v>298.35550000000006</c:v>
                </c:pt>
                <c:pt idx="243">
                  <c:v>296.83800000000008</c:v>
                </c:pt>
                <c:pt idx="244">
                  <c:v>294.36250000000007</c:v>
                </c:pt>
                <c:pt idx="245">
                  <c:v>292.58400000000006</c:v>
                </c:pt>
                <c:pt idx="246">
                  <c:v>290.21600000000007</c:v>
                </c:pt>
                <c:pt idx="247">
                  <c:v>288.68800000000005</c:v>
                </c:pt>
                <c:pt idx="248">
                  <c:v>286.625</c:v>
                </c:pt>
                <c:pt idx="249">
                  <c:v>284.74950000000001</c:v>
                </c:pt>
                <c:pt idx="250">
                  <c:v>281.29500000000002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7-4FD9-A054-AD2DF7C7BF18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Data!$AB$2:$AB$252</c:f>
              <c:numCache>
                <c:formatCode>General</c:formatCode>
                <c:ptCount val="251"/>
                <c:pt idx="99">
                  <c:v>259.41420000000011</c:v>
                </c:pt>
                <c:pt idx="100">
                  <c:v>259.65420000000012</c:v>
                </c:pt>
                <c:pt idx="101">
                  <c:v>259.92380000000009</c:v>
                </c:pt>
                <c:pt idx="102">
                  <c:v>260.18500000000006</c:v>
                </c:pt>
                <c:pt idx="103">
                  <c:v>260.47280000000001</c:v>
                </c:pt>
                <c:pt idx="104">
                  <c:v>260.55350000000004</c:v>
                </c:pt>
                <c:pt idx="105">
                  <c:v>260.64880000000005</c:v>
                </c:pt>
                <c:pt idx="106">
                  <c:v>260.74880000000007</c:v>
                </c:pt>
                <c:pt idx="107">
                  <c:v>260.85940000000005</c:v>
                </c:pt>
                <c:pt idx="108">
                  <c:v>260.9751</c:v>
                </c:pt>
                <c:pt idx="109">
                  <c:v>260.89120000000003</c:v>
                </c:pt>
                <c:pt idx="110">
                  <c:v>260.82270000000005</c:v>
                </c:pt>
                <c:pt idx="111">
                  <c:v>260.85300000000001</c:v>
                </c:pt>
                <c:pt idx="112">
                  <c:v>260.86340000000001</c:v>
                </c:pt>
                <c:pt idx="113">
                  <c:v>260.9282</c:v>
                </c:pt>
                <c:pt idx="114">
                  <c:v>260.94630000000001</c:v>
                </c:pt>
                <c:pt idx="115">
                  <c:v>260.83929999999998</c:v>
                </c:pt>
                <c:pt idx="116">
                  <c:v>260.7328</c:v>
                </c:pt>
                <c:pt idx="117">
                  <c:v>260.55759999999992</c:v>
                </c:pt>
                <c:pt idx="118">
                  <c:v>260.52509999999995</c:v>
                </c:pt>
                <c:pt idx="119">
                  <c:v>260.45749999999998</c:v>
                </c:pt>
                <c:pt idx="120">
                  <c:v>260.37019999999995</c:v>
                </c:pt>
                <c:pt idx="121">
                  <c:v>260.26569999999992</c:v>
                </c:pt>
                <c:pt idx="122">
                  <c:v>260.17509999999993</c:v>
                </c:pt>
                <c:pt idx="123">
                  <c:v>260.13849999999996</c:v>
                </c:pt>
                <c:pt idx="124">
                  <c:v>260.09249999999997</c:v>
                </c:pt>
                <c:pt idx="125">
                  <c:v>260.02679999999998</c:v>
                </c:pt>
                <c:pt idx="126">
                  <c:v>259.91769999999991</c:v>
                </c:pt>
                <c:pt idx="127">
                  <c:v>259.84419999999989</c:v>
                </c:pt>
                <c:pt idx="128">
                  <c:v>259.85769999999991</c:v>
                </c:pt>
                <c:pt idx="129">
                  <c:v>260.04019999999991</c:v>
                </c:pt>
                <c:pt idx="130">
                  <c:v>260.21729999999997</c:v>
                </c:pt>
                <c:pt idx="131">
                  <c:v>260.42199999999991</c:v>
                </c:pt>
                <c:pt idx="132">
                  <c:v>260.5098999999999</c:v>
                </c:pt>
                <c:pt idx="133">
                  <c:v>260.68619999999993</c:v>
                </c:pt>
                <c:pt idx="134">
                  <c:v>260.81669999999991</c:v>
                </c:pt>
                <c:pt idx="135">
                  <c:v>260.98699999999991</c:v>
                </c:pt>
                <c:pt idx="136">
                  <c:v>261.17109999999991</c:v>
                </c:pt>
                <c:pt idx="137">
                  <c:v>261.35419999999993</c:v>
                </c:pt>
                <c:pt idx="138">
                  <c:v>261.53619999999995</c:v>
                </c:pt>
                <c:pt idx="139">
                  <c:v>261.70839999999987</c:v>
                </c:pt>
                <c:pt idx="140">
                  <c:v>261.8617999999999</c:v>
                </c:pt>
                <c:pt idx="141">
                  <c:v>261.98219999999992</c:v>
                </c:pt>
                <c:pt idx="142">
                  <c:v>262.27969999999999</c:v>
                </c:pt>
                <c:pt idx="143">
                  <c:v>262.60559999999998</c:v>
                </c:pt>
                <c:pt idx="144">
                  <c:v>262.90800000000002</c:v>
                </c:pt>
                <c:pt idx="145">
                  <c:v>263.2278</c:v>
                </c:pt>
                <c:pt idx="146">
                  <c:v>263.53199999999998</c:v>
                </c:pt>
                <c:pt idx="147">
                  <c:v>263.8107</c:v>
                </c:pt>
                <c:pt idx="148">
                  <c:v>264.1696</c:v>
                </c:pt>
                <c:pt idx="149">
                  <c:v>264.52089999999998</c:v>
                </c:pt>
                <c:pt idx="150">
                  <c:v>264.82769999999999</c:v>
                </c:pt>
                <c:pt idx="151">
                  <c:v>265.11560000000003</c:v>
                </c:pt>
                <c:pt idx="152">
                  <c:v>265.43910000000005</c:v>
                </c:pt>
                <c:pt idx="153">
                  <c:v>265.81430000000006</c:v>
                </c:pt>
                <c:pt idx="154">
                  <c:v>266.16110000000009</c:v>
                </c:pt>
                <c:pt idx="155">
                  <c:v>266.46940000000006</c:v>
                </c:pt>
                <c:pt idx="156">
                  <c:v>266.82990000000001</c:v>
                </c:pt>
                <c:pt idx="157">
                  <c:v>267.05770000000007</c:v>
                </c:pt>
                <c:pt idx="158">
                  <c:v>267.2724</c:v>
                </c:pt>
                <c:pt idx="159">
                  <c:v>267.36649999999997</c:v>
                </c:pt>
                <c:pt idx="160">
                  <c:v>267.4692</c:v>
                </c:pt>
                <c:pt idx="161">
                  <c:v>267.62200000000007</c:v>
                </c:pt>
                <c:pt idx="162">
                  <c:v>267.84580000000005</c:v>
                </c:pt>
                <c:pt idx="163">
                  <c:v>268.01920000000007</c:v>
                </c:pt>
                <c:pt idx="164">
                  <c:v>268.19970000000001</c:v>
                </c:pt>
                <c:pt idx="165">
                  <c:v>268.43380000000002</c:v>
                </c:pt>
                <c:pt idx="166">
                  <c:v>268.66740000000004</c:v>
                </c:pt>
                <c:pt idx="167">
                  <c:v>268.95190000000002</c:v>
                </c:pt>
                <c:pt idx="168">
                  <c:v>269.16289999999998</c:v>
                </c:pt>
                <c:pt idx="169">
                  <c:v>269.58549999999997</c:v>
                </c:pt>
                <c:pt idx="170">
                  <c:v>270.06119999999993</c:v>
                </c:pt>
                <c:pt idx="171">
                  <c:v>270.51829999999995</c:v>
                </c:pt>
                <c:pt idx="172">
                  <c:v>270.91169999999994</c:v>
                </c:pt>
                <c:pt idx="173">
                  <c:v>271.29149999999998</c:v>
                </c:pt>
                <c:pt idx="174">
                  <c:v>271.60320000000002</c:v>
                </c:pt>
                <c:pt idx="175">
                  <c:v>271.83529999999996</c:v>
                </c:pt>
                <c:pt idx="176">
                  <c:v>272.0335</c:v>
                </c:pt>
                <c:pt idx="177">
                  <c:v>272.32900000000001</c:v>
                </c:pt>
                <c:pt idx="178">
                  <c:v>272.63489999999996</c:v>
                </c:pt>
                <c:pt idx="179">
                  <c:v>272.86819999999994</c:v>
                </c:pt>
                <c:pt idx="180">
                  <c:v>273.12740000000002</c:v>
                </c:pt>
                <c:pt idx="181">
                  <c:v>273.45490000000001</c:v>
                </c:pt>
                <c:pt idx="182">
                  <c:v>273.71289999999999</c:v>
                </c:pt>
                <c:pt idx="183">
                  <c:v>273.8236</c:v>
                </c:pt>
                <c:pt idx="184">
                  <c:v>273.9699</c:v>
                </c:pt>
                <c:pt idx="185">
                  <c:v>274.02229999999997</c:v>
                </c:pt>
                <c:pt idx="186">
                  <c:v>274.02479999999997</c:v>
                </c:pt>
                <c:pt idx="187">
                  <c:v>273.96229999999997</c:v>
                </c:pt>
                <c:pt idx="188">
                  <c:v>273.95429999999999</c:v>
                </c:pt>
                <c:pt idx="189">
                  <c:v>274.05219999999991</c:v>
                </c:pt>
                <c:pt idx="190">
                  <c:v>274.17369999999994</c:v>
                </c:pt>
                <c:pt idx="191">
                  <c:v>274.29379999999992</c:v>
                </c:pt>
                <c:pt idx="192">
                  <c:v>274.42169999999993</c:v>
                </c:pt>
                <c:pt idx="193">
                  <c:v>274.60609999999997</c:v>
                </c:pt>
                <c:pt idx="194">
                  <c:v>274.78849999999994</c:v>
                </c:pt>
                <c:pt idx="195">
                  <c:v>274.97039999999998</c:v>
                </c:pt>
                <c:pt idx="196">
                  <c:v>275.15869999999995</c:v>
                </c:pt>
                <c:pt idx="197">
                  <c:v>275.41159999999996</c:v>
                </c:pt>
                <c:pt idx="198">
                  <c:v>275.67179999999991</c:v>
                </c:pt>
                <c:pt idx="199">
                  <c:v>275.94359999999995</c:v>
                </c:pt>
                <c:pt idx="200">
                  <c:v>276.1896999999999</c:v>
                </c:pt>
                <c:pt idx="201">
                  <c:v>276.46929999999992</c:v>
                </c:pt>
                <c:pt idx="202">
                  <c:v>276.75709999999987</c:v>
                </c:pt>
                <c:pt idx="203">
                  <c:v>277.0293999999999</c:v>
                </c:pt>
                <c:pt idx="204">
                  <c:v>277.51089999999988</c:v>
                </c:pt>
                <c:pt idx="205">
                  <c:v>277.94549999999992</c:v>
                </c:pt>
                <c:pt idx="206">
                  <c:v>278.34659999999991</c:v>
                </c:pt>
                <c:pt idx="207">
                  <c:v>278.72699999999992</c:v>
                </c:pt>
                <c:pt idx="208">
                  <c:v>279.13419999999991</c:v>
                </c:pt>
                <c:pt idx="209">
                  <c:v>279.6305999999999</c:v>
                </c:pt>
                <c:pt idx="210">
                  <c:v>280.16789999999992</c:v>
                </c:pt>
                <c:pt idx="211">
                  <c:v>280.69369999999992</c:v>
                </c:pt>
                <c:pt idx="212">
                  <c:v>281.23789999999991</c:v>
                </c:pt>
                <c:pt idx="213">
                  <c:v>281.77249999999992</c:v>
                </c:pt>
                <c:pt idx="214">
                  <c:v>282.2913999999999</c:v>
                </c:pt>
                <c:pt idx="215">
                  <c:v>282.8307999999999</c:v>
                </c:pt>
                <c:pt idx="216">
                  <c:v>283.38279999999986</c:v>
                </c:pt>
                <c:pt idx="217">
                  <c:v>283.98479999999995</c:v>
                </c:pt>
                <c:pt idx="218">
                  <c:v>284.60879999999992</c:v>
                </c:pt>
                <c:pt idx="219">
                  <c:v>285.20499999999998</c:v>
                </c:pt>
                <c:pt idx="220">
                  <c:v>285.83499999999992</c:v>
                </c:pt>
                <c:pt idx="221">
                  <c:v>286.48269999999991</c:v>
                </c:pt>
                <c:pt idx="222">
                  <c:v>287.19169999999997</c:v>
                </c:pt>
                <c:pt idx="223">
                  <c:v>287.79779999999994</c:v>
                </c:pt>
                <c:pt idx="224">
                  <c:v>288.49409999999989</c:v>
                </c:pt>
                <c:pt idx="225">
                  <c:v>289.05269999999996</c:v>
                </c:pt>
                <c:pt idx="226">
                  <c:v>289.71509999999989</c:v>
                </c:pt>
                <c:pt idx="227">
                  <c:v>290.20229999999992</c:v>
                </c:pt>
                <c:pt idx="228">
                  <c:v>290.72929999999991</c:v>
                </c:pt>
                <c:pt idx="229">
                  <c:v>291.2186999999999</c:v>
                </c:pt>
                <c:pt idx="230">
                  <c:v>291.70819999999992</c:v>
                </c:pt>
                <c:pt idx="231">
                  <c:v>292.25649999999996</c:v>
                </c:pt>
                <c:pt idx="232">
                  <c:v>292.75409999999994</c:v>
                </c:pt>
                <c:pt idx="233">
                  <c:v>293.22390000000001</c:v>
                </c:pt>
                <c:pt idx="234">
                  <c:v>293.83100000000002</c:v>
                </c:pt>
                <c:pt idx="235">
                  <c:v>294.33710000000002</c:v>
                </c:pt>
                <c:pt idx="236">
                  <c:v>294.89329999999995</c:v>
                </c:pt>
                <c:pt idx="237">
                  <c:v>295.26760000000002</c:v>
                </c:pt>
                <c:pt idx="238">
                  <c:v>295.58800000000002</c:v>
                </c:pt>
                <c:pt idx="239">
                  <c:v>295.95250000000004</c:v>
                </c:pt>
                <c:pt idx="240">
                  <c:v>296.37940000000003</c:v>
                </c:pt>
                <c:pt idx="241">
                  <c:v>296.76760000000007</c:v>
                </c:pt>
                <c:pt idx="242">
                  <c:v>297.09440000000001</c:v>
                </c:pt>
                <c:pt idx="243">
                  <c:v>297.17250000000001</c:v>
                </c:pt>
                <c:pt idx="244">
                  <c:v>297.10370000000012</c:v>
                </c:pt>
                <c:pt idx="245">
                  <c:v>297.01380000000006</c:v>
                </c:pt>
                <c:pt idx="246">
                  <c:v>296.87450000000013</c:v>
                </c:pt>
                <c:pt idx="247">
                  <c:v>296.8071000000001</c:v>
                </c:pt>
                <c:pt idx="248">
                  <c:v>296.55550000000011</c:v>
                </c:pt>
                <c:pt idx="249">
                  <c:v>296.28400000000011</c:v>
                </c:pt>
                <c:pt idx="250">
                  <c:v>295.71950000000004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67-4FD9-A054-AD2DF7C7B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698511"/>
        <c:axId val="1784697551"/>
      </c:lineChart>
      <c:dateAx>
        <c:axId val="1784698511"/>
        <c:scaling>
          <c:orientation val="minMax"/>
          <c:min val="45954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697551"/>
        <c:crosses val="autoZero"/>
        <c:auto val="1"/>
        <c:lblOffset val="100"/>
        <c:baseTimeUnit val="days"/>
      </c:dateAx>
      <c:valAx>
        <c:axId val="1784697551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69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261.87</c:v>
                </c:pt>
                <c:pt idx="1">
                  <c:v>257.75</c:v>
                </c:pt>
                <c:pt idx="2">
                  <c:v>255.84</c:v>
                </c:pt>
                <c:pt idx="3">
                  <c:v>253.23</c:v>
                </c:pt>
                <c:pt idx="4">
                  <c:v>252.44</c:v>
                </c:pt>
                <c:pt idx="5">
                  <c:v>250.19</c:v>
                </c:pt>
                <c:pt idx="6">
                  <c:v>253.21</c:v>
                </c:pt>
                <c:pt idx="7">
                  <c:v>251.35</c:v>
                </c:pt>
                <c:pt idx="8">
                  <c:v>248.69</c:v>
                </c:pt>
                <c:pt idx="9">
                  <c:v>261.54000000000002</c:v>
                </c:pt>
                <c:pt idx="10">
                  <c:v>256.89999999999998</c:v>
                </c:pt>
                <c:pt idx="11">
                  <c:v>248.95</c:v>
                </c:pt>
                <c:pt idx="12">
                  <c:v>249.63</c:v>
                </c:pt>
                <c:pt idx="13">
                  <c:v>245.8</c:v>
                </c:pt>
                <c:pt idx="14">
                  <c:v>248.35</c:v>
                </c:pt>
                <c:pt idx="15">
                  <c:v>252.97</c:v>
                </c:pt>
                <c:pt idx="16">
                  <c:v>246.95</c:v>
                </c:pt>
                <c:pt idx="17">
                  <c:v>252.29</c:v>
                </c:pt>
                <c:pt idx="18">
                  <c:v>243.32</c:v>
                </c:pt>
                <c:pt idx="19">
                  <c:v>243.87</c:v>
                </c:pt>
                <c:pt idx="20">
                  <c:v>248.45</c:v>
                </c:pt>
                <c:pt idx="21">
                  <c:v>249.9</c:v>
                </c:pt>
                <c:pt idx="22">
                  <c:v>250.34</c:v>
                </c:pt>
                <c:pt idx="23">
                  <c:v>246.21</c:v>
                </c:pt>
                <c:pt idx="24">
                  <c:v>244</c:v>
                </c:pt>
                <c:pt idx="25">
                  <c:v>248.66</c:v>
                </c:pt>
                <c:pt idx="26">
                  <c:v>250.34</c:v>
                </c:pt>
                <c:pt idx="27">
                  <c:v>249.98</c:v>
                </c:pt>
                <c:pt idx="28">
                  <c:v>243.49</c:v>
                </c:pt>
                <c:pt idx="29">
                  <c:v>227.48</c:v>
                </c:pt>
                <c:pt idx="30">
                  <c:v>225.78</c:v>
                </c:pt>
                <c:pt idx="31">
                  <c:v>221.03</c:v>
                </c:pt>
                <c:pt idx="32">
                  <c:v>235.31</c:v>
                </c:pt>
                <c:pt idx="33">
                  <c:v>229.55</c:v>
                </c:pt>
                <c:pt idx="34">
                  <c:v>235.48</c:v>
                </c:pt>
                <c:pt idx="35">
                  <c:v>239.06</c:v>
                </c:pt>
                <c:pt idx="36">
                  <c:v>240.7</c:v>
                </c:pt>
                <c:pt idx="37">
                  <c:v>238.57</c:v>
                </c:pt>
                <c:pt idx="38">
                  <c:v>238.81</c:v>
                </c:pt>
                <c:pt idx="39">
                  <c:v>236.22</c:v>
                </c:pt>
                <c:pt idx="40">
                  <c:v>240.9</c:v>
                </c:pt>
                <c:pt idx="41">
                  <c:v>245.48</c:v>
                </c:pt>
                <c:pt idx="42">
                  <c:v>229.33</c:v>
                </c:pt>
                <c:pt idx="43">
                  <c:v>232.41</c:v>
                </c:pt>
                <c:pt idx="44">
                  <c:v>236.16</c:v>
                </c:pt>
                <c:pt idx="45">
                  <c:v>239.39</c:v>
                </c:pt>
                <c:pt idx="46">
                  <c:v>241.82</c:v>
                </c:pt>
                <c:pt idx="47">
                  <c:v>239.66</c:v>
                </c:pt>
                <c:pt idx="48">
                  <c:v>245.55</c:v>
                </c:pt>
                <c:pt idx="49">
                  <c:v>249.18</c:v>
                </c:pt>
                <c:pt idx="50">
                  <c:v>249.12</c:v>
                </c:pt>
                <c:pt idx="51">
                  <c:v>253.37</c:v>
                </c:pt>
                <c:pt idx="52">
                  <c:v>254.14</c:v>
                </c:pt>
                <c:pt idx="53">
                  <c:v>249.2</c:v>
                </c:pt>
                <c:pt idx="54">
                  <c:v>253.69</c:v>
                </c:pt>
                <c:pt idx="55">
                  <c:v>258.58999999999997</c:v>
                </c:pt>
                <c:pt idx="56">
                  <c:v>257.82</c:v>
                </c:pt>
                <c:pt idx="57">
                  <c:v>266.68</c:v>
                </c:pt>
                <c:pt idx="58">
                  <c:v>266.76</c:v>
                </c:pt>
                <c:pt idx="59">
                  <c:v>268.41000000000003</c:v>
                </c:pt>
                <c:pt idx="60">
                  <c:v>266.95</c:v>
                </c:pt>
                <c:pt idx="61">
                  <c:v>260.87</c:v>
                </c:pt>
                <c:pt idx="62">
                  <c:v>258.37</c:v>
                </c:pt>
                <c:pt idx="63">
                  <c:v>258.63</c:v>
                </c:pt>
                <c:pt idx="64">
                  <c:v>263.23</c:v>
                </c:pt>
                <c:pt idx="65">
                  <c:v>260.24</c:v>
                </c:pt>
                <c:pt idx="66">
                  <c:v>258.69</c:v>
                </c:pt>
                <c:pt idx="67">
                  <c:v>259.06</c:v>
                </c:pt>
                <c:pt idx="68">
                  <c:v>263.89999999999998</c:v>
                </c:pt>
                <c:pt idx="69">
                  <c:v>265.2</c:v>
                </c:pt>
                <c:pt idx="70">
                  <c:v>265.52</c:v>
                </c:pt>
                <c:pt idx="71">
                  <c:v>266.86</c:v>
                </c:pt>
                <c:pt idx="72">
                  <c:v>268.87</c:v>
                </c:pt>
                <c:pt idx="73">
                  <c:v>272.08</c:v>
                </c:pt>
                <c:pt idx="74">
                  <c:v>276.24</c:v>
                </c:pt>
                <c:pt idx="75">
                  <c:v>281.52</c:v>
                </c:pt>
                <c:pt idx="76">
                  <c:v>281.02999999999997</c:v>
                </c:pt>
                <c:pt idx="77">
                  <c:v>277.22000000000003</c:v>
                </c:pt>
                <c:pt idx="78">
                  <c:v>281.83</c:v>
                </c:pt>
                <c:pt idx="79">
                  <c:v>283.05</c:v>
                </c:pt>
                <c:pt idx="80">
                  <c:v>283.20999999999998</c:v>
                </c:pt>
                <c:pt idx="81">
                  <c:v>280.97000000000003</c:v>
                </c:pt>
                <c:pt idx="82">
                  <c:v>289.18</c:v>
                </c:pt>
                <c:pt idx="83">
                  <c:v>293.79000000000002</c:v>
                </c:pt>
                <c:pt idx="84">
                  <c:v>291.06</c:v>
                </c:pt>
                <c:pt idx="85">
                  <c:v>291.93</c:v>
                </c:pt>
                <c:pt idx="86">
                  <c:v>289.7</c:v>
                </c:pt>
                <c:pt idx="87">
                  <c:v>294.77999999999997</c:v>
                </c:pt>
                <c:pt idx="88">
                  <c:v>291.2</c:v>
                </c:pt>
                <c:pt idx="89">
                  <c:v>287.64999999999998</c:v>
                </c:pt>
                <c:pt idx="90">
                  <c:v>291.97000000000003</c:v>
                </c:pt>
                <c:pt idx="91">
                  <c:v>292.47000000000003</c:v>
                </c:pt>
                <c:pt idx="92">
                  <c:v>290.42</c:v>
                </c:pt>
                <c:pt idx="93">
                  <c:v>290.14</c:v>
                </c:pt>
                <c:pt idx="94">
                  <c:v>287.43</c:v>
                </c:pt>
                <c:pt idx="95">
                  <c:v>283.58999999999997</c:v>
                </c:pt>
                <c:pt idx="96">
                  <c:v>283.79000000000002</c:v>
                </c:pt>
                <c:pt idx="97">
                  <c:v>282.7</c:v>
                </c:pt>
                <c:pt idx="98">
                  <c:v>281.92</c:v>
                </c:pt>
                <c:pt idx="99">
                  <c:v>282</c:v>
                </c:pt>
                <c:pt idx="100">
                  <c:v>285.87</c:v>
                </c:pt>
                <c:pt idx="101">
                  <c:v>284.70999999999998</c:v>
                </c:pt>
                <c:pt idx="102">
                  <c:v>281.95999999999998</c:v>
                </c:pt>
                <c:pt idx="103">
                  <c:v>282.01</c:v>
                </c:pt>
                <c:pt idx="104">
                  <c:v>260.51</c:v>
                </c:pt>
                <c:pt idx="105">
                  <c:v>259.72000000000003</c:v>
                </c:pt>
                <c:pt idx="106">
                  <c:v>263.20999999999998</c:v>
                </c:pt>
                <c:pt idx="107">
                  <c:v>262.41000000000003</c:v>
                </c:pt>
                <c:pt idx="108">
                  <c:v>260.26</c:v>
                </c:pt>
                <c:pt idx="109">
                  <c:v>253.15</c:v>
                </c:pt>
                <c:pt idx="110">
                  <c:v>250.05</c:v>
                </c:pt>
                <c:pt idx="111">
                  <c:v>251.98</c:v>
                </c:pt>
                <c:pt idx="112">
                  <c:v>250.67</c:v>
                </c:pt>
                <c:pt idx="113">
                  <c:v>252.28</c:v>
                </c:pt>
                <c:pt idx="114">
                  <c:v>250.16</c:v>
                </c:pt>
                <c:pt idx="115">
                  <c:v>242.27</c:v>
                </c:pt>
                <c:pt idx="116">
                  <c:v>236.3</c:v>
                </c:pt>
                <c:pt idx="117">
                  <c:v>234.77</c:v>
                </c:pt>
                <c:pt idx="118">
                  <c:v>240.07</c:v>
                </c:pt>
                <c:pt idx="119">
                  <c:v>237.11</c:v>
                </c:pt>
                <c:pt idx="120">
                  <c:v>239.72</c:v>
                </c:pt>
                <c:pt idx="121">
                  <c:v>239.45</c:v>
                </c:pt>
                <c:pt idx="122">
                  <c:v>241.28</c:v>
                </c:pt>
                <c:pt idx="123">
                  <c:v>242.55</c:v>
                </c:pt>
                <c:pt idx="124">
                  <c:v>239.4</c:v>
                </c:pt>
                <c:pt idx="125">
                  <c:v>242.09</c:v>
                </c:pt>
                <c:pt idx="126">
                  <c:v>239.43</c:v>
                </c:pt>
                <c:pt idx="127">
                  <c:v>242.63</c:v>
                </c:pt>
                <c:pt idx="128">
                  <c:v>244.84</c:v>
                </c:pt>
                <c:pt idx="129">
                  <c:v>245.73</c:v>
                </c:pt>
                <c:pt idx="130">
                  <c:v>243.49</c:v>
                </c:pt>
                <c:pt idx="131">
                  <c:v>241.5</c:v>
                </c:pt>
                <c:pt idx="132">
                  <c:v>244.1</c:v>
                </c:pt>
                <c:pt idx="133">
                  <c:v>247.18</c:v>
                </c:pt>
                <c:pt idx="134">
                  <c:v>248.53</c:v>
                </c:pt>
                <c:pt idx="135">
                  <c:v>256.08999999999997</c:v>
                </c:pt>
                <c:pt idx="136">
                  <c:v>259.11</c:v>
                </c:pt>
                <c:pt idx="137">
                  <c:v>256.88</c:v>
                </c:pt>
                <c:pt idx="138">
                  <c:v>257.01</c:v>
                </c:pt>
                <c:pt idx="139">
                  <c:v>253.44</c:v>
                </c:pt>
                <c:pt idx="140">
                  <c:v>256.24</c:v>
                </c:pt>
                <c:pt idx="141">
                  <c:v>257.52</c:v>
                </c:pt>
                <c:pt idx="142">
                  <c:v>259.08</c:v>
                </c:pt>
                <c:pt idx="143">
                  <c:v>265</c:v>
                </c:pt>
                <c:pt idx="144">
                  <c:v>266.39999999999998</c:v>
                </c:pt>
                <c:pt idx="145">
                  <c:v>271.37</c:v>
                </c:pt>
                <c:pt idx="146">
                  <c:v>272.24</c:v>
                </c:pt>
                <c:pt idx="147">
                  <c:v>267.52999999999997</c:v>
                </c:pt>
                <c:pt idx="148">
                  <c:v>281.44</c:v>
                </c:pt>
                <c:pt idx="149">
                  <c:v>284.31</c:v>
                </c:pt>
                <c:pt idx="150">
                  <c:v>279.8</c:v>
                </c:pt>
                <c:pt idx="151">
                  <c:v>282.16000000000003</c:v>
                </c:pt>
                <c:pt idx="152">
                  <c:v>286.49</c:v>
                </c:pt>
                <c:pt idx="153">
                  <c:v>286.72000000000003</c:v>
                </c:pt>
                <c:pt idx="154">
                  <c:v>288.37</c:v>
                </c:pt>
                <c:pt idx="155">
                  <c:v>289.42</c:v>
                </c:pt>
                <c:pt idx="156">
                  <c:v>293.87</c:v>
                </c:pt>
                <c:pt idx="157">
                  <c:v>289.45999999999998</c:v>
                </c:pt>
                <c:pt idx="158">
                  <c:v>288.23</c:v>
                </c:pt>
                <c:pt idx="159">
                  <c:v>277.82</c:v>
                </c:pt>
                <c:pt idx="160">
                  <c:v>277.22000000000003</c:v>
                </c:pt>
                <c:pt idx="161">
                  <c:v>276.14999999999998</c:v>
                </c:pt>
                <c:pt idx="162">
                  <c:v>280.75</c:v>
                </c:pt>
                <c:pt idx="163">
                  <c:v>275.97000000000003</c:v>
                </c:pt>
                <c:pt idx="164">
                  <c:v>281.27999999999997</c:v>
                </c:pt>
                <c:pt idx="165">
                  <c:v>283.64999999999998</c:v>
                </c:pt>
                <c:pt idx="166">
                  <c:v>282.05</c:v>
                </c:pt>
                <c:pt idx="167">
                  <c:v>287.51</c:v>
                </c:pt>
                <c:pt idx="168">
                  <c:v>285</c:v>
                </c:pt>
                <c:pt idx="169">
                  <c:v>307.45999999999998</c:v>
                </c:pt>
                <c:pt idx="170">
                  <c:v>313.08999999999997</c:v>
                </c:pt>
                <c:pt idx="171">
                  <c:v>312.57</c:v>
                </c:pt>
                <c:pt idx="172">
                  <c:v>308.20999999999998</c:v>
                </c:pt>
                <c:pt idx="173">
                  <c:v>310.06</c:v>
                </c:pt>
                <c:pt idx="174">
                  <c:v>307.41000000000003</c:v>
                </c:pt>
                <c:pt idx="175">
                  <c:v>304.73</c:v>
                </c:pt>
                <c:pt idx="176">
                  <c:v>300.85000000000002</c:v>
                </c:pt>
                <c:pt idx="177">
                  <c:v>306.77</c:v>
                </c:pt>
                <c:pt idx="178">
                  <c:v>312.42</c:v>
                </c:pt>
                <c:pt idx="179">
                  <c:v>306.38</c:v>
                </c:pt>
                <c:pt idx="180">
                  <c:v>309.13</c:v>
                </c:pt>
                <c:pt idx="181">
                  <c:v>313.72000000000003</c:v>
                </c:pt>
                <c:pt idx="182">
                  <c:v>314.98</c:v>
                </c:pt>
                <c:pt idx="183">
                  <c:v>304.86</c:v>
                </c:pt>
                <c:pt idx="184">
                  <c:v>305.69</c:v>
                </c:pt>
                <c:pt idx="185">
                  <c:v>297.17</c:v>
                </c:pt>
                <c:pt idx="186">
                  <c:v>289.95</c:v>
                </c:pt>
                <c:pt idx="187">
                  <c:v>288.52999999999997</c:v>
                </c:pt>
                <c:pt idx="188">
                  <c:v>290.39999999999998</c:v>
                </c:pt>
                <c:pt idx="189">
                  <c:v>297.44</c:v>
                </c:pt>
                <c:pt idx="190">
                  <c:v>304.12</c:v>
                </c:pt>
                <c:pt idx="191">
                  <c:v>304.48</c:v>
                </c:pt>
                <c:pt idx="192">
                  <c:v>303.20999999999998</c:v>
                </c:pt>
                <c:pt idx="193">
                  <c:v>308.58</c:v>
                </c:pt>
                <c:pt idx="194">
                  <c:v>305.67</c:v>
                </c:pt>
                <c:pt idx="195">
                  <c:v>301.77999999999997</c:v>
                </c:pt>
                <c:pt idx="196">
                  <c:v>302.62</c:v>
                </c:pt>
                <c:pt idx="197">
                  <c:v>307.99</c:v>
                </c:pt>
                <c:pt idx="198">
                  <c:v>307.94</c:v>
                </c:pt>
                <c:pt idx="199">
                  <c:v>309.18</c:v>
                </c:pt>
                <c:pt idx="200">
                  <c:v>310.48</c:v>
                </c:pt>
                <c:pt idx="201">
                  <c:v>312.67</c:v>
                </c:pt>
                <c:pt idx="202">
                  <c:v>310.74</c:v>
                </c:pt>
                <c:pt idx="203">
                  <c:v>309.24</c:v>
                </c:pt>
                <c:pt idx="204">
                  <c:v>308.66000000000003</c:v>
                </c:pt>
                <c:pt idx="205">
                  <c:v>303.18</c:v>
                </c:pt>
                <c:pt idx="206">
                  <c:v>303.32</c:v>
                </c:pt>
                <c:pt idx="207">
                  <c:v>300.45</c:v>
                </c:pt>
                <c:pt idx="208">
                  <c:v>300.98</c:v>
                </c:pt>
                <c:pt idx="209">
                  <c:v>302.79000000000002</c:v>
                </c:pt>
                <c:pt idx="210">
                  <c:v>303.77999999999997</c:v>
                </c:pt>
                <c:pt idx="211">
                  <c:v>304.56</c:v>
                </c:pt>
                <c:pt idx="212">
                  <c:v>305.08999999999997</c:v>
                </c:pt>
                <c:pt idx="213">
                  <c:v>305.74</c:v>
                </c:pt>
                <c:pt idx="214">
                  <c:v>302.05</c:v>
                </c:pt>
                <c:pt idx="215">
                  <c:v>296.20999999999998</c:v>
                </c:pt>
                <c:pt idx="216">
                  <c:v>291.5</c:v>
                </c:pt>
                <c:pt idx="217">
                  <c:v>294.97000000000003</c:v>
                </c:pt>
                <c:pt idx="218">
                  <c:v>302.47000000000003</c:v>
                </c:pt>
                <c:pt idx="219">
                  <c:v>296.73</c:v>
                </c:pt>
                <c:pt idx="220">
                  <c:v>302.72000000000003</c:v>
                </c:pt>
                <c:pt idx="221">
                  <c:v>304.22000000000003</c:v>
                </c:pt>
                <c:pt idx="222">
                  <c:v>312.18</c:v>
                </c:pt>
                <c:pt idx="223">
                  <c:v>303.16000000000003</c:v>
                </c:pt>
                <c:pt idx="224">
                  <c:v>309.02999999999997</c:v>
                </c:pt>
                <c:pt idx="225">
                  <c:v>297.95</c:v>
                </c:pt>
                <c:pt idx="226">
                  <c:v>305.67</c:v>
                </c:pt>
                <c:pt idx="227">
                  <c:v>291.35000000000002</c:v>
                </c:pt>
                <c:pt idx="228">
                  <c:v>297.54000000000002</c:v>
                </c:pt>
                <c:pt idx="229">
                  <c:v>294.67</c:v>
                </c:pt>
                <c:pt idx="230">
                  <c:v>292.44</c:v>
                </c:pt>
                <c:pt idx="231">
                  <c:v>296.33</c:v>
                </c:pt>
                <c:pt idx="232">
                  <c:v>293.86</c:v>
                </c:pt>
                <c:pt idx="233">
                  <c:v>294.16000000000003</c:v>
                </c:pt>
                <c:pt idx="234">
                  <c:v>309.24</c:v>
                </c:pt>
                <c:pt idx="235">
                  <c:v>306.7</c:v>
                </c:pt>
                <c:pt idx="236">
                  <c:v>314.73</c:v>
                </c:pt>
                <c:pt idx="237">
                  <c:v>294.31</c:v>
                </c:pt>
                <c:pt idx="238">
                  <c:v>289.05</c:v>
                </c:pt>
                <c:pt idx="239">
                  <c:v>289.89</c:v>
                </c:pt>
                <c:pt idx="240">
                  <c:v>298.93</c:v>
                </c:pt>
                <c:pt idx="241">
                  <c:v>296.33999999999997</c:v>
                </c:pt>
                <c:pt idx="242">
                  <c:v>291.76</c:v>
                </c:pt>
                <c:pt idx="243">
                  <c:v>272.81</c:v>
                </c:pt>
                <c:pt idx="244">
                  <c:v>259.52</c:v>
                </c:pt>
                <c:pt idx="245">
                  <c:v>262.38</c:v>
                </c:pt>
                <c:pt idx="246">
                  <c:v>258.31</c:v>
                </c:pt>
                <c:pt idx="247">
                  <c:v>260.79000000000002</c:v>
                </c:pt>
                <c:pt idx="248">
                  <c:v>256.27999999999997</c:v>
                </c:pt>
                <c:pt idx="249">
                  <c:v>257.16000000000003</c:v>
                </c:pt>
                <c:pt idx="250">
                  <c:v>223.35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8-453C-9F62-874CA93368B9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Data!$F$2:$F$252</c:f>
              <c:numCache>
                <c:formatCode>General</c:formatCode>
                <c:ptCount val="251"/>
                <c:pt idx="0">
                  <c:v>261.87</c:v>
                </c:pt>
                <c:pt idx="1">
                  <c:v>259.44496670063421</c:v>
                </c:pt>
                <c:pt idx="2">
                  <c:v>258.56348267981878</c:v>
                </c:pt>
                <c:pt idx="3">
                  <c:v>257.52971034843597</c:v>
                </c:pt>
                <c:pt idx="4">
                  <c:v>255.93777924239444</c:v>
                </c:pt>
                <c:pt idx="5">
                  <c:v>255.33765720283625</c:v>
                </c:pt>
                <c:pt idx="6">
                  <c:v>255.00199138309199</c:v>
                </c:pt>
                <c:pt idx="7">
                  <c:v>254.61531936558211</c:v>
                </c:pt>
                <c:pt idx="8">
                  <c:v>254.14643754396425</c:v>
                </c:pt>
                <c:pt idx="9">
                  <c:v>255.18224046913807</c:v>
                </c:pt>
                <c:pt idx="10">
                  <c:v>255.43274973645964</c:v>
                </c:pt>
                <c:pt idx="11">
                  <c:v>254.84040317617763</c:v>
                </c:pt>
                <c:pt idx="12">
                  <c:v>254.53407130555115</c:v>
                </c:pt>
                <c:pt idx="13">
                  <c:v>254.04751631676041</c:v>
                </c:pt>
                <c:pt idx="14">
                  <c:v>253.73341959963972</c:v>
                </c:pt>
                <c:pt idx="15">
                  <c:v>253.70119254736881</c:v>
                </c:pt>
                <c:pt idx="16">
                  <c:v>253.35252028859514</c:v>
                </c:pt>
                <c:pt idx="17">
                  <c:v>253.30414387141153</c:v>
                </c:pt>
                <c:pt idx="18">
                  <c:v>252.53879155320089</c:v>
                </c:pt>
                <c:pt idx="19">
                  <c:v>251.71853254841295</c:v>
                </c:pt>
                <c:pt idx="20">
                  <c:v>251.57196132727435</c:v>
                </c:pt>
                <c:pt idx="21">
                  <c:v>251.52395007524129</c:v>
                </c:pt>
                <c:pt idx="22">
                  <c:v>251.47754253589505</c:v>
                </c:pt>
                <c:pt idx="23">
                  <c:v>251.34687304041796</c:v>
                </c:pt>
                <c:pt idx="24">
                  <c:v>251.15487192772699</c:v>
                </c:pt>
                <c:pt idx="25">
                  <c:v>251.020748092053</c:v>
                </c:pt>
                <c:pt idx="26">
                  <c:v>250.9977813598768</c:v>
                </c:pt>
                <c:pt idx="27">
                  <c:v>250.96699015362938</c:v>
                </c:pt>
                <c:pt idx="28">
                  <c:v>250.68382030380516</c:v>
                </c:pt>
                <c:pt idx="29">
                  <c:v>249.51941466486466</c:v>
                </c:pt>
                <c:pt idx="30">
                  <c:v>248.32821112711406</c:v>
                </c:pt>
                <c:pt idx="31">
                  <c:v>247.17573969145511</c:v>
                </c:pt>
                <c:pt idx="32">
                  <c:v>246.6646813316508</c:v>
                </c:pt>
                <c:pt idx="33">
                  <c:v>246.11219518903772</c:v>
                </c:pt>
                <c:pt idx="34">
                  <c:v>245.8560173591045</c:v>
                </c:pt>
                <c:pt idx="35">
                  <c:v>245.73256536939058</c:v>
                </c:pt>
                <c:pt idx="36">
                  <c:v>245.64166357647861</c:v>
                </c:pt>
                <c:pt idx="37">
                  <c:v>245.46143242283634</c:v>
                </c:pt>
                <c:pt idx="38">
                  <c:v>245.30391517659919</c:v>
                </c:pt>
                <c:pt idx="39">
                  <c:v>245.08166324847511</c:v>
                </c:pt>
                <c:pt idx="40">
                  <c:v>244.99526957886718</c:v>
                </c:pt>
                <c:pt idx="41">
                  <c:v>245.01337303639696</c:v>
                </c:pt>
                <c:pt idx="42">
                  <c:v>243.95327149149753</c:v>
                </c:pt>
                <c:pt idx="43">
                  <c:v>243.62408841666243</c:v>
                </c:pt>
                <c:pt idx="44">
                  <c:v>243.50979814514486</c:v>
                </c:pt>
                <c:pt idx="45">
                  <c:v>243.45147200623489</c:v>
                </c:pt>
                <c:pt idx="46">
                  <c:v>243.41752517938525</c:v>
                </c:pt>
                <c:pt idx="47">
                  <c:v>243.35410664834836</c:v>
                </c:pt>
                <c:pt idx="48">
                  <c:v>243.38622539034975</c:v>
                </c:pt>
                <c:pt idx="49">
                  <c:v>243.47869401538566</c:v>
                </c:pt>
                <c:pt idx="50">
                  <c:v>243.54110401852222</c:v>
                </c:pt>
                <c:pt idx="51">
                  <c:v>243.66693319649943</c:v>
                </c:pt>
                <c:pt idx="52">
                  <c:v>243.80841778809588</c:v>
                </c:pt>
                <c:pt idx="53">
                  <c:v>243.86590232348664</c:v>
                </c:pt>
                <c:pt idx="54">
                  <c:v>244.02954202896248</c:v>
                </c:pt>
                <c:pt idx="55">
                  <c:v>244.21249432518405</c:v>
                </c:pt>
                <c:pt idx="56">
                  <c:v>244.3867350372623</c:v>
                </c:pt>
                <c:pt idx="57">
                  <c:v>244.7616757426396</c:v>
                </c:pt>
                <c:pt idx="58">
                  <c:v>245.04875318950187</c:v>
                </c:pt>
                <c:pt idx="59">
                  <c:v>245.3014239424335</c:v>
                </c:pt>
                <c:pt idx="60">
                  <c:v>245.47840668465759</c:v>
                </c:pt>
                <c:pt idx="61">
                  <c:v>245.66975583962832</c:v>
                </c:pt>
                <c:pt idx="62">
                  <c:v>245.79845714092386</c:v>
                </c:pt>
                <c:pt idx="63">
                  <c:v>245.91197368922832</c:v>
                </c:pt>
                <c:pt idx="64">
                  <c:v>246.09482472337703</c:v>
                </c:pt>
                <c:pt idx="65">
                  <c:v>246.19947633437161</c:v>
                </c:pt>
                <c:pt idx="66">
                  <c:v>246.29029590419967</c:v>
                </c:pt>
                <c:pt idx="67">
                  <c:v>246.66981094754615</c:v>
                </c:pt>
                <c:pt idx="68">
                  <c:v>246.81849730879992</c:v>
                </c:pt>
                <c:pt idx="69">
                  <c:v>246.95719038768399</c:v>
                </c:pt>
                <c:pt idx="70">
                  <c:v>247.10138939575816</c:v>
                </c:pt>
                <c:pt idx="71">
                  <c:v>247.2578232206115</c:v>
                </c:pt>
                <c:pt idx="72">
                  <c:v>247.41720067553382</c:v>
                </c:pt>
                <c:pt idx="73">
                  <c:v>247.72888635958506</c:v>
                </c:pt>
                <c:pt idx="74">
                  <c:v>248.1520463962419</c:v>
                </c:pt>
                <c:pt idx="75">
                  <c:v>248.59272065829771</c:v>
                </c:pt>
                <c:pt idx="76">
                  <c:v>248.90417842182944</c:v>
                </c:pt>
                <c:pt idx="77">
                  <c:v>249.15987719374093</c:v>
                </c:pt>
                <c:pt idx="78">
                  <c:v>249.49164590545342</c:v>
                </c:pt>
                <c:pt idx="79">
                  <c:v>249.77311297445792</c:v>
                </c:pt>
                <c:pt idx="80">
                  <c:v>250.0929167015791</c:v>
                </c:pt>
                <c:pt idx="81">
                  <c:v>250.72136958998871</c:v>
                </c:pt>
                <c:pt idx="82">
                  <c:v>251.10357957453601</c:v>
                </c:pt>
                <c:pt idx="83">
                  <c:v>251.5711400005888</c:v>
                </c:pt>
                <c:pt idx="84">
                  <c:v>251.96316588046477</c:v>
                </c:pt>
                <c:pt idx="85">
                  <c:v>252.33172832057332</c:v>
                </c:pt>
                <c:pt idx="86">
                  <c:v>252.6677020082081</c:v>
                </c:pt>
                <c:pt idx="87">
                  <c:v>253.03594713955874</c:v>
                </c:pt>
                <c:pt idx="88">
                  <c:v>253.34587825085612</c:v>
                </c:pt>
                <c:pt idx="89">
                  <c:v>253.62093861324158</c:v>
                </c:pt>
                <c:pt idx="90">
                  <c:v>253.79508581443775</c:v>
                </c:pt>
                <c:pt idx="91">
                  <c:v>254.21577089299601</c:v>
                </c:pt>
                <c:pt idx="92">
                  <c:v>254.47065013404378</c:v>
                </c:pt>
                <c:pt idx="93">
                  <c:v>254.72389986897983</c:v>
                </c:pt>
                <c:pt idx="94">
                  <c:v>254.99431963527661</c:v>
                </c:pt>
                <c:pt idx="95">
                  <c:v>255.24890525488192</c:v>
                </c:pt>
                <c:pt idx="96">
                  <c:v>255.43916785541285</c:v>
                </c:pt>
                <c:pt idx="97">
                  <c:v>255.62011325236648</c:v>
                </c:pt>
                <c:pt idx="98">
                  <c:v>255.78996345128087</c:v>
                </c:pt>
                <c:pt idx="99">
                  <c:v>255.98982389435793</c:v>
                </c:pt>
                <c:pt idx="100">
                  <c:v>256.29247555561375</c:v>
                </c:pt>
                <c:pt idx="101">
                  <c:v>256.48728650950602</c:v>
                </c:pt>
                <c:pt idx="102">
                  <c:v>256.76036880343054</c:v>
                </c:pt>
                <c:pt idx="103">
                  <c:v>257.20714957531374</c:v>
                </c:pt>
                <c:pt idx="104">
                  <c:v>257.36274413587353</c:v>
                </c:pt>
                <c:pt idx="105">
                  <c:v>257.40018286497514</c:v>
                </c:pt>
                <c:pt idx="106">
                  <c:v>257.46128782336683</c:v>
                </c:pt>
                <c:pt idx="107">
                  <c:v>257.50723948265232</c:v>
                </c:pt>
                <c:pt idx="108">
                  <c:v>257.52762716453071</c:v>
                </c:pt>
                <c:pt idx="109">
                  <c:v>257.46964352747932</c:v>
                </c:pt>
                <c:pt idx="110">
                  <c:v>257.33106740652039</c:v>
                </c:pt>
                <c:pt idx="111">
                  <c:v>257.27711645435272</c:v>
                </c:pt>
                <c:pt idx="112">
                  <c:v>257.20446663547449</c:v>
                </c:pt>
                <c:pt idx="113">
                  <c:v>257.17037165079989</c:v>
                </c:pt>
                <c:pt idx="114">
                  <c:v>257.0891435841188</c:v>
                </c:pt>
                <c:pt idx="115">
                  <c:v>256.90392906081962</c:v>
                </c:pt>
                <c:pt idx="116">
                  <c:v>256.55608648836801</c:v>
                </c:pt>
                <c:pt idx="117">
                  <c:v>256.21645591409248</c:v>
                </c:pt>
                <c:pt idx="118">
                  <c:v>256.05607710491347</c:v>
                </c:pt>
                <c:pt idx="119">
                  <c:v>255.90586832187682</c:v>
                </c:pt>
                <c:pt idx="120">
                  <c:v>255.7844425494317</c:v>
                </c:pt>
                <c:pt idx="121">
                  <c:v>255.68437179471098</c:v>
                </c:pt>
                <c:pt idx="122">
                  <c:v>255.6025577743201</c:v>
                </c:pt>
                <c:pt idx="123">
                  <c:v>255.53078416073222</c:v>
                </c:pt>
                <c:pt idx="124">
                  <c:v>255.44929143825834</c:v>
                </c:pt>
                <c:pt idx="125">
                  <c:v>255.37894732478225</c:v>
                </c:pt>
                <c:pt idx="126">
                  <c:v>255.2853812521</c:v>
                </c:pt>
                <c:pt idx="127">
                  <c:v>255.17256608850704</c:v>
                </c:pt>
                <c:pt idx="128">
                  <c:v>255.1097099439462</c:v>
                </c:pt>
                <c:pt idx="129">
                  <c:v>255.06639049982675</c:v>
                </c:pt>
                <c:pt idx="130">
                  <c:v>255.01041655021845</c:v>
                </c:pt>
                <c:pt idx="131">
                  <c:v>254.93447120470753</c:v>
                </c:pt>
                <c:pt idx="132">
                  <c:v>254.87922745784317</c:v>
                </c:pt>
                <c:pt idx="133">
                  <c:v>254.82054068218682</c:v>
                </c:pt>
                <c:pt idx="134">
                  <c:v>254.78902753122387</c:v>
                </c:pt>
                <c:pt idx="135">
                  <c:v>254.8032414743092</c:v>
                </c:pt>
                <c:pt idx="136">
                  <c:v>254.83641614192331</c:v>
                </c:pt>
                <c:pt idx="137">
                  <c:v>254.85283657128849</c:v>
                </c:pt>
                <c:pt idx="138">
                  <c:v>254.8647241822502</c:v>
                </c:pt>
                <c:pt idx="139">
                  <c:v>254.85722594731121</c:v>
                </c:pt>
                <c:pt idx="140">
                  <c:v>254.86571233672902</c:v>
                </c:pt>
                <c:pt idx="141">
                  <c:v>254.87666578369314</c:v>
                </c:pt>
                <c:pt idx="142">
                  <c:v>254.90186246737792</c:v>
                </c:pt>
                <c:pt idx="143">
                  <c:v>254.97726486766922</c:v>
                </c:pt>
                <c:pt idx="144">
                  <c:v>255.14336995423503</c:v>
                </c:pt>
                <c:pt idx="145">
                  <c:v>255.26289288418874</c:v>
                </c:pt>
                <c:pt idx="146">
                  <c:v>255.39593096962611</c:v>
                </c:pt>
                <c:pt idx="147">
                  <c:v>255.4513789340678</c:v>
                </c:pt>
                <c:pt idx="148">
                  <c:v>255.87673289675223</c:v>
                </c:pt>
                <c:pt idx="149">
                  <c:v>256.23865555163854</c:v>
                </c:pt>
                <c:pt idx="150">
                  <c:v>256.43624533319445</c:v>
                </c:pt>
                <c:pt idx="151">
                  <c:v>256.64682119079725</c:v>
                </c:pt>
                <c:pt idx="152">
                  <c:v>256.82632619318082</c:v>
                </c:pt>
                <c:pt idx="153">
                  <c:v>256.98204566148945</c:v>
                </c:pt>
                <c:pt idx="154">
                  <c:v>257.16847682428937</c:v>
                </c:pt>
                <c:pt idx="155">
                  <c:v>257.29416940800189</c:v>
                </c:pt>
                <c:pt idx="156">
                  <c:v>257.64637949522751</c:v>
                </c:pt>
                <c:pt idx="157">
                  <c:v>257.87048190419898</c:v>
                </c:pt>
                <c:pt idx="158">
                  <c:v>258.0675242163133</c:v>
                </c:pt>
                <c:pt idx="159">
                  <c:v>258.18448708490388</c:v>
                </c:pt>
                <c:pt idx="160">
                  <c:v>258.29222433193144</c:v>
                </c:pt>
                <c:pt idx="161">
                  <c:v>258.36326119688937</c:v>
                </c:pt>
                <c:pt idx="162">
                  <c:v>258.4602956030925</c:v>
                </c:pt>
                <c:pt idx="163">
                  <c:v>258.52709462435672</c:v>
                </c:pt>
                <c:pt idx="164">
                  <c:v>258.68189861929523</c:v>
                </c:pt>
                <c:pt idx="165">
                  <c:v>258.79319890040836</c:v>
                </c:pt>
                <c:pt idx="166">
                  <c:v>258.91364854567934</c:v>
                </c:pt>
                <c:pt idx="167">
                  <c:v>259.29105534259054</c:v>
                </c:pt>
                <c:pt idx="168">
                  <c:v>259.81698894491592</c:v>
                </c:pt>
                <c:pt idx="169">
                  <c:v>260.78543922225242</c:v>
                </c:pt>
                <c:pt idx="170">
                  <c:v>261.39846784473042</c:v>
                </c:pt>
                <c:pt idx="171">
                  <c:v>261.76322749831888</c:v>
                </c:pt>
                <c:pt idx="172">
                  <c:v>261.98865982663057</c:v>
                </c:pt>
                <c:pt idx="173">
                  <c:v>262.25202265849822</c:v>
                </c:pt>
                <c:pt idx="174">
                  <c:v>262.65409088112523</c:v>
                </c:pt>
                <c:pt idx="175">
                  <c:v>262.89401201247563</c:v>
                </c:pt>
                <c:pt idx="176">
                  <c:v>263.14023585452014</c:v>
                </c:pt>
                <c:pt idx="177">
                  <c:v>263.37084380267055</c:v>
                </c:pt>
                <c:pt idx="178">
                  <c:v>263.74804499610474</c:v>
                </c:pt>
                <c:pt idx="179">
                  <c:v>263.99047371565115</c:v>
                </c:pt>
                <c:pt idx="180">
                  <c:v>264.14058020076294</c:v>
                </c:pt>
                <c:pt idx="181">
                  <c:v>264.38222162420573</c:v>
                </c:pt>
                <c:pt idx="182">
                  <c:v>264.72002075425218</c:v>
                </c:pt>
                <c:pt idx="183">
                  <c:v>264.95414182134601</c:v>
                </c:pt>
                <c:pt idx="184">
                  <c:v>265.1142503443948</c:v>
                </c:pt>
                <c:pt idx="185">
                  <c:v>265.25078610693475</c:v>
                </c:pt>
                <c:pt idx="186">
                  <c:v>265.38091984771916</c:v>
                </c:pt>
                <c:pt idx="187">
                  <c:v>265.47077686257018</c:v>
                </c:pt>
                <c:pt idx="188">
                  <c:v>265.62048982016307</c:v>
                </c:pt>
                <c:pt idx="189">
                  <c:v>265.81428292936846</c:v>
                </c:pt>
                <c:pt idx="190">
                  <c:v>266.05987344956321</c:v>
                </c:pt>
                <c:pt idx="191">
                  <c:v>266.17455015469858</c:v>
                </c:pt>
                <c:pt idx="192">
                  <c:v>266.2602894747472</c:v>
                </c:pt>
                <c:pt idx="193">
                  <c:v>266.33549499615827</c:v>
                </c:pt>
                <c:pt idx="194">
                  <c:v>266.46610776620327</c:v>
                </c:pt>
                <c:pt idx="195">
                  <c:v>266.62320045541026</c:v>
                </c:pt>
                <c:pt idx="196">
                  <c:v>266.77115675687133</c:v>
                </c:pt>
                <c:pt idx="197">
                  <c:v>266.89772159680444</c:v>
                </c:pt>
                <c:pt idx="198">
                  <c:v>266.99722153755226</c:v>
                </c:pt>
                <c:pt idx="199">
                  <c:v>267.15496221797122</c:v>
                </c:pt>
                <c:pt idx="200">
                  <c:v>267.28558466226548</c:v>
                </c:pt>
                <c:pt idx="201">
                  <c:v>267.44404040761731</c:v>
                </c:pt>
                <c:pt idx="202">
                  <c:v>267.56580379853563</c:v>
                </c:pt>
                <c:pt idx="203">
                  <c:v>267.69103379709111</c:v>
                </c:pt>
                <c:pt idx="204">
                  <c:v>267.83917468912904</c:v>
                </c:pt>
                <c:pt idx="205">
                  <c:v>267.95939384601127</c:v>
                </c:pt>
                <c:pt idx="206">
                  <c:v>268.07089884669654</c:v>
                </c:pt>
                <c:pt idx="207">
                  <c:v>268.24642155645637</c:v>
                </c:pt>
                <c:pt idx="208">
                  <c:v>268.604177144311</c:v>
                </c:pt>
                <c:pt idx="209">
                  <c:v>268.69241968244091</c:v>
                </c:pt>
                <c:pt idx="210">
                  <c:v>268.79347920068028</c:v>
                </c:pt>
                <c:pt idx="211">
                  <c:v>268.83609436438712</c:v>
                </c:pt>
                <c:pt idx="212">
                  <c:v>268.93624695010686</c:v>
                </c:pt>
                <c:pt idx="213">
                  <c:v>269.10397411855456</c:v>
                </c:pt>
                <c:pt idx="214">
                  <c:v>269.1644930910781</c:v>
                </c:pt>
                <c:pt idx="215">
                  <c:v>269.25465930941505</c:v>
                </c:pt>
                <c:pt idx="216">
                  <c:v>269.35501921360031</c:v>
                </c:pt>
                <c:pt idx="217">
                  <c:v>269.45844310071044</c:v>
                </c:pt>
                <c:pt idx="218">
                  <c:v>269.5898498764102</c:v>
                </c:pt>
                <c:pt idx="219">
                  <c:v>269.66345467581135</c:v>
                </c:pt>
                <c:pt idx="220">
                  <c:v>269.76890477843892</c:v>
                </c:pt>
                <c:pt idx="221">
                  <c:v>269.85804573512445</c:v>
                </c:pt>
                <c:pt idx="222">
                  <c:v>270.01435355791813</c:v>
                </c:pt>
                <c:pt idx="223">
                  <c:v>270.15541898324381</c:v>
                </c:pt>
                <c:pt idx="224">
                  <c:v>270.29362734439582</c:v>
                </c:pt>
                <c:pt idx="225">
                  <c:v>270.42137015335516</c:v>
                </c:pt>
                <c:pt idx="226">
                  <c:v>270.62482603620447</c:v>
                </c:pt>
                <c:pt idx="227">
                  <c:v>270.7642670312909</c:v>
                </c:pt>
                <c:pt idx="228">
                  <c:v>270.89204167196777</c:v>
                </c:pt>
                <c:pt idx="229">
                  <c:v>270.97208897946723</c:v>
                </c:pt>
                <c:pt idx="230">
                  <c:v>271.03684384675591</c:v>
                </c:pt>
                <c:pt idx="231">
                  <c:v>271.12275471561759</c:v>
                </c:pt>
                <c:pt idx="232">
                  <c:v>271.18382309948203</c:v>
                </c:pt>
                <c:pt idx="233">
                  <c:v>271.30411410376337</c:v>
                </c:pt>
                <c:pt idx="234">
                  <c:v>271.6482541997471</c:v>
                </c:pt>
                <c:pt idx="235">
                  <c:v>271.83383480949669</c:v>
                </c:pt>
                <c:pt idx="236">
                  <c:v>272.00826220981128</c:v>
                </c:pt>
                <c:pt idx="237">
                  <c:v>272.23295592656018</c:v>
                </c:pt>
                <c:pt idx="238">
                  <c:v>272.36065262517195</c:v>
                </c:pt>
                <c:pt idx="239">
                  <c:v>272.44481736735656</c:v>
                </c:pt>
                <c:pt idx="240">
                  <c:v>272.53059735110912</c:v>
                </c:pt>
                <c:pt idx="241">
                  <c:v>272.62552665919134</c:v>
                </c:pt>
                <c:pt idx="242">
                  <c:v>272.6885773048914</c:v>
                </c:pt>
                <c:pt idx="243">
                  <c:v>272.68936749452735</c:v>
                </c:pt>
                <c:pt idx="244">
                  <c:v>272.54969313153401</c:v>
                </c:pt>
                <c:pt idx="245">
                  <c:v>272.49129414338938</c:v>
                </c:pt>
                <c:pt idx="246">
                  <c:v>272.43286610696646</c:v>
                </c:pt>
                <c:pt idx="247">
                  <c:v>272.39456395526526</c:v>
                </c:pt>
                <c:pt idx="248">
                  <c:v>272.3284072277682</c:v>
                </c:pt>
                <c:pt idx="249">
                  <c:v>272.26938734120529</c:v>
                </c:pt>
                <c:pt idx="250">
                  <c:v>271.4927011832894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8-453C-9F62-874CA93368B9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Data!$H$2:$H$252</c:f>
              <c:numCache>
                <c:formatCode>General</c:formatCode>
                <c:ptCount val="251"/>
                <c:pt idx="0">
                  <c:v>261.87</c:v>
                </c:pt>
                <c:pt idx="1">
                  <c:v>261.50496670063421</c:v>
                </c:pt>
                <c:pt idx="2">
                  <c:v>261.07972767760594</c:v>
                </c:pt>
                <c:pt idx="3">
                  <c:v>260.68085597344287</c:v>
                </c:pt>
                <c:pt idx="4">
                  <c:v>259.332955821013</c:v>
                </c:pt>
                <c:pt idx="5">
                  <c:v>259.16730470619734</c:v>
                </c:pt>
                <c:pt idx="6">
                  <c:v>258.61664692600027</c:v>
                </c:pt>
                <c:pt idx="7">
                  <c:v>258.1981325061185</c:v>
                </c:pt>
                <c:pt idx="8">
                  <c:v>257.98401619156789</c:v>
                </c:pt>
                <c:pt idx="9">
                  <c:v>259.49372153717025</c:v>
                </c:pt>
                <c:pt idx="10">
                  <c:v>259.59592041307678</c:v>
                </c:pt>
                <c:pt idx="11">
                  <c:v>259.14377007509142</c:v>
                </c:pt>
                <c:pt idx="12">
                  <c:v>258.85413513370116</c:v>
                </c:pt>
                <c:pt idx="13">
                  <c:v>258.71178895948987</c:v>
                </c:pt>
                <c:pt idx="14">
                  <c:v>258.41129157546612</c:v>
                </c:pt>
                <c:pt idx="15">
                  <c:v>258.23056332148025</c:v>
                </c:pt>
                <c:pt idx="16">
                  <c:v>257.97471617471774</c:v>
                </c:pt>
                <c:pt idx="17">
                  <c:v>257.79702606796405</c:v>
                </c:pt>
                <c:pt idx="18">
                  <c:v>257.38408724125844</c:v>
                </c:pt>
                <c:pt idx="19">
                  <c:v>256.77590152842617</c:v>
                </c:pt>
                <c:pt idx="20">
                  <c:v>256.5574406959156</c:v>
                </c:pt>
                <c:pt idx="21">
                  <c:v>256.40765296604246</c:v>
                </c:pt>
                <c:pt idx="22">
                  <c:v>256.2599795288603</c:v>
                </c:pt>
                <c:pt idx="23">
                  <c:v>256.14519190111167</c:v>
                </c:pt>
                <c:pt idx="24">
                  <c:v>256.06631137456941</c:v>
                </c:pt>
                <c:pt idx="25">
                  <c:v>255.8571069968099</c:v>
                </c:pt>
                <c:pt idx="26">
                  <c:v>255.74480069758678</c:v>
                </c:pt>
                <c:pt idx="27">
                  <c:v>255.63128718927524</c:v>
                </c:pt>
                <c:pt idx="28">
                  <c:v>255.4582680465827</c:v>
                </c:pt>
                <c:pt idx="29">
                  <c:v>255.78149870738241</c:v>
                </c:pt>
                <c:pt idx="30">
                  <c:v>255.80881868867712</c:v>
                </c:pt>
                <c:pt idx="31">
                  <c:v>256.00389812059535</c:v>
                </c:pt>
                <c:pt idx="32">
                  <c:v>255.6323570764836</c:v>
                </c:pt>
                <c:pt idx="33">
                  <c:v>255.46746587562811</c:v>
                </c:pt>
                <c:pt idx="34">
                  <c:v>255.28201105002242</c:v>
                </c:pt>
                <c:pt idx="35">
                  <c:v>255.11536438055728</c:v>
                </c:pt>
                <c:pt idx="36">
                  <c:v>254.94733240335822</c:v>
                </c:pt>
                <c:pt idx="37">
                  <c:v>254.73140314193594</c:v>
                </c:pt>
                <c:pt idx="38">
                  <c:v>254.5305740121467</c:v>
                </c:pt>
                <c:pt idx="39">
                  <c:v>254.32217182484686</c:v>
                </c:pt>
                <c:pt idx="40">
                  <c:v>254.15443893117589</c:v>
                </c:pt>
                <c:pt idx="41">
                  <c:v>254.06293557202088</c:v>
                </c:pt>
                <c:pt idx="42">
                  <c:v>253.23246226998222</c:v>
                </c:pt>
                <c:pt idx="43">
                  <c:v>252.99786420450062</c:v>
                </c:pt>
                <c:pt idx="44">
                  <c:v>252.87120765176388</c:v>
                </c:pt>
                <c:pt idx="45">
                  <c:v>252.74488825062497</c:v>
                </c:pt>
                <c:pt idx="46">
                  <c:v>252.62121324779895</c:v>
                </c:pt>
                <c:pt idx="47">
                  <c:v>252.48960488772192</c:v>
                </c:pt>
                <c:pt idx="48">
                  <c:v>252.42907235905705</c:v>
                </c:pt>
                <c:pt idx="49">
                  <c:v>252.45363079733571</c:v>
                </c:pt>
                <c:pt idx="50">
                  <c:v>252.44883965511767</c:v>
                </c:pt>
                <c:pt idx="51">
                  <c:v>252.56723256276635</c:v>
                </c:pt>
                <c:pt idx="52">
                  <c:v>252.71277710703291</c:v>
                </c:pt>
                <c:pt idx="53">
                  <c:v>252.70461625468025</c:v>
                </c:pt>
                <c:pt idx="54">
                  <c:v>252.86087722372855</c:v>
                </c:pt>
                <c:pt idx="55">
                  <c:v>253.13869902400512</c:v>
                </c:pt>
                <c:pt idx="56">
                  <c:v>253.37903605668353</c:v>
                </c:pt>
                <c:pt idx="57">
                  <c:v>254.08144583933043</c:v>
                </c:pt>
                <c:pt idx="58">
                  <c:v>254.6643660591503</c:v>
                </c:pt>
                <c:pt idx="59">
                  <c:v>255.2404089453847</c:v>
                </c:pt>
                <c:pt idx="60">
                  <c:v>255.66005859032023</c:v>
                </c:pt>
                <c:pt idx="61">
                  <c:v>255.91475677787943</c:v>
                </c:pt>
                <c:pt idx="62">
                  <c:v>256.05357037249229</c:v>
                </c:pt>
                <c:pt idx="63">
                  <c:v>256.17831583978727</c:v>
                </c:pt>
                <c:pt idx="64">
                  <c:v>256.45817376740155</c:v>
                </c:pt>
                <c:pt idx="65">
                  <c:v>256.59207639495719</c:v>
                </c:pt>
                <c:pt idx="66">
                  <c:v>256.68334586786955</c:v>
                </c:pt>
                <c:pt idx="67">
                  <c:v>257.06646808264372</c:v>
                </c:pt>
                <c:pt idx="68">
                  <c:v>257.30229173437198</c:v>
                </c:pt>
                <c:pt idx="69">
                  <c:v>257.54781903295526</c:v>
                </c:pt>
                <c:pt idx="70">
                  <c:v>257.79667173483813</c:v>
                </c:pt>
                <c:pt idx="71">
                  <c:v>258.07791384459017</c:v>
                </c:pt>
                <c:pt idx="72">
                  <c:v>258.39769853461343</c:v>
                </c:pt>
                <c:pt idx="73">
                  <c:v>258.93670887906654</c:v>
                </c:pt>
                <c:pt idx="74">
                  <c:v>259.68428958633962</c:v>
                </c:pt>
                <c:pt idx="75">
                  <c:v>260.58653709012685</c:v>
                </c:pt>
                <c:pt idx="76">
                  <c:v>261.30265029568881</c:v>
                </c:pt>
                <c:pt idx="77">
                  <c:v>261.82263914509605</c:v>
                </c:pt>
                <c:pt idx="78">
                  <c:v>262.5230068456566</c:v>
                </c:pt>
                <c:pt idx="79">
                  <c:v>263.17784922699195</c:v>
                </c:pt>
                <c:pt idx="80">
                  <c:v>263.84579865364651</c:v>
                </c:pt>
                <c:pt idx="81">
                  <c:v>264.73907142245366</c:v>
                </c:pt>
                <c:pt idx="82">
                  <c:v>265.58503928972544</c:v>
                </c:pt>
                <c:pt idx="83">
                  <c:v>266.61690632103591</c:v>
                </c:pt>
                <c:pt idx="84">
                  <c:v>267.44719628574671</c:v>
                </c:pt>
                <c:pt idx="85">
                  <c:v>268.24393077887851</c:v>
                </c:pt>
                <c:pt idx="86">
                  <c:v>268.92001175309861</c:v>
                </c:pt>
                <c:pt idx="87">
                  <c:v>269.7316456982166</c:v>
                </c:pt>
                <c:pt idx="88">
                  <c:v>270.3654071053511</c:v>
                </c:pt>
                <c:pt idx="89">
                  <c:v>270.86699219258918</c:v>
                </c:pt>
                <c:pt idx="90">
                  <c:v>271.34266126939167</c:v>
                </c:pt>
                <c:pt idx="91">
                  <c:v>272.05576931515793</c:v>
                </c:pt>
                <c:pt idx="92">
                  <c:v>272.54286337964277</c:v>
                </c:pt>
                <c:pt idx="93">
                  <c:v>273.00848802835577</c:v>
                </c:pt>
                <c:pt idx="94">
                  <c:v>273.43087500543447</c:v>
                </c:pt>
                <c:pt idx="95">
                  <c:v>273.76969805310108</c:v>
                </c:pt>
                <c:pt idx="96">
                  <c:v>274.04121093394906</c:v>
                </c:pt>
                <c:pt idx="97">
                  <c:v>274.28339554110806</c:v>
                </c:pt>
                <c:pt idx="98">
                  <c:v>274.50021564109454</c:v>
                </c:pt>
                <c:pt idx="99">
                  <c:v>274.74417038683799</c:v>
                </c:pt>
                <c:pt idx="100">
                  <c:v>275.13668594734196</c:v>
                </c:pt>
                <c:pt idx="101">
                  <c:v>275.40042152120571</c:v>
                </c:pt>
                <c:pt idx="102">
                  <c:v>275.7051167616458</c:v>
                </c:pt>
                <c:pt idx="103">
                  <c:v>276.18105608128303</c:v>
                </c:pt>
                <c:pt idx="104">
                  <c:v>276.24608928084047</c:v>
                </c:pt>
                <c:pt idx="105">
                  <c:v>276.19434242507958</c:v>
                </c:pt>
                <c:pt idx="106">
                  <c:v>276.16945418885661</c:v>
                </c:pt>
                <c:pt idx="107">
                  <c:v>276.12961928011612</c:v>
                </c:pt>
                <c:pt idx="108">
                  <c:v>276.06439034002858</c:v>
                </c:pt>
                <c:pt idx="109">
                  <c:v>275.9347328711861</c:v>
                </c:pt>
                <c:pt idx="110">
                  <c:v>275.73838967091774</c:v>
                </c:pt>
                <c:pt idx="111">
                  <c:v>275.6184957817473</c:v>
                </c:pt>
                <c:pt idx="112">
                  <c:v>275.48609971168725</c:v>
                </c:pt>
                <c:pt idx="113">
                  <c:v>275.38613519075312</c:v>
                </c:pt>
                <c:pt idx="114">
                  <c:v>275.2485393536524</c:v>
                </c:pt>
                <c:pt idx="115">
                  <c:v>275.05832589070184</c:v>
                </c:pt>
                <c:pt idx="116">
                  <c:v>274.76132347612531</c:v>
                </c:pt>
                <c:pt idx="117">
                  <c:v>274.48630211761048</c:v>
                </c:pt>
                <c:pt idx="118">
                  <c:v>274.33395707712339</c:v>
                </c:pt>
                <c:pt idx="119">
                  <c:v>274.21778450123179</c:v>
                </c:pt>
                <c:pt idx="120">
                  <c:v>274.10394011642751</c:v>
                </c:pt>
                <c:pt idx="121">
                  <c:v>274.01227797447297</c:v>
                </c:pt>
                <c:pt idx="122">
                  <c:v>273.92263240021526</c:v>
                </c:pt>
                <c:pt idx="123">
                  <c:v>273.83285239589196</c:v>
                </c:pt>
                <c:pt idx="124">
                  <c:v>273.75656988311738</c:v>
                </c:pt>
                <c:pt idx="125">
                  <c:v>273.66984020645066</c:v>
                </c:pt>
                <c:pt idx="126">
                  <c:v>273.57900200451314</c:v>
                </c:pt>
                <c:pt idx="127">
                  <c:v>273.44470350752221</c:v>
                </c:pt>
                <c:pt idx="128">
                  <c:v>273.34673032154268</c:v>
                </c:pt>
                <c:pt idx="129">
                  <c:v>273.2635599606142</c:v>
                </c:pt>
                <c:pt idx="130">
                  <c:v>273.1800038989399</c:v>
                </c:pt>
                <c:pt idx="131">
                  <c:v>273.08864857435935</c:v>
                </c:pt>
                <c:pt idx="132">
                  <c:v>273.00174093051703</c:v>
                </c:pt>
                <c:pt idx="133">
                  <c:v>272.8964955867483</c:v>
                </c:pt>
                <c:pt idx="134">
                  <c:v>272.81349942259874</c:v>
                </c:pt>
                <c:pt idx="135">
                  <c:v>272.76157776119578</c:v>
                </c:pt>
                <c:pt idx="136">
                  <c:v>272.72983139278779</c:v>
                </c:pt>
                <c:pt idx="137">
                  <c:v>272.68132493684425</c:v>
                </c:pt>
                <c:pt idx="138">
                  <c:v>272.62897352299154</c:v>
                </c:pt>
                <c:pt idx="139">
                  <c:v>272.56076168375176</c:v>
                </c:pt>
                <c:pt idx="140">
                  <c:v>272.50653460672686</c:v>
                </c:pt>
                <c:pt idx="141">
                  <c:v>272.4552865034043</c:v>
                </c:pt>
                <c:pt idx="142">
                  <c:v>272.4196296118908</c:v>
                </c:pt>
                <c:pt idx="143">
                  <c:v>272.44614416664518</c:v>
                </c:pt>
                <c:pt idx="144">
                  <c:v>272.56838957147272</c:v>
                </c:pt>
                <c:pt idx="145">
                  <c:v>272.66682501508956</c:v>
                </c:pt>
                <c:pt idx="146">
                  <c:v>272.78338384298559</c:v>
                </c:pt>
                <c:pt idx="147">
                  <c:v>272.79944228971016</c:v>
                </c:pt>
                <c:pt idx="148">
                  <c:v>273.27595803555761</c:v>
                </c:pt>
                <c:pt idx="149">
                  <c:v>273.71413751809661</c:v>
                </c:pt>
                <c:pt idx="150">
                  <c:v>273.94402562201572</c:v>
                </c:pt>
                <c:pt idx="151">
                  <c:v>274.20539185796116</c:v>
                </c:pt>
                <c:pt idx="152">
                  <c:v>274.47512590566504</c:v>
                </c:pt>
                <c:pt idx="153">
                  <c:v>274.71992382253978</c:v>
                </c:pt>
                <c:pt idx="154">
                  <c:v>275.00916486065228</c:v>
                </c:pt>
                <c:pt idx="155">
                  <c:v>275.24497726469519</c:v>
                </c:pt>
                <c:pt idx="156">
                  <c:v>275.75404009970202</c:v>
                </c:pt>
                <c:pt idx="157">
                  <c:v>276.07964136022156</c:v>
                </c:pt>
                <c:pt idx="158">
                  <c:v>276.36201210044834</c:v>
                </c:pt>
                <c:pt idx="159">
                  <c:v>276.47836661115787</c:v>
                </c:pt>
                <c:pt idx="160">
                  <c:v>276.58119243546003</c:v>
                </c:pt>
                <c:pt idx="161">
                  <c:v>276.64067301355669</c:v>
                </c:pt>
                <c:pt idx="162">
                  <c:v>276.75421541368007</c:v>
                </c:pt>
                <c:pt idx="163">
                  <c:v>276.80738493837805</c:v>
                </c:pt>
                <c:pt idx="164">
                  <c:v>276.98059046874954</c:v>
                </c:pt>
                <c:pt idx="165">
                  <c:v>277.1263792868279</c:v>
                </c:pt>
                <c:pt idx="166">
                  <c:v>277.26812488485211</c:v>
                </c:pt>
                <c:pt idx="167">
                  <c:v>277.70826526768582</c:v>
                </c:pt>
                <c:pt idx="168">
                  <c:v>278.27415760826727</c:v>
                </c:pt>
                <c:pt idx="169">
                  <c:v>279.53068704679345</c:v>
                </c:pt>
                <c:pt idx="170">
                  <c:v>280.50469388404389</c:v>
                </c:pt>
                <c:pt idx="171">
                  <c:v>281.20703530900454</c:v>
                </c:pt>
                <c:pt idx="172">
                  <c:v>281.69426195141745</c:v>
                </c:pt>
                <c:pt idx="173">
                  <c:v>282.23444599791139</c:v>
                </c:pt>
                <c:pt idx="174">
                  <c:v>282.86814253562073</c:v>
                </c:pt>
                <c:pt idx="175">
                  <c:v>283.29897027497191</c:v>
                </c:pt>
                <c:pt idx="176">
                  <c:v>283.68700942397379</c:v>
                </c:pt>
                <c:pt idx="177">
                  <c:v>284.11990261167227</c:v>
                </c:pt>
                <c:pt idx="178">
                  <c:v>284.76177818204854</c:v>
                </c:pt>
                <c:pt idx="179">
                  <c:v>285.18703043025823</c:v>
                </c:pt>
                <c:pt idx="180">
                  <c:v>285.54490035060394</c:v>
                </c:pt>
                <c:pt idx="181">
                  <c:v>286.04221860308604</c:v>
                </c:pt>
                <c:pt idx="182">
                  <c:v>286.64226862275302</c:v>
                </c:pt>
                <c:pt idx="183">
                  <c:v>287.01704002077338</c:v>
                </c:pt>
                <c:pt idx="184">
                  <c:v>287.32141867989793</c:v>
                </c:pt>
                <c:pt idx="185">
                  <c:v>287.52311104892885</c:v>
                </c:pt>
                <c:pt idx="186">
                  <c:v>287.667257277837</c:v>
                </c:pt>
                <c:pt idx="187">
                  <c:v>287.76211122736601</c:v>
                </c:pt>
                <c:pt idx="188">
                  <c:v>287.92671792567853</c:v>
                </c:pt>
                <c:pt idx="189">
                  <c:v>288.18131832230102</c:v>
                </c:pt>
                <c:pt idx="190">
                  <c:v>288.54005698826865</c:v>
                </c:pt>
                <c:pt idx="191">
                  <c:v>288.76755236102792</c:v>
                </c:pt>
                <c:pt idx="192">
                  <c:v>288.95174727243131</c:v>
                </c:pt>
                <c:pt idx="193">
                  <c:v>289.17020035761692</c:v>
                </c:pt>
                <c:pt idx="194">
                  <c:v>289.41340442042849</c:v>
                </c:pt>
                <c:pt idx="195">
                  <c:v>289.64794344148191</c:v>
                </c:pt>
                <c:pt idx="196">
                  <c:v>289.87742443512741</c:v>
                </c:pt>
                <c:pt idx="197">
                  <c:v>290.12747963305202</c:v>
                </c:pt>
                <c:pt idx="198">
                  <c:v>290.34634723275843</c:v>
                </c:pt>
                <c:pt idx="199">
                  <c:v>290.63071021010131</c:v>
                </c:pt>
                <c:pt idx="200">
                  <c:v>290.89570232007162</c:v>
                </c:pt>
                <c:pt idx="201">
                  <c:v>291.20440825451897</c:v>
                </c:pt>
                <c:pt idx="202">
                  <c:v>291.45472909471931</c:v>
                </c:pt>
                <c:pt idx="203">
                  <c:v>291.6920699392507</c:v>
                </c:pt>
                <c:pt idx="204">
                  <c:v>291.94434882205297</c:v>
                </c:pt>
                <c:pt idx="205">
                  <c:v>292.12497538499866</c:v>
                </c:pt>
                <c:pt idx="206">
                  <c:v>292.29597196550975</c:v>
                </c:pt>
                <c:pt idx="207">
                  <c:v>292.51057435859684</c:v>
                </c:pt>
                <c:pt idx="208">
                  <c:v>292.90932175300037</c:v>
                </c:pt>
                <c:pt idx="209">
                  <c:v>293.04862062913116</c:v>
                </c:pt>
                <c:pt idx="210">
                  <c:v>293.205583892123</c:v>
                </c:pt>
                <c:pt idx="211">
                  <c:v>293.30754876606812</c:v>
                </c:pt>
                <c:pt idx="212">
                  <c:v>293.46879579104171</c:v>
                </c:pt>
                <c:pt idx="213">
                  <c:v>293.70015117785374</c:v>
                </c:pt>
                <c:pt idx="214">
                  <c:v>293.7990574978877</c:v>
                </c:pt>
                <c:pt idx="215">
                  <c:v>293.89487578303681</c:v>
                </c:pt>
                <c:pt idx="216">
                  <c:v>293.97972727218712</c:v>
                </c:pt>
                <c:pt idx="217">
                  <c:v>294.08200567680086</c:v>
                </c:pt>
                <c:pt idx="218">
                  <c:v>294.25060479570385</c:v>
                </c:pt>
                <c:pt idx="219">
                  <c:v>294.32985678504616</c:v>
                </c:pt>
                <c:pt idx="220">
                  <c:v>294.47183308583067</c:v>
                </c:pt>
                <c:pt idx="221">
                  <c:v>294.60510295585993</c:v>
                </c:pt>
                <c:pt idx="222">
                  <c:v>294.8571470914315</c:v>
                </c:pt>
                <c:pt idx="223">
                  <c:v>295.03300614868306</c:v>
                </c:pt>
                <c:pt idx="224">
                  <c:v>295.24086199161093</c:v>
                </c:pt>
                <c:pt idx="225">
                  <c:v>295.37424461434671</c:v>
                </c:pt>
                <c:pt idx="226">
                  <c:v>295.62341260115056</c:v>
                </c:pt>
                <c:pt idx="227">
                  <c:v>295.7408387711904</c:v>
                </c:pt>
                <c:pt idx="228">
                  <c:v>295.87062513452088</c:v>
                </c:pt>
                <c:pt idx="229">
                  <c:v>295.94026621893801</c:v>
                </c:pt>
                <c:pt idx="230">
                  <c:v>295.98611937293725</c:v>
                </c:pt>
                <c:pt idx="231">
                  <c:v>296.06772847084835</c:v>
                </c:pt>
                <c:pt idx="232">
                  <c:v>296.11452300277466</c:v>
                </c:pt>
                <c:pt idx="233">
                  <c:v>296.22141940581389</c:v>
                </c:pt>
                <c:pt idx="234">
                  <c:v>296.62639541062157</c:v>
                </c:pt>
                <c:pt idx="235">
                  <c:v>296.85613101025541</c:v>
                </c:pt>
                <c:pt idx="236">
                  <c:v>297.1242531816921</c:v>
                </c:pt>
                <c:pt idx="237">
                  <c:v>297.3336091948255</c:v>
                </c:pt>
                <c:pt idx="238">
                  <c:v>297.42962441336147</c:v>
                </c:pt>
                <c:pt idx="239">
                  <c:v>297.48441419664402</c:v>
                </c:pt>
                <c:pt idx="240">
                  <c:v>297.57229565862036</c:v>
                </c:pt>
                <c:pt idx="241">
                  <c:v>297.65856563940025</c:v>
                </c:pt>
                <c:pt idx="242">
                  <c:v>297.69728040516247</c:v>
                </c:pt>
                <c:pt idx="243">
                  <c:v>297.6468231803068</c:v>
                </c:pt>
                <c:pt idx="244">
                  <c:v>297.47235486548692</c:v>
                </c:pt>
                <c:pt idx="245">
                  <c:v>297.373402476058</c:v>
                </c:pt>
                <c:pt idx="246">
                  <c:v>297.28329454997152</c:v>
                </c:pt>
                <c:pt idx="247">
                  <c:v>297.20780120906716</c:v>
                </c:pt>
                <c:pt idx="248">
                  <c:v>297.11540879601779</c:v>
                </c:pt>
                <c:pt idx="249">
                  <c:v>297.02779604874542</c:v>
                </c:pt>
                <c:pt idx="250">
                  <c:v>296.40095774636472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8-453C-9F62-874CA93368B9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Data!$I$2:$I$252</c:f>
              <c:numCache>
                <c:formatCode>General</c:formatCode>
                <c:ptCount val="251"/>
                <c:pt idx="0">
                  <c:v>261.87</c:v>
                </c:pt>
                <c:pt idx="1">
                  <c:v>257.38496670063421</c:v>
                </c:pt>
                <c:pt idx="2">
                  <c:v>256.04723768203161</c:v>
                </c:pt>
                <c:pt idx="3">
                  <c:v>254.37856472342909</c:v>
                </c:pt>
                <c:pt idx="4">
                  <c:v>252.54260266377588</c:v>
                </c:pt>
                <c:pt idx="5">
                  <c:v>251.50800969947514</c:v>
                </c:pt>
                <c:pt idx="6">
                  <c:v>251.38733584018371</c:v>
                </c:pt>
                <c:pt idx="7">
                  <c:v>251.03250622504575</c:v>
                </c:pt>
                <c:pt idx="8">
                  <c:v>250.30885889636065</c:v>
                </c:pt>
                <c:pt idx="9">
                  <c:v>250.87075940110586</c:v>
                </c:pt>
                <c:pt idx="10">
                  <c:v>251.26957905984253</c:v>
                </c:pt>
                <c:pt idx="11">
                  <c:v>250.53703627726387</c:v>
                </c:pt>
                <c:pt idx="12">
                  <c:v>250.21400747740117</c:v>
                </c:pt>
                <c:pt idx="13">
                  <c:v>249.38324367403095</c:v>
                </c:pt>
                <c:pt idx="14">
                  <c:v>249.05554762381328</c:v>
                </c:pt>
                <c:pt idx="15">
                  <c:v>249.17182177325734</c:v>
                </c:pt>
                <c:pt idx="16">
                  <c:v>248.73032440247255</c:v>
                </c:pt>
                <c:pt idx="17">
                  <c:v>248.811261674859</c:v>
                </c:pt>
                <c:pt idx="18">
                  <c:v>247.69349586514335</c:v>
                </c:pt>
                <c:pt idx="19">
                  <c:v>246.66116356839973</c:v>
                </c:pt>
                <c:pt idx="20">
                  <c:v>246.58648195863313</c:v>
                </c:pt>
                <c:pt idx="21">
                  <c:v>246.64024718444011</c:v>
                </c:pt>
                <c:pt idx="22">
                  <c:v>246.69510554292981</c:v>
                </c:pt>
                <c:pt idx="23">
                  <c:v>246.54855417972425</c:v>
                </c:pt>
                <c:pt idx="24">
                  <c:v>246.24343248088454</c:v>
                </c:pt>
                <c:pt idx="25">
                  <c:v>246.18438918729609</c:v>
                </c:pt>
                <c:pt idx="26">
                  <c:v>246.25076202216681</c:v>
                </c:pt>
                <c:pt idx="27">
                  <c:v>246.30269311798352</c:v>
                </c:pt>
                <c:pt idx="28">
                  <c:v>245.90937256102762</c:v>
                </c:pt>
                <c:pt idx="29">
                  <c:v>243.2573306223469</c:v>
                </c:pt>
                <c:pt idx="30">
                  <c:v>240.847603565551</c:v>
                </c:pt>
                <c:pt idx="31">
                  <c:v>238.34758126231486</c:v>
                </c:pt>
                <c:pt idx="32">
                  <c:v>237.69700558681799</c:v>
                </c:pt>
                <c:pt idx="33">
                  <c:v>236.75692450244733</c:v>
                </c:pt>
                <c:pt idx="34">
                  <c:v>236.43002366818658</c:v>
                </c:pt>
                <c:pt idx="35">
                  <c:v>236.34976635822389</c:v>
                </c:pt>
                <c:pt idx="36">
                  <c:v>236.335994749599</c:v>
                </c:pt>
                <c:pt idx="37">
                  <c:v>236.19146170373673</c:v>
                </c:pt>
                <c:pt idx="38">
                  <c:v>236.07725634105168</c:v>
                </c:pt>
                <c:pt idx="39">
                  <c:v>235.84115467210336</c:v>
                </c:pt>
                <c:pt idx="40">
                  <c:v>235.83610022655847</c:v>
                </c:pt>
                <c:pt idx="41">
                  <c:v>235.96381050077304</c:v>
                </c:pt>
                <c:pt idx="42">
                  <c:v>234.67408071301284</c:v>
                </c:pt>
                <c:pt idx="43">
                  <c:v>234.25031262882425</c:v>
                </c:pt>
                <c:pt idx="44">
                  <c:v>234.14838863852583</c:v>
                </c:pt>
                <c:pt idx="45">
                  <c:v>234.15805576184482</c:v>
                </c:pt>
                <c:pt idx="46">
                  <c:v>234.21383711097155</c:v>
                </c:pt>
                <c:pt idx="47">
                  <c:v>234.2186084089748</c:v>
                </c:pt>
                <c:pt idx="48">
                  <c:v>234.34337842164246</c:v>
                </c:pt>
                <c:pt idx="49">
                  <c:v>234.50375723343561</c:v>
                </c:pt>
                <c:pt idx="50">
                  <c:v>234.63336838192677</c:v>
                </c:pt>
                <c:pt idx="51">
                  <c:v>234.76663383023251</c:v>
                </c:pt>
                <c:pt idx="52">
                  <c:v>234.90405846915885</c:v>
                </c:pt>
                <c:pt idx="53">
                  <c:v>235.02718839229303</c:v>
                </c:pt>
                <c:pt idx="54">
                  <c:v>235.19820683419641</c:v>
                </c:pt>
                <c:pt idx="55">
                  <c:v>235.28628962636299</c:v>
                </c:pt>
                <c:pt idx="56">
                  <c:v>235.39443401784106</c:v>
                </c:pt>
                <c:pt idx="57">
                  <c:v>235.44190564594876</c:v>
                </c:pt>
                <c:pt idx="58">
                  <c:v>235.43314031985344</c:v>
                </c:pt>
                <c:pt idx="59">
                  <c:v>235.3624389394823</c:v>
                </c:pt>
                <c:pt idx="60">
                  <c:v>235.29675477899494</c:v>
                </c:pt>
                <c:pt idx="61">
                  <c:v>235.42475490137721</c:v>
                </c:pt>
                <c:pt idx="62">
                  <c:v>235.5433439093554</c:v>
                </c:pt>
                <c:pt idx="63">
                  <c:v>235.64563153866936</c:v>
                </c:pt>
                <c:pt idx="64">
                  <c:v>235.73147567935251</c:v>
                </c:pt>
                <c:pt idx="65">
                  <c:v>235.806876273786</c:v>
                </c:pt>
                <c:pt idx="66">
                  <c:v>235.89724594052981</c:v>
                </c:pt>
                <c:pt idx="67">
                  <c:v>236.27315381244858</c:v>
                </c:pt>
                <c:pt idx="68">
                  <c:v>236.33470288322786</c:v>
                </c:pt>
                <c:pt idx="69">
                  <c:v>236.3665617424127</c:v>
                </c:pt>
                <c:pt idx="70">
                  <c:v>236.40610705667817</c:v>
                </c:pt>
                <c:pt idx="71">
                  <c:v>236.43773259663283</c:v>
                </c:pt>
                <c:pt idx="72">
                  <c:v>236.43670281645421</c:v>
                </c:pt>
                <c:pt idx="73">
                  <c:v>236.52106384010361</c:v>
                </c:pt>
                <c:pt idx="74">
                  <c:v>236.61980320614416</c:v>
                </c:pt>
                <c:pt idx="75">
                  <c:v>236.59890422646853</c:v>
                </c:pt>
                <c:pt idx="76">
                  <c:v>236.50570654797008</c:v>
                </c:pt>
                <c:pt idx="77">
                  <c:v>236.49711524238583</c:v>
                </c:pt>
                <c:pt idx="78">
                  <c:v>236.46028496525022</c:v>
                </c:pt>
                <c:pt idx="79">
                  <c:v>236.36837672192388</c:v>
                </c:pt>
                <c:pt idx="80">
                  <c:v>236.34003474951169</c:v>
                </c:pt>
                <c:pt idx="81">
                  <c:v>236.70366775752379</c:v>
                </c:pt>
                <c:pt idx="82">
                  <c:v>236.62211985934661</c:v>
                </c:pt>
                <c:pt idx="83">
                  <c:v>236.52537368014168</c:v>
                </c:pt>
                <c:pt idx="84">
                  <c:v>236.47913547518283</c:v>
                </c:pt>
                <c:pt idx="85">
                  <c:v>236.41952586226813</c:v>
                </c:pt>
                <c:pt idx="86">
                  <c:v>236.41539226331759</c:v>
                </c:pt>
                <c:pt idx="87">
                  <c:v>236.34024858090089</c:v>
                </c:pt>
                <c:pt idx="88">
                  <c:v>236.32634939636117</c:v>
                </c:pt>
                <c:pt idx="89">
                  <c:v>236.37488503389397</c:v>
                </c:pt>
                <c:pt idx="90">
                  <c:v>236.24751035948384</c:v>
                </c:pt>
                <c:pt idx="91">
                  <c:v>236.37577247083405</c:v>
                </c:pt>
                <c:pt idx="92">
                  <c:v>236.39843688844479</c:v>
                </c:pt>
                <c:pt idx="93">
                  <c:v>236.43931170960391</c:v>
                </c:pt>
                <c:pt idx="94">
                  <c:v>236.55776426511872</c:v>
                </c:pt>
                <c:pt idx="95">
                  <c:v>236.72811245666279</c:v>
                </c:pt>
                <c:pt idx="96">
                  <c:v>236.83712477687664</c:v>
                </c:pt>
                <c:pt idx="97">
                  <c:v>236.95683096362492</c:v>
                </c:pt>
                <c:pt idx="98">
                  <c:v>237.07971126146717</c:v>
                </c:pt>
                <c:pt idx="99">
                  <c:v>237.23547740187786</c:v>
                </c:pt>
                <c:pt idx="100">
                  <c:v>237.44826516388557</c:v>
                </c:pt>
                <c:pt idx="101">
                  <c:v>237.57415149780633</c:v>
                </c:pt>
                <c:pt idx="102">
                  <c:v>237.81562084521528</c:v>
                </c:pt>
                <c:pt idx="103">
                  <c:v>238.23324306934444</c:v>
                </c:pt>
                <c:pt idx="104">
                  <c:v>238.47939899090662</c:v>
                </c:pt>
                <c:pt idx="105">
                  <c:v>238.60602330487069</c:v>
                </c:pt>
                <c:pt idx="106">
                  <c:v>238.75312145787703</c:v>
                </c:pt>
                <c:pt idx="107">
                  <c:v>238.88485968518853</c:v>
                </c:pt>
                <c:pt idx="108">
                  <c:v>238.99086398903287</c:v>
                </c:pt>
                <c:pt idx="109">
                  <c:v>239.00455418377251</c:v>
                </c:pt>
                <c:pt idx="110">
                  <c:v>238.92374514212307</c:v>
                </c:pt>
                <c:pt idx="111">
                  <c:v>238.93573712695814</c:v>
                </c:pt>
                <c:pt idx="112">
                  <c:v>238.92283355926173</c:v>
                </c:pt>
                <c:pt idx="113">
                  <c:v>238.95460811084664</c:v>
                </c:pt>
                <c:pt idx="114">
                  <c:v>238.92974781458517</c:v>
                </c:pt>
                <c:pt idx="115">
                  <c:v>238.7495322309374</c:v>
                </c:pt>
                <c:pt idx="116">
                  <c:v>238.35084950061068</c:v>
                </c:pt>
                <c:pt idx="117">
                  <c:v>237.94660971057448</c:v>
                </c:pt>
                <c:pt idx="118">
                  <c:v>237.77819713270358</c:v>
                </c:pt>
                <c:pt idx="119">
                  <c:v>237.59395214252186</c:v>
                </c:pt>
                <c:pt idx="120">
                  <c:v>237.46494498243592</c:v>
                </c:pt>
                <c:pt idx="121">
                  <c:v>237.356465614949</c:v>
                </c:pt>
                <c:pt idx="122">
                  <c:v>237.28248314842494</c:v>
                </c:pt>
                <c:pt idx="123">
                  <c:v>237.22871592557249</c:v>
                </c:pt>
                <c:pt idx="124">
                  <c:v>237.14201299339931</c:v>
                </c:pt>
                <c:pt idx="125">
                  <c:v>237.08805444311386</c:v>
                </c:pt>
                <c:pt idx="126">
                  <c:v>236.99176049968685</c:v>
                </c:pt>
                <c:pt idx="127">
                  <c:v>236.90042866949184</c:v>
                </c:pt>
                <c:pt idx="128">
                  <c:v>236.87268956634972</c:v>
                </c:pt>
                <c:pt idx="129">
                  <c:v>236.8692210390393</c:v>
                </c:pt>
                <c:pt idx="130">
                  <c:v>236.840829201497</c:v>
                </c:pt>
                <c:pt idx="131">
                  <c:v>236.78029383505572</c:v>
                </c:pt>
                <c:pt idx="132">
                  <c:v>236.75671398516931</c:v>
                </c:pt>
                <c:pt idx="133">
                  <c:v>236.74458577762536</c:v>
                </c:pt>
                <c:pt idx="134">
                  <c:v>236.76455563984899</c:v>
                </c:pt>
                <c:pt idx="135">
                  <c:v>236.84490518742263</c:v>
                </c:pt>
                <c:pt idx="136">
                  <c:v>236.94300089105886</c:v>
                </c:pt>
                <c:pt idx="137">
                  <c:v>237.02434820573276</c:v>
                </c:pt>
                <c:pt idx="138">
                  <c:v>237.10047484150886</c:v>
                </c:pt>
                <c:pt idx="139">
                  <c:v>237.15369021087062</c:v>
                </c:pt>
                <c:pt idx="140">
                  <c:v>237.22489006673118</c:v>
                </c:pt>
                <c:pt idx="141">
                  <c:v>237.29804506398199</c:v>
                </c:pt>
                <c:pt idx="142">
                  <c:v>237.38409532286502</c:v>
                </c:pt>
                <c:pt idx="143">
                  <c:v>237.50838556869326</c:v>
                </c:pt>
                <c:pt idx="144">
                  <c:v>237.71835033699736</c:v>
                </c:pt>
                <c:pt idx="145">
                  <c:v>237.85896075328793</c:v>
                </c:pt>
                <c:pt idx="146">
                  <c:v>238.00847809626666</c:v>
                </c:pt>
                <c:pt idx="147">
                  <c:v>238.10331557842548</c:v>
                </c:pt>
                <c:pt idx="148">
                  <c:v>238.47750775794688</c:v>
                </c:pt>
                <c:pt idx="149">
                  <c:v>238.76317358518051</c:v>
                </c:pt>
                <c:pt idx="150">
                  <c:v>238.92846504437318</c:v>
                </c:pt>
                <c:pt idx="151">
                  <c:v>239.08825052363338</c:v>
                </c:pt>
                <c:pt idx="152">
                  <c:v>239.1775264806966</c:v>
                </c:pt>
                <c:pt idx="153">
                  <c:v>239.24416750043912</c:v>
                </c:pt>
                <c:pt idx="154">
                  <c:v>239.32778878792647</c:v>
                </c:pt>
                <c:pt idx="155">
                  <c:v>239.34336155130859</c:v>
                </c:pt>
                <c:pt idx="156">
                  <c:v>239.53871889075299</c:v>
                </c:pt>
                <c:pt idx="157">
                  <c:v>239.66132244817641</c:v>
                </c:pt>
                <c:pt idx="158">
                  <c:v>239.77303633217826</c:v>
                </c:pt>
                <c:pt idx="159">
                  <c:v>239.89060755864992</c:v>
                </c:pt>
                <c:pt idx="160">
                  <c:v>240.00325622840282</c:v>
                </c:pt>
                <c:pt idx="161">
                  <c:v>240.08584938022207</c:v>
                </c:pt>
                <c:pt idx="162">
                  <c:v>240.16637579250494</c:v>
                </c:pt>
                <c:pt idx="163">
                  <c:v>240.24680431033539</c:v>
                </c:pt>
                <c:pt idx="164">
                  <c:v>240.38320676984091</c:v>
                </c:pt>
                <c:pt idx="165">
                  <c:v>240.46001851398881</c:v>
                </c:pt>
                <c:pt idx="166">
                  <c:v>240.55917220650659</c:v>
                </c:pt>
                <c:pt idx="167">
                  <c:v>240.87384541749526</c:v>
                </c:pt>
                <c:pt idx="168">
                  <c:v>241.35982028156457</c:v>
                </c:pt>
                <c:pt idx="169">
                  <c:v>242.0401913977114</c:v>
                </c:pt>
                <c:pt idx="170">
                  <c:v>242.29224180541695</c:v>
                </c:pt>
                <c:pt idx="171">
                  <c:v>242.31941968763323</c:v>
                </c:pt>
                <c:pt idx="172">
                  <c:v>242.28305770184372</c:v>
                </c:pt>
                <c:pt idx="173">
                  <c:v>242.26959931908505</c:v>
                </c:pt>
                <c:pt idx="174">
                  <c:v>242.44003922662972</c:v>
                </c:pt>
                <c:pt idx="175">
                  <c:v>242.48905374997935</c:v>
                </c:pt>
                <c:pt idx="176">
                  <c:v>242.59346228506649</c:v>
                </c:pt>
                <c:pt idx="177">
                  <c:v>242.62178499366883</c:v>
                </c:pt>
                <c:pt idx="178">
                  <c:v>242.7343118101609</c:v>
                </c:pt>
                <c:pt idx="179">
                  <c:v>242.79391700104404</c:v>
                </c:pt>
                <c:pt idx="180">
                  <c:v>242.73626005092194</c:v>
                </c:pt>
                <c:pt idx="181">
                  <c:v>242.72222464532538</c:v>
                </c:pt>
                <c:pt idx="182">
                  <c:v>242.79777288575133</c:v>
                </c:pt>
                <c:pt idx="183">
                  <c:v>242.89124362191868</c:v>
                </c:pt>
                <c:pt idx="184">
                  <c:v>242.90708200889168</c:v>
                </c:pt>
                <c:pt idx="185">
                  <c:v>242.97846116494068</c:v>
                </c:pt>
                <c:pt idx="186">
                  <c:v>243.09458241760132</c:v>
                </c:pt>
                <c:pt idx="187">
                  <c:v>243.17944249777435</c:v>
                </c:pt>
                <c:pt idx="188">
                  <c:v>243.31426171464759</c:v>
                </c:pt>
                <c:pt idx="189">
                  <c:v>243.4472475364359</c:v>
                </c:pt>
                <c:pt idx="190">
                  <c:v>243.57968991085775</c:v>
                </c:pt>
                <c:pt idx="191">
                  <c:v>243.58154794836921</c:v>
                </c:pt>
                <c:pt idx="192">
                  <c:v>243.56883167706306</c:v>
                </c:pt>
                <c:pt idx="193">
                  <c:v>243.50078963469963</c:v>
                </c:pt>
                <c:pt idx="194">
                  <c:v>243.51881111197807</c:v>
                </c:pt>
                <c:pt idx="195">
                  <c:v>243.5984574693386</c:v>
                </c:pt>
                <c:pt idx="196">
                  <c:v>243.66488907861523</c:v>
                </c:pt>
                <c:pt idx="197">
                  <c:v>243.66796356055684</c:v>
                </c:pt>
                <c:pt idx="198">
                  <c:v>243.64809584234609</c:v>
                </c:pt>
                <c:pt idx="199">
                  <c:v>243.67921422584112</c:v>
                </c:pt>
                <c:pt idx="200">
                  <c:v>243.67546700445931</c:v>
                </c:pt>
                <c:pt idx="201">
                  <c:v>243.68367256071568</c:v>
                </c:pt>
                <c:pt idx="202">
                  <c:v>243.67687850235197</c:v>
                </c:pt>
                <c:pt idx="203">
                  <c:v>243.68999765493152</c:v>
                </c:pt>
                <c:pt idx="204">
                  <c:v>243.7340005562051</c:v>
                </c:pt>
                <c:pt idx="205">
                  <c:v>243.79381230702387</c:v>
                </c:pt>
                <c:pt idx="206">
                  <c:v>243.84582572788332</c:v>
                </c:pt>
                <c:pt idx="207">
                  <c:v>243.9822687543159</c:v>
                </c:pt>
                <c:pt idx="208">
                  <c:v>244.29903253562159</c:v>
                </c:pt>
                <c:pt idx="209">
                  <c:v>244.33621873575066</c:v>
                </c:pt>
                <c:pt idx="210">
                  <c:v>244.38137450923756</c:v>
                </c:pt>
                <c:pt idx="211">
                  <c:v>244.36463996270612</c:v>
                </c:pt>
                <c:pt idx="212">
                  <c:v>244.40369810917198</c:v>
                </c:pt>
                <c:pt idx="213">
                  <c:v>244.50779705925535</c:v>
                </c:pt>
                <c:pt idx="214">
                  <c:v>244.5299286842685</c:v>
                </c:pt>
                <c:pt idx="215">
                  <c:v>244.61444283579328</c:v>
                </c:pt>
                <c:pt idx="216">
                  <c:v>244.73031115501351</c:v>
                </c:pt>
                <c:pt idx="217">
                  <c:v>244.83488052462002</c:v>
                </c:pt>
                <c:pt idx="218">
                  <c:v>244.92909495711652</c:v>
                </c:pt>
                <c:pt idx="219">
                  <c:v>244.99705256657654</c:v>
                </c:pt>
                <c:pt idx="220">
                  <c:v>245.06597647104718</c:v>
                </c:pt>
                <c:pt idx="221">
                  <c:v>245.11098851438896</c:v>
                </c:pt>
                <c:pt idx="222">
                  <c:v>245.17156002440476</c:v>
                </c:pt>
                <c:pt idx="223">
                  <c:v>245.27783181780455</c:v>
                </c:pt>
                <c:pt idx="224">
                  <c:v>245.3463926971807</c:v>
                </c:pt>
                <c:pt idx="225">
                  <c:v>245.4684956923636</c:v>
                </c:pt>
                <c:pt idx="226">
                  <c:v>245.62623947125834</c:v>
                </c:pt>
                <c:pt idx="227">
                  <c:v>245.78769529139137</c:v>
                </c:pt>
                <c:pt idx="228">
                  <c:v>245.91345820941464</c:v>
                </c:pt>
                <c:pt idx="229">
                  <c:v>246.00391173999645</c:v>
                </c:pt>
                <c:pt idx="230">
                  <c:v>246.0875683205746</c:v>
                </c:pt>
                <c:pt idx="231">
                  <c:v>246.1777809603868</c:v>
                </c:pt>
                <c:pt idx="232">
                  <c:v>246.25312319618936</c:v>
                </c:pt>
                <c:pt idx="233">
                  <c:v>246.38680880171282</c:v>
                </c:pt>
                <c:pt idx="234">
                  <c:v>246.67011298887263</c:v>
                </c:pt>
                <c:pt idx="235">
                  <c:v>246.811538608738</c:v>
                </c:pt>
                <c:pt idx="236">
                  <c:v>246.89227123793046</c:v>
                </c:pt>
                <c:pt idx="237">
                  <c:v>247.13230265829483</c:v>
                </c:pt>
                <c:pt idx="238">
                  <c:v>247.29168083698241</c:v>
                </c:pt>
                <c:pt idx="239">
                  <c:v>247.40522053806907</c:v>
                </c:pt>
                <c:pt idx="240">
                  <c:v>247.48889904359785</c:v>
                </c:pt>
                <c:pt idx="241">
                  <c:v>247.59248767898242</c:v>
                </c:pt>
                <c:pt idx="242">
                  <c:v>247.67987420462035</c:v>
                </c:pt>
                <c:pt idx="243">
                  <c:v>247.7319118087479</c:v>
                </c:pt>
                <c:pt idx="244">
                  <c:v>247.62703139758111</c:v>
                </c:pt>
                <c:pt idx="245">
                  <c:v>247.60918581072076</c:v>
                </c:pt>
                <c:pt idx="246">
                  <c:v>247.5824376639614</c:v>
                </c:pt>
                <c:pt idx="247">
                  <c:v>247.58132670146335</c:v>
                </c:pt>
                <c:pt idx="248">
                  <c:v>247.5414056595186</c:v>
                </c:pt>
                <c:pt idx="249">
                  <c:v>247.51097863366513</c:v>
                </c:pt>
                <c:pt idx="250">
                  <c:v>246.5844446202141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88-453C-9F62-874CA9336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931727"/>
        <c:axId val="1891932207"/>
      </c:lineChart>
      <c:dateAx>
        <c:axId val="1891931727"/>
        <c:scaling>
          <c:orientation val="minMax"/>
          <c:min val="45893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32207"/>
        <c:crosses val="autoZero"/>
        <c:auto val="1"/>
        <c:lblOffset val="100"/>
        <c:baseTimeUnit val="days"/>
      </c:dateAx>
      <c:valAx>
        <c:axId val="1891932207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3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261.87</c:v>
                </c:pt>
                <c:pt idx="1">
                  <c:v>257.75</c:v>
                </c:pt>
                <c:pt idx="2">
                  <c:v>255.84</c:v>
                </c:pt>
                <c:pt idx="3">
                  <c:v>253.23</c:v>
                </c:pt>
                <c:pt idx="4">
                  <c:v>252.44</c:v>
                </c:pt>
                <c:pt idx="5">
                  <c:v>250.19</c:v>
                </c:pt>
                <c:pt idx="6">
                  <c:v>253.21</c:v>
                </c:pt>
                <c:pt idx="7">
                  <c:v>251.35</c:v>
                </c:pt>
                <c:pt idx="8">
                  <c:v>248.69</c:v>
                </c:pt>
                <c:pt idx="9">
                  <c:v>261.54000000000002</c:v>
                </c:pt>
                <c:pt idx="10">
                  <c:v>256.89999999999998</c:v>
                </c:pt>
                <c:pt idx="11">
                  <c:v>248.95</c:v>
                </c:pt>
                <c:pt idx="12">
                  <c:v>249.63</c:v>
                </c:pt>
                <c:pt idx="13">
                  <c:v>245.8</c:v>
                </c:pt>
                <c:pt idx="14">
                  <c:v>248.35</c:v>
                </c:pt>
                <c:pt idx="15">
                  <c:v>252.97</c:v>
                </c:pt>
                <c:pt idx="16">
                  <c:v>246.95</c:v>
                </c:pt>
                <c:pt idx="17">
                  <c:v>252.29</c:v>
                </c:pt>
                <c:pt idx="18">
                  <c:v>243.32</c:v>
                </c:pt>
                <c:pt idx="19">
                  <c:v>243.87</c:v>
                </c:pt>
                <c:pt idx="20">
                  <c:v>248.45</c:v>
                </c:pt>
                <c:pt idx="21">
                  <c:v>249.9</c:v>
                </c:pt>
                <c:pt idx="22">
                  <c:v>250.34</c:v>
                </c:pt>
                <c:pt idx="23">
                  <c:v>246.21</c:v>
                </c:pt>
                <c:pt idx="24">
                  <c:v>244</c:v>
                </c:pt>
                <c:pt idx="25">
                  <c:v>248.66</c:v>
                </c:pt>
                <c:pt idx="26">
                  <c:v>250.34</c:v>
                </c:pt>
                <c:pt idx="27">
                  <c:v>249.98</c:v>
                </c:pt>
                <c:pt idx="28">
                  <c:v>243.49</c:v>
                </c:pt>
                <c:pt idx="29">
                  <c:v>227.48</c:v>
                </c:pt>
                <c:pt idx="30">
                  <c:v>225.78</c:v>
                </c:pt>
                <c:pt idx="31">
                  <c:v>221.03</c:v>
                </c:pt>
                <c:pt idx="32">
                  <c:v>235.31</c:v>
                </c:pt>
                <c:pt idx="33">
                  <c:v>229.55</c:v>
                </c:pt>
                <c:pt idx="34">
                  <c:v>235.48</c:v>
                </c:pt>
                <c:pt idx="35">
                  <c:v>239.06</c:v>
                </c:pt>
                <c:pt idx="36">
                  <c:v>240.7</c:v>
                </c:pt>
                <c:pt idx="37">
                  <c:v>238.57</c:v>
                </c:pt>
                <c:pt idx="38">
                  <c:v>238.81</c:v>
                </c:pt>
                <c:pt idx="39">
                  <c:v>236.22</c:v>
                </c:pt>
                <c:pt idx="40">
                  <c:v>240.9</c:v>
                </c:pt>
                <c:pt idx="41">
                  <c:v>245.48</c:v>
                </c:pt>
                <c:pt idx="42">
                  <c:v>229.33</c:v>
                </c:pt>
                <c:pt idx="43">
                  <c:v>232.41</c:v>
                </c:pt>
                <c:pt idx="44">
                  <c:v>236.16</c:v>
                </c:pt>
                <c:pt idx="45">
                  <c:v>239.39</c:v>
                </c:pt>
                <c:pt idx="46">
                  <c:v>241.82</c:v>
                </c:pt>
                <c:pt idx="47">
                  <c:v>239.66</c:v>
                </c:pt>
                <c:pt idx="48">
                  <c:v>245.55</c:v>
                </c:pt>
                <c:pt idx="49">
                  <c:v>249.18</c:v>
                </c:pt>
                <c:pt idx="50">
                  <c:v>249.12</c:v>
                </c:pt>
                <c:pt idx="51">
                  <c:v>253.37</c:v>
                </c:pt>
                <c:pt idx="52">
                  <c:v>254.14</c:v>
                </c:pt>
                <c:pt idx="53">
                  <c:v>249.2</c:v>
                </c:pt>
                <c:pt idx="54">
                  <c:v>253.69</c:v>
                </c:pt>
                <c:pt idx="55">
                  <c:v>258.58999999999997</c:v>
                </c:pt>
                <c:pt idx="56">
                  <c:v>257.82</c:v>
                </c:pt>
                <c:pt idx="57">
                  <c:v>266.68</c:v>
                </c:pt>
                <c:pt idx="58">
                  <c:v>266.76</c:v>
                </c:pt>
                <c:pt idx="59">
                  <c:v>268.41000000000003</c:v>
                </c:pt>
                <c:pt idx="60">
                  <c:v>266.95</c:v>
                </c:pt>
                <c:pt idx="61">
                  <c:v>260.87</c:v>
                </c:pt>
                <c:pt idx="62">
                  <c:v>258.37</c:v>
                </c:pt>
                <c:pt idx="63">
                  <c:v>258.63</c:v>
                </c:pt>
                <c:pt idx="64">
                  <c:v>263.23</c:v>
                </c:pt>
                <c:pt idx="65">
                  <c:v>260.24</c:v>
                </c:pt>
                <c:pt idx="66">
                  <c:v>258.69</c:v>
                </c:pt>
                <c:pt idx="67">
                  <c:v>259.06</c:v>
                </c:pt>
                <c:pt idx="68">
                  <c:v>263.89999999999998</c:v>
                </c:pt>
                <c:pt idx="69">
                  <c:v>265.2</c:v>
                </c:pt>
                <c:pt idx="70">
                  <c:v>265.52</c:v>
                </c:pt>
                <c:pt idx="71">
                  <c:v>266.86</c:v>
                </c:pt>
                <c:pt idx="72">
                  <c:v>268.87</c:v>
                </c:pt>
                <c:pt idx="73">
                  <c:v>272.08</c:v>
                </c:pt>
                <c:pt idx="74">
                  <c:v>276.24</c:v>
                </c:pt>
                <c:pt idx="75">
                  <c:v>281.52</c:v>
                </c:pt>
                <c:pt idx="76">
                  <c:v>281.02999999999997</c:v>
                </c:pt>
                <c:pt idx="77">
                  <c:v>277.22000000000003</c:v>
                </c:pt>
                <c:pt idx="78">
                  <c:v>281.83</c:v>
                </c:pt>
                <c:pt idx="79">
                  <c:v>283.05</c:v>
                </c:pt>
                <c:pt idx="80">
                  <c:v>283.20999999999998</c:v>
                </c:pt>
                <c:pt idx="81">
                  <c:v>280.97000000000003</c:v>
                </c:pt>
                <c:pt idx="82">
                  <c:v>289.18</c:v>
                </c:pt>
                <c:pt idx="83">
                  <c:v>293.79000000000002</c:v>
                </c:pt>
                <c:pt idx="84">
                  <c:v>291.06</c:v>
                </c:pt>
                <c:pt idx="85">
                  <c:v>291.93</c:v>
                </c:pt>
                <c:pt idx="86">
                  <c:v>289.7</c:v>
                </c:pt>
                <c:pt idx="87">
                  <c:v>294.77999999999997</c:v>
                </c:pt>
                <c:pt idx="88">
                  <c:v>291.2</c:v>
                </c:pt>
                <c:pt idx="89">
                  <c:v>287.64999999999998</c:v>
                </c:pt>
                <c:pt idx="90">
                  <c:v>291.97000000000003</c:v>
                </c:pt>
                <c:pt idx="91">
                  <c:v>292.47000000000003</c:v>
                </c:pt>
                <c:pt idx="92">
                  <c:v>290.42</c:v>
                </c:pt>
                <c:pt idx="93">
                  <c:v>290.14</c:v>
                </c:pt>
                <c:pt idx="94">
                  <c:v>287.43</c:v>
                </c:pt>
                <c:pt idx="95">
                  <c:v>283.58999999999997</c:v>
                </c:pt>
                <c:pt idx="96">
                  <c:v>283.79000000000002</c:v>
                </c:pt>
                <c:pt idx="97">
                  <c:v>282.7</c:v>
                </c:pt>
                <c:pt idx="98">
                  <c:v>281.92</c:v>
                </c:pt>
                <c:pt idx="99">
                  <c:v>282</c:v>
                </c:pt>
                <c:pt idx="100">
                  <c:v>285.87</c:v>
                </c:pt>
                <c:pt idx="101">
                  <c:v>284.70999999999998</c:v>
                </c:pt>
                <c:pt idx="102">
                  <c:v>281.95999999999998</c:v>
                </c:pt>
                <c:pt idx="103">
                  <c:v>282.01</c:v>
                </c:pt>
                <c:pt idx="104">
                  <c:v>260.51</c:v>
                </c:pt>
                <c:pt idx="105">
                  <c:v>259.72000000000003</c:v>
                </c:pt>
                <c:pt idx="106">
                  <c:v>263.20999999999998</c:v>
                </c:pt>
                <c:pt idx="107">
                  <c:v>262.41000000000003</c:v>
                </c:pt>
                <c:pt idx="108">
                  <c:v>260.26</c:v>
                </c:pt>
                <c:pt idx="109">
                  <c:v>253.15</c:v>
                </c:pt>
                <c:pt idx="110">
                  <c:v>250.05</c:v>
                </c:pt>
                <c:pt idx="111">
                  <c:v>251.98</c:v>
                </c:pt>
                <c:pt idx="112">
                  <c:v>250.67</c:v>
                </c:pt>
                <c:pt idx="113">
                  <c:v>252.28</c:v>
                </c:pt>
                <c:pt idx="114">
                  <c:v>250.16</c:v>
                </c:pt>
                <c:pt idx="115">
                  <c:v>242.27</c:v>
                </c:pt>
                <c:pt idx="116">
                  <c:v>236.3</c:v>
                </c:pt>
                <c:pt idx="117">
                  <c:v>234.77</c:v>
                </c:pt>
                <c:pt idx="118">
                  <c:v>240.07</c:v>
                </c:pt>
                <c:pt idx="119">
                  <c:v>237.11</c:v>
                </c:pt>
                <c:pt idx="120">
                  <c:v>239.72</c:v>
                </c:pt>
                <c:pt idx="121">
                  <c:v>239.45</c:v>
                </c:pt>
                <c:pt idx="122">
                  <c:v>241.28</c:v>
                </c:pt>
                <c:pt idx="123">
                  <c:v>242.55</c:v>
                </c:pt>
                <c:pt idx="124">
                  <c:v>239.4</c:v>
                </c:pt>
                <c:pt idx="125">
                  <c:v>242.09</c:v>
                </c:pt>
                <c:pt idx="126">
                  <c:v>239.43</c:v>
                </c:pt>
                <c:pt idx="127">
                  <c:v>242.63</c:v>
                </c:pt>
                <c:pt idx="128">
                  <c:v>244.84</c:v>
                </c:pt>
                <c:pt idx="129">
                  <c:v>245.73</c:v>
                </c:pt>
                <c:pt idx="130">
                  <c:v>243.49</c:v>
                </c:pt>
                <c:pt idx="131">
                  <c:v>241.5</c:v>
                </c:pt>
                <c:pt idx="132">
                  <c:v>244.1</c:v>
                </c:pt>
                <c:pt idx="133">
                  <c:v>247.18</c:v>
                </c:pt>
                <c:pt idx="134">
                  <c:v>248.53</c:v>
                </c:pt>
                <c:pt idx="135">
                  <c:v>256.08999999999997</c:v>
                </c:pt>
                <c:pt idx="136">
                  <c:v>259.11</c:v>
                </c:pt>
                <c:pt idx="137">
                  <c:v>256.88</c:v>
                </c:pt>
                <c:pt idx="138">
                  <c:v>257.01</c:v>
                </c:pt>
                <c:pt idx="139">
                  <c:v>253.44</c:v>
                </c:pt>
                <c:pt idx="140">
                  <c:v>256.24</c:v>
                </c:pt>
                <c:pt idx="141">
                  <c:v>257.52</c:v>
                </c:pt>
                <c:pt idx="142">
                  <c:v>259.08</c:v>
                </c:pt>
                <c:pt idx="143">
                  <c:v>265</c:v>
                </c:pt>
                <c:pt idx="144">
                  <c:v>266.39999999999998</c:v>
                </c:pt>
                <c:pt idx="145">
                  <c:v>271.37</c:v>
                </c:pt>
                <c:pt idx="146">
                  <c:v>272.24</c:v>
                </c:pt>
                <c:pt idx="147">
                  <c:v>267.52999999999997</c:v>
                </c:pt>
                <c:pt idx="148">
                  <c:v>281.44</c:v>
                </c:pt>
                <c:pt idx="149">
                  <c:v>284.31</c:v>
                </c:pt>
                <c:pt idx="150">
                  <c:v>279.8</c:v>
                </c:pt>
                <c:pt idx="151">
                  <c:v>282.16000000000003</c:v>
                </c:pt>
                <c:pt idx="152">
                  <c:v>286.49</c:v>
                </c:pt>
                <c:pt idx="153">
                  <c:v>286.72000000000003</c:v>
                </c:pt>
                <c:pt idx="154">
                  <c:v>288.37</c:v>
                </c:pt>
                <c:pt idx="155">
                  <c:v>289.42</c:v>
                </c:pt>
                <c:pt idx="156">
                  <c:v>293.87</c:v>
                </c:pt>
                <c:pt idx="157">
                  <c:v>289.45999999999998</c:v>
                </c:pt>
                <c:pt idx="158">
                  <c:v>288.23</c:v>
                </c:pt>
                <c:pt idx="159">
                  <c:v>277.82</c:v>
                </c:pt>
                <c:pt idx="160">
                  <c:v>277.22000000000003</c:v>
                </c:pt>
                <c:pt idx="161">
                  <c:v>276.14999999999998</c:v>
                </c:pt>
                <c:pt idx="162">
                  <c:v>280.75</c:v>
                </c:pt>
                <c:pt idx="163">
                  <c:v>275.97000000000003</c:v>
                </c:pt>
                <c:pt idx="164">
                  <c:v>281.27999999999997</c:v>
                </c:pt>
                <c:pt idx="165">
                  <c:v>283.64999999999998</c:v>
                </c:pt>
                <c:pt idx="166">
                  <c:v>282.05</c:v>
                </c:pt>
                <c:pt idx="167">
                  <c:v>287.51</c:v>
                </c:pt>
                <c:pt idx="168">
                  <c:v>285</c:v>
                </c:pt>
                <c:pt idx="169">
                  <c:v>307.45999999999998</c:v>
                </c:pt>
                <c:pt idx="170">
                  <c:v>313.08999999999997</c:v>
                </c:pt>
                <c:pt idx="171">
                  <c:v>312.57</c:v>
                </c:pt>
                <c:pt idx="172">
                  <c:v>308.20999999999998</c:v>
                </c:pt>
                <c:pt idx="173">
                  <c:v>310.06</c:v>
                </c:pt>
                <c:pt idx="174">
                  <c:v>307.41000000000003</c:v>
                </c:pt>
                <c:pt idx="175">
                  <c:v>304.73</c:v>
                </c:pt>
                <c:pt idx="176">
                  <c:v>300.85000000000002</c:v>
                </c:pt>
                <c:pt idx="177">
                  <c:v>306.77</c:v>
                </c:pt>
                <c:pt idx="178">
                  <c:v>312.42</c:v>
                </c:pt>
                <c:pt idx="179">
                  <c:v>306.38</c:v>
                </c:pt>
                <c:pt idx="180">
                  <c:v>309.13</c:v>
                </c:pt>
                <c:pt idx="181">
                  <c:v>313.72000000000003</c:v>
                </c:pt>
                <c:pt idx="182">
                  <c:v>314.98</c:v>
                </c:pt>
                <c:pt idx="183">
                  <c:v>304.86</c:v>
                </c:pt>
                <c:pt idx="184">
                  <c:v>305.69</c:v>
                </c:pt>
                <c:pt idx="185">
                  <c:v>297.17</c:v>
                </c:pt>
                <c:pt idx="186">
                  <c:v>289.95</c:v>
                </c:pt>
                <c:pt idx="187">
                  <c:v>288.52999999999997</c:v>
                </c:pt>
                <c:pt idx="188">
                  <c:v>290.39999999999998</c:v>
                </c:pt>
                <c:pt idx="189">
                  <c:v>297.44</c:v>
                </c:pt>
                <c:pt idx="190">
                  <c:v>304.12</c:v>
                </c:pt>
                <c:pt idx="191">
                  <c:v>304.48</c:v>
                </c:pt>
                <c:pt idx="192">
                  <c:v>303.20999999999998</c:v>
                </c:pt>
                <c:pt idx="193">
                  <c:v>308.58</c:v>
                </c:pt>
                <c:pt idx="194">
                  <c:v>305.67</c:v>
                </c:pt>
                <c:pt idx="195">
                  <c:v>301.77999999999997</c:v>
                </c:pt>
                <c:pt idx="196">
                  <c:v>302.62</c:v>
                </c:pt>
                <c:pt idx="197">
                  <c:v>307.99</c:v>
                </c:pt>
                <c:pt idx="198">
                  <c:v>307.94</c:v>
                </c:pt>
                <c:pt idx="199">
                  <c:v>309.18</c:v>
                </c:pt>
                <c:pt idx="200">
                  <c:v>310.48</c:v>
                </c:pt>
                <c:pt idx="201">
                  <c:v>312.67</c:v>
                </c:pt>
                <c:pt idx="202">
                  <c:v>310.74</c:v>
                </c:pt>
                <c:pt idx="203">
                  <c:v>309.24</c:v>
                </c:pt>
                <c:pt idx="204">
                  <c:v>308.66000000000003</c:v>
                </c:pt>
                <c:pt idx="205">
                  <c:v>303.18</c:v>
                </c:pt>
                <c:pt idx="206">
                  <c:v>303.32</c:v>
                </c:pt>
                <c:pt idx="207">
                  <c:v>300.45</c:v>
                </c:pt>
                <c:pt idx="208">
                  <c:v>300.98</c:v>
                </c:pt>
                <c:pt idx="209">
                  <c:v>302.79000000000002</c:v>
                </c:pt>
                <c:pt idx="210">
                  <c:v>303.77999999999997</c:v>
                </c:pt>
                <c:pt idx="211">
                  <c:v>304.56</c:v>
                </c:pt>
                <c:pt idx="212">
                  <c:v>305.08999999999997</c:v>
                </c:pt>
                <c:pt idx="213">
                  <c:v>305.74</c:v>
                </c:pt>
                <c:pt idx="214">
                  <c:v>302.05</c:v>
                </c:pt>
                <c:pt idx="215">
                  <c:v>296.20999999999998</c:v>
                </c:pt>
                <c:pt idx="216">
                  <c:v>291.5</c:v>
                </c:pt>
                <c:pt idx="217">
                  <c:v>294.97000000000003</c:v>
                </c:pt>
                <c:pt idx="218">
                  <c:v>302.47000000000003</c:v>
                </c:pt>
                <c:pt idx="219">
                  <c:v>296.73</c:v>
                </c:pt>
                <c:pt idx="220">
                  <c:v>302.72000000000003</c:v>
                </c:pt>
                <c:pt idx="221">
                  <c:v>304.22000000000003</c:v>
                </c:pt>
                <c:pt idx="222">
                  <c:v>312.18</c:v>
                </c:pt>
                <c:pt idx="223">
                  <c:v>303.16000000000003</c:v>
                </c:pt>
                <c:pt idx="224">
                  <c:v>309.02999999999997</c:v>
                </c:pt>
                <c:pt idx="225">
                  <c:v>297.95</c:v>
                </c:pt>
                <c:pt idx="226">
                  <c:v>305.67</c:v>
                </c:pt>
                <c:pt idx="227">
                  <c:v>291.35000000000002</c:v>
                </c:pt>
                <c:pt idx="228">
                  <c:v>297.54000000000002</c:v>
                </c:pt>
                <c:pt idx="229">
                  <c:v>294.67</c:v>
                </c:pt>
                <c:pt idx="230">
                  <c:v>292.44</c:v>
                </c:pt>
                <c:pt idx="231">
                  <c:v>296.33</c:v>
                </c:pt>
                <c:pt idx="232">
                  <c:v>293.86</c:v>
                </c:pt>
                <c:pt idx="233">
                  <c:v>294.16000000000003</c:v>
                </c:pt>
                <c:pt idx="234">
                  <c:v>309.24</c:v>
                </c:pt>
                <c:pt idx="235">
                  <c:v>306.7</c:v>
                </c:pt>
                <c:pt idx="236">
                  <c:v>314.73</c:v>
                </c:pt>
                <c:pt idx="237">
                  <c:v>294.31</c:v>
                </c:pt>
                <c:pt idx="238">
                  <c:v>289.05</c:v>
                </c:pt>
                <c:pt idx="239">
                  <c:v>289.89</c:v>
                </c:pt>
                <c:pt idx="240">
                  <c:v>298.93</c:v>
                </c:pt>
                <c:pt idx="241">
                  <c:v>296.33999999999997</c:v>
                </c:pt>
                <c:pt idx="242">
                  <c:v>291.76</c:v>
                </c:pt>
                <c:pt idx="243">
                  <c:v>272.81</c:v>
                </c:pt>
                <c:pt idx="244">
                  <c:v>259.52</c:v>
                </c:pt>
                <c:pt idx="245">
                  <c:v>262.38</c:v>
                </c:pt>
                <c:pt idx="246">
                  <c:v>258.31</c:v>
                </c:pt>
                <c:pt idx="247">
                  <c:v>260.79000000000002</c:v>
                </c:pt>
                <c:pt idx="248">
                  <c:v>256.27999999999997</c:v>
                </c:pt>
                <c:pt idx="249">
                  <c:v>257.16000000000003</c:v>
                </c:pt>
                <c:pt idx="250">
                  <c:v>223.35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A-4072-A351-28D1D05EAA3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251.75699999999998</c:v>
                </c:pt>
                <c:pt idx="20">
                  <c:v>251.08599999999996</c:v>
                </c:pt>
                <c:pt idx="21">
                  <c:v>250.69349999999994</c:v>
                </c:pt>
                <c:pt idx="22">
                  <c:v>250.41849999999994</c:v>
                </c:pt>
                <c:pt idx="23">
                  <c:v>250.06749999999997</c:v>
                </c:pt>
                <c:pt idx="24">
                  <c:v>249.6455</c:v>
                </c:pt>
                <c:pt idx="25">
                  <c:v>249.56899999999996</c:v>
                </c:pt>
                <c:pt idx="26">
                  <c:v>249.42549999999997</c:v>
                </c:pt>
                <c:pt idx="27">
                  <c:v>249.35699999999997</c:v>
                </c:pt>
                <c:pt idx="28">
                  <c:v>249.09699999999998</c:v>
                </c:pt>
                <c:pt idx="29">
                  <c:v>247.39399999999992</c:v>
                </c:pt>
                <c:pt idx="30">
                  <c:v>245.83799999999997</c:v>
                </c:pt>
                <c:pt idx="31">
                  <c:v>244.44199999999995</c:v>
                </c:pt>
                <c:pt idx="32">
                  <c:v>243.72599999999997</c:v>
                </c:pt>
                <c:pt idx="33">
                  <c:v>242.91350000000003</c:v>
                </c:pt>
                <c:pt idx="34">
                  <c:v>242.27000000000004</c:v>
                </c:pt>
                <c:pt idx="35">
                  <c:v>241.57450000000003</c:v>
                </c:pt>
                <c:pt idx="36">
                  <c:v>241.26200000000003</c:v>
                </c:pt>
                <c:pt idx="37">
                  <c:v>240.57600000000002</c:v>
                </c:pt>
                <c:pt idx="38">
                  <c:v>240.35050000000001</c:v>
                </c:pt>
                <c:pt idx="39">
                  <c:v>239.96800000000002</c:v>
                </c:pt>
                <c:pt idx="40">
                  <c:v>239.59050000000002</c:v>
                </c:pt>
                <c:pt idx="41">
                  <c:v>239.36949999999996</c:v>
                </c:pt>
                <c:pt idx="42">
                  <c:v>238.31899999999996</c:v>
                </c:pt>
                <c:pt idx="43">
                  <c:v>237.62899999999999</c:v>
                </c:pt>
                <c:pt idx="44">
                  <c:v>237.23699999999999</c:v>
                </c:pt>
                <c:pt idx="45">
                  <c:v>236.77349999999996</c:v>
                </c:pt>
                <c:pt idx="46">
                  <c:v>236.3475</c:v>
                </c:pt>
                <c:pt idx="47">
                  <c:v>235.83149999999995</c:v>
                </c:pt>
                <c:pt idx="48">
                  <c:v>235.93449999999999</c:v>
                </c:pt>
                <c:pt idx="49">
                  <c:v>237.01950000000002</c:v>
                </c:pt>
                <c:pt idx="50">
                  <c:v>238.18649999999997</c:v>
                </c:pt>
                <c:pt idx="51">
                  <c:v>239.80349999999999</c:v>
                </c:pt>
                <c:pt idx="52">
                  <c:v>240.74499999999998</c:v>
                </c:pt>
                <c:pt idx="53">
                  <c:v>241.72750000000002</c:v>
                </c:pt>
                <c:pt idx="54">
                  <c:v>242.63799999999998</c:v>
                </c:pt>
                <c:pt idx="55">
                  <c:v>243.61449999999996</c:v>
                </c:pt>
                <c:pt idx="56">
                  <c:v>244.47049999999996</c:v>
                </c:pt>
                <c:pt idx="57">
                  <c:v>245.87599999999998</c:v>
                </c:pt>
                <c:pt idx="58">
                  <c:v>247.27350000000001</c:v>
                </c:pt>
                <c:pt idx="59">
                  <c:v>248.88299999999998</c:v>
                </c:pt>
                <c:pt idx="60">
                  <c:v>250.18549999999999</c:v>
                </c:pt>
                <c:pt idx="61">
                  <c:v>250.95499999999998</c:v>
                </c:pt>
                <c:pt idx="62">
                  <c:v>252.40699999999998</c:v>
                </c:pt>
                <c:pt idx="63">
                  <c:v>253.71799999999999</c:v>
                </c:pt>
                <c:pt idx="64">
                  <c:v>255.07150000000001</c:v>
                </c:pt>
                <c:pt idx="65">
                  <c:v>256.11399999999992</c:v>
                </c:pt>
                <c:pt idx="66">
                  <c:v>256.95749999999992</c:v>
                </c:pt>
                <c:pt idx="67">
                  <c:v>257.92749999999995</c:v>
                </c:pt>
                <c:pt idx="68">
                  <c:v>258.84499999999997</c:v>
                </c:pt>
                <c:pt idx="69">
                  <c:v>259.64599999999996</c:v>
                </c:pt>
                <c:pt idx="70">
                  <c:v>260.46600000000001</c:v>
                </c:pt>
                <c:pt idx="71">
                  <c:v>261.14049999999992</c:v>
                </c:pt>
                <c:pt idx="72">
                  <c:v>261.87699999999995</c:v>
                </c:pt>
                <c:pt idx="73">
                  <c:v>263.02100000000002</c:v>
                </c:pt>
                <c:pt idx="74">
                  <c:v>264.14849999999996</c:v>
                </c:pt>
                <c:pt idx="75">
                  <c:v>265.29499999999996</c:v>
                </c:pt>
                <c:pt idx="76">
                  <c:v>266.45549999999997</c:v>
                </c:pt>
                <c:pt idx="77">
                  <c:v>266.98249999999996</c:v>
                </c:pt>
                <c:pt idx="78">
                  <c:v>267.73599999999999</c:v>
                </c:pt>
                <c:pt idx="79">
                  <c:v>268.46799999999996</c:v>
                </c:pt>
                <c:pt idx="80">
                  <c:v>269.28100000000001</c:v>
                </c:pt>
                <c:pt idx="81">
                  <c:v>270.286</c:v>
                </c:pt>
                <c:pt idx="82">
                  <c:v>271.82650000000007</c:v>
                </c:pt>
                <c:pt idx="83">
                  <c:v>273.58450000000005</c:v>
                </c:pt>
                <c:pt idx="84">
                  <c:v>274.97600000000006</c:v>
                </c:pt>
                <c:pt idx="85">
                  <c:v>276.5605000000001</c:v>
                </c:pt>
                <c:pt idx="86">
                  <c:v>278.11100000000005</c:v>
                </c:pt>
                <c:pt idx="87">
                  <c:v>279.89700000000005</c:v>
                </c:pt>
                <c:pt idx="88">
                  <c:v>281.26200000000006</c:v>
                </c:pt>
                <c:pt idx="89">
                  <c:v>282.3845</c:v>
                </c:pt>
                <c:pt idx="90">
                  <c:v>283.70699999999999</c:v>
                </c:pt>
                <c:pt idx="91">
                  <c:v>284.98750000000001</c:v>
                </c:pt>
                <c:pt idx="92">
                  <c:v>286.06499999999994</c:v>
                </c:pt>
                <c:pt idx="93">
                  <c:v>286.96799999999996</c:v>
                </c:pt>
                <c:pt idx="94">
                  <c:v>287.52750000000003</c:v>
                </c:pt>
                <c:pt idx="95">
                  <c:v>287.63100000000003</c:v>
                </c:pt>
                <c:pt idx="96">
                  <c:v>287.76900000000001</c:v>
                </c:pt>
                <c:pt idx="97">
                  <c:v>288.04300000000001</c:v>
                </c:pt>
                <c:pt idx="98">
                  <c:v>288.04750000000001</c:v>
                </c:pt>
                <c:pt idx="99">
                  <c:v>287.995</c:v>
                </c:pt>
                <c:pt idx="100">
                  <c:v>288.12800000000004</c:v>
                </c:pt>
                <c:pt idx="101">
                  <c:v>288.315</c:v>
                </c:pt>
                <c:pt idx="102">
                  <c:v>287.95400000000001</c:v>
                </c:pt>
                <c:pt idx="103">
                  <c:v>287.36500000000001</c:v>
                </c:pt>
                <c:pt idx="104">
                  <c:v>285.83749999999998</c:v>
                </c:pt>
                <c:pt idx="105">
                  <c:v>284.22700000000003</c:v>
                </c:pt>
                <c:pt idx="106">
                  <c:v>282.90250000000003</c:v>
                </c:pt>
                <c:pt idx="107">
                  <c:v>281.28399999999999</c:v>
                </c:pt>
                <c:pt idx="108">
                  <c:v>279.73700000000002</c:v>
                </c:pt>
                <c:pt idx="109">
                  <c:v>278.012</c:v>
                </c:pt>
                <c:pt idx="110">
                  <c:v>275.91600000000005</c:v>
                </c:pt>
                <c:pt idx="111">
                  <c:v>273.89150000000001</c:v>
                </c:pt>
                <c:pt idx="112">
                  <c:v>271.904</c:v>
                </c:pt>
                <c:pt idx="113">
                  <c:v>270.01100000000002</c:v>
                </c:pt>
                <c:pt idx="114">
                  <c:v>268.14749999999998</c:v>
                </c:pt>
                <c:pt idx="115">
                  <c:v>266.08150000000006</c:v>
                </c:pt>
                <c:pt idx="116">
                  <c:v>263.70700000000005</c:v>
                </c:pt>
                <c:pt idx="117">
                  <c:v>261.31050000000005</c:v>
                </c:pt>
                <c:pt idx="118">
                  <c:v>259.21800000000007</c:v>
                </c:pt>
                <c:pt idx="119">
                  <c:v>256.9735</c:v>
                </c:pt>
                <c:pt idx="120">
                  <c:v>254.66600000000003</c:v>
                </c:pt>
                <c:pt idx="121">
                  <c:v>252.40300000000002</c:v>
                </c:pt>
                <c:pt idx="122">
                  <c:v>250.369</c:v>
                </c:pt>
                <c:pt idx="123">
                  <c:v>248.39600000000002</c:v>
                </c:pt>
                <c:pt idx="124">
                  <c:v>247.34050000000002</c:v>
                </c:pt>
                <c:pt idx="125">
                  <c:v>246.459</c:v>
                </c:pt>
                <c:pt idx="126">
                  <c:v>245.27000000000004</c:v>
                </c:pt>
                <c:pt idx="127">
                  <c:v>244.28100000000003</c:v>
                </c:pt>
                <c:pt idx="128">
                  <c:v>243.51000000000005</c:v>
                </c:pt>
                <c:pt idx="129">
                  <c:v>243.13899999999998</c:v>
                </c:pt>
                <c:pt idx="130">
                  <c:v>242.81099999999998</c:v>
                </c:pt>
                <c:pt idx="131">
                  <c:v>242.28699999999998</c:v>
                </c:pt>
                <c:pt idx="132">
                  <c:v>241.95850000000004</c:v>
                </c:pt>
                <c:pt idx="133">
                  <c:v>241.70350000000008</c:v>
                </c:pt>
                <c:pt idx="134">
                  <c:v>241.62200000000001</c:v>
                </c:pt>
                <c:pt idx="135">
                  <c:v>242.31300000000002</c:v>
                </c:pt>
                <c:pt idx="136">
                  <c:v>243.45349999999999</c:v>
                </c:pt>
                <c:pt idx="137">
                  <c:v>244.55899999999997</c:v>
                </c:pt>
                <c:pt idx="138">
                  <c:v>245.40600000000001</c:v>
                </c:pt>
                <c:pt idx="139">
                  <c:v>246.22250000000003</c:v>
                </c:pt>
                <c:pt idx="140">
                  <c:v>247.04849999999996</c:v>
                </c:pt>
                <c:pt idx="141">
                  <c:v>247.95199999999994</c:v>
                </c:pt>
                <c:pt idx="142">
                  <c:v>248.84200000000001</c:v>
                </c:pt>
                <c:pt idx="143">
                  <c:v>249.96450000000004</c:v>
                </c:pt>
                <c:pt idx="144">
                  <c:v>251.31450000000004</c:v>
                </c:pt>
                <c:pt idx="145">
                  <c:v>252.77850000000004</c:v>
                </c:pt>
                <c:pt idx="146">
                  <c:v>254.41900000000001</c:v>
                </c:pt>
                <c:pt idx="147">
                  <c:v>255.66399999999999</c:v>
                </c:pt>
                <c:pt idx="148">
                  <c:v>257.49399999999997</c:v>
                </c:pt>
                <c:pt idx="149">
                  <c:v>259.423</c:v>
                </c:pt>
                <c:pt idx="150">
                  <c:v>261.23849999999999</c:v>
                </c:pt>
                <c:pt idx="151">
                  <c:v>263.27149999999995</c:v>
                </c:pt>
                <c:pt idx="152">
                  <c:v>265.39099999999996</c:v>
                </c:pt>
                <c:pt idx="153">
                  <c:v>267.36799999999999</c:v>
                </c:pt>
                <c:pt idx="154">
                  <c:v>269.36</c:v>
                </c:pt>
                <c:pt idx="155">
                  <c:v>271.0265</c:v>
                </c:pt>
                <c:pt idx="156">
                  <c:v>272.76449999999994</c:v>
                </c:pt>
                <c:pt idx="157">
                  <c:v>274.39350000000002</c:v>
                </c:pt>
                <c:pt idx="158">
                  <c:v>275.9545</c:v>
                </c:pt>
                <c:pt idx="159">
                  <c:v>277.17349999999999</c:v>
                </c:pt>
                <c:pt idx="160">
                  <c:v>278.22249999999997</c:v>
                </c:pt>
                <c:pt idx="161">
                  <c:v>279.15399999999994</c:v>
                </c:pt>
                <c:pt idx="162">
                  <c:v>280.23749999999995</c:v>
                </c:pt>
                <c:pt idx="163">
                  <c:v>280.78599999999994</c:v>
                </c:pt>
                <c:pt idx="164">
                  <c:v>281.53000000000003</c:v>
                </c:pt>
                <c:pt idx="165">
                  <c:v>282.14399999999995</c:v>
                </c:pt>
                <c:pt idx="166">
                  <c:v>282.6345</c:v>
                </c:pt>
                <c:pt idx="167">
                  <c:v>283.63350000000003</c:v>
                </c:pt>
                <c:pt idx="168">
                  <c:v>283.81149999999997</c:v>
                </c:pt>
                <c:pt idx="169">
                  <c:v>284.96899999999999</c:v>
                </c:pt>
                <c:pt idx="170">
                  <c:v>286.63350000000003</c:v>
                </c:pt>
                <c:pt idx="171">
                  <c:v>288.154</c:v>
                </c:pt>
                <c:pt idx="172">
                  <c:v>289.24</c:v>
                </c:pt>
                <c:pt idx="173">
                  <c:v>290.40700000000004</c:v>
                </c:pt>
                <c:pt idx="174">
                  <c:v>291.35900000000004</c:v>
                </c:pt>
                <c:pt idx="175">
                  <c:v>292.12450000000001</c:v>
                </c:pt>
                <c:pt idx="176">
                  <c:v>292.47350000000006</c:v>
                </c:pt>
                <c:pt idx="177">
                  <c:v>293.33900000000006</c:v>
                </c:pt>
                <c:pt idx="178">
                  <c:v>294.54850000000005</c:v>
                </c:pt>
                <c:pt idx="179">
                  <c:v>295.9765000000001</c:v>
                </c:pt>
                <c:pt idx="180">
                  <c:v>297.57200000000012</c:v>
                </c:pt>
                <c:pt idx="181">
                  <c:v>299.45050000000003</c:v>
                </c:pt>
                <c:pt idx="182">
                  <c:v>301.16200000000009</c:v>
                </c:pt>
                <c:pt idx="183">
                  <c:v>302.60649999999998</c:v>
                </c:pt>
                <c:pt idx="184">
                  <c:v>303.82699999999994</c:v>
                </c:pt>
                <c:pt idx="185">
                  <c:v>304.50299999999999</c:v>
                </c:pt>
                <c:pt idx="186">
                  <c:v>304.89800000000002</c:v>
                </c:pt>
                <c:pt idx="187">
                  <c:v>304.94899999999996</c:v>
                </c:pt>
                <c:pt idx="188">
                  <c:v>305.21899999999994</c:v>
                </c:pt>
                <c:pt idx="189">
                  <c:v>304.71799999999996</c:v>
                </c:pt>
                <c:pt idx="190">
                  <c:v>304.26949999999994</c:v>
                </c:pt>
                <c:pt idx="191">
                  <c:v>303.86499999999995</c:v>
                </c:pt>
                <c:pt idx="192">
                  <c:v>303.61500000000001</c:v>
                </c:pt>
                <c:pt idx="193">
                  <c:v>303.54100000000005</c:v>
                </c:pt>
                <c:pt idx="194">
                  <c:v>303.45399999999995</c:v>
                </c:pt>
                <c:pt idx="195">
                  <c:v>303.30649999999997</c:v>
                </c:pt>
                <c:pt idx="196">
                  <c:v>303.39500000000004</c:v>
                </c:pt>
                <c:pt idx="197">
                  <c:v>303.45600000000002</c:v>
                </c:pt>
                <c:pt idx="198">
                  <c:v>303.23199999999991</c:v>
                </c:pt>
                <c:pt idx="199">
                  <c:v>303.37199999999996</c:v>
                </c:pt>
                <c:pt idx="200">
                  <c:v>303.43949999999995</c:v>
                </c:pt>
                <c:pt idx="201">
                  <c:v>303.387</c:v>
                </c:pt>
                <c:pt idx="202">
                  <c:v>303.17500000000001</c:v>
                </c:pt>
                <c:pt idx="203">
                  <c:v>303.39399999999995</c:v>
                </c:pt>
                <c:pt idx="204">
                  <c:v>303.5424999999999</c:v>
                </c:pt>
                <c:pt idx="205">
                  <c:v>303.84299999999996</c:v>
                </c:pt>
                <c:pt idx="206">
                  <c:v>304.51149999999996</c:v>
                </c:pt>
                <c:pt idx="207">
                  <c:v>305.10749999999996</c:v>
                </c:pt>
                <c:pt idx="208">
                  <c:v>305.63649999999996</c:v>
                </c:pt>
                <c:pt idx="209">
                  <c:v>305.90399999999994</c:v>
                </c:pt>
                <c:pt idx="210">
                  <c:v>305.887</c:v>
                </c:pt>
                <c:pt idx="211">
                  <c:v>305.89099999999996</c:v>
                </c:pt>
                <c:pt idx="212">
                  <c:v>305.98500000000001</c:v>
                </c:pt>
                <c:pt idx="213">
                  <c:v>305.84299999999996</c:v>
                </c:pt>
                <c:pt idx="214">
                  <c:v>305.66199999999998</c:v>
                </c:pt>
                <c:pt idx="215">
                  <c:v>305.38350000000003</c:v>
                </c:pt>
                <c:pt idx="216">
                  <c:v>304.82749999999999</c:v>
                </c:pt>
                <c:pt idx="217">
                  <c:v>304.17650000000003</c:v>
                </c:pt>
                <c:pt idx="218">
                  <c:v>303.90300000000002</c:v>
                </c:pt>
                <c:pt idx="219">
                  <c:v>303.28050000000002</c:v>
                </c:pt>
                <c:pt idx="220">
                  <c:v>302.89250000000004</c:v>
                </c:pt>
                <c:pt idx="221">
                  <c:v>302.47000000000008</c:v>
                </c:pt>
                <c:pt idx="222">
                  <c:v>302.54200000000009</c:v>
                </c:pt>
                <c:pt idx="223">
                  <c:v>302.23800000000011</c:v>
                </c:pt>
                <c:pt idx="224">
                  <c:v>302.25650000000007</c:v>
                </c:pt>
                <c:pt idx="225">
                  <c:v>301.99500000000006</c:v>
                </c:pt>
                <c:pt idx="226">
                  <c:v>302.11250000000001</c:v>
                </c:pt>
                <c:pt idx="227">
                  <c:v>301.65750000000003</c:v>
                </c:pt>
                <c:pt idx="228">
                  <c:v>301.4855</c:v>
                </c:pt>
                <c:pt idx="229">
                  <c:v>301.0795</c:v>
                </c:pt>
                <c:pt idx="230">
                  <c:v>300.51249999999999</c:v>
                </c:pt>
                <c:pt idx="231">
                  <c:v>300.101</c:v>
                </c:pt>
                <c:pt idx="232">
                  <c:v>299.53949999999998</c:v>
                </c:pt>
                <c:pt idx="233">
                  <c:v>298.96049999999997</c:v>
                </c:pt>
                <c:pt idx="234">
                  <c:v>299.31999999999994</c:v>
                </c:pt>
                <c:pt idx="235">
                  <c:v>299.84449999999987</c:v>
                </c:pt>
                <c:pt idx="236">
                  <c:v>301.00599999999997</c:v>
                </c:pt>
                <c:pt idx="237">
                  <c:v>300.97300000000001</c:v>
                </c:pt>
                <c:pt idx="238">
                  <c:v>300.30200000000002</c:v>
                </c:pt>
                <c:pt idx="239">
                  <c:v>299.96000000000009</c:v>
                </c:pt>
                <c:pt idx="240">
                  <c:v>299.77050000000003</c:v>
                </c:pt>
                <c:pt idx="241">
                  <c:v>299.37650000000008</c:v>
                </c:pt>
                <c:pt idx="242">
                  <c:v>298.35550000000006</c:v>
                </c:pt>
                <c:pt idx="243">
                  <c:v>296.83800000000008</c:v>
                </c:pt>
                <c:pt idx="244">
                  <c:v>294.36250000000007</c:v>
                </c:pt>
                <c:pt idx="245">
                  <c:v>292.58400000000006</c:v>
                </c:pt>
                <c:pt idx="246">
                  <c:v>290.21600000000007</c:v>
                </c:pt>
                <c:pt idx="247">
                  <c:v>288.68800000000005</c:v>
                </c:pt>
                <c:pt idx="248">
                  <c:v>286.625</c:v>
                </c:pt>
                <c:pt idx="249">
                  <c:v>284.74950000000001</c:v>
                </c:pt>
                <c:pt idx="250">
                  <c:v>281.29500000000002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A-4072-A351-28D1D05EAA3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Data!$L$2:$L$252</c:f>
              <c:numCache>
                <c:formatCode>General</c:formatCode>
                <c:ptCount val="251"/>
                <c:pt idx="19">
                  <c:v>262.13450218400106</c:v>
                </c:pt>
                <c:pt idx="20">
                  <c:v>260.39019577112219</c:v>
                </c:pt>
                <c:pt idx="21">
                  <c:v>259.46084197252264</c:v>
                </c:pt>
                <c:pt idx="22">
                  <c:v>258.84453552905165</c:v>
                </c:pt>
                <c:pt idx="23">
                  <c:v>258.5847737793016</c:v>
                </c:pt>
                <c:pt idx="24">
                  <c:v>258.4975933593193</c:v>
                </c:pt>
                <c:pt idx="25">
                  <c:v>258.42772249314345</c:v>
                </c:pt>
                <c:pt idx="26">
                  <c:v>258.12748156501692</c:v>
                </c:pt>
                <c:pt idx="27">
                  <c:v>258.01666110920718</c:v>
                </c:pt>
                <c:pt idx="28">
                  <c:v>258.14454715233273</c:v>
                </c:pt>
                <c:pt idx="29">
                  <c:v>259.03140141006338</c:v>
                </c:pt>
                <c:pt idx="30">
                  <c:v>260.14049532884309</c:v>
                </c:pt>
                <c:pt idx="31">
                  <c:v>262.43873958775509</c:v>
                </c:pt>
                <c:pt idx="32">
                  <c:v>261.99110898724092</c:v>
                </c:pt>
                <c:pt idx="33">
                  <c:v>262.20692323176479</c:v>
                </c:pt>
                <c:pt idx="34">
                  <c:v>261.65822974465641</c:v>
                </c:pt>
                <c:pt idx="35">
                  <c:v>260.33437372306287</c:v>
                </c:pt>
                <c:pt idx="36">
                  <c:v>259.8523014895855</c:v>
                </c:pt>
                <c:pt idx="37">
                  <c:v>258.45168109854399</c:v>
                </c:pt>
                <c:pt idx="38">
                  <c:v>258.19419028978859</c:v>
                </c:pt>
                <c:pt idx="39">
                  <c:v>257.82199922765352</c:v>
                </c:pt>
                <c:pt idx="40">
                  <c:v>257.00319527793175</c:v>
                </c:pt>
                <c:pt idx="41">
                  <c:v>256.33778555679214</c:v>
                </c:pt>
                <c:pt idx="42">
                  <c:v>255.02702882953042</c:v>
                </c:pt>
                <c:pt idx="43">
                  <c:v>254.10308158928825</c:v>
                </c:pt>
                <c:pt idx="44">
                  <c:v>253.44371089070009</c:v>
                </c:pt>
                <c:pt idx="45">
                  <c:v>252.11163173965971</c:v>
                </c:pt>
                <c:pt idx="46">
                  <c:v>250.52876692432474</c:v>
                </c:pt>
                <c:pt idx="47">
                  <c:v>248.60538005184588</c:v>
                </c:pt>
                <c:pt idx="48">
                  <c:v>248.99832304808123</c:v>
                </c:pt>
                <c:pt idx="49">
                  <c:v>250.71599740089167</c:v>
                </c:pt>
                <c:pt idx="50">
                  <c:v>251.82799748686739</c:v>
                </c:pt>
                <c:pt idx="51">
                  <c:v>252.51759541042</c:v>
                </c:pt>
                <c:pt idx="52">
                  <c:v>254.77837600526911</c:v>
                </c:pt>
                <c:pt idx="53">
                  <c:v>255.20103878416586</c:v>
                </c:pt>
                <c:pt idx="54">
                  <c:v>256.77855102030662</c:v>
                </c:pt>
                <c:pt idx="55">
                  <c:v>259.32490751255438</c:v>
                </c:pt>
                <c:pt idx="56">
                  <c:v>261.33545896978791</c:v>
                </c:pt>
                <c:pt idx="57">
                  <c:v>265.17947598913617</c:v>
                </c:pt>
                <c:pt idx="58">
                  <c:v>268.38532185661063</c:v>
                </c:pt>
                <c:pt idx="59">
                  <c:v>271.31361732730977</c:v>
                </c:pt>
                <c:pt idx="60">
                  <c:v>273.6651121863427</c:v>
                </c:pt>
                <c:pt idx="61">
                  <c:v>274.79133714355146</c:v>
                </c:pt>
                <c:pt idx="62">
                  <c:v>274.14218912537427</c:v>
                </c:pt>
                <c:pt idx="63">
                  <c:v>273.44486610477674</c:v>
                </c:pt>
                <c:pt idx="64">
                  <c:v>273.39039708815233</c:v>
                </c:pt>
                <c:pt idx="65">
                  <c:v>272.99177910059313</c:v>
                </c:pt>
                <c:pt idx="66">
                  <c:v>272.45737962601805</c:v>
                </c:pt>
                <c:pt idx="67">
                  <c:v>271.12693200532345</c:v>
                </c:pt>
                <c:pt idx="68">
                  <c:v>270.92544004078275</c:v>
                </c:pt>
                <c:pt idx="69">
                  <c:v>271.13826449216577</c:v>
                </c:pt>
                <c:pt idx="70">
                  <c:v>271.10457806090153</c:v>
                </c:pt>
                <c:pt idx="71">
                  <c:v>271.59373314376433</c:v>
                </c:pt>
                <c:pt idx="72">
                  <c:v>272.32912061082141</c:v>
                </c:pt>
                <c:pt idx="73">
                  <c:v>272.60324871970647</c:v>
                </c:pt>
                <c:pt idx="74">
                  <c:v>274.39177101333507</c:v>
                </c:pt>
                <c:pt idx="75">
                  <c:v>277.80162729578956</c:v>
                </c:pt>
                <c:pt idx="76">
                  <c:v>280.27961390517152</c:v>
                </c:pt>
                <c:pt idx="77">
                  <c:v>281.62219783265959</c:v>
                </c:pt>
                <c:pt idx="78">
                  <c:v>283.80864482214878</c:v>
                </c:pt>
                <c:pt idx="79">
                  <c:v>285.9422813721676</c:v>
                </c:pt>
                <c:pt idx="80">
                  <c:v>287.93134375300531</c:v>
                </c:pt>
                <c:pt idx="81">
                  <c:v>289.19244601855758</c:v>
                </c:pt>
                <c:pt idx="82">
                  <c:v>291.64374105817706</c:v>
                </c:pt>
                <c:pt idx="83">
                  <c:v>294.67014438065314</c:v>
                </c:pt>
                <c:pt idx="84">
                  <c:v>296.8431726086099</c:v>
                </c:pt>
                <c:pt idx="85">
                  <c:v>298.52409904837776</c:v>
                </c:pt>
                <c:pt idx="86">
                  <c:v>299.12031713111571</c:v>
                </c:pt>
                <c:pt idx="87">
                  <c:v>300.1466431157636</c:v>
                </c:pt>
                <c:pt idx="88">
                  <c:v>300.63271865090798</c:v>
                </c:pt>
                <c:pt idx="89">
                  <c:v>300.38997340759414</c:v>
                </c:pt>
                <c:pt idx="90">
                  <c:v>300.32928320500429</c:v>
                </c:pt>
                <c:pt idx="91">
                  <c:v>300.01450428877087</c:v>
                </c:pt>
                <c:pt idx="92">
                  <c:v>299.19687924980951</c:v>
                </c:pt>
                <c:pt idx="93">
                  <c:v>298.42810856933966</c:v>
                </c:pt>
                <c:pt idx="94">
                  <c:v>297.81494329139582</c:v>
                </c:pt>
                <c:pt idx="95">
                  <c:v>297.70336114063474</c:v>
                </c:pt>
                <c:pt idx="96">
                  <c:v>297.53142398716955</c:v>
                </c:pt>
                <c:pt idx="97">
                  <c:v>296.81628744722178</c:v>
                </c:pt>
                <c:pt idx="98">
                  <c:v>296.80745163408903</c:v>
                </c:pt>
                <c:pt idx="99">
                  <c:v>296.89256560437804</c:v>
                </c:pt>
                <c:pt idx="100">
                  <c:v>296.8010959688113</c:v>
                </c:pt>
                <c:pt idx="101">
                  <c:v>296.48495393918603</c:v>
                </c:pt>
                <c:pt idx="102">
                  <c:v>296.58789989335185</c:v>
                </c:pt>
                <c:pt idx="103">
                  <c:v>295.92954011423973</c:v>
                </c:pt>
                <c:pt idx="104">
                  <c:v>300.41427875757768</c:v>
                </c:pt>
                <c:pt idx="105">
                  <c:v>302.59414927885052</c:v>
                </c:pt>
                <c:pt idx="106">
                  <c:v>303.31455719537769</c:v>
                </c:pt>
                <c:pt idx="107">
                  <c:v>302.83234994293434</c:v>
                </c:pt>
                <c:pt idx="108">
                  <c:v>302.68495677179129</c:v>
                </c:pt>
                <c:pt idx="109">
                  <c:v>303.50144846711862</c:v>
                </c:pt>
                <c:pt idx="110">
                  <c:v>303.38968225851983</c:v>
                </c:pt>
                <c:pt idx="111">
                  <c:v>302.18410812892375</c:v>
                </c:pt>
                <c:pt idx="112">
                  <c:v>300.88415320870473</c:v>
                </c:pt>
                <c:pt idx="113">
                  <c:v>298.92162372572631</c:v>
                </c:pt>
                <c:pt idx="114">
                  <c:v>297.13516625199139</c:v>
                </c:pt>
                <c:pt idx="115">
                  <c:v>296.29881763845299</c:v>
                </c:pt>
                <c:pt idx="116">
                  <c:v>295.48829744627216</c:v>
                </c:pt>
                <c:pt idx="117">
                  <c:v>294.26818673218503</c:v>
                </c:pt>
                <c:pt idx="118">
                  <c:v>291.97975408195231</c:v>
                </c:pt>
                <c:pt idx="119">
                  <c:v>289.31157615603752</c:v>
                </c:pt>
                <c:pt idx="120">
                  <c:v>284.83570414871605</c:v>
                </c:pt>
                <c:pt idx="121">
                  <c:v>279.74090050846127</c:v>
                </c:pt>
                <c:pt idx="122">
                  <c:v>274.28695440998024</c:v>
                </c:pt>
                <c:pt idx="123">
                  <c:v>267.31107268653341</c:v>
                </c:pt>
                <c:pt idx="124">
                  <c:v>265.75875350312197</c:v>
                </c:pt>
                <c:pt idx="125">
                  <c:v>264.05162512950722</c:v>
                </c:pt>
                <c:pt idx="126">
                  <c:v>261.23485350288007</c:v>
                </c:pt>
                <c:pt idx="127">
                  <c:v>258.07872048297531</c:v>
                </c:pt>
                <c:pt idx="128">
                  <c:v>255.09389444557902</c:v>
                </c:pt>
                <c:pt idx="129">
                  <c:v>253.86655801907548</c:v>
                </c:pt>
                <c:pt idx="130">
                  <c:v>253.03833159621544</c:v>
                </c:pt>
                <c:pt idx="131">
                  <c:v>251.56627651444757</c:v>
                </c:pt>
                <c:pt idx="132">
                  <c:v>250.41710079259104</c:v>
                </c:pt>
                <c:pt idx="133">
                  <c:v>249.09172469951525</c:v>
                </c:pt>
                <c:pt idx="134">
                  <c:v>248.6443510832799</c:v>
                </c:pt>
                <c:pt idx="135">
                  <c:v>251.86719136460951</c:v>
                </c:pt>
                <c:pt idx="136">
                  <c:v>255.18344777212764</c:v>
                </c:pt>
                <c:pt idx="137">
                  <c:v>256.98973931831887</c:v>
                </c:pt>
                <c:pt idx="138">
                  <c:v>258.81859172725785</c:v>
                </c:pt>
                <c:pt idx="139">
                  <c:v>259.49615237485227</c:v>
                </c:pt>
                <c:pt idx="140">
                  <c:v>260.66987681425002</c:v>
                </c:pt>
                <c:pt idx="141">
                  <c:v>261.8456783807373</c:v>
                </c:pt>
                <c:pt idx="142">
                  <c:v>263.20853802197462</c:v>
                </c:pt>
                <c:pt idx="143">
                  <c:v>265.70368539321862</c:v>
                </c:pt>
                <c:pt idx="144">
                  <c:v>267.84992477929069</c:v>
                </c:pt>
                <c:pt idx="145">
                  <c:v>270.97631395199932</c:v>
                </c:pt>
                <c:pt idx="146">
                  <c:v>273.44670711080914</c:v>
                </c:pt>
                <c:pt idx="147">
                  <c:v>274.70231084944248</c:v>
                </c:pt>
                <c:pt idx="148">
                  <c:v>279.02457693509149</c:v>
                </c:pt>
                <c:pt idx="149">
                  <c:v>283.30085858334695</c:v>
                </c:pt>
                <c:pt idx="150">
                  <c:v>285.53345704657113</c:v>
                </c:pt>
                <c:pt idx="151">
                  <c:v>287.41624969625354</c:v>
                </c:pt>
                <c:pt idx="152">
                  <c:v>289.88937451106113</c:v>
                </c:pt>
                <c:pt idx="153">
                  <c:v>292.0594616394967</c:v>
                </c:pt>
                <c:pt idx="154">
                  <c:v>294.08065746017206</c:v>
                </c:pt>
                <c:pt idx="155">
                  <c:v>296.46390741092682</c:v>
                </c:pt>
                <c:pt idx="156">
                  <c:v>299.49100052899394</c:v>
                </c:pt>
                <c:pt idx="157">
                  <c:v>301.01483001145789</c:v>
                </c:pt>
                <c:pt idx="158">
                  <c:v>301.93761392950591</c:v>
                </c:pt>
                <c:pt idx="159">
                  <c:v>300.89863060249115</c:v>
                </c:pt>
                <c:pt idx="160">
                  <c:v>299.80939356262752</c:v>
                </c:pt>
                <c:pt idx="161">
                  <c:v>298.46758551028671</c:v>
                </c:pt>
                <c:pt idx="162">
                  <c:v>297.08306212056738</c:v>
                </c:pt>
                <c:pt idx="163">
                  <c:v>296.19573499550131</c:v>
                </c:pt>
                <c:pt idx="164">
                  <c:v>295.37235300959003</c:v>
                </c:pt>
                <c:pt idx="165">
                  <c:v>295.15314560890465</c:v>
                </c:pt>
                <c:pt idx="166">
                  <c:v>294.78260095620323</c:v>
                </c:pt>
                <c:pt idx="167">
                  <c:v>293.65087705978442</c:v>
                </c:pt>
                <c:pt idx="168">
                  <c:v>293.79121052211747</c:v>
                </c:pt>
                <c:pt idx="169">
                  <c:v>299.51678970370267</c:v>
                </c:pt>
                <c:pt idx="170">
                  <c:v>305.62902443132469</c:v>
                </c:pt>
                <c:pt idx="171">
                  <c:v>310.25612507048993</c:v>
                </c:pt>
                <c:pt idx="172">
                  <c:v>313.06515256481777</c:v>
                </c:pt>
                <c:pt idx="173">
                  <c:v>315.93784499807617</c:v>
                </c:pt>
                <c:pt idx="174">
                  <c:v>317.96723291666268</c:v>
                </c:pt>
                <c:pt idx="175">
                  <c:v>319.37111213126468</c:v>
                </c:pt>
                <c:pt idx="176">
                  <c:v>319.99171006648436</c:v>
                </c:pt>
                <c:pt idx="177">
                  <c:v>321.53856468495667</c:v>
                </c:pt>
                <c:pt idx="178">
                  <c:v>323.87783955866331</c:v>
                </c:pt>
                <c:pt idx="179">
                  <c:v>324.65018591950695</c:v>
                </c:pt>
                <c:pt idx="180">
                  <c:v>325.3896472575841</c:v>
                </c:pt>
                <c:pt idx="181">
                  <c:v>326.23200459591573</c:v>
                </c:pt>
                <c:pt idx="182">
                  <c:v>327.2783579309779</c:v>
                </c:pt>
                <c:pt idx="183">
                  <c:v>325.89919799744115</c:v>
                </c:pt>
                <c:pt idx="184">
                  <c:v>324.86334659095382</c:v>
                </c:pt>
                <c:pt idx="185">
                  <c:v>323.58769885867514</c:v>
                </c:pt>
                <c:pt idx="186">
                  <c:v>322.27677907406803</c:v>
                </c:pt>
                <c:pt idx="187">
                  <c:v>322.11764449175325</c:v>
                </c:pt>
                <c:pt idx="188">
                  <c:v>321.19512679495313</c:v>
                </c:pt>
                <c:pt idx="189">
                  <c:v>321.02327664027166</c:v>
                </c:pt>
                <c:pt idx="190">
                  <c:v>320.09146271675939</c:v>
                </c:pt>
                <c:pt idx="191">
                  <c:v>319.19960139684105</c:v>
                </c:pt>
                <c:pt idx="192">
                  <c:v>318.81377072591556</c:v>
                </c:pt>
                <c:pt idx="193">
                  <c:v>318.62159875957752</c:v>
                </c:pt>
                <c:pt idx="194">
                  <c:v>318.46051283171477</c:v>
                </c:pt>
                <c:pt idx="195">
                  <c:v>318.31819547561605</c:v>
                </c:pt>
                <c:pt idx="196">
                  <c:v>318.36653439381763</c:v>
                </c:pt>
                <c:pt idx="197">
                  <c:v>318.49522226432572</c:v>
                </c:pt>
                <c:pt idx="198">
                  <c:v>317.83622375817851</c:v>
                </c:pt>
                <c:pt idx="199">
                  <c:v>318.1558654584901</c:v>
                </c:pt>
                <c:pt idx="200">
                  <c:v>318.34587938319657</c:v>
                </c:pt>
                <c:pt idx="201">
                  <c:v>318.14760917299469</c:v>
                </c:pt>
                <c:pt idx="202">
                  <c:v>317.34449354664525</c:v>
                </c:pt>
                <c:pt idx="203">
                  <c:v>317.80645718485442</c:v>
                </c:pt>
                <c:pt idx="204">
                  <c:v>318.11488177259685</c:v>
                </c:pt>
                <c:pt idx="205">
                  <c:v>318.10667945443765</c:v>
                </c:pt>
                <c:pt idx="206">
                  <c:v>317.19982745810927</c:v>
                </c:pt>
                <c:pt idx="207">
                  <c:v>315.5574103496532</c:v>
                </c:pt>
                <c:pt idx="208">
                  <c:v>313.76483711225893</c:v>
                </c:pt>
                <c:pt idx="209">
                  <c:v>313.20678504912223</c:v>
                </c:pt>
                <c:pt idx="210">
                  <c:v>313.2088292221203</c:v>
                </c:pt>
                <c:pt idx="211">
                  <c:v>313.20967948974976</c:v>
                </c:pt>
                <c:pt idx="212">
                  <c:v>313.20633826349314</c:v>
                </c:pt>
                <c:pt idx="213">
                  <c:v>312.96042738857085</c:v>
                </c:pt>
                <c:pt idx="214">
                  <c:v>312.97926322149419</c:v>
                </c:pt>
                <c:pt idx="215">
                  <c:v>313.68118839084593</c:v>
                </c:pt>
                <c:pt idx="216">
                  <c:v>315.14842585606135</c:v>
                </c:pt>
                <c:pt idx="217">
                  <c:v>315.27102264099631</c:v>
                </c:pt>
                <c:pt idx="218">
                  <c:v>314.87590653813919</c:v>
                </c:pt>
                <c:pt idx="219">
                  <c:v>314.40446459995508</c:v>
                </c:pt>
                <c:pt idx="220">
                  <c:v>313.48790888657373</c:v>
                </c:pt>
                <c:pt idx="221">
                  <c:v>312.0489286292472</c:v>
                </c:pt>
                <c:pt idx="222">
                  <c:v>312.40023641749173</c:v>
                </c:pt>
                <c:pt idx="223">
                  <c:v>311.58846657997128</c:v>
                </c:pt>
                <c:pt idx="224">
                  <c:v>311.66176901599096</c:v>
                </c:pt>
                <c:pt idx="225">
                  <c:v>311.58124123693079</c:v>
                </c:pt>
                <c:pt idx="226">
                  <c:v>311.82391460778041</c:v>
                </c:pt>
                <c:pt idx="227">
                  <c:v>312.48540717009575</c:v>
                </c:pt>
                <c:pt idx="228">
                  <c:v>312.46692062519094</c:v>
                </c:pt>
                <c:pt idx="229">
                  <c:v>312.45132756223745</c:v>
                </c:pt>
                <c:pt idx="230">
                  <c:v>312.43489092058121</c:v>
                </c:pt>
                <c:pt idx="231">
                  <c:v>312.00328266474878</c:v>
                </c:pt>
                <c:pt idx="232">
                  <c:v>311.51016497735191</c:v>
                </c:pt>
                <c:pt idx="233">
                  <c:v>310.78774682115073</c:v>
                </c:pt>
                <c:pt idx="234">
                  <c:v>311.95234111735675</c:v>
                </c:pt>
                <c:pt idx="235">
                  <c:v>312.80010431465439</c:v>
                </c:pt>
                <c:pt idx="236">
                  <c:v>314.93999689513686</c:v>
                </c:pt>
                <c:pt idx="237">
                  <c:v>314.97016978911319</c:v>
                </c:pt>
                <c:pt idx="238">
                  <c:v>315.25128774927174</c:v>
                </c:pt>
                <c:pt idx="239">
                  <c:v>315.55248806991779</c:v>
                </c:pt>
                <c:pt idx="240">
                  <c:v>315.31379840359369</c:v>
                </c:pt>
                <c:pt idx="241">
                  <c:v>314.84420935308719</c:v>
                </c:pt>
                <c:pt idx="242">
                  <c:v>312.93501190432733</c:v>
                </c:pt>
                <c:pt idx="243">
                  <c:v>315.15166196960195</c:v>
                </c:pt>
                <c:pt idx="244">
                  <c:v>318.26814687749703</c:v>
                </c:pt>
                <c:pt idx="245">
                  <c:v>320.34720427434399</c:v>
                </c:pt>
                <c:pt idx="246">
                  <c:v>321.17469533494767</c:v>
                </c:pt>
                <c:pt idx="247">
                  <c:v>322.31287087042318</c:v>
                </c:pt>
                <c:pt idx="248">
                  <c:v>322.9199986405261</c:v>
                </c:pt>
                <c:pt idx="249">
                  <c:v>323.11180906556729</c:v>
                </c:pt>
                <c:pt idx="250">
                  <c:v>328.22720306154963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8A-4072-A351-28D1D05EAA3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Data!$M$2:$M$252</c:f>
              <c:numCache>
                <c:formatCode>General</c:formatCode>
                <c:ptCount val="251"/>
                <c:pt idx="19">
                  <c:v>241.37949781599889</c:v>
                </c:pt>
                <c:pt idx="20">
                  <c:v>241.78180422887775</c:v>
                </c:pt>
                <c:pt idx="21">
                  <c:v>241.92615802747727</c:v>
                </c:pt>
                <c:pt idx="22">
                  <c:v>241.99246447094819</c:v>
                </c:pt>
                <c:pt idx="23">
                  <c:v>241.55022622069833</c:v>
                </c:pt>
                <c:pt idx="24">
                  <c:v>240.79340664068067</c:v>
                </c:pt>
                <c:pt idx="25">
                  <c:v>240.71027750685647</c:v>
                </c:pt>
                <c:pt idx="26">
                  <c:v>240.72351843498302</c:v>
                </c:pt>
                <c:pt idx="27">
                  <c:v>240.69733889079276</c:v>
                </c:pt>
                <c:pt idx="28">
                  <c:v>240.04945284766725</c:v>
                </c:pt>
                <c:pt idx="29">
                  <c:v>235.75659858993646</c:v>
                </c:pt>
                <c:pt idx="30">
                  <c:v>231.53550467115684</c:v>
                </c:pt>
                <c:pt idx="31">
                  <c:v>226.44526041224481</c:v>
                </c:pt>
                <c:pt idx="32">
                  <c:v>225.46089101275905</c:v>
                </c:pt>
                <c:pt idx="33">
                  <c:v>223.62007676823526</c:v>
                </c:pt>
                <c:pt idx="34">
                  <c:v>222.88177025534364</c:v>
                </c:pt>
                <c:pt idx="35">
                  <c:v>222.81462627693719</c:v>
                </c:pt>
                <c:pt idx="36">
                  <c:v>222.67169851041456</c:v>
                </c:pt>
                <c:pt idx="37">
                  <c:v>222.70031890145606</c:v>
                </c:pt>
                <c:pt idx="38">
                  <c:v>222.50680971021146</c:v>
                </c:pt>
                <c:pt idx="39">
                  <c:v>222.11400077234649</c:v>
                </c:pt>
                <c:pt idx="40">
                  <c:v>222.17780472206832</c:v>
                </c:pt>
                <c:pt idx="41">
                  <c:v>222.40121444320778</c:v>
                </c:pt>
                <c:pt idx="42">
                  <c:v>221.6109711704695</c:v>
                </c:pt>
                <c:pt idx="43">
                  <c:v>221.15491841071173</c:v>
                </c:pt>
                <c:pt idx="44">
                  <c:v>221.0302891092999</c:v>
                </c:pt>
                <c:pt idx="45">
                  <c:v>221.4353682603402</c:v>
                </c:pt>
                <c:pt idx="46">
                  <c:v>222.16623307567525</c:v>
                </c:pt>
                <c:pt idx="47">
                  <c:v>223.05761994815401</c:v>
                </c:pt>
                <c:pt idx="48">
                  <c:v>222.87067695191874</c:v>
                </c:pt>
                <c:pt idx="49">
                  <c:v>223.32300259910838</c:v>
                </c:pt>
                <c:pt idx="50">
                  <c:v>224.54500251313254</c:v>
                </c:pt>
                <c:pt idx="51">
                  <c:v>227.08940458957997</c:v>
                </c:pt>
                <c:pt idx="52">
                  <c:v>226.71162399473084</c:v>
                </c:pt>
                <c:pt idx="53">
                  <c:v>228.25396121583418</c:v>
                </c:pt>
                <c:pt idx="54">
                  <c:v>228.49744897969336</c:v>
                </c:pt>
                <c:pt idx="55">
                  <c:v>227.90409248744555</c:v>
                </c:pt>
                <c:pt idx="56">
                  <c:v>227.60554103021201</c:v>
                </c:pt>
                <c:pt idx="57">
                  <c:v>226.57252401086379</c:v>
                </c:pt>
                <c:pt idx="58">
                  <c:v>226.16167814338937</c:v>
                </c:pt>
                <c:pt idx="59">
                  <c:v>226.45238267269019</c:v>
                </c:pt>
                <c:pt idx="60">
                  <c:v>226.70588781365728</c:v>
                </c:pt>
                <c:pt idx="61">
                  <c:v>227.11866285644848</c:v>
                </c:pt>
                <c:pt idx="62">
                  <c:v>230.67181087462566</c:v>
                </c:pt>
                <c:pt idx="63">
                  <c:v>233.99113389522324</c:v>
                </c:pt>
                <c:pt idx="64">
                  <c:v>236.75260291184767</c:v>
                </c:pt>
                <c:pt idx="65">
                  <c:v>239.2362208994067</c:v>
                </c:pt>
                <c:pt idx="66">
                  <c:v>241.45762037398177</c:v>
                </c:pt>
                <c:pt idx="67">
                  <c:v>244.72806799467648</c:v>
                </c:pt>
                <c:pt idx="68">
                  <c:v>246.76455995921719</c:v>
                </c:pt>
                <c:pt idx="69">
                  <c:v>248.15373550783417</c:v>
                </c:pt>
                <c:pt idx="70">
                  <c:v>249.82742193909851</c:v>
                </c:pt>
                <c:pt idx="71">
                  <c:v>250.68726685623551</c:v>
                </c:pt>
                <c:pt idx="72">
                  <c:v>251.42487938917853</c:v>
                </c:pt>
                <c:pt idx="73">
                  <c:v>253.43875128029356</c:v>
                </c:pt>
                <c:pt idx="74">
                  <c:v>253.90522898666484</c:v>
                </c:pt>
                <c:pt idx="75">
                  <c:v>252.78837270421036</c:v>
                </c:pt>
                <c:pt idx="76">
                  <c:v>252.63138609482843</c:v>
                </c:pt>
                <c:pt idx="77">
                  <c:v>252.34280216734035</c:v>
                </c:pt>
                <c:pt idx="78">
                  <c:v>251.66335517785117</c:v>
                </c:pt>
                <c:pt idx="79">
                  <c:v>250.99371862783235</c:v>
                </c:pt>
                <c:pt idx="80">
                  <c:v>250.63065624699473</c:v>
                </c:pt>
                <c:pt idx="81">
                  <c:v>251.37955398144243</c:v>
                </c:pt>
                <c:pt idx="82">
                  <c:v>252.00925894182311</c:v>
                </c:pt>
                <c:pt idx="83">
                  <c:v>252.49885561934693</c:v>
                </c:pt>
                <c:pt idx="84">
                  <c:v>253.10882739139021</c:v>
                </c:pt>
                <c:pt idx="85">
                  <c:v>254.59690095162247</c:v>
                </c:pt>
                <c:pt idx="86">
                  <c:v>257.10168286888438</c:v>
                </c:pt>
                <c:pt idx="87">
                  <c:v>259.6473568842365</c:v>
                </c:pt>
                <c:pt idx="88">
                  <c:v>261.89128134909214</c:v>
                </c:pt>
                <c:pt idx="89">
                  <c:v>264.37902659240586</c:v>
                </c:pt>
                <c:pt idx="90">
                  <c:v>267.0847167949957</c:v>
                </c:pt>
                <c:pt idx="91">
                  <c:v>269.96049571122916</c:v>
                </c:pt>
                <c:pt idx="92">
                  <c:v>272.93312075019037</c:v>
                </c:pt>
                <c:pt idx="93">
                  <c:v>275.50789143066027</c:v>
                </c:pt>
                <c:pt idx="94">
                  <c:v>277.24005670860424</c:v>
                </c:pt>
                <c:pt idx="95">
                  <c:v>277.55863885936532</c:v>
                </c:pt>
                <c:pt idx="96">
                  <c:v>278.00657601283046</c:v>
                </c:pt>
                <c:pt idx="97">
                  <c:v>279.26971255277823</c:v>
                </c:pt>
                <c:pt idx="98">
                  <c:v>279.28754836591099</c:v>
                </c:pt>
                <c:pt idx="99">
                  <c:v>279.09743439562197</c:v>
                </c:pt>
                <c:pt idx="100">
                  <c:v>279.45490403118879</c:v>
                </c:pt>
                <c:pt idx="101">
                  <c:v>280.14504606081397</c:v>
                </c:pt>
                <c:pt idx="102">
                  <c:v>279.32010010664817</c:v>
                </c:pt>
                <c:pt idx="103">
                  <c:v>278.80045988576029</c:v>
                </c:pt>
                <c:pt idx="104">
                  <c:v>271.26072124242228</c:v>
                </c:pt>
                <c:pt idx="105">
                  <c:v>265.85985072114954</c:v>
                </c:pt>
                <c:pt idx="106">
                  <c:v>262.49044280462238</c:v>
                </c:pt>
                <c:pt idx="107">
                  <c:v>259.73565005706564</c:v>
                </c:pt>
                <c:pt idx="108">
                  <c:v>256.78904322820875</c:v>
                </c:pt>
                <c:pt idx="109">
                  <c:v>252.52255153288141</c:v>
                </c:pt>
                <c:pt idx="110">
                  <c:v>248.44231774148025</c:v>
                </c:pt>
                <c:pt idx="111">
                  <c:v>245.59889187107626</c:v>
                </c:pt>
                <c:pt idx="112">
                  <c:v>242.92384679129526</c:v>
                </c:pt>
                <c:pt idx="113">
                  <c:v>241.10037627427377</c:v>
                </c:pt>
                <c:pt idx="114">
                  <c:v>239.15983374800857</c:v>
                </c:pt>
                <c:pt idx="115">
                  <c:v>235.86418236154714</c:v>
                </c:pt>
                <c:pt idx="116">
                  <c:v>231.92570255372797</c:v>
                </c:pt>
                <c:pt idx="117">
                  <c:v>228.35281326781507</c:v>
                </c:pt>
                <c:pt idx="118">
                  <c:v>226.45624591804781</c:v>
                </c:pt>
                <c:pt idx="119">
                  <c:v>224.63542384396246</c:v>
                </c:pt>
                <c:pt idx="120">
                  <c:v>224.496295851284</c:v>
                </c:pt>
                <c:pt idx="121">
                  <c:v>225.06509949153877</c:v>
                </c:pt>
                <c:pt idx="122">
                  <c:v>226.45104559001973</c:v>
                </c:pt>
                <c:pt idx="123">
                  <c:v>229.48092731346662</c:v>
                </c:pt>
                <c:pt idx="124">
                  <c:v>228.9222464968781</c:v>
                </c:pt>
                <c:pt idx="125">
                  <c:v>228.86637487049279</c:v>
                </c:pt>
                <c:pt idx="126">
                  <c:v>229.30514649712001</c:v>
                </c:pt>
                <c:pt idx="127">
                  <c:v>230.48327951702476</c:v>
                </c:pt>
                <c:pt idx="128">
                  <c:v>231.92610555442107</c:v>
                </c:pt>
                <c:pt idx="129">
                  <c:v>232.41144198092448</c:v>
                </c:pt>
                <c:pt idx="130">
                  <c:v>232.58366840378451</c:v>
                </c:pt>
                <c:pt idx="131">
                  <c:v>233.00772348555239</c:v>
                </c:pt>
                <c:pt idx="132">
                  <c:v>233.49989920740904</c:v>
                </c:pt>
                <c:pt idx="133">
                  <c:v>234.3152753004849</c:v>
                </c:pt>
                <c:pt idx="134">
                  <c:v>234.59964891672013</c:v>
                </c:pt>
                <c:pt idx="135">
                  <c:v>232.75880863539052</c:v>
                </c:pt>
                <c:pt idx="136">
                  <c:v>231.72355222787235</c:v>
                </c:pt>
                <c:pt idx="137">
                  <c:v>232.12826068168104</c:v>
                </c:pt>
                <c:pt idx="138">
                  <c:v>231.99340827274219</c:v>
                </c:pt>
                <c:pt idx="139">
                  <c:v>232.94884762514778</c:v>
                </c:pt>
                <c:pt idx="140">
                  <c:v>233.42712318574991</c:v>
                </c:pt>
                <c:pt idx="141">
                  <c:v>234.05832161926259</c:v>
                </c:pt>
                <c:pt idx="142">
                  <c:v>234.47546197802541</c:v>
                </c:pt>
                <c:pt idx="143">
                  <c:v>234.22531460678147</c:v>
                </c:pt>
                <c:pt idx="144">
                  <c:v>234.77907522070942</c:v>
                </c:pt>
                <c:pt idx="145">
                  <c:v>234.58068604800079</c:v>
                </c:pt>
                <c:pt idx="146">
                  <c:v>235.39129288919088</c:v>
                </c:pt>
                <c:pt idx="147">
                  <c:v>236.62568915055749</c:v>
                </c:pt>
                <c:pt idx="148">
                  <c:v>235.96342306490845</c:v>
                </c:pt>
                <c:pt idx="149">
                  <c:v>235.54514141665305</c:v>
                </c:pt>
                <c:pt idx="150">
                  <c:v>236.94354295342885</c:v>
                </c:pt>
                <c:pt idx="151">
                  <c:v>239.12675030374638</c:v>
                </c:pt>
                <c:pt idx="152">
                  <c:v>240.89262548893882</c:v>
                </c:pt>
                <c:pt idx="153">
                  <c:v>242.67653836050329</c:v>
                </c:pt>
                <c:pt idx="154">
                  <c:v>244.63934253982799</c:v>
                </c:pt>
                <c:pt idx="155">
                  <c:v>245.58909258907318</c:v>
                </c:pt>
                <c:pt idx="156">
                  <c:v>246.03799947100595</c:v>
                </c:pt>
                <c:pt idx="157">
                  <c:v>247.77216998854215</c:v>
                </c:pt>
                <c:pt idx="158">
                  <c:v>249.97138607049408</c:v>
                </c:pt>
                <c:pt idx="159">
                  <c:v>253.4483693975088</c:v>
                </c:pt>
                <c:pt idx="160">
                  <c:v>256.63560643737242</c:v>
                </c:pt>
                <c:pt idx="161">
                  <c:v>259.84041448971317</c:v>
                </c:pt>
                <c:pt idx="162">
                  <c:v>263.39193787943253</c:v>
                </c:pt>
                <c:pt idx="163">
                  <c:v>265.37626500449858</c:v>
                </c:pt>
                <c:pt idx="164">
                  <c:v>267.68764699041003</c:v>
                </c:pt>
                <c:pt idx="165">
                  <c:v>269.13485439109525</c:v>
                </c:pt>
                <c:pt idx="166">
                  <c:v>270.48639904379678</c:v>
                </c:pt>
                <c:pt idx="167">
                  <c:v>273.61612294021563</c:v>
                </c:pt>
                <c:pt idx="168">
                  <c:v>273.83178947788247</c:v>
                </c:pt>
                <c:pt idx="169">
                  <c:v>270.42121029629732</c:v>
                </c:pt>
                <c:pt idx="170">
                  <c:v>267.63797556867536</c:v>
                </c:pt>
                <c:pt idx="171">
                  <c:v>266.05187492951006</c:v>
                </c:pt>
                <c:pt idx="172">
                  <c:v>265.41484743518225</c:v>
                </c:pt>
                <c:pt idx="173">
                  <c:v>264.87615500192391</c:v>
                </c:pt>
                <c:pt idx="174">
                  <c:v>264.75076708333739</c:v>
                </c:pt>
                <c:pt idx="175">
                  <c:v>264.87788786873534</c:v>
                </c:pt>
                <c:pt idx="176">
                  <c:v>264.95528993351576</c:v>
                </c:pt>
                <c:pt idx="177">
                  <c:v>265.13943531504344</c:v>
                </c:pt>
                <c:pt idx="178">
                  <c:v>265.21916044133678</c:v>
                </c:pt>
                <c:pt idx="179">
                  <c:v>267.30281408049325</c:v>
                </c:pt>
                <c:pt idx="180">
                  <c:v>269.75435274241613</c:v>
                </c:pt>
                <c:pt idx="181">
                  <c:v>272.66899540408434</c:v>
                </c:pt>
                <c:pt idx="182">
                  <c:v>275.04564206902228</c:v>
                </c:pt>
                <c:pt idx="183">
                  <c:v>279.31380200255882</c:v>
                </c:pt>
                <c:pt idx="184">
                  <c:v>282.79065340904606</c:v>
                </c:pt>
                <c:pt idx="185">
                  <c:v>285.41830114132483</c:v>
                </c:pt>
                <c:pt idx="186">
                  <c:v>287.51922092593202</c:v>
                </c:pt>
                <c:pt idx="187">
                  <c:v>287.78035550824666</c:v>
                </c:pt>
                <c:pt idx="188">
                  <c:v>289.24287320504675</c:v>
                </c:pt>
                <c:pt idx="189">
                  <c:v>288.41272335972826</c:v>
                </c:pt>
                <c:pt idx="190">
                  <c:v>288.44753728324048</c:v>
                </c:pt>
                <c:pt idx="191">
                  <c:v>288.53039860315886</c:v>
                </c:pt>
                <c:pt idx="192">
                  <c:v>288.41622927408446</c:v>
                </c:pt>
                <c:pt idx="193">
                  <c:v>288.46040124042258</c:v>
                </c:pt>
                <c:pt idx="194">
                  <c:v>288.44748716828514</c:v>
                </c:pt>
                <c:pt idx="195">
                  <c:v>288.29480452438389</c:v>
                </c:pt>
                <c:pt idx="196">
                  <c:v>288.42346560618245</c:v>
                </c:pt>
                <c:pt idx="197">
                  <c:v>288.41677773567432</c:v>
                </c:pt>
                <c:pt idx="198">
                  <c:v>288.62777624182132</c:v>
                </c:pt>
                <c:pt idx="199">
                  <c:v>288.58813454150982</c:v>
                </c:pt>
                <c:pt idx="200">
                  <c:v>288.53312061680333</c:v>
                </c:pt>
                <c:pt idx="201">
                  <c:v>288.62639082700531</c:v>
                </c:pt>
                <c:pt idx="202">
                  <c:v>289.00550645335477</c:v>
                </c:pt>
                <c:pt idx="203">
                  <c:v>288.98154281514547</c:v>
                </c:pt>
                <c:pt idx="204">
                  <c:v>288.97011822740296</c:v>
                </c:pt>
                <c:pt idx="205">
                  <c:v>289.57932054556227</c:v>
                </c:pt>
                <c:pt idx="206">
                  <c:v>291.82317254189064</c:v>
                </c:pt>
                <c:pt idx="207">
                  <c:v>294.65758965034672</c:v>
                </c:pt>
                <c:pt idx="208">
                  <c:v>297.50816288774098</c:v>
                </c:pt>
                <c:pt idx="209">
                  <c:v>298.60121495087765</c:v>
                </c:pt>
                <c:pt idx="210">
                  <c:v>298.5651707778797</c:v>
                </c:pt>
                <c:pt idx="211">
                  <c:v>298.57232051025017</c:v>
                </c:pt>
                <c:pt idx="212">
                  <c:v>298.76366173650689</c:v>
                </c:pt>
                <c:pt idx="213">
                  <c:v>298.72557261142907</c:v>
                </c:pt>
                <c:pt idx="214">
                  <c:v>298.34473677850576</c:v>
                </c:pt>
                <c:pt idx="215">
                  <c:v>297.08581160915412</c:v>
                </c:pt>
                <c:pt idx="216">
                  <c:v>294.50657414393862</c:v>
                </c:pt>
                <c:pt idx="217">
                  <c:v>293.08197735900376</c:v>
                </c:pt>
                <c:pt idx="218">
                  <c:v>292.93009346186085</c:v>
                </c:pt>
                <c:pt idx="219">
                  <c:v>292.15653540004496</c:v>
                </c:pt>
                <c:pt idx="220">
                  <c:v>292.29709111342635</c:v>
                </c:pt>
                <c:pt idx="221">
                  <c:v>292.89107137075297</c:v>
                </c:pt>
                <c:pt idx="222">
                  <c:v>292.68376358250845</c:v>
                </c:pt>
                <c:pt idx="223">
                  <c:v>292.88753342002894</c:v>
                </c:pt>
                <c:pt idx="224">
                  <c:v>292.85123098400919</c:v>
                </c:pt>
                <c:pt idx="225">
                  <c:v>292.40875876306933</c:v>
                </c:pt>
                <c:pt idx="226">
                  <c:v>292.40108539221961</c:v>
                </c:pt>
                <c:pt idx="227">
                  <c:v>290.8295928299043</c:v>
                </c:pt>
                <c:pt idx="228">
                  <c:v>290.50407937480907</c:v>
                </c:pt>
                <c:pt idx="229">
                  <c:v>289.70767243776254</c:v>
                </c:pt>
                <c:pt idx="230">
                  <c:v>288.59010907941877</c:v>
                </c:pt>
                <c:pt idx="231">
                  <c:v>288.19871733525122</c:v>
                </c:pt>
                <c:pt idx="232">
                  <c:v>287.56883502264805</c:v>
                </c:pt>
                <c:pt idx="233">
                  <c:v>287.1332531788492</c:v>
                </c:pt>
                <c:pt idx="234">
                  <c:v>286.68765888264312</c:v>
                </c:pt>
                <c:pt idx="235">
                  <c:v>286.88889568534535</c:v>
                </c:pt>
                <c:pt idx="236">
                  <c:v>287.07200310486309</c:v>
                </c:pt>
                <c:pt idx="237">
                  <c:v>286.97583021088684</c:v>
                </c:pt>
                <c:pt idx="238">
                  <c:v>285.3527122507283</c:v>
                </c:pt>
                <c:pt idx="239">
                  <c:v>284.3675119300824</c:v>
                </c:pt>
                <c:pt idx="240">
                  <c:v>284.22720159640636</c:v>
                </c:pt>
                <c:pt idx="241">
                  <c:v>283.90879064691296</c:v>
                </c:pt>
                <c:pt idx="242">
                  <c:v>283.7759880956728</c:v>
                </c:pt>
                <c:pt idx="243">
                  <c:v>278.52433803039821</c:v>
                </c:pt>
                <c:pt idx="244">
                  <c:v>270.45685312250311</c:v>
                </c:pt>
                <c:pt idx="245">
                  <c:v>264.82079572565613</c:v>
                </c:pt>
                <c:pt idx="246">
                  <c:v>259.25730466505246</c:v>
                </c:pt>
                <c:pt idx="247">
                  <c:v>255.06312912957691</c:v>
                </c:pt>
                <c:pt idx="248">
                  <c:v>250.33000135947393</c:v>
                </c:pt>
                <c:pt idx="249">
                  <c:v>246.38719093443274</c:v>
                </c:pt>
                <c:pt idx="250">
                  <c:v>234.3627969384504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8A-4072-A351-28D1D05EA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687599"/>
        <c:axId val="1784684719"/>
      </c:lineChart>
      <c:dateAx>
        <c:axId val="1784687599"/>
        <c:scaling>
          <c:orientation val="minMax"/>
          <c:min val="45954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684719"/>
        <c:crosses val="autoZero"/>
        <c:auto val="1"/>
        <c:lblOffset val="100"/>
        <c:baseTimeUnit val="days"/>
      </c:dateAx>
      <c:valAx>
        <c:axId val="1784684719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68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Data!$AA$2:$AA$252</c:f>
              <c:numCache>
                <c:formatCode>General</c:formatCode>
                <c:ptCount val="251"/>
                <c:pt idx="35">
                  <c:v>0.1157771612915619</c:v>
                </c:pt>
                <c:pt idx="36">
                  <c:v>0.43122069867313328</c:v>
                </c:pt>
                <c:pt idx="37">
                  <c:v>0.66394418428803093</c:v>
                </c:pt>
                <c:pt idx="38">
                  <c:v>0.65050334263394571</c:v>
                </c:pt>
                <c:pt idx="39">
                  <c:v>0.94594784802588361</c:v>
                </c:pt>
                <c:pt idx="40">
                  <c:v>1.4109702427980801</c:v>
                </c:pt>
                <c:pt idx="41">
                  <c:v>0.6317474734837627</c:v>
                </c:pt>
                <c:pt idx="42">
                  <c:v>0.33927788045874063</c:v>
                </c:pt>
                <c:pt idx="43">
                  <c:v>0.40921203954470897</c:v>
                </c:pt>
                <c:pt idx="44">
                  <c:v>0.66850992314805113</c:v>
                </c:pt>
                <c:pt idx="45">
                  <c:v>0.98032669677130624</c:v>
                </c:pt>
                <c:pt idx="46">
                  <c:v>1.013557902908274</c:v>
                </c:pt>
                <c:pt idx="47">
                  <c:v>1.3818571279562089</c:v>
                </c:pt>
                <c:pt idx="48">
                  <c:v>1.7934861898052301</c:v>
                </c:pt>
                <c:pt idx="49">
                  <c:v>1.9711203810171081</c:v>
                </c:pt>
                <c:pt idx="50">
                  <c:v>2.2633407917068378</c:v>
                </c:pt>
                <c:pt idx="51">
                  <c:v>2.384818866485102</c:v>
                </c:pt>
                <c:pt idx="52">
                  <c:v>2.0230765265350188</c:v>
                </c:pt>
                <c:pt idx="53">
                  <c:v>1.9746136925496991</c:v>
                </c:pt>
                <c:pt idx="54">
                  <c:v>2.1467135836456719</c:v>
                </c:pt>
                <c:pt idx="55">
                  <c:v>2.0812972088009087</c:v>
                </c:pt>
                <c:pt idx="56">
                  <c:v>2.4802598796061295</c:v>
                </c:pt>
                <c:pt idx="57">
                  <c:v>2.5833999549597526</c:v>
                </c:pt>
                <c:pt idx="58">
                  <c:v>2.5900230264677422</c:v>
                </c:pt>
                <c:pt idx="59">
                  <c:v>2.3314277965997414</c:v>
                </c:pt>
                <c:pt idx="60">
                  <c:v>1.6200034604342601</c:v>
                </c:pt>
                <c:pt idx="61">
                  <c:v>0.88682357336182172</c:v>
                </c:pt>
                <c:pt idx="62">
                  <c:v>0.35255773148569336</c:v>
                </c:pt>
                <c:pt idx="63">
                  <c:v>0.24713956838027507</c:v>
                </c:pt>
                <c:pt idx="64">
                  <c:v>-6.8898332970230847E-2</c:v>
                </c:pt>
                <c:pt idx="65">
                  <c:v>-0.40832690771864755</c:v>
                </c:pt>
                <c:pt idx="66">
                  <c:v>-0.62116232248420289</c:v>
                </c:pt>
                <c:pt idx="67">
                  <c:v>-0.45681370110754127</c:v>
                </c:pt>
                <c:pt idx="68">
                  <c:v>-0.28954221853760398</c:v>
                </c:pt>
                <c:pt idx="69">
                  <c:v>-0.19108877597316187</c:v>
                </c:pt>
                <c:pt idx="70">
                  <c:v>-7.5400692735302144E-2</c:v>
                </c:pt>
                <c:pt idx="71">
                  <c:v>8.7954857085956739E-2</c:v>
                </c:pt>
                <c:pt idx="72">
                  <c:v>0.34900481330597177</c:v>
                </c:pt>
                <c:pt idx="73">
                  <c:v>0.71743438879272325</c:v>
                </c:pt>
                <c:pt idx="74">
                  <c:v>1.2036943475806527</c:v>
                </c:pt>
                <c:pt idx="75">
                  <c:v>1.3673461741932798</c:v>
                </c:pt>
                <c:pt idx="76">
                  <c:v>1.105223471952451</c:v>
                </c:pt>
                <c:pt idx="77">
                  <c:v>1.1248001503266956</c:v>
                </c:pt>
                <c:pt idx="78">
                  <c:v>1.101008773809113</c:v>
                </c:pt>
                <c:pt idx="79">
                  <c:v>0.98112617858120021</c:v>
                </c:pt>
                <c:pt idx="80">
                  <c:v>0.65190133461557576</c:v>
                </c:pt>
                <c:pt idx="81">
                  <c:v>0.87413210700034494</c:v>
                </c:pt>
                <c:pt idx="82">
                  <c:v>1.1986189583012861</c:v>
                </c:pt>
                <c:pt idx="83">
                  <c:v>1.0990342544199088</c:v>
                </c:pt>
                <c:pt idx="84">
                  <c:v>0.96610877848084087</c:v>
                </c:pt>
                <c:pt idx="85">
                  <c:v>0.6192174104671917</c:v>
                </c:pt>
                <c:pt idx="86">
                  <c:v>0.62149678600527913</c:v>
                </c:pt>
                <c:pt idx="87">
                  <c:v>0.28843264485578679</c:v>
                </c:pt>
                <c:pt idx="88">
                  <c:v>-0.23610140965547721</c:v>
                </c:pt>
                <c:pt idx="89">
                  <c:v>-0.35036501746835924</c:v>
                </c:pt>
                <c:pt idx="90">
                  <c:v>-0.44447409345386646</c:v>
                </c:pt>
                <c:pt idx="91">
                  <c:v>-0.68273934244537315</c:v>
                </c:pt>
                <c:pt idx="92">
                  <c:v>-0.884355263818418</c:v>
                </c:pt>
                <c:pt idx="93">
                  <c:v>-1.2054923554467774</c:v>
                </c:pt>
                <c:pt idx="94">
                  <c:v>-1.6540748632741717</c:v>
                </c:pt>
                <c:pt idx="95">
                  <c:v>-1.8974289196176048</c:v>
                </c:pt>
                <c:pt idx="96">
                  <c:v>-2.0773928987563144</c:v>
                </c:pt>
                <c:pt idx="97">
                  <c:v>-2.1836729219969016</c:v>
                </c:pt>
                <c:pt idx="98">
                  <c:v>-2.1783376715543454</c:v>
                </c:pt>
                <c:pt idx="99">
                  <c:v>-1.8564899945038178</c:v>
                </c:pt>
                <c:pt idx="100">
                  <c:v>-1.669901780155215</c:v>
                </c:pt>
                <c:pt idx="101">
                  <c:v>-1.6755368806622304</c:v>
                </c:pt>
                <c:pt idx="102">
                  <c:v>-1.6188500834893791</c:v>
                </c:pt>
                <c:pt idx="103">
                  <c:v>-2.8976537122756114</c:v>
                </c:pt>
                <c:pt idx="104">
                  <c:v>-3.6182117113509422</c:v>
                </c:pt>
                <c:pt idx="105">
                  <c:v>-3.6697130862426812</c:v>
                </c:pt>
                <c:pt idx="106">
                  <c:v>-3.5645767030506823</c:v>
                </c:pt>
                <c:pt idx="107">
                  <c:v>-3.4448036854138357</c:v>
                </c:pt>
                <c:pt idx="108">
                  <c:v>-3.630819616490184</c:v>
                </c:pt>
                <c:pt idx="109">
                  <c:v>-3.7345626697656584</c:v>
                </c:pt>
                <c:pt idx="110">
                  <c:v>-3.4517856220945475</c:v>
                </c:pt>
                <c:pt idx="111">
                  <c:v>-3.1404708165066264</c:v>
                </c:pt>
                <c:pt idx="112">
                  <c:v>-2.634083387066612</c:v>
                </c:pt>
                <c:pt idx="113">
                  <c:v>-2.2640101591781461</c:v>
                </c:pt>
                <c:pt idx="114">
                  <c:v>-2.3618436652131471</c:v>
                </c:pt>
                <c:pt idx="115">
                  <c:v>-2.6199104191682885</c:v>
                </c:pt>
                <c:pt idx="116">
                  <c:v>-2.6755582498593373</c:v>
                </c:pt>
                <c:pt idx="117">
                  <c:v>-2.1594438873803039</c:v>
                </c:pt>
                <c:pt idx="118">
                  <c:v>-1.834227720520321</c:v>
                </c:pt>
                <c:pt idx="119">
                  <c:v>-1.2860662497572122</c:v>
                </c:pt>
                <c:pt idx="120">
                  <c:v>-0.80776617843442899</c:v>
                </c:pt>
                <c:pt idx="121">
                  <c:v>-0.26246900240068527</c:v>
                </c:pt>
                <c:pt idx="122">
                  <c:v>0.26109561009829463</c:v>
                </c:pt>
                <c:pt idx="123">
                  <c:v>0.46092338688301915</c:v>
                </c:pt>
                <c:pt idx="124">
                  <c:v>0.81900850366928069</c:v>
                </c:pt>
                <c:pt idx="125">
                  <c:v>0.91422365421195906</c:v>
                </c:pt>
                <c:pt idx="126">
                  <c:v>1.2115734763588364</c:v>
                </c:pt>
                <c:pt idx="127">
                  <c:v>1.5540889174354344</c:v>
                </c:pt>
                <c:pt idx="128">
                  <c:v>1.8191766688105977</c:v>
                </c:pt>
                <c:pt idx="129">
                  <c:v>1.8179423469815443</c:v>
                </c:pt>
                <c:pt idx="130">
                  <c:v>1.6616581719876233</c:v>
                </c:pt>
                <c:pt idx="131">
                  <c:v>1.7055202493755575</c:v>
                </c:pt>
                <c:pt idx="132">
                  <c:v>1.899276050696793</c:v>
                </c:pt>
                <c:pt idx="133">
                  <c:v>2.062091942275682</c:v>
                </c:pt>
                <c:pt idx="134">
                  <c:v>2.5885879874095936</c:v>
                </c:pt>
                <c:pt idx="135">
                  <c:v>3.0197998050840376</c:v>
                </c:pt>
                <c:pt idx="136">
                  <c:v>3.0267590092816392</c:v>
                </c:pt>
                <c:pt idx="137">
                  <c:v>2.9111511720844807</c:v>
                </c:pt>
                <c:pt idx="138">
                  <c:v>2.4820205832061393</c:v>
                </c:pt>
                <c:pt idx="139">
                  <c:v>2.2797372336410402</c:v>
                </c:pt>
                <c:pt idx="140">
                  <c:v>2.1280425350559855</c:v>
                </c:pt>
                <c:pt idx="141">
                  <c:v>2.029026616076433</c:v>
                </c:pt>
                <c:pt idx="142">
                  <c:v>2.2418397658421072</c:v>
                </c:pt>
                <c:pt idx="143">
                  <c:v>2.3453798710367826</c:v>
                </c:pt>
                <c:pt idx="144">
                  <c:v>2.5974854701402128</c:v>
                </c:pt>
                <c:pt idx="145">
                  <c:v>2.6619206340878225</c:v>
                </c:pt>
                <c:pt idx="146">
                  <c:v>2.2431801876132695</c:v>
                </c:pt>
                <c:pt idx="147">
                  <c:v>2.7267179342218069</c:v>
                </c:pt>
                <c:pt idx="148">
                  <c:v>3.0396765742585412</c:v>
                </c:pt>
                <c:pt idx="149">
                  <c:v>2.751411329161753</c:v>
                </c:pt>
                <c:pt idx="150">
                  <c:v>2.5335782684440558</c:v>
                </c:pt>
                <c:pt idx="151">
                  <c:v>2.491256165748708</c:v>
                </c:pt>
                <c:pt idx="152">
                  <c:v>2.2938290275033397</c:v>
                </c:pt>
                <c:pt idx="153">
                  <c:v>2.0949274969522129</c:v>
                </c:pt>
                <c:pt idx="154">
                  <c:v>1.8624632309518825</c:v>
                </c:pt>
                <c:pt idx="155">
                  <c:v>1.8338837800820613</c:v>
                </c:pt>
                <c:pt idx="156">
                  <c:v>1.3649892699548438</c:v>
                </c:pt>
                <c:pt idx="157">
                  <c:v>0.84452312032268217</c:v>
                </c:pt>
                <c:pt idx="158">
                  <c:v>-0.26875443111615205</c:v>
                </c:pt>
                <c:pt idx="159">
                  <c:v>-1.0685710079284281</c:v>
                </c:pt>
                <c:pt idx="160">
                  <c:v>-1.6575474245198638</c:v>
                </c:pt>
                <c:pt idx="161">
                  <c:v>-1.7178741566283877</c:v>
                </c:pt>
                <c:pt idx="162">
                  <c:v>-2.0383853850835223</c:v>
                </c:pt>
                <c:pt idx="163">
                  <c:v>-1.8566073664863278</c:v>
                </c:pt>
                <c:pt idx="164">
                  <c:v>-1.5529256307879553</c:v>
                </c:pt>
                <c:pt idx="165">
                  <c:v>-1.4385731989925166</c:v>
                </c:pt>
                <c:pt idx="166">
                  <c:v>-0.99505174453193135</c:v>
                </c:pt>
                <c:pt idx="167">
                  <c:v>-0.87482250767836511</c:v>
                </c:pt>
                <c:pt idx="168">
                  <c:v>0.63199177810527729</c:v>
                </c:pt>
                <c:pt idx="169">
                  <c:v>1.8534092960362747</c:v>
                </c:pt>
                <c:pt idx="170">
                  <c:v>2.4352139971742517</c:v>
                </c:pt>
                <c:pt idx="171">
                  <c:v>2.3350124379329085</c:v>
                </c:pt>
                <c:pt idx="172">
                  <c:v>2.203581025290581</c:v>
                </c:pt>
                <c:pt idx="173">
                  <c:v>1.7672633033153868</c:v>
                </c:pt>
                <c:pt idx="174">
                  <c:v>1.1567787647831427</c:v>
                </c:pt>
                <c:pt idx="175">
                  <c:v>0.38991471871412386</c:v>
                </c:pt>
                <c:pt idx="176">
                  <c:v>0.18975971827085125</c:v>
                </c:pt>
                <c:pt idx="177">
                  <c:v>0.33763615449755768</c:v>
                </c:pt>
                <c:pt idx="178">
                  <c:v>-5.0898005522856948E-2</c:v>
                </c:pt>
                <c:pt idx="179">
                  <c:v>-0.19420306077285332</c:v>
                </c:pt>
                <c:pt idx="180">
                  <c:v>-5.8423846750159214E-2</c:v>
                </c:pt>
                <c:pt idx="181">
                  <c:v>3.2782548980128112E-2</c:v>
                </c:pt>
                <c:pt idx="182">
                  <c:v>-0.63504935655725703</c:v>
                </c:pt>
                <c:pt idx="183">
                  <c:v>-1.0433720875411812</c:v>
                </c:pt>
                <c:pt idx="184">
                  <c:v>-1.8619516438188457</c:v>
                </c:pt>
                <c:pt idx="185">
                  <c:v>-2.8075542098232447</c:v>
                </c:pt>
                <c:pt idx="186">
                  <c:v>-3.4066608543391288</c:v>
                </c:pt>
                <c:pt idx="187">
                  <c:v>-3.5394598245814048</c:v>
                </c:pt>
                <c:pt idx="188">
                  <c:v>-3.0350201701731789</c:v>
                </c:pt>
                <c:pt idx="189">
                  <c:v>-2.1736721855138366</c:v>
                </c:pt>
                <c:pt idx="190">
                  <c:v>-1.5321476553105979</c:v>
                </c:pt>
                <c:pt idx="191">
                  <c:v>-1.1625647012093756</c:v>
                </c:pt>
                <c:pt idx="192">
                  <c:v>-0.5564045999200169</c:v>
                </c:pt>
                <c:pt idx="193">
                  <c:v>-0.3608805379537352</c:v>
                </c:pt>
                <c:pt idx="194">
                  <c:v>-0.49470367530621129</c:v>
                </c:pt>
                <c:pt idx="195">
                  <c:v>-0.52495494708206225</c:v>
                </c:pt>
                <c:pt idx="196">
                  <c:v>-0.19841306277472537</c:v>
                </c:pt>
                <c:pt idx="197">
                  <c:v>-1.0797520013573259E-2</c:v>
                </c:pt>
                <c:pt idx="198">
                  <c:v>0.16225596260232633</c:v>
                </c:pt>
                <c:pt idx="199">
                  <c:v>0.32056972418649465</c:v>
                </c:pt>
                <c:pt idx="200">
                  <c:v>0.5174129227520976</c:v>
                </c:pt>
                <c:pt idx="201">
                  <c:v>0.46397871660014722</c:v>
                </c:pt>
                <c:pt idx="202">
                  <c:v>0.28286068532575692</c:v>
                </c:pt>
                <c:pt idx="203">
                  <c:v>8.9274966587741922E-2</c:v>
                </c:pt>
                <c:pt idx="204">
                  <c:v>-0.41488720226559206</c:v>
                </c:pt>
                <c:pt idx="205">
                  <c:v>-0.72768277669345238</c:v>
                </c:pt>
                <c:pt idx="206">
                  <c:v>-1.0945688480887585</c:v>
                </c:pt>
                <c:pt idx="207">
                  <c:v>-1.2566502201698113</c:v>
                </c:pt>
                <c:pt idx="208">
                  <c:v>-1.1973166313632033</c:v>
                </c:pt>
                <c:pt idx="209">
                  <c:v>-1.0519163568975693</c:v>
                </c:pt>
                <c:pt idx="210">
                  <c:v>-0.87119745314322894</c:v>
                </c:pt>
                <c:pt idx="211">
                  <c:v>-0.69178388107843936</c:v>
                </c:pt>
                <c:pt idx="212">
                  <c:v>-0.51335878648610844</c:v>
                </c:pt>
                <c:pt idx="213">
                  <c:v>-0.62070520116800476</c:v>
                </c:pt>
                <c:pt idx="214">
                  <c:v>-1.037333649608454</c:v>
                </c:pt>
                <c:pt idx="215">
                  <c:v>-1.5514954799745264</c:v>
                </c:pt>
                <c:pt idx="216">
                  <c:v>-1.5742714697734013</c:v>
                </c:pt>
                <c:pt idx="217">
                  <c:v>-1.0270891111024818</c:v>
                </c:pt>
                <c:pt idx="218">
                  <c:v>-0.99395703005924196</c:v>
                </c:pt>
                <c:pt idx="219">
                  <c:v>-0.53391191695115459</c:v>
                </c:pt>
                <c:pt idx="220">
                  <c:v>-0.11572672832546671</c:v>
                </c:pt>
                <c:pt idx="221">
                  <c:v>0.66682538487506482</c:v>
                </c:pt>
                <c:pt idx="222">
                  <c:v>0.55158919099783099</c:v>
                </c:pt>
                <c:pt idx="223">
                  <c:v>0.82866538189954353</c:v>
                </c:pt>
                <c:pt idx="224">
                  <c:v>0.25351248571663765</c:v>
                </c:pt>
                <c:pt idx="225">
                  <c:v>0.3735436469198905</c:v>
                </c:pt>
                <c:pt idx="226">
                  <c:v>-0.48438221654558422</c:v>
                </c:pt>
                <c:pt idx="227">
                  <c:v>-0.60029441552699225</c:v>
                </c:pt>
                <c:pt idx="228">
                  <c:v>-0.82187035758492188</c:v>
                </c:pt>
                <c:pt idx="229">
                  <c:v>-1.0553423961011799</c:v>
                </c:pt>
                <c:pt idx="230">
                  <c:v>-0.89106224599998851</c:v>
                </c:pt>
                <c:pt idx="231">
                  <c:v>-0.8899399975204676</c:v>
                </c:pt>
                <c:pt idx="232">
                  <c:v>-0.81233750895772472</c:v>
                </c:pt>
                <c:pt idx="233">
                  <c:v>0.25420981446524182</c:v>
                </c:pt>
                <c:pt idx="234">
                  <c:v>0.75965179619784107</c:v>
                </c:pt>
                <c:pt idx="235">
                  <c:v>1.5597290227375746</c:v>
                </c:pt>
                <c:pt idx="236">
                  <c:v>0.68336906885286075</c:v>
                </c:pt>
                <c:pt idx="237">
                  <c:v>-0.23189074770121565</c:v>
                </c:pt>
                <c:pt idx="238">
                  <c:v>-0.73373653737369371</c:v>
                </c:pt>
                <c:pt idx="239">
                  <c:v>-0.42517766130861734</c:v>
                </c:pt>
                <c:pt idx="240">
                  <c:v>-0.36607837136411447</c:v>
                </c:pt>
                <c:pt idx="241">
                  <c:v>-0.59259638393929492</c:v>
                </c:pt>
                <c:pt idx="242">
                  <c:v>-1.9019685219155802</c:v>
                </c:pt>
                <c:pt idx="243">
                  <c:v>-3.4558702480171082</c:v>
                </c:pt>
                <c:pt idx="244">
                  <c:v>-4.043048388445869</c:v>
                </c:pt>
                <c:pt idx="245">
                  <c:v>-4.4265635506904353</c:v>
                </c:pt>
                <c:pt idx="246">
                  <c:v>-4.234227473543652</c:v>
                </c:pt>
                <c:pt idx="247">
                  <c:v>-4.1274763798001661</c:v>
                </c:pt>
                <c:pt idx="248">
                  <c:v>-3.7265798027796393</c:v>
                </c:pt>
                <c:pt idx="249">
                  <c:v>0</c:v>
                </c:pt>
                <c:pt idx="2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2-496D-98F2-DC998517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4698991"/>
        <c:axId val="1883262367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Data!$Y$2:$Y$252</c:f>
              <c:numCache>
                <c:formatCode>General</c:formatCode>
                <c:ptCount val="251"/>
                <c:pt idx="25">
                  <c:v>-2.2973571158701418</c:v>
                </c:pt>
                <c:pt idx="26">
                  <c:v>-2.0120101887006854</c:v>
                </c:pt>
                <c:pt idx="27">
                  <c:v>-2.2832396880556587</c:v>
                </c:pt>
                <c:pt idx="28">
                  <c:v>-3.7468726042106653</c:v>
                </c:pt>
                <c:pt idx="29">
                  <c:v>-4.9865066826316706</c:v>
                </c:pt>
                <c:pt idx="30">
                  <c:v>-6.2798210553816602</c:v>
                </c:pt>
                <c:pt idx="31">
                  <c:v>-6.0823913353951014</c:v>
                </c:pt>
                <c:pt idx="32">
                  <c:v>-6.3178821093612783</c:v>
                </c:pt>
                <c:pt idx="33">
                  <c:v>-5.9573363384303661</c:v>
                </c:pt>
                <c:pt idx="34">
                  <c:v>-5.3213835396847458</c:v>
                </c:pt>
                <c:pt idx="35">
                  <c:v>-4.6316611641468626</c:v>
                </c:pt>
                <c:pt idx="36">
                  <c:v>-4.2084124520970079</c:v>
                </c:pt>
                <c:pt idx="37">
                  <c:v>-3.8097029204101034</c:v>
                </c:pt>
                <c:pt idx="38">
                  <c:v>-3.6605179264057028</c:v>
                </c:pt>
                <c:pt idx="39">
                  <c:v>-3.1285864590072947</c:v>
                </c:pt>
                <c:pt idx="40">
                  <c:v>-2.3108215035355784</c:v>
                </c:pt>
                <c:pt idx="41">
                  <c:v>-2.9321074044789555</c:v>
                </c:pt>
                <c:pt idx="42">
                  <c:v>-3.1397575273892926</c:v>
                </c:pt>
                <c:pt idx="43">
                  <c:v>-2.967520358417147</c:v>
                </c:pt>
                <c:pt idx="44">
                  <c:v>-2.5410949940267926</c:v>
                </c:pt>
                <c:pt idx="45">
                  <c:v>-1.9841965462107112</c:v>
                </c:pt>
                <c:pt idx="46">
                  <c:v>-1.6975758643466747</c:v>
                </c:pt>
                <c:pt idx="47">
                  <c:v>-0.98381235730968797</c:v>
                </c:pt>
                <c:pt idx="48">
                  <c:v>-0.12381174800935923</c:v>
                </c:pt>
                <c:pt idx="49">
                  <c:v>0.54660253845679563</c:v>
                </c:pt>
                <c:pt idx="50">
                  <c:v>1.4046581470732349</c:v>
                </c:pt>
                <c:pt idx="51">
                  <c:v>2.1223409384727745</c:v>
                </c:pt>
                <c:pt idx="52">
                  <c:v>2.2663677301564462</c:v>
                </c:pt>
                <c:pt idx="53">
                  <c:v>2.7115583193085513</c:v>
                </c:pt>
                <c:pt idx="54">
                  <c:v>3.4203366063159422</c:v>
                </c:pt>
                <c:pt idx="55">
                  <c:v>3.8752445336714061</c:v>
                </c:pt>
                <c:pt idx="56">
                  <c:v>4.894272174378159</c:v>
                </c:pt>
                <c:pt idx="57">
                  <c:v>5.6432622384717206</c:v>
                </c:pt>
                <c:pt idx="58">
                  <c:v>6.2973910665966457</c:v>
                </c:pt>
                <c:pt idx="59">
                  <c:v>6.621652785878581</c:v>
                </c:pt>
                <c:pt idx="60">
                  <c:v>6.3152293148216643</c:v>
                </c:pt>
                <c:pt idx="61">
                  <c:v>5.8037553210896817</c:v>
                </c:pt>
                <c:pt idx="62">
                  <c:v>5.3576289120849765</c:v>
                </c:pt>
                <c:pt idx="63">
                  <c:v>5.3139956410746265</c:v>
                </c:pt>
                <c:pt idx="64">
                  <c:v>4.9807331564815627</c:v>
                </c:pt>
                <c:pt idx="65">
                  <c:v>4.5392228548034836</c:v>
                </c:pt>
                <c:pt idx="66">
                  <c:v>4.1710968594168776</c:v>
                </c:pt>
                <c:pt idx="67">
                  <c:v>4.2212420555166545</c:v>
                </c:pt>
                <c:pt idx="68">
                  <c:v>4.3161279834521906</c:v>
                </c:pt>
                <c:pt idx="69">
                  <c:v>4.3668092320233427</c:v>
                </c:pt>
                <c:pt idx="70">
                  <c:v>4.4636471420773773</c:v>
                </c:pt>
                <c:pt idx="71">
                  <c:v>4.6489914061701256</c:v>
                </c:pt>
                <c:pt idx="72">
                  <c:v>4.9972925657166343</c:v>
                </c:pt>
                <c:pt idx="73">
                  <c:v>5.5450807384015661</c:v>
                </c:pt>
                <c:pt idx="74">
                  <c:v>6.3322642840846584</c:v>
                </c:pt>
                <c:pt idx="75">
                  <c:v>6.8377526542456053</c:v>
                </c:pt>
                <c:pt idx="76">
                  <c:v>6.8519358199928888</c:v>
                </c:pt>
                <c:pt idx="77">
                  <c:v>7.1527125359488082</c:v>
                </c:pt>
                <c:pt idx="78">
                  <c:v>7.4041733528835039</c:v>
                </c:pt>
                <c:pt idx="79">
                  <c:v>7.5295723023008918</c:v>
                </c:pt>
                <c:pt idx="80">
                  <c:v>7.3633227919891624</c:v>
                </c:pt>
                <c:pt idx="81">
                  <c:v>7.8040865911240189</c:v>
                </c:pt>
                <c:pt idx="82">
                  <c:v>8.4282281820002822</c:v>
                </c:pt>
                <c:pt idx="83">
                  <c:v>8.6034020417238821</c:v>
                </c:pt>
                <c:pt idx="84">
                  <c:v>8.7120037604050253</c:v>
                </c:pt>
                <c:pt idx="85">
                  <c:v>8.5199167450081745</c:v>
                </c:pt>
                <c:pt idx="86">
                  <c:v>8.6775703170475822</c:v>
                </c:pt>
                <c:pt idx="87">
                  <c:v>8.416614337112037</c:v>
                </c:pt>
                <c:pt idx="88">
                  <c:v>7.8330549301869041</c:v>
                </c:pt>
                <c:pt idx="89">
                  <c:v>7.6312000680069332</c:v>
                </c:pt>
                <c:pt idx="90">
                  <c:v>7.4259724686579602</c:v>
                </c:pt>
                <c:pt idx="91">
                  <c:v>7.0170223840551103</c:v>
                </c:pt>
                <c:pt idx="92">
                  <c:v>6.5943176467274611</c:v>
                </c:pt>
                <c:pt idx="93">
                  <c:v>5.9718074662374079</c:v>
                </c:pt>
                <c:pt idx="94">
                  <c:v>5.1097062425914714</c:v>
                </c:pt>
                <c:pt idx="95">
                  <c:v>4.3919949563436376</c:v>
                </c:pt>
                <c:pt idx="96">
                  <c:v>3.6926827525158501</c:v>
                </c:pt>
                <c:pt idx="97">
                  <c:v>3.0404844987760384</c:v>
                </c:pt>
                <c:pt idx="98">
                  <c:v>2.5012353313300082</c:v>
                </c:pt>
                <c:pt idx="99">
                  <c:v>2.3589605097545814</c:v>
                </c:pt>
                <c:pt idx="100">
                  <c:v>2.128073279064381</c:v>
                </c:pt>
                <c:pt idx="101">
                  <c:v>1.703553958391808</c:v>
                </c:pt>
                <c:pt idx="102">
                  <c:v>1.355528234692315</c:v>
                </c:pt>
                <c:pt idx="103">
                  <c:v>-0.64768882216282009</c:v>
                </c:pt>
                <c:pt idx="104">
                  <c:v>-2.2727997490758867</c:v>
                </c:pt>
                <c:pt idx="105">
                  <c:v>-3.2417293955282958</c:v>
                </c:pt>
                <c:pt idx="106">
                  <c:v>-4.0277371880989676</c:v>
                </c:pt>
                <c:pt idx="107">
                  <c:v>-4.7691650918155801</c:v>
                </c:pt>
                <c:pt idx="108">
                  <c:v>-5.8628859270144744</c:v>
                </c:pt>
                <c:pt idx="109">
                  <c:v>-6.9002696477313634</c:v>
                </c:pt>
                <c:pt idx="110">
                  <c:v>-7.4804390055838894</c:v>
                </c:pt>
                <c:pt idx="111">
                  <c:v>-7.9542419041226253</c:v>
                </c:pt>
                <c:pt idx="112">
                  <c:v>-8.1063753214492635</c:v>
                </c:pt>
                <c:pt idx="113">
                  <c:v>-8.3023046333553339</c:v>
                </c:pt>
                <c:pt idx="114">
                  <c:v>-8.9905990556936217</c:v>
                </c:pt>
                <c:pt idx="115">
                  <c:v>-9.9036434144408361</c:v>
                </c:pt>
                <c:pt idx="116">
                  <c:v>-10.628180807596721</c:v>
                </c:pt>
                <c:pt idx="117">
                  <c:v>-10.651927416962764</c:v>
                </c:pt>
                <c:pt idx="118">
                  <c:v>-10.785268180232862</c:v>
                </c:pt>
                <c:pt idx="119">
                  <c:v>-10.558623271909056</c:v>
                </c:pt>
                <c:pt idx="120">
                  <c:v>-10.28226474519488</c:v>
                </c:pt>
                <c:pt idx="121">
                  <c:v>-9.8025848197613072</c:v>
                </c:pt>
                <c:pt idx="122">
                  <c:v>-9.2137463047377537</c:v>
                </c:pt>
                <c:pt idx="123">
                  <c:v>-8.8986876812322748</c:v>
                </c:pt>
                <c:pt idx="124">
                  <c:v>-8.3358504385286949</c:v>
                </c:pt>
                <c:pt idx="125">
                  <c:v>-8.0120793744330285</c:v>
                </c:pt>
                <c:pt idx="126">
                  <c:v>-7.4118361831964421</c:v>
                </c:pt>
                <c:pt idx="127">
                  <c:v>-6.6807985127609868</c:v>
                </c:pt>
                <c:pt idx="128">
                  <c:v>-5.9609165941831748</c:v>
                </c:pt>
                <c:pt idx="129">
                  <c:v>-5.5076653292668425</c:v>
                </c:pt>
                <c:pt idx="130">
                  <c:v>-5.2485349612638572</c:v>
                </c:pt>
                <c:pt idx="131">
                  <c:v>-4.7782928215320339</c:v>
                </c:pt>
                <c:pt idx="132">
                  <c:v>-4.1097180075365998</c:v>
                </c:pt>
                <c:pt idx="133">
                  <c:v>-3.4313791303887911</c:v>
                </c:pt>
                <c:pt idx="134">
                  <c:v>-2.2577360884024813</c:v>
                </c:pt>
                <c:pt idx="135">
                  <c:v>-1.071574319457028</c:v>
                </c:pt>
                <c:pt idx="136">
                  <c:v>-0.30792536293901662</c:v>
                </c:pt>
                <c:pt idx="137">
                  <c:v>0.30425459288494494</c:v>
                </c:pt>
                <c:pt idx="138">
                  <c:v>0.49562914980813844</c:v>
                </c:pt>
                <c:pt idx="139">
                  <c:v>0.86328010865329929</c:v>
                </c:pt>
                <c:pt idx="140">
                  <c:v>1.2435960438322411</c:v>
                </c:pt>
                <c:pt idx="141">
                  <c:v>1.6518367788717967</c:v>
                </c:pt>
                <c:pt idx="142">
                  <c:v>2.4251098700979981</c:v>
                </c:pt>
                <c:pt idx="143">
                  <c:v>3.1149949430518689</c:v>
                </c:pt>
                <c:pt idx="144">
                  <c:v>4.0164719096903525</c:v>
                </c:pt>
                <c:pt idx="145">
                  <c:v>4.7463872321599183</c:v>
                </c:pt>
                <c:pt idx="146">
                  <c:v>4.8884418325886827</c:v>
                </c:pt>
                <c:pt idx="147">
                  <c:v>6.0536590627526721</c:v>
                </c:pt>
                <c:pt idx="148">
                  <c:v>7.1265368463540426</c:v>
                </c:pt>
                <c:pt idx="149">
                  <c:v>7.5261244335476931</c:v>
                </c:pt>
                <c:pt idx="150">
                  <c:v>7.94168593994101</c:v>
                </c:pt>
                <c:pt idx="151">
                  <c:v>8.5221778786828395</c:v>
                </c:pt>
                <c:pt idx="152">
                  <c:v>8.8982079973133068</c:v>
                </c:pt>
                <c:pt idx="153">
                  <c:v>9.2230383410002332</c:v>
                </c:pt>
                <c:pt idx="154">
                  <c:v>9.4561898827378741</c:v>
                </c:pt>
                <c:pt idx="155">
                  <c:v>9.8860813768885691</c:v>
                </c:pt>
                <c:pt idx="156">
                  <c:v>9.7584341842500635</c:v>
                </c:pt>
                <c:pt idx="157">
                  <c:v>9.4490988146985728</c:v>
                </c:pt>
                <c:pt idx="158">
                  <c:v>8.268632655480701</c:v>
                </c:pt>
                <c:pt idx="159">
                  <c:v>7.2016733266863184</c:v>
                </c:pt>
                <c:pt idx="160">
                  <c:v>6.1983100539649172</c:v>
                </c:pt>
                <c:pt idx="161">
                  <c:v>5.7085147826992966</c:v>
                </c:pt>
                <c:pt idx="162">
                  <c:v>4.8784072079732823</c:v>
                </c:pt>
                <c:pt idx="163">
                  <c:v>4.5960333849488961</c:v>
                </c:pt>
                <c:pt idx="164">
                  <c:v>4.5114837129502803</c:v>
                </c:pt>
                <c:pt idx="165">
                  <c:v>4.2661928449975903</c:v>
                </c:pt>
                <c:pt idx="166">
                  <c:v>4.4609513633251936</c:v>
                </c:pt>
                <c:pt idx="167">
                  <c:v>4.3624749732591681</c:v>
                </c:pt>
                <c:pt idx="168">
                  <c:v>6.0272872035691307</c:v>
                </c:pt>
                <c:pt idx="169">
                  <c:v>7.7120570455091979</c:v>
                </c:pt>
                <c:pt idx="170">
                  <c:v>8.9026652459407387</c:v>
                </c:pt>
                <c:pt idx="171">
                  <c:v>9.3862167961826231</c:v>
                </c:pt>
                <c:pt idx="172">
                  <c:v>9.8056806398629419</c:v>
                </c:pt>
                <c:pt idx="173">
                  <c:v>9.8111787437165958</c:v>
                </c:pt>
                <c:pt idx="174">
                  <c:v>9.4898888963801369</c:v>
                </c:pt>
                <c:pt idx="175">
                  <c:v>8.8205035299896508</c:v>
                </c:pt>
                <c:pt idx="176">
                  <c:v>8.6677884591140923</c:v>
                </c:pt>
                <c:pt idx="177">
                  <c:v>8.9000739339651886</c:v>
                </c:pt>
                <c:pt idx="178">
                  <c:v>8.4988152725640589</c:v>
                </c:pt>
                <c:pt idx="179">
                  <c:v>8.3069594521208501</c:v>
                </c:pt>
                <c:pt idx="180">
                  <c:v>8.4281327044560044</c:v>
                </c:pt>
                <c:pt idx="181">
                  <c:v>8.5275347374313242</c:v>
                </c:pt>
                <c:pt idx="182">
                  <c:v>7.7009404927546257</c:v>
                </c:pt>
                <c:pt idx="183">
                  <c:v>7.0317747398854067</c:v>
                </c:pt>
                <c:pt idx="184">
                  <c:v>5.7477072726530309</c:v>
                </c:pt>
                <c:pt idx="185">
                  <c:v>4.1002161541928217</c:v>
                </c:pt>
                <c:pt idx="186">
                  <c:v>2.649444296092156</c:v>
                </c:pt>
                <c:pt idx="187">
                  <c:v>1.6317803697045292</c:v>
                </c:pt>
                <c:pt idx="188">
                  <c:v>1.3774649815694602</c:v>
                </c:pt>
                <c:pt idx="189">
                  <c:v>1.6953949198503437</c:v>
                </c:pt>
                <c:pt idx="190">
                  <c:v>1.9538825362259331</c:v>
                </c:pt>
                <c:pt idx="191">
                  <c:v>2.0328243150248113</c:v>
                </c:pt>
                <c:pt idx="192">
                  <c:v>2.4998832663341659</c:v>
                </c:pt>
                <c:pt idx="193">
                  <c:v>2.6051871938120144</c:v>
                </c:pt>
                <c:pt idx="194">
                  <c:v>2.3476881376329857</c:v>
                </c:pt>
                <c:pt idx="195">
                  <c:v>2.1861981290866197</c:v>
                </c:pt>
                <c:pt idx="196">
                  <c:v>2.4631367477002755</c:v>
                </c:pt>
                <c:pt idx="197">
                  <c:v>2.6480529104580341</c:v>
                </c:pt>
                <c:pt idx="198">
                  <c:v>2.8616703837245154</c:v>
                </c:pt>
                <c:pt idx="199">
                  <c:v>3.1001265763553079</c:v>
                </c:pt>
                <c:pt idx="200">
                  <c:v>3.4263230056089355</c:v>
                </c:pt>
                <c:pt idx="201">
                  <c:v>3.488883478607022</c:v>
                </c:pt>
                <c:pt idx="202">
                  <c:v>3.3784806186640708</c:v>
                </c:pt>
                <c:pt idx="203">
                  <c:v>3.2072136415729915</c:v>
                </c:pt>
                <c:pt idx="204">
                  <c:v>2.5993296721532602</c:v>
                </c:pt>
                <c:pt idx="205">
                  <c:v>2.1046134035520367</c:v>
                </c:pt>
                <c:pt idx="206">
                  <c:v>1.4640851201345413</c:v>
                </c:pt>
                <c:pt idx="207">
                  <c:v>0.98784119301103601</c:v>
                </c:pt>
                <c:pt idx="208">
                  <c:v>0.7478456239768434</c:v>
                </c:pt>
                <c:pt idx="209">
                  <c:v>0.6302668092180852</c:v>
                </c:pt>
                <c:pt idx="210">
                  <c:v>0.59318634968661854</c:v>
                </c:pt>
                <c:pt idx="211">
                  <c:v>0.59965395148179823</c:v>
                </c:pt>
                <c:pt idx="212">
                  <c:v>0.64973934945260226</c:v>
                </c:pt>
                <c:pt idx="213">
                  <c:v>0.38721663447870469</c:v>
                </c:pt>
                <c:pt idx="214">
                  <c:v>-0.28874522636385791</c:v>
                </c:pt>
                <c:pt idx="215">
                  <c:v>-1.1907809267235621</c:v>
                </c:pt>
                <c:pt idx="216">
                  <c:v>-1.6071247839657872</c:v>
                </c:pt>
                <c:pt idx="217">
                  <c:v>-1.3167147030704882</c:v>
                </c:pt>
                <c:pt idx="218">
                  <c:v>-1.5320718795420589</c:v>
                </c:pt>
                <c:pt idx="219">
                  <c:v>-1.2055047456717602</c:v>
                </c:pt>
                <c:pt idx="220">
                  <c:v>-0.81625123912743902</c:v>
                </c:pt>
                <c:pt idx="221">
                  <c:v>0.13300722029185863</c:v>
                </c:pt>
                <c:pt idx="222">
                  <c:v>0.15566832416408261</c:v>
                </c:pt>
                <c:pt idx="223">
                  <c:v>0.63991086054068091</c:v>
                </c:pt>
                <c:pt idx="224">
                  <c:v>0.12813608578693447</c:v>
                </c:pt>
                <c:pt idx="225">
                  <c:v>0.3415531587201599</c:v>
                </c:pt>
                <c:pt idx="226">
                  <c:v>-0.63746825888171088</c:v>
                </c:pt>
                <c:pt idx="227">
                  <c:v>-0.90345406174486698</c:v>
                </c:pt>
                <c:pt idx="228">
                  <c:v>-1.3304975931990271</c:v>
                </c:pt>
                <c:pt idx="229">
                  <c:v>-1.8278052307405801</c:v>
                </c:pt>
                <c:pt idx="230">
                  <c:v>-1.8862906421393859</c:v>
                </c:pt>
                <c:pt idx="231">
                  <c:v>-2.1076533930399819</c:v>
                </c:pt>
                <c:pt idx="232">
                  <c:v>-2.2331352817166703</c:v>
                </c:pt>
                <c:pt idx="233">
                  <c:v>-1.1030355046773934</c:v>
                </c:pt>
                <c:pt idx="234">
                  <c:v>-0.40768057389533396</c:v>
                </c:pt>
                <c:pt idx="235">
                  <c:v>0.7823289083287932</c:v>
                </c:pt>
                <c:pt idx="236">
                  <c:v>7.6811221657294482E-2</c:v>
                </c:pt>
                <c:pt idx="237">
                  <c:v>-0.8964212818220858</c:v>
                </c:pt>
                <c:pt idx="238">
                  <c:v>-1.5817012058379873</c:v>
                </c:pt>
                <c:pt idx="239">
                  <c:v>-1.3794367451000653</c:v>
                </c:pt>
                <c:pt idx="240">
                  <c:v>-1.4118570479965911</c:v>
                </c:pt>
                <c:pt idx="241">
                  <c:v>-1.7865241565565952</c:v>
                </c:pt>
                <c:pt idx="242">
                  <c:v>-3.5713884250117758</c:v>
                </c:pt>
                <c:pt idx="243">
                  <c:v>-5.9892577131175813</c:v>
                </c:pt>
                <c:pt idx="244">
                  <c:v>-7.58719795065781</c:v>
                </c:pt>
                <c:pt idx="245">
                  <c:v>-9.0773540005749851</c:v>
                </c:pt>
                <c:pt idx="246">
                  <c:v>-9.9435747918141146</c:v>
                </c:pt>
                <c:pt idx="247">
                  <c:v>-10.868692793020671</c:v>
                </c:pt>
                <c:pt idx="248">
                  <c:v>-11.399441166695055</c:v>
                </c:pt>
                <c:pt idx="249">
                  <c:v>0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2-496D-98F2-DC99851793BC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45712</c:v>
                </c:pt>
                <c:pt idx="1">
                  <c:v>45713</c:v>
                </c:pt>
                <c:pt idx="2">
                  <c:v>45714</c:v>
                </c:pt>
                <c:pt idx="3">
                  <c:v>45715</c:v>
                </c:pt>
                <c:pt idx="4">
                  <c:v>45716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45733</c:v>
                </c:pt>
                <c:pt idx="16">
                  <c:v>45734</c:v>
                </c:pt>
                <c:pt idx="17">
                  <c:v>45735</c:v>
                </c:pt>
                <c:pt idx="18">
                  <c:v>45736</c:v>
                </c:pt>
                <c:pt idx="19">
                  <c:v>45737</c:v>
                </c:pt>
                <c:pt idx="20">
                  <c:v>45740</c:v>
                </c:pt>
                <c:pt idx="21">
                  <c:v>45741</c:v>
                </c:pt>
                <c:pt idx="22">
                  <c:v>45742</c:v>
                </c:pt>
                <c:pt idx="23">
                  <c:v>45743</c:v>
                </c:pt>
                <c:pt idx="24">
                  <c:v>45744</c:v>
                </c:pt>
                <c:pt idx="25">
                  <c:v>45747</c:v>
                </c:pt>
                <c:pt idx="26">
                  <c:v>45748</c:v>
                </c:pt>
                <c:pt idx="27">
                  <c:v>45749</c:v>
                </c:pt>
                <c:pt idx="28">
                  <c:v>45750</c:v>
                </c:pt>
                <c:pt idx="29">
                  <c:v>45751</c:v>
                </c:pt>
                <c:pt idx="30">
                  <c:v>45754</c:v>
                </c:pt>
                <c:pt idx="31">
                  <c:v>45755</c:v>
                </c:pt>
                <c:pt idx="32">
                  <c:v>45756</c:v>
                </c:pt>
                <c:pt idx="33">
                  <c:v>45757</c:v>
                </c:pt>
                <c:pt idx="34">
                  <c:v>45758</c:v>
                </c:pt>
                <c:pt idx="35">
                  <c:v>45761</c:v>
                </c:pt>
                <c:pt idx="36">
                  <c:v>45762</c:v>
                </c:pt>
                <c:pt idx="37">
                  <c:v>45763</c:v>
                </c:pt>
                <c:pt idx="38">
                  <c:v>45764</c:v>
                </c:pt>
                <c:pt idx="39">
                  <c:v>45768</c:v>
                </c:pt>
                <c:pt idx="40">
                  <c:v>45769</c:v>
                </c:pt>
                <c:pt idx="41">
                  <c:v>45770</c:v>
                </c:pt>
                <c:pt idx="42">
                  <c:v>45771</c:v>
                </c:pt>
                <c:pt idx="43">
                  <c:v>45772</c:v>
                </c:pt>
                <c:pt idx="44">
                  <c:v>45775</c:v>
                </c:pt>
                <c:pt idx="45">
                  <c:v>45776</c:v>
                </c:pt>
                <c:pt idx="46">
                  <c:v>45777</c:v>
                </c:pt>
                <c:pt idx="47">
                  <c:v>45778</c:v>
                </c:pt>
                <c:pt idx="48">
                  <c:v>45779</c:v>
                </c:pt>
                <c:pt idx="49">
                  <c:v>45782</c:v>
                </c:pt>
                <c:pt idx="50">
                  <c:v>45783</c:v>
                </c:pt>
                <c:pt idx="51">
                  <c:v>45784</c:v>
                </c:pt>
                <c:pt idx="52">
                  <c:v>45785</c:v>
                </c:pt>
                <c:pt idx="53">
                  <c:v>45786</c:v>
                </c:pt>
                <c:pt idx="54">
                  <c:v>45789</c:v>
                </c:pt>
                <c:pt idx="55">
                  <c:v>45790</c:v>
                </c:pt>
                <c:pt idx="56">
                  <c:v>45791</c:v>
                </c:pt>
                <c:pt idx="57">
                  <c:v>45792</c:v>
                </c:pt>
                <c:pt idx="58">
                  <c:v>45793</c:v>
                </c:pt>
                <c:pt idx="59">
                  <c:v>45796</c:v>
                </c:pt>
                <c:pt idx="60">
                  <c:v>45797</c:v>
                </c:pt>
                <c:pt idx="61">
                  <c:v>45798</c:v>
                </c:pt>
                <c:pt idx="62">
                  <c:v>45799</c:v>
                </c:pt>
                <c:pt idx="63">
                  <c:v>45800</c:v>
                </c:pt>
                <c:pt idx="64">
                  <c:v>45804</c:v>
                </c:pt>
                <c:pt idx="65">
                  <c:v>45805</c:v>
                </c:pt>
                <c:pt idx="66">
                  <c:v>45806</c:v>
                </c:pt>
                <c:pt idx="67">
                  <c:v>45807</c:v>
                </c:pt>
                <c:pt idx="68">
                  <c:v>45810</c:v>
                </c:pt>
                <c:pt idx="69">
                  <c:v>45811</c:v>
                </c:pt>
                <c:pt idx="70">
                  <c:v>45812</c:v>
                </c:pt>
                <c:pt idx="71">
                  <c:v>45813</c:v>
                </c:pt>
                <c:pt idx="72">
                  <c:v>45814</c:v>
                </c:pt>
                <c:pt idx="73">
                  <c:v>45817</c:v>
                </c:pt>
                <c:pt idx="74">
                  <c:v>45818</c:v>
                </c:pt>
                <c:pt idx="75">
                  <c:v>45819</c:v>
                </c:pt>
                <c:pt idx="76">
                  <c:v>45820</c:v>
                </c:pt>
                <c:pt idx="77">
                  <c:v>45821</c:v>
                </c:pt>
                <c:pt idx="78">
                  <c:v>45824</c:v>
                </c:pt>
                <c:pt idx="79">
                  <c:v>45825</c:v>
                </c:pt>
                <c:pt idx="80">
                  <c:v>45826</c:v>
                </c:pt>
                <c:pt idx="81">
                  <c:v>45828</c:v>
                </c:pt>
                <c:pt idx="82">
                  <c:v>45831</c:v>
                </c:pt>
                <c:pt idx="83">
                  <c:v>45832</c:v>
                </c:pt>
                <c:pt idx="84">
                  <c:v>45833</c:v>
                </c:pt>
                <c:pt idx="85">
                  <c:v>45834</c:v>
                </c:pt>
                <c:pt idx="86">
                  <c:v>45835</c:v>
                </c:pt>
                <c:pt idx="87">
                  <c:v>45838</c:v>
                </c:pt>
                <c:pt idx="88">
                  <c:v>45839</c:v>
                </c:pt>
                <c:pt idx="89">
                  <c:v>45840</c:v>
                </c:pt>
                <c:pt idx="90">
                  <c:v>45841</c:v>
                </c:pt>
                <c:pt idx="91">
                  <c:v>45845</c:v>
                </c:pt>
                <c:pt idx="92">
                  <c:v>45846</c:v>
                </c:pt>
                <c:pt idx="93">
                  <c:v>45847</c:v>
                </c:pt>
                <c:pt idx="94">
                  <c:v>45848</c:v>
                </c:pt>
                <c:pt idx="95">
                  <c:v>45849</c:v>
                </c:pt>
                <c:pt idx="96">
                  <c:v>45852</c:v>
                </c:pt>
                <c:pt idx="97">
                  <c:v>45853</c:v>
                </c:pt>
                <c:pt idx="98">
                  <c:v>45854</c:v>
                </c:pt>
                <c:pt idx="99">
                  <c:v>45855</c:v>
                </c:pt>
                <c:pt idx="100">
                  <c:v>45856</c:v>
                </c:pt>
                <c:pt idx="101">
                  <c:v>45859</c:v>
                </c:pt>
                <c:pt idx="102">
                  <c:v>45860</c:v>
                </c:pt>
                <c:pt idx="103">
                  <c:v>45861</c:v>
                </c:pt>
                <c:pt idx="104">
                  <c:v>45862</c:v>
                </c:pt>
                <c:pt idx="105">
                  <c:v>45863</c:v>
                </c:pt>
                <c:pt idx="106">
                  <c:v>45866</c:v>
                </c:pt>
                <c:pt idx="107">
                  <c:v>45867</c:v>
                </c:pt>
                <c:pt idx="108">
                  <c:v>45868</c:v>
                </c:pt>
                <c:pt idx="109">
                  <c:v>45869</c:v>
                </c:pt>
                <c:pt idx="110">
                  <c:v>45870</c:v>
                </c:pt>
                <c:pt idx="111">
                  <c:v>45873</c:v>
                </c:pt>
                <c:pt idx="112">
                  <c:v>45874</c:v>
                </c:pt>
                <c:pt idx="113">
                  <c:v>45875</c:v>
                </c:pt>
                <c:pt idx="114">
                  <c:v>45876</c:v>
                </c:pt>
                <c:pt idx="115">
                  <c:v>45877</c:v>
                </c:pt>
                <c:pt idx="116">
                  <c:v>45880</c:v>
                </c:pt>
                <c:pt idx="117">
                  <c:v>45881</c:v>
                </c:pt>
                <c:pt idx="118">
                  <c:v>45882</c:v>
                </c:pt>
                <c:pt idx="119">
                  <c:v>45883</c:v>
                </c:pt>
                <c:pt idx="120">
                  <c:v>45884</c:v>
                </c:pt>
                <c:pt idx="121">
                  <c:v>45887</c:v>
                </c:pt>
                <c:pt idx="122">
                  <c:v>45888</c:v>
                </c:pt>
                <c:pt idx="123">
                  <c:v>45889</c:v>
                </c:pt>
                <c:pt idx="124">
                  <c:v>45890</c:v>
                </c:pt>
                <c:pt idx="125">
                  <c:v>45891</c:v>
                </c:pt>
                <c:pt idx="126">
                  <c:v>45894</c:v>
                </c:pt>
                <c:pt idx="127">
                  <c:v>45895</c:v>
                </c:pt>
                <c:pt idx="128">
                  <c:v>45896</c:v>
                </c:pt>
                <c:pt idx="129">
                  <c:v>45897</c:v>
                </c:pt>
                <c:pt idx="130">
                  <c:v>45898</c:v>
                </c:pt>
                <c:pt idx="131">
                  <c:v>45902</c:v>
                </c:pt>
                <c:pt idx="132">
                  <c:v>45903</c:v>
                </c:pt>
                <c:pt idx="133">
                  <c:v>45904</c:v>
                </c:pt>
                <c:pt idx="134">
                  <c:v>45905</c:v>
                </c:pt>
                <c:pt idx="135">
                  <c:v>45908</c:v>
                </c:pt>
                <c:pt idx="136">
                  <c:v>45909</c:v>
                </c:pt>
                <c:pt idx="137">
                  <c:v>45910</c:v>
                </c:pt>
                <c:pt idx="138">
                  <c:v>45911</c:v>
                </c:pt>
                <c:pt idx="139">
                  <c:v>45912</c:v>
                </c:pt>
                <c:pt idx="140">
                  <c:v>45915</c:v>
                </c:pt>
                <c:pt idx="141">
                  <c:v>45916</c:v>
                </c:pt>
                <c:pt idx="142">
                  <c:v>45917</c:v>
                </c:pt>
                <c:pt idx="143">
                  <c:v>45918</c:v>
                </c:pt>
                <c:pt idx="144">
                  <c:v>45919</c:v>
                </c:pt>
                <c:pt idx="145">
                  <c:v>45922</c:v>
                </c:pt>
                <c:pt idx="146">
                  <c:v>45923</c:v>
                </c:pt>
                <c:pt idx="147">
                  <c:v>45924</c:v>
                </c:pt>
                <c:pt idx="148">
                  <c:v>45925</c:v>
                </c:pt>
                <c:pt idx="149">
                  <c:v>45926</c:v>
                </c:pt>
                <c:pt idx="150">
                  <c:v>45929</c:v>
                </c:pt>
                <c:pt idx="151">
                  <c:v>45930</c:v>
                </c:pt>
                <c:pt idx="152">
                  <c:v>45931</c:v>
                </c:pt>
                <c:pt idx="153">
                  <c:v>45932</c:v>
                </c:pt>
                <c:pt idx="154">
                  <c:v>45933</c:v>
                </c:pt>
                <c:pt idx="155">
                  <c:v>45936</c:v>
                </c:pt>
                <c:pt idx="156">
                  <c:v>45937</c:v>
                </c:pt>
                <c:pt idx="157">
                  <c:v>45938</c:v>
                </c:pt>
                <c:pt idx="158">
                  <c:v>45939</c:v>
                </c:pt>
                <c:pt idx="159">
                  <c:v>45940</c:v>
                </c:pt>
                <c:pt idx="160">
                  <c:v>45943</c:v>
                </c:pt>
                <c:pt idx="161">
                  <c:v>45944</c:v>
                </c:pt>
                <c:pt idx="162">
                  <c:v>45945</c:v>
                </c:pt>
                <c:pt idx="163">
                  <c:v>45946</c:v>
                </c:pt>
                <c:pt idx="164">
                  <c:v>45947</c:v>
                </c:pt>
                <c:pt idx="165">
                  <c:v>45950</c:v>
                </c:pt>
                <c:pt idx="166">
                  <c:v>45951</c:v>
                </c:pt>
                <c:pt idx="167">
                  <c:v>45952</c:v>
                </c:pt>
                <c:pt idx="168">
                  <c:v>45953</c:v>
                </c:pt>
                <c:pt idx="169">
                  <c:v>45954</c:v>
                </c:pt>
                <c:pt idx="170">
                  <c:v>45957</c:v>
                </c:pt>
                <c:pt idx="171">
                  <c:v>45958</c:v>
                </c:pt>
                <c:pt idx="172">
                  <c:v>45959</c:v>
                </c:pt>
                <c:pt idx="173">
                  <c:v>45960</c:v>
                </c:pt>
                <c:pt idx="174">
                  <c:v>45961</c:v>
                </c:pt>
                <c:pt idx="175">
                  <c:v>45964</c:v>
                </c:pt>
                <c:pt idx="176">
                  <c:v>45965</c:v>
                </c:pt>
                <c:pt idx="177">
                  <c:v>45966</c:v>
                </c:pt>
                <c:pt idx="178">
                  <c:v>45967</c:v>
                </c:pt>
                <c:pt idx="179">
                  <c:v>45968</c:v>
                </c:pt>
                <c:pt idx="180">
                  <c:v>45971</c:v>
                </c:pt>
                <c:pt idx="181">
                  <c:v>45972</c:v>
                </c:pt>
                <c:pt idx="182">
                  <c:v>45973</c:v>
                </c:pt>
                <c:pt idx="183">
                  <c:v>45974</c:v>
                </c:pt>
                <c:pt idx="184">
                  <c:v>45975</c:v>
                </c:pt>
                <c:pt idx="185">
                  <c:v>45978</c:v>
                </c:pt>
                <c:pt idx="186">
                  <c:v>45979</c:v>
                </c:pt>
                <c:pt idx="187">
                  <c:v>45980</c:v>
                </c:pt>
                <c:pt idx="188">
                  <c:v>45981</c:v>
                </c:pt>
                <c:pt idx="189">
                  <c:v>45982</c:v>
                </c:pt>
                <c:pt idx="190">
                  <c:v>45985</c:v>
                </c:pt>
                <c:pt idx="191">
                  <c:v>45986</c:v>
                </c:pt>
                <c:pt idx="192">
                  <c:v>45987</c:v>
                </c:pt>
                <c:pt idx="193">
                  <c:v>45989</c:v>
                </c:pt>
                <c:pt idx="194">
                  <c:v>45992</c:v>
                </c:pt>
                <c:pt idx="195">
                  <c:v>45993</c:v>
                </c:pt>
                <c:pt idx="196">
                  <c:v>45994</c:v>
                </c:pt>
                <c:pt idx="197">
                  <c:v>45995</c:v>
                </c:pt>
                <c:pt idx="198">
                  <c:v>45996</c:v>
                </c:pt>
                <c:pt idx="199">
                  <c:v>45999</c:v>
                </c:pt>
                <c:pt idx="200">
                  <c:v>46000</c:v>
                </c:pt>
                <c:pt idx="201">
                  <c:v>46001</c:v>
                </c:pt>
                <c:pt idx="202">
                  <c:v>46002</c:v>
                </c:pt>
                <c:pt idx="203">
                  <c:v>46003</c:v>
                </c:pt>
                <c:pt idx="204">
                  <c:v>46006</c:v>
                </c:pt>
                <c:pt idx="205">
                  <c:v>46007</c:v>
                </c:pt>
                <c:pt idx="206">
                  <c:v>46008</c:v>
                </c:pt>
                <c:pt idx="207">
                  <c:v>46009</c:v>
                </c:pt>
                <c:pt idx="208">
                  <c:v>46010</c:v>
                </c:pt>
                <c:pt idx="209">
                  <c:v>46013</c:v>
                </c:pt>
                <c:pt idx="210">
                  <c:v>46014</c:v>
                </c:pt>
                <c:pt idx="211">
                  <c:v>46015</c:v>
                </c:pt>
                <c:pt idx="212">
                  <c:v>46017</c:v>
                </c:pt>
                <c:pt idx="213">
                  <c:v>46020</c:v>
                </c:pt>
                <c:pt idx="214">
                  <c:v>46021</c:v>
                </c:pt>
                <c:pt idx="215">
                  <c:v>46022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46037</c:v>
                </c:pt>
                <c:pt idx="226">
                  <c:v>46038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46048</c:v>
                </c:pt>
                <c:pt idx="232">
                  <c:v>46049</c:v>
                </c:pt>
                <c:pt idx="233">
                  <c:v>46050</c:v>
                </c:pt>
                <c:pt idx="234">
                  <c:v>46051</c:v>
                </c:pt>
                <c:pt idx="235">
                  <c:v>46052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</c:numCache>
            </c:numRef>
          </c:cat>
          <c:val>
            <c:numRef>
              <c:f>Data!$Z$2:$Z$252</c:f>
              <c:numCache>
                <c:formatCode>General</c:formatCode>
                <c:ptCount val="251"/>
                <c:pt idx="34">
                  <c:v>-4.7763826157613147</c:v>
                </c:pt>
                <c:pt idx="35">
                  <c:v>-4.7474383254384245</c:v>
                </c:pt>
                <c:pt idx="36">
                  <c:v>-4.6396331507701412</c:v>
                </c:pt>
                <c:pt idx="37">
                  <c:v>-4.4736471046981343</c:v>
                </c:pt>
                <c:pt idx="38">
                  <c:v>-4.3110212690396486</c:v>
                </c:pt>
                <c:pt idx="39">
                  <c:v>-4.0745343070331783</c:v>
                </c:pt>
                <c:pt idx="40">
                  <c:v>-3.7217917463336585</c:v>
                </c:pt>
                <c:pt idx="41">
                  <c:v>-3.5638548779627182</c:v>
                </c:pt>
                <c:pt idx="42">
                  <c:v>-3.4790354078480332</c:v>
                </c:pt>
                <c:pt idx="43">
                  <c:v>-3.376732397961856</c:v>
                </c:pt>
                <c:pt idx="44">
                  <c:v>-3.2096049171748438</c:v>
                </c:pt>
                <c:pt idx="45">
                  <c:v>-2.9645232429820174</c:v>
                </c:pt>
                <c:pt idx="46">
                  <c:v>-2.7111337672549487</c:v>
                </c:pt>
                <c:pt idx="47">
                  <c:v>-2.3656694852658968</c:v>
                </c:pt>
                <c:pt idx="48">
                  <c:v>-1.9172979378145893</c:v>
                </c:pt>
                <c:pt idx="49">
                  <c:v>-1.4245178425603124</c:v>
                </c:pt>
                <c:pt idx="50">
                  <c:v>-0.858682644633603</c:v>
                </c:pt>
                <c:pt idx="51">
                  <c:v>-0.26247792801232755</c:v>
                </c:pt>
                <c:pt idx="52">
                  <c:v>0.24329120362142723</c:v>
                </c:pt>
                <c:pt idx="53">
                  <c:v>0.73694462675885208</c:v>
                </c:pt>
                <c:pt idx="54">
                  <c:v>1.2736230226702703</c:v>
                </c:pt>
                <c:pt idx="55">
                  <c:v>1.7939473248704974</c:v>
                </c:pt>
                <c:pt idx="56">
                  <c:v>2.4140122947720295</c:v>
                </c:pt>
                <c:pt idx="57">
                  <c:v>3.059862283511968</c:v>
                </c:pt>
                <c:pt idx="58">
                  <c:v>3.7073680401289035</c:v>
                </c:pt>
                <c:pt idx="59">
                  <c:v>4.2902249892788396</c:v>
                </c:pt>
                <c:pt idx="60">
                  <c:v>4.6952258543874041</c:v>
                </c:pt>
                <c:pt idx="61">
                  <c:v>4.91693174772786</c:v>
                </c:pt>
                <c:pt idx="62">
                  <c:v>5.0050711805992831</c:v>
                </c:pt>
                <c:pt idx="63">
                  <c:v>5.0668560726943515</c:v>
                </c:pt>
                <c:pt idx="64">
                  <c:v>5.0496314894517935</c:v>
                </c:pt>
                <c:pt idx="65">
                  <c:v>4.9475497625221312</c:v>
                </c:pt>
                <c:pt idx="66">
                  <c:v>4.7922591819010805</c:v>
                </c:pt>
                <c:pt idx="67">
                  <c:v>4.6780557566241958</c:v>
                </c:pt>
                <c:pt idx="68">
                  <c:v>4.6056702019897946</c:v>
                </c:pt>
                <c:pt idx="69">
                  <c:v>4.5578980079965046</c:v>
                </c:pt>
                <c:pt idx="70">
                  <c:v>4.5390478348126795</c:v>
                </c:pt>
                <c:pt idx="71">
                  <c:v>4.5610365490841689</c:v>
                </c:pt>
                <c:pt idx="72">
                  <c:v>4.6482877524106625</c:v>
                </c:pt>
                <c:pt idx="73">
                  <c:v>4.8276463496088429</c:v>
                </c:pt>
                <c:pt idx="74">
                  <c:v>5.1285699365040056</c:v>
                </c:pt>
                <c:pt idx="75">
                  <c:v>5.4704064800523255</c:v>
                </c:pt>
                <c:pt idx="76">
                  <c:v>5.7467123480404378</c:v>
                </c:pt>
                <c:pt idx="77">
                  <c:v>6.0279123856221126</c:v>
                </c:pt>
                <c:pt idx="78">
                  <c:v>6.3031645790743909</c:v>
                </c:pt>
                <c:pt idx="79">
                  <c:v>6.5484461237196916</c:v>
                </c:pt>
                <c:pt idx="80">
                  <c:v>6.7114214573735866</c:v>
                </c:pt>
                <c:pt idx="81">
                  <c:v>6.929954484123674</c:v>
                </c:pt>
                <c:pt idx="82">
                  <c:v>7.2296092236989962</c:v>
                </c:pt>
                <c:pt idx="83">
                  <c:v>7.5043677873039734</c:v>
                </c:pt>
                <c:pt idx="84">
                  <c:v>7.7458949819241845</c:v>
                </c:pt>
                <c:pt idx="85">
                  <c:v>7.9006993345409828</c:v>
                </c:pt>
                <c:pt idx="86">
                  <c:v>8.0560735310423031</c:v>
                </c:pt>
                <c:pt idx="87">
                  <c:v>8.1281816922562502</c:v>
                </c:pt>
                <c:pt idx="88">
                  <c:v>8.0691563398423813</c:v>
                </c:pt>
                <c:pt idx="89">
                  <c:v>7.9815650854752924</c:v>
                </c:pt>
                <c:pt idx="90">
                  <c:v>7.8704465621118267</c:v>
                </c:pt>
                <c:pt idx="91">
                  <c:v>7.6997617265004834</c:v>
                </c:pt>
                <c:pt idx="92">
                  <c:v>7.4786729105458791</c:v>
                </c:pt>
                <c:pt idx="93">
                  <c:v>7.1772998216841852</c:v>
                </c:pt>
                <c:pt idx="94">
                  <c:v>6.7637811058656432</c:v>
                </c:pt>
                <c:pt idx="95">
                  <c:v>6.2894238759612424</c:v>
                </c:pt>
                <c:pt idx="96">
                  <c:v>5.7700756512721645</c:v>
                </c:pt>
                <c:pt idx="97">
                  <c:v>5.22415742077294</c:v>
                </c:pt>
                <c:pt idx="98">
                  <c:v>4.6795730028843536</c:v>
                </c:pt>
                <c:pt idx="99">
                  <c:v>4.2154505042583992</c:v>
                </c:pt>
                <c:pt idx="100">
                  <c:v>3.797975059219596</c:v>
                </c:pt>
                <c:pt idx="101">
                  <c:v>3.3790908390540384</c:v>
                </c:pt>
                <c:pt idx="102">
                  <c:v>2.9743783181816941</c:v>
                </c:pt>
                <c:pt idx="103">
                  <c:v>2.2499648901127913</c:v>
                </c:pt>
                <c:pt idx="104">
                  <c:v>1.3454119622750558</c:v>
                </c:pt>
                <c:pt idx="105">
                  <c:v>0.42798369071438536</c:v>
                </c:pt>
                <c:pt idx="106">
                  <c:v>-0.46316048504828522</c:v>
                </c:pt>
                <c:pt idx="107">
                  <c:v>-1.3243614064017444</c:v>
                </c:pt>
                <c:pt idx="108">
                  <c:v>-2.2320663105242904</c:v>
                </c:pt>
                <c:pt idx="109">
                  <c:v>-3.165706977965705</c:v>
                </c:pt>
                <c:pt idx="110">
                  <c:v>-4.0286533834893419</c:v>
                </c:pt>
                <c:pt idx="111">
                  <c:v>-4.8137710876159989</c:v>
                </c:pt>
                <c:pt idx="112">
                  <c:v>-5.4722919343826515</c:v>
                </c:pt>
                <c:pt idx="113">
                  <c:v>-6.0382944741771878</c:v>
                </c:pt>
                <c:pt idx="114">
                  <c:v>-6.6287553904804746</c:v>
                </c:pt>
                <c:pt idx="115">
                  <c:v>-7.2837329952725476</c:v>
                </c:pt>
                <c:pt idx="116">
                  <c:v>-7.9526225577373832</c:v>
                </c:pt>
                <c:pt idx="117">
                  <c:v>-8.4924835295824597</c:v>
                </c:pt>
                <c:pt idx="118">
                  <c:v>-8.9510404597125408</c:v>
                </c:pt>
                <c:pt idx="119">
                  <c:v>-9.2725570221518439</c:v>
                </c:pt>
                <c:pt idx="120">
                  <c:v>-9.4744985667604507</c:v>
                </c:pt>
                <c:pt idx="121">
                  <c:v>-9.540115817360622</c:v>
                </c:pt>
                <c:pt idx="122">
                  <c:v>-9.4748419148360483</c:v>
                </c:pt>
                <c:pt idx="123">
                  <c:v>-9.359611068115294</c:v>
                </c:pt>
                <c:pt idx="124">
                  <c:v>-9.1548589421979756</c:v>
                </c:pt>
                <c:pt idx="125">
                  <c:v>-8.9263030286449876</c:v>
                </c:pt>
                <c:pt idx="126">
                  <c:v>-8.6234096595552785</c:v>
                </c:pt>
                <c:pt idx="127">
                  <c:v>-8.2348874301964212</c:v>
                </c:pt>
                <c:pt idx="128">
                  <c:v>-7.7800932629937725</c:v>
                </c:pt>
                <c:pt idx="129">
                  <c:v>-7.3256076762483868</c:v>
                </c:pt>
                <c:pt idx="130">
                  <c:v>-6.9101931332514805</c:v>
                </c:pt>
                <c:pt idx="131">
                  <c:v>-6.4838130709075914</c:v>
                </c:pt>
                <c:pt idx="132">
                  <c:v>-6.0089940582333927</c:v>
                </c:pt>
                <c:pt idx="133">
                  <c:v>-5.4934710726644731</c:v>
                </c:pt>
                <c:pt idx="134">
                  <c:v>-4.8463240758120749</c:v>
                </c:pt>
                <c:pt idx="135">
                  <c:v>-4.0913741245410655</c:v>
                </c:pt>
                <c:pt idx="136">
                  <c:v>-3.3346843722206558</c:v>
                </c:pt>
                <c:pt idx="137">
                  <c:v>-2.6068965791995358</c:v>
                </c:pt>
                <c:pt idx="138">
                  <c:v>-1.9863914333980008</c:v>
                </c:pt>
                <c:pt idx="139">
                  <c:v>-1.4164571249877409</c:v>
                </c:pt>
                <c:pt idx="140">
                  <c:v>-0.88444649122374441</c:v>
                </c:pt>
                <c:pt idx="141">
                  <c:v>-0.37718983720463617</c:v>
                </c:pt>
                <c:pt idx="142">
                  <c:v>0.18327010425589069</c:v>
                </c:pt>
                <c:pt idx="143">
                  <c:v>0.76961507201508639</c:v>
                </c:pt>
                <c:pt idx="144">
                  <c:v>1.4189864395501397</c:v>
                </c:pt>
                <c:pt idx="145">
                  <c:v>2.0844665980720958</c:v>
                </c:pt>
                <c:pt idx="146">
                  <c:v>2.6452616449754132</c:v>
                </c:pt>
                <c:pt idx="147">
                  <c:v>3.3269411285308652</c:v>
                </c:pt>
                <c:pt idx="148">
                  <c:v>4.0868602720955014</c:v>
                </c:pt>
                <c:pt idx="149">
                  <c:v>4.7747131043859401</c:v>
                </c:pt>
                <c:pt idx="150">
                  <c:v>5.4081076714969543</c:v>
                </c:pt>
                <c:pt idx="151">
                  <c:v>6.0309217129341315</c:v>
                </c:pt>
                <c:pt idx="152">
                  <c:v>6.6043789698099671</c:v>
                </c:pt>
                <c:pt idx="153">
                  <c:v>7.1281108440480203</c:v>
                </c:pt>
                <c:pt idx="154">
                  <c:v>7.5937266517859916</c:v>
                </c:pt>
                <c:pt idx="155">
                  <c:v>8.0521975968065078</c:v>
                </c:pt>
                <c:pt idx="156">
                  <c:v>8.3934449142952197</c:v>
                </c:pt>
                <c:pt idx="157">
                  <c:v>8.6045756943758906</c:v>
                </c:pt>
                <c:pt idx="158">
                  <c:v>8.5373870865968531</c:v>
                </c:pt>
                <c:pt idx="159">
                  <c:v>8.2702443346147465</c:v>
                </c:pt>
                <c:pt idx="160">
                  <c:v>7.855857478484781</c:v>
                </c:pt>
                <c:pt idx="161">
                  <c:v>7.4263889393276843</c:v>
                </c:pt>
                <c:pt idx="162">
                  <c:v>6.9167925930568046</c:v>
                </c:pt>
                <c:pt idx="163">
                  <c:v>6.452640751435224</c:v>
                </c:pt>
                <c:pt idx="164">
                  <c:v>6.0644093437382356</c:v>
                </c:pt>
                <c:pt idx="165">
                  <c:v>5.7047660439901069</c:v>
                </c:pt>
                <c:pt idx="166">
                  <c:v>5.4560031078571249</c:v>
                </c:pt>
                <c:pt idx="167">
                  <c:v>5.2372974809375332</c:v>
                </c:pt>
                <c:pt idx="168">
                  <c:v>5.3952954254638534</c:v>
                </c:pt>
                <c:pt idx="169">
                  <c:v>5.8586477494729232</c:v>
                </c:pt>
                <c:pt idx="170">
                  <c:v>6.467451248766487</c:v>
                </c:pt>
                <c:pt idx="171">
                  <c:v>7.0512043582497146</c:v>
                </c:pt>
                <c:pt idx="172">
                  <c:v>7.6020996145723609</c:v>
                </c:pt>
                <c:pt idx="173">
                  <c:v>8.043915440401209</c:v>
                </c:pt>
                <c:pt idx="174">
                  <c:v>8.3331101315969942</c:v>
                </c:pt>
                <c:pt idx="175">
                  <c:v>8.430588811275527</c:v>
                </c:pt>
                <c:pt idx="176">
                  <c:v>8.4780287408432411</c:v>
                </c:pt>
                <c:pt idx="177">
                  <c:v>8.562437779467631</c:v>
                </c:pt>
                <c:pt idx="178">
                  <c:v>8.5497132780869158</c:v>
                </c:pt>
                <c:pt idx="179">
                  <c:v>8.5011625128937034</c:v>
                </c:pt>
                <c:pt idx="180">
                  <c:v>8.4865565512061636</c:v>
                </c:pt>
                <c:pt idx="181">
                  <c:v>8.4947521884511961</c:v>
                </c:pt>
                <c:pt idx="182">
                  <c:v>8.3359898493118827</c:v>
                </c:pt>
                <c:pt idx="183">
                  <c:v>8.0751468274265878</c:v>
                </c:pt>
                <c:pt idx="184">
                  <c:v>7.6096589164718766</c:v>
                </c:pt>
                <c:pt idx="185">
                  <c:v>6.9077703640160664</c:v>
                </c:pt>
                <c:pt idx="186">
                  <c:v>6.0561051504312848</c:v>
                </c:pt>
                <c:pt idx="187">
                  <c:v>5.1712401942859341</c:v>
                </c:pt>
                <c:pt idx="188">
                  <c:v>4.4124851517426391</c:v>
                </c:pt>
                <c:pt idx="189">
                  <c:v>3.8690671053641803</c:v>
                </c:pt>
                <c:pt idx="190">
                  <c:v>3.486030191536531</c:v>
                </c:pt>
                <c:pt idx="191">
                  <c:v>3.1953890162341869</c:v>
                </c:pt>
                <c:pt idx="192">
                  <c:v>3.0562878662541828</c:v>
                </c:pt>
                <c:pt idx="193">
                  <c:v>2.9660677317657496</c:v>
                </c:pt>
                <c:pt idx="194">
                  <c:v>2.842391812939197</c:v>
                </c:pt>
                <c:pt idx="195">
                  <c:v>2.711153076168682</c:v>
                </c:pt>
                <c:pt idx="196">
                  <c:v>2.6615498104750008</c:v>
                </c:pt>
                <c:pt idx="197">
                  <c:v>2.6588504304716074</c:v>
                </c:pt>
                <c:pt idx="198">
                  <c:v>2.6994144211221891</c:v>
                </c:pt>
                <c:pt idx="199">
                  <c:v>2.7795568521688132</c:v>
                </c:pt>
                <c:pt idx="200">
                  <c:v>2.9089100828568379</c:v>
                </c:pt>
                <c:pt idx="201">
                  <c:v>3.0249047620068747</c:v>
                </c:pt>
                <c:pt idx="202">
                  <c:v>3.0956199333383139</c:v>
                </c:pt>
                <c:pt idx="203">
                  <c:v>3.1179386749852496</c:v>
                </c:pt>
                <c:pt idx="204">
                  <c:v>3.0142168744188522</c:v>
                </c:pt>
                <c:pt idx="205">
                  <c:v>2.8322961802454891</c:v>
                </c:pt>
                <c:pt idx="206">
                  <c:v>2.5586539682232998</c:v>
                </c:pt>
                <c:pt idx="207">
                  <c:v>2.2444914131808473</c:v>
                </c:pt>
                <c:pt idx="208">
                  <c:v>1.9451622553400467</c:v>
                </c:pt>
                <c:pt idx="209">
                  <c:v>1.6821831661156545</c:v>
                </c:pt>
                <c:pt idx="210">
                  <c:v>1.4643838028298475</c:v>
                </c:pt>
                <c:pt idx="211">
                  <c:v>1.2914378325602376</c:v>
                </c:pt>
                <c:pt idx="212">
                  <c:v>1.1630981359387107</c:v>
                </c:pt>
                <c:pt idx="213">
                  <c:v>1.0079218356467095</c:v>
                </c:pt>
                <c:pt idx="214">
                  <c:v>0.74858842324459607</c:v>
                </c:pt>
                <c:pt idx="215">
                  <c:v>0.36071455325096446</c:v>
                </c:pt>
                <c:pt idx="216">
                  <c:v>-3.2853314192385907E-2</c:v>
                </c:pt>
                <c:pt idx="217">
                  <c:v>-0.28962559196800636</c:v>
                </c:pt>
                <c:pt idx="218">
                  <c:v>-0.53811484948281696</c:v>
                </c:pt>
                <c:pt idx="219">
                  <c:v>-0.67159282872060566</c:v>
                </c:pt>
                <c:pt idx="220">
                  <c:v>-0.70052451080197231</c:v>
                </c:pt>
                <c:pt idx="221">
                  <c:v>-0.53381816458320619</c:v>
                </c:pt>
                <c:pt idx="222">
                  <c:v>-0.39592086683374844</c:v>
                </c:pt>
                <c:pt idx="223">
                  <c:v>-0.18875452135886259</c:v>
                </c:pt>
                <c:pt idx="224">
                  <c:v>-0.1253763999297032</c:v>
                </c:pt>
                <c:pt idx="225">
                  <c:v>-3.1990488199730577E-2</c:v>
                </c:pt>
                <c:pt idx="226">
                  <c:v>-0.15308604233612663</c:v>
                </c:pt>
                <c:pt idx="227">
                  <c:v>-0.30315964621787472</c:v>
                </c:pt>
                <c:pt idx="228">
                  <c:v>-0.50862723561410517</c:v>
                </c:pt>
                <c:pt idx="229">
                  <c:v>-0.77246283463940024</c:v>
                </c:pt>
                <c:pt idx="230">
                  <c:v>-0.9952283961393974</c:v>
                </c:pt>
                <c:pt idx="231">
                  <c:v>-1.2177133955195143</c:v>
                </c:pt>
                <c:pt idx="232">
                  <c:v>-1.4207977727589456</c:v>
                </c:pt>
                <c:pt idx="233">
                  <c:v>-1.3572453191426352</c:v>
                </c:pt>
                <c:pt idx="234">
                  <c:v>-1.167332370093175</c:v>
                </c:pt>
                <c:pt idx="235">
                  <c:v>-0.77740011440878143</c:v>
                </c:pt>
                <c:pt idx="236">
                  <c:v>-0.60655784719556627</c:v>
                </c:pt>
                <c:pt idx="237">
                  <c:v>-0.66453053412087015</c:v>
                </c:pt>
                <c:pt idx="238">
                  <c:v>-0.84796466846429364</c:v>
                </c:pt>
                <c:pt idx="239">
                  <c:v>-0.95425908379144797</c:v>
                </c:pt>
                <c:pt idx="240">
                  <c:v>-1.0457786766324766</c:v>
                </c:pt>
                <c:pt idx="241">
                  <c:v>-1.1939277726173003</c:v>
                </c:pt>
                <c:pt idx="242">
                  <c:v>-1.6694199030961956</c:v>
                </c:pt>
                <c:pt idx="243">
                  <c:v>-2.5333874651004731</c:v>
                </c:pt>
                <c:pt idx="244">
                  <c:v>-3.544149562211941</c:v>
                </c:pt>
                <c:pt idx="245">
                  <c:v>-4.6507904498845498</c:v>
                </c:pt>
                <c:pt idx="246">
                  <c:v>-5.7093473182704626</c:v>
                </c:pt>
                <c:pt idx="247">
                  <c:v>-6.7412164132205046</c:v>
                </c:pt>
                <c:pt idx="248">
                  <c:v>-7.6728613639154162</c:v>
                </c:pt>
                <c:pt idx="249">
                  <c:v>0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A2-496D-98F2-DC998517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076799"/>
        <c:axId val="1891077759"/>
      </c:lineChart>
      <c:dateAx>
        <c:axId val="1891076799"/>
        <c:scaling>
          <c:orientation val="minMax"/>
          <c:min val="45954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77759"/>
        <c:crosses val="autoZero"/>
        <c:auto val="1"/>
        <c:lblOffset val="100"/>
        <c:baseTimeUnit val="days"/>
      </c:dateAx>
      <c:valAx>
        <c:axId val="18910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76799"/>
        <c:crosses val="autoZero"/>
        <c:crossBetween val="between"/>
      </c:valAx>
      <c:valAx>
        <c:axId val="18832623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698991"/>
        <c:crosses val="max"/>
        <c:crossBetween val="between"/>
      </c:valAx>
      <c:dateAx>
        <c:axId val="178469899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8326236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Quarter Forecast</a:t>
            </a:r>
          </a:p>
        </c:rich>
      </c:tx>
      <c:layout>
        <c:manualLayout>
          <c:xMode val="edge"/>
          <c:yMode val="edge"/>
          <c:x val="0.354254005920492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Forecast!$A$2:$A$60</c:f>
              <c:numCache>
                <c:formatCode>yyyy\-mm\-dd;@</c:formatCode>
                <c:ptCount val="59"/>
                <c:pt idx="0">
                  <c:v>45712</c:v>
                </c:pt>
                <c:pt idx="1">
                  <c:v>45719</c:v>
                </c:pt>
                <c:pt idx="2">
                  <c:v>45726</c:v>
                </c:pt>
                <c:pt idx="3">
                  <c:v>45733</c:v>
                </c:pt>
                <c:pt idx="4">
                  <c:v>45740</c:v>
                </c:pt>
                <c:pt idx="5">
                  <c:v>45747</c:v>
                </c:pt>
                <c:pt idx="6">
                  <c:v>45754</c:v>
                </c:pt>
                <c:pt idx="7">
                  <c:v>45761</c:v>
                </c:pt>
                <c:pt idx="8">
                  <c:v>45768</c:v>
                </c:pt>
                <c:pt idx="9">
                  <c:v>45775</c:v>
                </c:pt>
                <c:pt idx="10">
                  <c:v>45782</c:v>
                </c:pt>
                <c:pt idx="11">
                  <c:v>45789</c:v>
                </c:pt>
                <c:pt idx="12">
                  <c:v>45796</c:v>
                </c:pt>
                <c:pt idx="13">
                  <c:v>45803</c:v>
                </c:pt>
                <c:pt idx="14">
                  <c:v>45810</c:v>
                </c:pt>
                <c:pt idx="15">
                  <c:v>45817</c:v>
                </c:pt>
                <c:pt idx="16">
                  <c:v>45824</c:v>
                </c:pt>
                <c:pt idx="17">
                  <c:v>45831</c:v>
                </c:pt>
                <c:pt idx="18">
                  <c:v>45838</c:v>
                </c:pt>
                <c:pt idx="19">
                  <c:v>45845</c:v>
                </c:pt>
                <c:pt idx="20">
                  <c:v>45852</c:v>
                </c:pt>
                <c:pt idx="21">
                  <c:v>45859</c:v>
                </c:pt>
                <c:pt idx="22">
                  <c:v>45866</c:v>
                </c:pt>
                <c:pt idx="23">
                  <c:v>45873</c:v>
                </c:pt>
                <c:pt idx="24">
                  <c:v>45880</c:v>
                </c:pt>
                <c:pt idx="25">
                  <c:v>45887</c:v>
                </c:pt>
                <c:pt idx="26">
                  <c:v>45894</c:v>
                </c:pt>
                <c:pt idx="27">
                  <c:v>45901</c:v>
                </c:pt>
                <c:pt idx="28">
                  <c:v>45908</c:v>
                </c:pt>
                <c:pt idx="29">
                  <c:v>45915</c:v>
                </c:pt>
                <c:pt idx="30">
                  <c:v>45922</c:v>
                </c:pt>
                <c:pt idx="31">
                  <c:v>45929</c:v>
                </c:pt>
                <c:pt idx="32">
                  <c:v>45936</c:v>
                </c:pt>
                <c:pt idx="33">
                  <c:v>45943</c:v>
                </c:pt>
                <c:pt idx="34">
                  <c:v>45950</c:v>
                </c:pt>
                <c:pt idx="35">
                  <c:v>45957</c:v>
                </c:pt>
                <c:pt idx="36">
                  <c:v>45964</c:v>
                </c:pt>
                <c:pt idx="37">
                  <c:v>45971</c:v>
                </c:pt>
                <c:pt idx="38">
                  <c:v>45978</c:v>
                </c:pt>
                <c:pt idx="39">
                  <c:v>45985</c:v>
                </c:pt>
                <c:pt idx="40">
                  <c:v>45992</c:v>
                </c:pt>
                <c:pt idx="41">
                  <c:v>45999</c:v>
                </c:pt>
                <c:pt idx="42">
                  <c:v>46006</c:v>
                </c:pt>
                <c:pt idx="43">
                  <c:v>46013</c:v>
                </c:pt>
                <c:pt idx="44">
                  <c:v>46020</c:v>
                </c:pt>
                <c:pt idx="45">
                  <c:v>46027</c:v>
                </c:pt>
                <c:pt idx="46">
                  <c:v>46034</c:v>
                </c:pt>
                <c:pt idx="47">
                  <c:v>46041</c:v>
                </c:pt>
                <c:pt idx="48">
                  <c:v>46048</c:v>
                </c:pt>
                <c:pt idx="49">
                  <c:v>46055</c:v>
                </c:pt>
                <c:pt idx="50">
                  <c:v>46062</c:v>
                </c:pt>
                <c:pt idx="51">
                  <c:v>46069</c:v>
                </c:pt>
                <c:pt idx="52">
                  <c:v>46076</c:v>
                </c:pt>
                <c:pt idx="53">
                  <c:v>46083</c:v>
                </c:pt>
                <c:pt idx="54">
                  <c:v>46090</c:v>
                </c:pt>
                <c:pt idx="55">
                  <c:v>46097</c:v>
                </c:pt>
                <c:pt idx="56">
                  <c:v>46104</c:v>
                </c:pt>
                <c:pt idx="57">
                  <c:v>46111</c:v>
                </c:pt>
                <c:pt idx="58">
                  <c:v>46118</c:v>
                </c:pt>
              </c:numCache>
            </c:numRef>
          </c:cat>
          <c:val>
            <c:numRef>
              <c:f>Forecast!$B$2:$B$60</c:f>
              <c:numCache>
                <c:formatCode>General</c:formatCode>
                <c:ptCount val="59"/>
                <c:pt idx="0">
                  <c:v>256.226</c:v>
                </c:pt>
                <c:pt idx="1">
                  <c:v>252.99600000000001</c:v>
                </c:pt>
                <c:pt idx="2">
                  <c:v>249.92599999999999</c:v>
                </c:pt>
                <c:pt idx="3">
                  <c:v>247.88</c:v>
                </c:pt>
                <c:pt idx="4">
                  <c:v>247.78</c:v>
                </c:pt>
                <c:pt idx="5">
                  <c:v>243.99</c:v>
                </c:pt>
                <c:pt idx="6">
                  <c:v>229.43</c:v>
                </c:pt>
                <c:pt idx="7">
                  <c:v>239.285</c:v>
                </c:pt>
                <c:pt idx="8">
                  <c:v>236.86799999999999</c:v>
                </c:pt>
                <c:pt idx="9">
                  <c:v>240.51599999999999</c:v>
                </c:pt>
                <c:pt idx="10">
                  <c:v>251.00200000000001</c:v>
                </c:pt>
                <c:pt idx="11">
                  <c:v>260.70799999999997</c:v>
                </c:pt>
                <c:pt idx="12">
                  <c:v>262.64600000000002</c:v>
                </c:pt>
                <c:pt idx="13">
                  <c:v>260.30500000000001</c:v>
                </c:pt>
                <c:pt idx="14">
                  <c:v>266.07</c:v>
                </c:pt>
                <c:pt idx="15">
                  <c:v>277.61799999999999</c:v>
                </c:pt>
                <c:pt idx="16">
                  <c:v>282.26499999999999</c:v>
                </c:pt>
                <c:pt idx="17">
                  <c:v>291.13200000000001</c:v>
                </c:pt>
                <c:pt idx="18">
                  <c:v>291.39999999999998</c:v>
                </c:pt>
                <c:pt idx="19">
                  <c:v>288.81</c:v>
                </c:pt>
                <c:pt idx="20">
                  <c:v>283.25600000000003</c:v>
                </c:pt>
                <c:pt idx="21">
                  <c:v>273.78199999999998</c:v>
                </c:pt>
                <c:pt idx="22">
                  <c:v>257.81600000000003</c:v>
                </c:pt>
                <c:pt idx="23">
                  <c:v>249.47200000000001</c:v>
                </c:pt>
                <c:pt idx="24">
                  <c:v>237.59399999999999</c:v>
                </c:pt>
                <c:pt idx="25">
                  <c:v>240.95400000000001</c:v>
                </c:pt>
                <c:pt idx="26">
                  <c:v>243.22399999999999</c:v>
                </c:pt>
                <c:pt idx="27">
                  <c:v>245.32749999999999</c:v>
                </c:pt>
                <c:pt idx="28">
                  <c:v>256.50599999999997</c:v>
                </c:pt>
                <c:pt idx="29">
                  <c:v>260.84800000000001</c:v>
                </c:pt>
                <c:pt idx="30">
                  <c:v>275.37799999999999</c:v>
                </c:pt>
                <c:pt idx="31">
                  <c:v>284.70800000000003</c:v>
                </c:pt>
                <c:pt idx="32">
                  <c:v>287.76</c:v>
                </c:pt>
                <c:pt idx="33">
                  <c:v>278.274</c:v>
                </c:pt>
                <c:pt idx="34">
                  <c:v>289.13400000000001</c:v>
                </c:pt>
                <c:pt idx="35">
                  <c:v>310.26799999999997</c:v>
                </c:pt>
                <c:pt idx="36">
                  <c:v>306.23</c:v>
                </c:pt>
                <c:pt idx="37">
                  <c:v>309.67599999999999</c:v>
                </c:pt>
                <c:pt idx="38">
                  <c:v>292.69799999999998</c:v>
                </c:pt>
                <c:pt idx="39">
                  <c:v>305.09749999999997</c:v>
                </c:pt>
                <c:pt idx="40">
                  <c:v>305.2</c:v>
                </c:pt>
                <c:pt idx="41">
                  <c:v>310.46199999999999</c:v>
                </c:pt>
                <c:pt idx="42">
                  <c:v>303.31799999999998</c:v>
                </c:pt>
                <c:pt idx="43">
                  <c:v>304.05500000000001</c:v>
                </c:pt>
                <c:pt idx="44">
                  <c:v>298.875</c:v>
                </c:pt>
                <c:pt idx="45">
                  <c:v>300.22200000000004</c:v>
                </c:pt>
                <c:pt idx="46">
                  <c:v>305.59800000000001</c:v>
                </c:pt>
                <c:pt idx="47">
                  <c:v>294</c:v>
                </c:pt>
                <c:pt idx="48">
                  <c:v>300.05799999999999</c:v>
                </c:pt>
                <c:pt idx="49">
                  <c:v>297.38200000000001</c:v>
                </c:pt>
                <c:pt idx="50">
                  <c:v>276.56200000000001</c:v>
                </c:pt>
                <c:pt idx="51">
                  <c:v>258.13499999999999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7-4582-8068-80E814F16C2D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Forecast!$A$2:$A$60</c:f>
              <c:numCache>
                <c:formatCode>yyyy\-mm\-dd;@</c:formatCode>
                <c:ptCount val="59"/>
                <c:pt idx="0">
                  <c:v>45712</c:v>
                </c:pt>
                <c:pt idx="1">
                  <c:v>45719</c:v>
                </c:pt>
                <c:pt idx="2">
                  <c:v>45726</c:v>
                </c:pt>
                <c:pt idx="3">
                  <c:v>45733</c:v>
                </c:pt>
                <c:pt idx="4">
                  <c:v>45740</c:v>
                </c:pt>
                <c:pt idx="5">
                  <c:v>45747</c:v>
                </c:pt>
                <c:pt idx="6">
                  <c:v>45754</c:v>
                </c:pt>
                <c:pt idx="7">
                  <c:v>45761</c:v>
                </c:pt>
                <c:pt idx="8">
                  <c:v>45768</c:v>
                </c:pt>
                <c:pt idx="9">
                  <c:v>45775</c:v>
                </c:pt>
                <c:pt idx="10">
                  <c:v>45782</c:v>
                </c:pt>
                <c:pt idx="11">
                  <c:v>45789</c:v>
                </c:pt>
                <c:pt idx="12">
                  <c:v>45796</c:v>
                </c:pt>
                <c:pt idx="13">
                  <c:v>45803</c:v>
                </c:pt>
                <c:pt idx="14">
                  <c:v>45810</c:v>
                </c:pt>
                <c:pt idx="15">
                  <c:v>45817</c:v>
                </c:pt>
                <c:pt idx="16">
                  <c:v>45824</c:v>
                </c:pt>
                <c:pt idx="17">
                  <c:v>45831</c:v>
                </c:pt>
                <c:pt idx="18">
                  <c:v>45838</c:v>
                </c:pt>
                <c:pt idx="19">
                  <c:v>45845</c:v>
                </c:pt>
                <c:pt idx="20">
                  <c:v>45852</c:v>
                </c:pt>
                <c:pt idx="21">
                  <c:v>45859</c:v>
                </c:pt>
                <c:pt idx="22">
                  <c:v>45866</c:v>
                </c:pt>
                <c:pt idx="23">
                  <c:v>45873</c:v>
                </c:pt>
                <c:pt idx="24">
                  <c:v>45880</c:v>
                </c:pt>
                <c:pt idx="25">
                  <c:v>45887</c:v>
                </c:pt>
                <c:pt idx="26">
                  <c:v>45894</c:v>
                </c:pt>
                <c:pt idx="27">
                  <c:v>45901</c:v>
                </c:pt>
                <c:pt idx="28">
                  <c:v>45908</c:v>
                </c:pt>
                <c:pt idx="29">
                  <c:v>45915</c:v>
                </c:pt>
                <c:pt idx="30">
                  <c:v>45922</c:v>
                </c:pt>
                <c:pt idx="31">
                  <c:v>45929</c:v>
                </c:pt>
                <c:pt idx="32">
                  <c:v>45936</c:v>
                </c:pt>
                <c:pt idx="33">
                  <c:v>45943</c:v>
                </c:pt>
                <c:pt idx="34">
                  <c:v>45950</c:v>
                </c:pt>
                <c:pt idx="35">
                  <c:v>45957</c:v>
                </c:pt>
                <c:pt idx="36">
                  <c:v>45964</c:v>
                </c:pt>
                <c:pt idx="37">
                  <c:v>45971</c:v>
                </c:pt>
                <c:pt idx="38">
                  <c:v>45978</c:v>
                </c:pt>
                <c:pt idx="39">
                  <c:v>45985</c:v>
                </c:pt>
                <c:pt idx="40">
                  <c:v>45992</c:v>
                </c:pt>
                <c:pt idx="41">
                  <c:v>45999</c:v>
                </c:pt>
                <c:pt idx="42">
                  <c:v>46006</c:v>
                </c:pt>
                <c:pt idx="43">
                  <c:v>46013</c:v>
                </c:pt>
                <c:pt idx="44">
                  <c:v>46020</c:v>
                </c:pt>
                <c:pt idx="45">
                  <c:v>46027</c:v>
                </c:pt>
                <c:pt idx="46">
                  <c:v>46034</c:v>
                </c:pt>
                <c:pt idx="47">
                  <c:v>46041</c:v>
                </c:pt>
                <c:pt idx="48">
                  <c:v>46048</c:v>
                </c:pt>
                <c:pt idx="49">
                  <c:v>46055</c:v>
                </c:pt>
                <c:pt idx="50">
                  <c:v>46062</c:v>
                </c:pt>
                <c:pt idx="51">
                  <c:v>46069</c:v>
                </c:pt>
                <c:pt idx="52">
                  <c:v>46076</c:v>
                </c:pt>
                <c:pt idx="53">
                  <c:v>46083</c:v>
                </c:pt>
                <c:pt idx="54">
                  <c:v>46090</c:v>
                </c:pt>
                <c:pt idx="55">
                  <c:v>46097</c:v>
                </c:pt>
                <c:pt idx="56">
                  <c:v>46104</c:v>
                </c:pt>
                <c:pt idx="57">
                  <c:v>46111</c:v>
                </c:pt>
                <c:pt idx="58">
                  <c:v>46118</c:v>
                </c:pt>
              </c:numCache>
            </c:numRef>
          </c:cat>
          <c:val>
            <c:numRef>
              <c:f>Forecast!$C$2:$C$60</c:f>
              <c:numCache>
                <c:formatCode>General</c:formatCode>
                <c:ptCount val="59"/>
                <c:pt idx="52">
                  <c:v>259.28016934175702</c:v>
                </c:pt>
                <c:pt idx="53">
                  <c:v>260.48176615384614</c:v>
                </c:pt>
                <c:pt idx="54">
                  <c:v>263.74082347724169</c:v>
                </c:pt>
                <c:pt idx="55">
                  <c:v>264.94564499200266</c:v>
                </c:pt>
                <c:pt idx="56">
                  <c:v>266.13721889229845</c:v>
                </c:pt>
                <c:pt idx="57">
                  <c:v>267.34967244474058</c:v>
                </c:pt>
                <c:pt idx="58">
                  <c:v>266.56641430773982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27-4582-8068-80E814F16C2D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Forecast!$A$2:$A$60</c:f>
              <c:numCache>
                <c:formatCode>yyyy\-mm\-dd;@</c:formatCode>
                <c:ptCount val="59"/>
                <c:pt idx="0">
                  <c:v>45712</c:v>
                </c:pt>
                <c:pt idx="1">
                  <c:v>45719</c:v>
                </c:pt>
                <c:pt idx="2">
                  <c:v>45726</c:v>
                </c:pt>
                <c:pt idx="3">
                  <c:v>45733</c:v>
                </c:pt>
                <c:pt idx="4">
                  <c:v>45740</c:v>
                </c:pt>
                <c:pt idx="5">
                  <c:v>45747</c:v>
                </c:pt>
                <c:pt idx="6">
                  <c:v>45754</c:v>
                </c:pt>
                <c:pt idx="7">
                  <c:v>45761</c:v>
                </c:pt>
                <c:pt idx="8">
                  <c:v>45768</c:v>
                </c:pt>
                <c:pt idx="9">
                  <c:v>45775</c:v>
                </c:pt>
                <c:pt idx="10">
                  <c:v>45782</c:v>
                </c:pt>
                <c:pt idx="11">
                  <c:v>45789</c:v>
                </c:pt>
                <c:pt idx="12">
                  <c:v>45796</c:v>
                </c:pt>
                <c:pt idx="13">
                  <c:v>45803</c:v>
                </c:pt>
                <c:pt idx="14">
                  <c:v>45810</c:v>
                </c:pt>
                <c:pt idx="15">
                  <c:v>45817</c:v>
                </c:pt>
                <c:pt idx="16">
                  <c:v>45824</c:v>
                </c:pt>
                <c:pt idx="17">
                  <c:v>45831</c:v>
                </c:pt>
                <c:pt idx="18">
                  <c:v>45838</c:v>
                </c:pt>
                <c:pt idx="19">
                  <c:v>45845</c:v>
                </c:pt>
                <c:pt idx="20">
                  <c:v>45852</c:v>
                </c:pt>
                <c:pt idx="21">
                  <c:v>45859</c:v>
                </c:pt>
                <c:pt idx="22">
                  <c:v>45866</c:v>
                </c:pt>
                <c:pt idx="23">
                  <c:v>45873</c:v>
                </c:pt>
                <c:pt idx="24">
                  <c:v>45880</c:v>
                </c:pt>
                <c:pt idx="25">
                  <c:v>45887</c:v>
                </c:pt>
                <c:pt idx="26">
                  <c:v>45894</c:v>
                </c:pt>
                <c:pt idx="27">
                  <c:v>45901</c:v>
                </c:pt>
                <c:pt idx="28">
                  <c:v>45908</c:v>
                </c:pt>
                <c:pt idx="29">
                  <c:v>45915</c:v>
                </c:pt>
                <c:pt idx="30">
                  <c:v>45922</c:v>
                </c:pt>
                <c:pt idx="31">
                  <c:v>45929</c:v>
                </c:pt>
                <c:pt idx="32">
                  <c:v>45936</c:v>
                </c:pt>
                <c:pt idx="33">
                  <c:v>45943</c:v>
                </c:pt>
                <c:pt idx="34">
                  <c:v>45950</c:v>
                </c:pt>
                <c:pt idx="35">
                  <c:v>45957</c:v>
                </c:pt>
                <c:pt idx="36">
                  <c:v>45964</c:v>
                </c:pt>
                <c:pt idx="37">
                  <c:v>45971</c:v>
                </c:pt>
                <c:pt idx="38">
                  <c:v>45978</c:v>
                </c:pt>
                <c:pt idx="39">
                  <c:v>45985</c:v>
                </c:pt>
                <c:pt idx="40">
                  <c:v>45992</c:v>
                </c:pt>
                <c:pt idx="41">
                  <c:v>45999</c:v>
                </c:pt>
                <c:pt idx="42">
                  <c:v>46006</c:v>
                </c:pt>
                <c:pt idx="43">
                  <c:v>46013</c:v>
                </c:pt>
                <c:pt idx="44">
                  <c:v>46020</c:v>
                </c:pt>
                <c:pt idx="45">
                  <c:v>46027</c:v>
                </c:pt>
                <c:pt idx="46">
                  <c:v>46034</c:v>
                </c:pt>
                <c:pt idx="47">
                  <c:v>46041</c:v>
                </c:pt>
                <c:pt idx="48">
                  <c:v>46048</c:v>
                </c:pt>
                <c:pt idx="49">
                  <c:v>46055</c:v>
                </c:pt>
                <c:pt idx="50">
                  <c:v>46062</c:v>
                </c:pt>
                <c:pt idx="51">
                  <c:v>46069</c:v>
                </c:pt>
                <c:pt idx="52">
                  <c:v>46076</c:v>
                </c:pt>
                <c:pt idx="53">
                  <c:v>46083</c:v>
                </c:pt>
                <c:pt idx="54">
                  <c:v>46090</c:v>
                </c:pt>
                <c:pt idx="55">
                  <c:v>46097</c:v>
                </c:pt>
                <c:pt idx="56">
                  <c:v>46104</c:v>
                </c:pt>
                <c:pt idx="57">
                  <c:v>46111</c:v>
                </c:pt>
                <c:pt idx="58">
                  <c:v>46118</c:v>
                </c:pt>
              </c:numCache>
            </c:numRef>
          </c:cat>
          <c:val>
            <c:numRef>
              <c:f>Forecast!$D$2:$D$60</c:f>
              <c:numCache>
                <c:formatCode>General</c:formatCode>
                <c:ptCount val="59"/>
                <c:pt idx="52">
                  <c:v>258.172431372549</c:v>
                </c:pt>
                <c:pt idx="53">
                  <c:v>258.20986274509801</c:v>
                </c:pt>
                <c:pt idx="54">
                  <c:v>258.24729411764702</c:v>
                </c:pt>
                <c:pt idx="55">
                  <c:v>258.28472549019602</c:v>
                </c:pt>
                <c:pt idx="56">
                  <c:v>258.32215686274498</c:v>
                </c:pt>
                <c:pt idx="57">
                  <c:v>258.35958823529398</c:v>
                </c:pt>
                <c:pt idx="58">
                  <c:v>258.39701960784299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27-4582-8068-80E814F16C2D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Simple ML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Forecast!$A$2:$A$60</c:f>
              <c:numCache>
                <c:formatCode>yyyy\-mm\-dd;@</c:formatCode>
                <c:ptCount val="59"/>
                <c:pt idx="0">
                  <c:v>45712</c:v>
                </c:pt>
                <c:pt idx="1">
                  <c:v>45719</c:v>
                </c:pt>
                <c:pt idx="2">
                  <c:v>45726</c:v>
                </c:pt>
                <c:pt idx="3">
                  <c:v>45733</c:v>
                </c:pt>
                <c:pt idx="4">
                  <c:v>45740</c:v>
                </c:pt>
                <c:pt idx="5">
                  <c:v>45747</c:v>
                </c:pt>
                <c:pt idx="6">
                  <c:v>45754</c:v>
                </c:pt>
                <c:pt idx="7">
                  <c:v>45761</c:v>
                </c:pt>
                <c:pt idx="8">
                  <c:v>45768</c:v>
                </c:pt>
                <c:pt idx="9">
                  <c:v>45775</c:v>
                </c:pt>
                <c:pt idx="10">
                  <c:v>45782</c:v>
                </c:pt>
                <c:pt idx="11">
                  <c:v>45789</c:v>
                </c:pt>
                <c:pt idx="12">
                  <c:v>45796</c:v>
                </c:pt>
                <c:pt idx="13">
                  <c:v>45803</c:v>
                </c:pt>
                <c:pt idx="14">
                  <c:v>45810</c:v>
                </c:pt>
                <c:pt idx="15">
                  <c:v>45817</c:v>
                </c:pt>
                <c:pt idx="16">
                  <c:v>45824</c:v>
                </c:pt>
                <c:pt idx="17">
                  <c:v>45831</c:v>
                </c:pt>
                <c:pt idx="18">
                  <c:v>45838</c:v>
                </c:pt>
                <c:pt idx="19">
                  <c:v>45845</c:v>
                </c:pt>
                <c:pt idx="20">
                  <c:v>45852</c:v>
                </c:pt>
                <c:pt idx="21">
                  <c:v>45859</c:v>
                </c:pt>
                <c:pt idx="22">
                  <c:v>45866</c:v>
                </c:pt>
                <c:pt idx="23">
                  <c:v>45873</c:v>
                </c:pt>
                <c:pt idx="24">
                  <c:v>45880</c:v>
                </c:pt>
                <c:pt idx="25">
                  <c:v>45887</c:v>
                </c:pt>
                <c:pt idx="26">
                  <c:v>45894</c:v>
                </c:pt>
                <c:pt idx="27">
                  <c:v>45901</c:v>
                </c:pt>
                <c:pt idx="28">
                  <c:v>45908</c:v>
                </c:pt>
                <c:pt idx="29">
                  <c:v>45915</c:v>
                </c:pt>
                <c:pt idx="30">
                  <c:v>45922</c:v>
                </c:pt>
                <c:pt idx="31">
                  <c:v>45929</c:v>
                </c:pt>
                <c:pt idx="32">
                  <c:v>45936</c:v>
                </c:pt>
                <c:pt idx="33">
                  <c:v>45943</c:v>
                </c:pt>
                <c:pt idx="34">
                  <c:v>45950</c:v>
                </c:pt>
                <c:pt idx="35">
                  <c:v>45957</c:v>
                </c:pt>
                <c:pt idx="36">
                  <c:v>45964</c:v>
                </c:pt>
                <c:pt idx="37">
                  <c:v>45971</c:v>
                </c:pt>
                <c:pt idx="38">
                  <c:v>45978</c:v>
                </c:pt>
                <c:pt idx="39">
                  <c:v>45985</c:v>
                </c:pt>
                <c:pt idx="40">
                  <c:v>45992</c:v>
                </c:pt>
                <c:pt idx="41">
                  <c:v>45999</c:v>
                </c:pt>
                <c:pt idx="42">
                  <c:v>46006</c:v>
                </c:pt>
                <c:pt idx="43">
                  <c:v>46013</c:v>
                </c:pt>
                <c:pt idx="44">
                  <c:v>46020</c:v>
                </c:pt>
                <c:pt idx="45">
                  <c:v>46027</c:v>
                </c:pt>
                <c:pt idx="46">
                  <c:v>46034</c:v>
                </c:pt>
                <c:pt idx="47">
                  <c:v>46041</c:v>
                </c:pt>
                <c:pt idx="48">
                  <c:v>46048</c:v>
                </c:pt>
                <c:pt idx="49">
                  <c:v>46055</c:v>
                </c:pt>
                <c:pt idx="50">
                  <c:v>46062</c:v>
                </c:pt>
                <c:pt idx="51">
                  <c:v>46069</c:v>
                </c:pt>
                <c:pt idx="52">
                  <c:v>46076</c:v>
                </c:pt>
                <c:pt idx="53">
                  <c:v>46083</c:v>
                </c:pt>
                <c:pt idx="54">
                  <c:v>46090</c:v>
                </c:pt>
                <c:pt idx="55">
                  <c:v>46097</c:v>
                </c:pt>
                <c:pt idx="56">
                  <c:v>46104</c:v>
                </c:pt>
                <c:pt idx="57">
                  <c:v>46111</c:v>
                </c:pt>
                <c:pt idx="58">
                  <c:v>46118</c:v>
                </c:pt>
              </c:numCache>
            </c:numRef>
          </c:cat>
          <c:val>
            <c:numRef>
              <c:f>Forecast!$E$2:$E$60</c:f>
              <c:numCache>
                <c:formatCode>General</c:formatCode>
                <c:ptCount val="59"/>
                <c:pt idx="52">
                  <c:v>293.89432299999999</c:v>
                </c:pt>
                <c:pt idx="53">
                  <c:v>295.54001099999999</c:v>
                </c:pt>
                <c:pt idx="54">
                  <c:v>294.55079899999998</c:v>
                </c:pt>
                <c:pt idx="55">
                  <c:v>296.17662000000001</c:v>
                </c:pt>
                <c:pt idx="56">
                  <c:v>298.93551000000002</c:v>
                </c:pt>
                <c:pt idx="57">
                  <c:v>299.30570699999998</c:v>
                </c:pt>
                <c:pt idx="58">
                  <c:v>289.75353100000001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27-4582-8068-80E814F16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253183"/>
        <c:axId val="1614255103"/>
      </c:lineChart>
      <c:dateAx>
        <c:axId val="1614253183"/>
        <c:scaling>
          <c:orientation val="minMax"/>
          <c:min val="45832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55103"/>
        <c:crosses val="autoZero"/>
        <c:auto val="1"/>
        <c:lblOffset val="100"/>
        <c:baseTimeUnit val="days"/>
      </c:dateAx>
      <c:valAx>
        <c:axId val="1614255103"/>
        <c:scaling>
          <c:orientation val="minMax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5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79</xdr:row>
      <xdr:rowOff>47625</xdr:rowOff>
    </xdr:from>
    <xdr:to>
      <xdr:col>12</xdr:col>
      <xdr:colOff>523875</xdr:colOff>
      <xdr:row>93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8321DE-0527-4A2C-B079-054CE5F39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352424</xdr:colOff>
      <xdr:row>2</xdr:row>
      <xdr:rowOff>85725</xdr:rowOff>
    </xdr:from>
    <xdr:to>
      <xdr:col>12</xdr:col>
      <xdr:colOff>457199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BDE3E-359D-47AB-AB4A-4D62E8A21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352425</xdr:colOff>
      <xdr:row>18</xdr:row>
      <xdr:rowOff>38100</xdr:rowOff>
    </xdr:from>
    <xdr:to>
      <xdr:col>12</xdr:col>
      <xdr:colOff>485775</xdr:colOff>
      <xdr:row>31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7BDE8-2EA0-49DE-B6AF-57DDAD75A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352424</xdr:colOff>
      <xdr:row>33</xdr:row>
      <xdr:rowOff>0</xdr:rowOff>
    </xdr:from>
    <xdr:to>
      <xdr:col>12</xdr:col>
      <xdr:colOff>476250</xdr:colOff>
      <xdr:row>47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7DDA56-8D02-4AB7-9E8F-E17CDE9DB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323850</xdr:colOff>
      <xdr:row>49</xdr:row>
      <xdr:rowOff>28575</xdr:rowOff>
    </xdr:from>
    <xdr:to>
      <xdr:col>12</xdr:col>
      <xdr:colOff>495300</xdr:colOff>
      <xdr:row>62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CC04DD-6BDA-4339-A716-55C9E6845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314324</xdr:colOff>
      <xdr:row>64</xdr:row>
      <xdr:rowOff>47625</xdr:rowOff>
    </xdr:from>
    <xdr:to>
      <xdr:col>12</xdr:col>
      <xdr:colOff>514350</xdr:colOff>
      <xdr:row>77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3ED19E7-238C-4CA6-BE48-408000C81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836562-1DA0-40DF-84FD-25D82011F24F}" autoFormatId="16" applyNumberFormats="0" applyBorderFormats="0" applyFontFormats="0" applyPatternFormats="0" applyAlignmentFormats="0" applyWidthHeightFormats="0">
  <queryTableRefresh nextId="3">
    <queryTableFields count="2">
      <queryTableField id="1" name="Week" tableColumnId="1"/>
      <queryTableField id="2" name="Averag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1">
    <v t="i">0</v>
    <v t="i">1</v>
    <v t="i">2</v>
    <v t="i">3</v>
    <v t="i">4</v>
    <v t="i">7</v>
    <v t="i">8</v>
    <v t="i">9</v>
    <v t="i">10</v>
    <v t="i">11</v>
    <v t="i">14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49</v>
    <v t="i">50</v>
    <v t="i">51</v>
    <v t="i">52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88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116</v>
    <v t="i">119</v>
    <v t="i">120</v>
    <v t="i">121</v>
    <v t="i">122</v>
    <v t="i">123</v>
    <v t="i">126</v>
    <v t="i">127</v>
    <v t="i">128</v>
    <v t="i">129</v>
    <v t="i">133</v>
    <v t="i">134</v>
    <v t="i">135</v>
    <v t="i">136</v>
    <v t="i">137</v>
    <v t="i">140</v>
    <v t="i">141</v>
    <v t="i">142</v>
    <v t="i">143</v>
    <v t="i">144</v>
    <v t="i">147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184</v>
    <v t="i">185</v>
    <v t="i">186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245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305</v>
    <v t="i">308</v>
    <v t="i">309</v>
    <v t="i">310</v>
    <v t="i">312</v>
    <v t="i">315</v>
    <v t="i">316</v>
    <v t="i">317</v>
    <v t="i">318</v>
    <v t="i">319</v>
    <v t="i">322</v>
    <v t="i">323</v>
    <v t="i">324</v>
    <v t="i">325</v>
    <v t="i">326</v>
    <v t="i">330</v>
    <v t="i">331</v>
    <v t="i">332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358</v>
    <v t="i">359</v>
    <v t="i">360</v>
    <v t="i">361</v>
    <v t="i">364</v>
  </a>
  <a r="1" c="251"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  <v>304.86</v>
    <v>305.69</v>
    <v>297.17</v>
    <v>289.95</v>
    <v>288.52999999999997</v>
    <v>290.39999999999998</v>
    <v>297.44</v>
    <v>304.12</v>
    <v>304.48</v>
    <v>303.20999999999998</v>
    <v>308.58</v>
    <v>305.67</v>
    <v>301.77999999999997</v>
    <v>302.62</v>
    <v>307.99</v>
    <v>307.94</v>
    <v>309.18</v>
    <v>310.48</v>
    <v>312.67</v>
    <v>310.74</v>
    <v>309.24</v>
    <v>308.66000000000003</v>
    <v>303.18</v>
    <v>303.32</v>
    <v>300.45</v>
    <v>300.98</v>
    <v>302.79000000000002</v>
    <v>303.77999999999997</v>
    <v>304.56</v>
    <v>305.08999999999997</v>
    <v>305.74</v>
    <v>302.05</v>
    <v>296.20999999999998</v>
    <v>291.5</v>
    <v>294.97000000000003</v>
    <v>302.47000000000003</v>
    <v>296.73</v>
    <v>302.72000000000003</v>
    <v>304.22000000000003</v>
    <v>312.18</v>
    <v>303.16000000000003</v>
    <v>309.02999999999997</v>
    <v>297.95</v>
    <v>305.67</v>
    <v>291.35000000000002</v>
    <v>297.54000000000002</v>
    <v>294.67</v>
    <v>292.44</v>
    <v>296.33</v>
    <v>293.86</v>
    <v>294.16000000000003</v>
    <v>309.24</v>
    <v>306.7</v>
    <v>314.73</v>
    <v>294.31</v>
    <v>289.05</v>
    <v>289.89</v>
    <v>298.93</v>
    <v>296.33999999999997</v>
    <v>291.76</v>
    <v>272.81</v>
    <v>259.52</v>
    <v>262.38</v>
    <v>258.31</v>
    <v>260.79000000000002</v>
    <v>256.27999999999997</v>
    <v>257.16000000000003</v>
    <v>223.35</v>
  </a>
  <a r="1" c="251">
    <v>4398107</v>
    <v>6292487</v>
    <v>3460124</v>
    <v>3402234</v>
    <v>7988809</v>
    <v>2977699</v>
    <v>5342106</v>
    <v>4009813</v>
    <v>3254358</v>
    <v>6700184</v>
    <v>8165503</v>
    <v>5630570</v>
    <v>3849206</v>
    <v>3862416</v>
    <v>4045284</v>
    <v>3234149</v>
    <v>4172239</v>
    <v>3853598</v>
    <v>7026796</v>
    <v>9580084</v>
    <v>4753331</v>
    <v>3133809</v>
    <v>4452220</v>
    <v>2889328</v>
    <v>3125594</v>
    <v>6794972</v>
    <v>4413139</v>
    <v>4080832</v>
    <v>5309626</v>
    <v>7407096</v>
    <v>7797889</v>
    <v>6849996</v>
    <v>7302808</v>
    <v>5656108</v>
    <v>4325895</v>
    <v>3321717</v>
    <v>3363708</v>
    <v>4870299</v>
    <v>4635204</v>
    <v>4908923</v>
    <v>4232658</v>
    <v>7948259</v>
    <v>15428144</v>
    <v>6700068</v>
    <v>3653461</v>
    <v>3426508</v>
    <v>5142993</v>
    <v>4243294</v>
    <v>3731946</v>
    <v>4138168</v>
    <v>2900556</v>
    <v>3400001</v>
    <v>3637012</v>
    <v>2901346</v>
    <v>4609520</v>
    <v>3521389</v>
    <v>3635124</v>
    <v>4856276</v>
    <v>3817937</v>
    <v>3198903</v>
    <v>2437860</v>
    <v>3753904</v>
    <v>3091253</v>
    <v>2722721</v>
    <v>3284216</v>
    <v>2318437</v>
    <v>2295228</v>
    <v>9668923</v>
    <v>2831881</v>
    <v>2494922</v>
    <v>2588741</v>
    <v>2659478</v>
    <v>2495543</v>
    <v>4331464</v>
    <v>5163507</v>
    <v>4656034</v>
    <v>3418007</v>
    <v>3243824</v>
    <v>3685321</v>
    <v>3069556</v>
    <v>3534110</v>
    <v>7676962</v>
    <v>3786159</v>
    <v>4219120</v>
    <v>3862309</v>
    <v>3621110</v>
    <v>3562501</v>
    <v>3495386</v>
    <v>3272797</v>
    <v>3257515</v>
    <v>1853289</v>
    <v>4488064</v>
    <v>2925329</v>
    <v>2971309</v>
    <v>3489068</v>
    <v>3790679</v>
    <v>2857401</v>
    <v>2864106</v>
    <v>2804831</v>
    <v>3337168</v>
    <v>4478165</v>
    <v>3051791</v>
    <v>4824219</v>
    <v>8105906</v>
    <v>22647720</v>
    <v>7758653</v>
    <v>5192516</v>
    <v>4627265</v>
    <v>3718290</v>
    <v>6739092</v>
    <v>9683404</v>
    <v>5280588</v>
    <v>5823016</v>
    <v>3692105</v>
    <v>6251285</v>
    <v>6828390</v>
    <v>9381960</v>
    <v>8800597</v>
    <v>5663562</v>
    <v>4556725</v>
    <v>4344322</v>
    <v>3569594</v>
    <v>3328305</v>
    <v>3240064</v>
    <v>2991902</v>
    <v>3134882</v>
    <v>3513327</v>
    <v>5386582</v>
    <v>3698372</v>
    <v>2820817</v>
    <v>2967558</v>
    <v>3469501</v>
    <v>3163225</v>
    <v>4765087</v>
    <v>3147478</v>
    <v>6940270</v>
    <v>4931105</v>
    <v>5185420</v>
    <v>3576048</v>
    <v>3433300</v>
    <v>4028365</v>
    <v>2719918</v>
    <v>3974785</v>
    <v>4988421</v>
    <v>9858112</v>
    <v>5030540</v>
    <v>5394121</v>
    <v>3159924</v>
    <v>11506192</v>
    <v>9063938</v>
    <v>6022125</v>
    <v>5926924</v>
    <v>4381338</v>
    <v>3814232</v>
    <v>4375082</v>
    <v>2881947</v>
    <v>7190126</v>
    <v>5297030</v>
    <v>4912375</v>
    <v>4508506</v>
    <v>4333836</v>
    <v>3058149</v>
    <v>3346753</v>
    <v>2956923</v>
    <v>5309565</v>
    <v>3494336</v>
    <v>4080981</v>
    <v>10538480</v>
    <v>16676394</v>
    <v>16914243</v>
    <v>9868151</v>
    <v>6044770</v>
    <v>4135948</v>
    <v>4694275</v>
    <v>7697499</v>
    <v>4957958</v>
    <v>5677330</v>
    <v>4650368</v>
    <v>6818521</v>
    <v>5070773</v>
    <v>2975188</v>
    <v>4381913</v>
    <v>6042686</v>
    <v>5310150</v>
    <v>3592455</v>
    <v>3909741</v>
    <v>4861928</v>
    <v>3595912</v>
    <v>5597028</v>
    <v>5710903</v>
    <v>6050640</v>
    <v>2825322</v>
    <v>2196446</v>
    <v>1689031</v>
    <v>3166555</v>
    <v>4261100</v>
    <v>3953390</v>
    <v>2962463</v>
    <v>2344667</v>
    <v>3630157</v>
    <v>2935669</v>
    <v>3411524</v>
    <v>2755749</v>
    <v>2953374</v>
    <v>3566732</v>
    <v>3366878</v>
    <v>3130954</v>
    <v>5411669</v>
    <v>11031341</v>
    <v>2612100</v>
    <v>2923037</v>
    <v>1210642</v>
    <v>2814732</v>
    <v>4664711</v>
    <v>1883651</v>
    <v>3430133</v>
    <v>4662804</v>
    <v>4189960</v>
    <v>4147315</v>
    <v>2833274</v>
    <v>3343273</v>
    <v>2718828</v>
    <v>3895197</v>
    <v>4507760</v>
    <v>3779045</v>
    <v>4932480</v>
    <v>6199635</v>
    <v>7275490</v>
    <v>5185023</v>
    <v>3670152</v>
    <v>3298424</v>
    <v>3726890</v>
    <v>2954936</v>
    <v>5790347</v>
    <v>10124929</v>
    <v>5940669</v>
    <v>4581189</v>
    <v>11466529</v>
    <v>8708033</v>
    <v>5532797</v>
    <v>3744313</v>
    <v>4627815</v>
    <v>3837343</v>
    <v>7628244</v>
    <v>12565380</v>
    <v>6842620</v>
    <v>4929733</v>
    <v>3949229</v>
    <v>4948700</v>
    <v>4708550</v>
    <v>19522881</v>
  </a>
</arrayData>
</file>

<file path=xl/richData/rdrichvalue.xml><?xml version="1.0" encoding="utf-8"?>
<rvData xmlns="http://schemas.microsoft.com/office/spreadsheetml/2017/richdata" count="749">
  <rv s="0">
    <fb>45712</fb>
    <v>0</v>
  </rv>
  <rv s="0">
    <fb>261.87</fb>
    <v>1</v>
  </rv>
  <rv s="0">
    <fb>4398107</fb>
    <v>2</v>
  </rv>
  <rv s="0">
    <fb>45713</fb>
    <v>0</v>
  </rv>
  <rv s="0">
    <fb>257.75</fb>
    <v>1</v>
  </rv>
  <rv s="0">
    <fb>6292487</fb>
    <v>2</v>
  </rv>
  <rv s="0">
    <fb>45714</fb>
    <v>0</v>
  </rv>
  <rv s="0">
    <fb>255.84</fb>
    <v>1</v>
  </rv>
  <rv s="0">
    <fb>3460124</fb>
    <v>2</v>
  </rv>
  <rv s="0">
    <fb>45715</fb>
    <v>0</v>
  </rv>
  <rv s="0">
    <fb>253.23</fb>
    <v>1</v>
  </rv>
  <rv s="0">
    <fb>3402234</fb>
    <v>2</v>
  </rv>
  <rv s="0">
    <fb>45716</fb>
    <v>0</v>
  </rv>
  <rv s="0">
    <fb>252.44</fb>
    <v>1</v>
  </rv>
  <rv s="0">
    <fb>7988809</fb>
    <v>2</v>
  </rv>
  <rv s="0">
    <fb>45719</fb>
    <v>0</v>
  </rv>
  <rv s="0">
    <fb>250.19</fb>
    <v>1</v>
  </rv>
  <rv s="0">
    <fb>2977699</fb>
    <v>2</v>
  </rv>
  <rv s="0">
    <fb>45720</fb>
    <v>0</v>
  </rv>
  <rv s="0">
    <fb>253.21</fb>
    <v>1</v>
  </rv>
  <rv s="0">
    <fb>5342106</fb>
    <v>2</v>
  </rv>
  <rv s="0">
    <fb>45721</fb>
    <v>0</v>
  </rv>
  <rv s="0">
    <fb>251.35</fb>
    <v>1</v>
  </rv>
  <rv s="0">
    <fb>4009813</fb>
    <v>2</v>
  </rv>
  <rv s="0">
    <fb>45722</fb>
    <v>0</v>
  </rv>
  <rv s="0">
    <fb>248.69</fb>
    <v>1</v>
  </rv>
  <rv s="0">
    <fb>3254358</fb>
    <v>2</v>
  </rv>
  <rv s="0">
    <fb>45723</fb>
    <v>0</v>
  </rv>
  <rv s="0">
    <fb>261.54000000000002</fb>
    <v>1</v>
  </rv>
  <rv s="0">
    <fb>6700184</fb>
    <v>2</v>
  </rv>
  <rv s="0">
    <fb>45726</fb>
    <v>0</v>
  </rv>
  <rv s="0">
    <fb>256.89999999999998</fb>
    <v>1</v>
  </rv>
  <rv s="0">
    <fb>8165503</fb>
    <v>2</v>
  </rv>
  <rv s="0">
    <fb>45727</fb>
    <v>0</v>
  </rv>
  <rv s="0">
    <fb>248.95</fb>
    <v>1</v>
  </rv>
  <rv s="0">
    <fb>5630570</fb>
    <v>2</v>
  </rv>
  <rv s="0">
    <fb>45728</fb>
    <v>0</v>
  </rv>
  <rv s="0">
    <fb>249.63</fb>
    <v>1</v>
  </rv>
  <rv s="0">
    <fb>3849206</fb>
    <v>2</v>
  </rv>
  <rv s="0">
    <fb>45729</fb>
    <v>0</v>
  </rv>
  <rv s="0">
    <fb>245.8</fb>
    <v>1</v>
  </rv>
  <rv s="0">
    <fb>3862416</fb>
    <v>2</v>
  </rv>
  <rv s="0">
    <fb>45730</fb>
    <v>0</v>
  </rv>
  <rv s="0">
    <fb>248.35</fb>
    <v>1</v>
  </rv>
  <rv s="0">
    <fb>4045284</fb>
    <v>2</v>
  </rv>
  <rv s="0">
    <fb>45733</fb>
    <v>0</v>
  </rv>
  <rv s="0">
    <fb>252.97</fb>
    <v>1</v>
  </rv>
  <rv s="0">
    <fb>3234149</fb>
    <v>2</v>
  </rv>
  <rv s="0">
    <fb>45734</fb>
    <v>0</v>
  </rv>
  <rv s="0">
    <fb>246.95</fb>
    <v>1</v>
  </rv>
  <rv s="0">
    <fb>4172239</fb>
    <v>2</v>
  </rv>
  <rv s="0">
    <fb>45735</fb>
    <v>0</v>
  </rv>
  <rv s="0">
    <fb>252.29</fb>
    <v>1</v>
  </rv>
  <rv s="0">
    <fb>3853598</fb>
    <v>2</v>
  </rv>
  <rv s="0">
    <fb>45736</fb>
    <v>0</v>
  </rv>
  <rv s="0">
    <fb>243.32</fb>
    <v>1</v>
  </rv>
  <rv s="0">
    <fb>7026796</fb>
    <v>2</v>
  </rv>
  <rv s="0">
    <fb>45737</fb>
    <v>0</v>
  </rv>
  <rv s="0">
    <fb>243.87</fb>
    <v>1</v>
  </rv>
  <rv s="0">
    <fb>9580084</fb>
    <v>2</v>
  </rv>
  <rv s="0">
    <fb>45740</fb>
    <v>0</v>
  </rv>
  <rv s="0">
    <fb>248.45</fb>
    <v>1</v>
  </rv>
  <rv s="0">
    <fb>4753331</fb>
    <v>2</v>
  </rv>
  <rv s="0">
    <fb>45741</fb>
    <v>0</v>
  </rv>
  <rv s="0">
    <fb>249.9</fb>
    <v>1</v>
  </rv>
  <rv s="0">
    <fb>3133809</fb>
    <v>2</v>
  </rv>
  <rv s="0">
    <fb>45742</fb>
    <v>0</v>
  </rv>
  <rv s="0">
    <fb>250.34</fb>
    <v>1</v>
  </rv>
  <rv s="0">
    <fb>4452220</fb>
    <v>2</v>
  </rv>
  <rv s="0">
    <fb>45743</fb>
    <v>0</v>
  </rv>
  <rv s="0">
    <fb>246.21</fb>
    <v>1</v>
  </rv>
  <rv s="0">
    <fb>2889328</fb>
    <v>2</v>
  </rv>
  <rv s="0">
    <fb>45744</fb>
    <v>0</v>
  </rv>
  <rv s="0">
    <fb>244</fb>
    <v>1</v>
  </rv>
  <rv s="0">
    <fb>3125594</fb>
    <v>2</v>
  </rv>
  <rv s="0">
    <fb>45747</fb>
    <v>0</v>
  </rv>
  <rv s="0">
    <fb>248.66</fb>
    <v>1</v>
  </rv>
  <rv s="0">
    <fb>6794972</fb>
    <v>2</v>
  </rv>
  <rv s="0">
    <fb>45748</fb>
    <v>0</v>
  </rv>
  <rv s="0">
    <fb>4413139</fb>
    <v>2</v>
  </rv>
  <rv s="0">
    <fb>45749</fb>
    <v>0</v>
  </rv>
  <rv s="0">
    <fb>249.98</fb>
    <v>1</v>
  </rv>
  <rv s="0">
    <fb>4080832</fb>
    <v>2</v>
  </rv>
  <rv s="0">
    <fb>45750</fb>
    <v>0</v>
  </rv>
  <rv s="0">
    <fb>243.49</fb>
    <v>1</v>
  </rv>
  <rv s="0">
    <fb>5309626</fb>
    <v>2</v>
  </rv>
  <rv s="0">
    <fb>45751</fb>
    <v>0</v>
  </rv>
  <rv s="0">
    <fb>227.48</fb>
    <v>1</v>
  </rv>
  <rv s="0">
    <fb>7407096</fb>
    <v>2</v>
  </rv>
  <rv s="0">
    <fb>45754</fb>
    <v>0</v>
  </rv>
  <rv s="0">
    <fb>225.78</fb>
    <v>1</v>
  </rv>
  <rv s="0">
    <fb>7797889</fb>
    <v>2</v>
  </rv>
  <rv s="0">
    <fb>45755</fb>
    <v>0</v>
  </rv>
  <rv s="0">
    <fb>221.03</fb>
    <v>1</v>
  </rv>
  <rv s="0">
    <fb>6849996</fb>
    <v>2</v>
  </rv>
  <rv s="0">
    <fb>45756</fb>
    <v>0</v>
  </rv>
  <rv s="0">
    <fb>235.31</fb>
    <v>1</v>
  </rv>
  <rv s="0">
    <fb>7302808</fb>
    <v>2</v>
  </rv>
  <rv s="0">
    <fb>45757</fb>
    <v>0</v>
  </rv>
  <rv s="0">
    <fb>229.55</fb>
    <v>1</v>
  </rv>
  <rv s="0">
    <fb>5656108</fb>
    <v>2</v>
  </rv>
  <rv s="0">
    <fb>45758</fb>
    <v>0</v>
  </rv>
  <rv s="0">
    <fb>235.48</fb>
    <v>1</v>
  </rv>
  <rv s="0">
    <fb>4325895</fb>
    <v>2</v>
  </rv>
  <rv s="0">
    <fb>45761</fb>
    <v>0</v>
  </rv>
  <rv s="0">
    <fb>239.06</fb>
    <v>1</v>
  </rv>
  <rv s="0">
    <fb>3321717</fb>
    <v>2</v>
  </rv>
  <rv s="0">
    <fb>45762</fb>
    <v>0</v>
  </rv>
  <rv s="0">
    <fb>240.7</fb>
    <v>1</v>
  </rv>
  <rv s="0">
    <fb>3363708</fb>
    <v>2</v>
  </rv>
  <rv s="0">
    <fb>45763</fb>
    <v>0</v>
  </rv>
  <rv s="0">
    <fb>238.57</fb>
    <v>1</v>
  </rv>
  <rv s="0">
    <fb>4870299</fb>
    <v>2</v>
  </rv>
  <rv s="0">
    <fb>45764</fb>
    <v>0</v>
  </rv>
  <rv s="0">
    <fb>238.81</fb>
    <v>1</v>
  </rv>
  <rv s="0">
    <fb>4635204</fb>
    <v>2</v>
  </rv>
  <rv s="0">
    <fb>45768</fb>
    <v>0</v>
  </rv>
  <rv s="0">
    <fb>236.22</fb>
    <v>1</v>
  </rv>
  <rv s="0">
    <fb>4908923</fb>
    <v>2</v>
  </rv>
  <rv s="0">
    <fb>45769</fb>
    <v>0</v>
  </rv>
  <rv s="0">
    <fb>240.9</fb>
    <v>1</v>
  </rv>
  <rv s="0">
    <fb>4232658</fb>
    <v>2</v>
  </rv>
  <rv s="0">
    <fb>45770</fb>
    <v>0</v>
  </rv>
  <rv s="0">
    <fb>245.48</fb>
    <v>1</v>
  </rv>
  <rv s="0">
    <fb>7948259</fb>
    <v>2</v>
  </rv>
  <rv s="0">
    <fb>45771</fb>
    <v>0</v>
  </rv>
  <rv s="0">
    <fb>229.33</fb>
    <v>1</v>
  </rv>
  <rv s="0">
    <fb>15428144</fb>
    <v>2</v>
  </rv>
  <rv s="0">
    <fb>45772</fb>
    <v>0</v>
  </rv>
  <rv s="0">
    <fb>232.41</fb>
    <v>1</v>
  </rv>
  <rv s="0">
    <fb>6700068</fb>
    <v>2</v>
  </rv>
  <rv s="0">
    <fb>45775</fb>
    <v>0</v>
  </rv>
  <rv s="0">
    <fb>236.16</fb>
    <v>1</v>
  </rv>
  <rv s="0">
    <fb>3653461</fb>
    <v>2</v>
  </rv>
  <rv s="0">
    <fb>45776</fb>
    <v>0</v>
  </rv>
  <rv s="0">
    <fb>239.39</fb>
    <v>1</v>
  </rv>
  <rv s="0">
    <fb>3426508</fb>
    <v>2</v>
  </rv>
  <rv s="0">
    <fb>45777</fb>
    <v>0</v>
  </rv>
  <rv s="0">
    <fb>241.82</fb>
    <v>1</v>
  </rv>
  <rv s="0">
    <fb>5142993</fb>
    <v>2</v>
  </rv>
  <rv s="0">
    <fb>45778</fb>
    <v>0</v>
  </rv>
  <rv s="0">
    <fb>239.66</fb>
    <v>1</v>
  </rv>
  <rv s="0">
    <fb>4243294</fb>
    <v>2</v>
  </rv>
  <rv s="0">
    <fb>45779</fb>
    <v>0</v>
  </rv>
  <rv s="0">
    <fb>245.55</fb>
    <v>1</v>
  </rv>
  <rv s="0">
    <fb>3731946</fb>
    <v>2</v>
  </rv>
  <rv s="0">
    <fb>45782</fb>
    <v>0</v>
  </rv>
  <rv s="0">
    <fb>249.18</fb>
    <v>1</v>
  </rv>
  <rv s="0">
    <fb>4138168</fb>
    <v>2</v>
  </rv>
  <rv s="0">
    <fb>45783</fb>
    <v>0</v>
  </rv>
  <rv s="0">
    <fb>249.12</fb>
    <v>1</v>
  </rv>
  <rv s="0">
    <fb>2900556</fb>
    <v>2</v>
  </rv>
  <rv s="0">
    <fb>45784</fb>
    <v>0</v>
  </rv>
  <rv s="0">
    <fb>253.37</fb>
    <v>1</v>
  </rv>
  <rv s="0">
    <fb>3400001</fb>
    <v>2</v>
  </rv>
  <rv s="0">
    <fb>45785</fb>
    <v>0</v>
  </rv>
  <rv s="0">
    <fb>254.14</fb>
    <v>1</v>
  </rv>
  <rv s="0">
    <fb>3637012</fb>
    <v>2</v>
  </rv>
  <rv s="0">
    <fb>45786</fb>
    <v>0</v>
  </rv>
  <rv s="0">
    <fb>249.2</fb>
    <v>1</v>
  </rv>
  <rv s="0">
    <fb>2901346</fb>
    <v>2</v>
  </rv>
  <rv s="0">
    <fb>45789</fb>
    <v>0</v>
  </rv>
  <rv s="0">
    <fb>253.69</fb>
    <v>1</v>
  </rv>
  <rv s="0">
    <fb>4609520</fb>
    <v>2</v>
  </rv>
  <rv s="0">
    <fb>45790</fb>
    <v>0</v>
  </rv>
  <rv s="0">
    <fb>258.58999999999997</fb>
    <v>1</v>
  </rv>
  <rv s="0">
    <fb>3521389</fb>
    <v>2</v>
  </rv>
  <rv s="0">
    <fb>45791</fb>
    <v>0</v>
  </rv>
  <rv s="0">
    <fb>257.82</fb>
    <v>1</v>
  </rv>
  <rv s="0">
    <fb>3635124</fb>
    <v>2</v>
  </rv>
  <rv s="0">
    <fb>45792</fb>
    <v>0</v>
  </rv>
  <rv s="0">
    <fb>266.68</fb>
    <v>1</v>
  </rv>
  <rv s="0">
    <fb>4856276</fb>
    <v>2</v>
  </rv>
  <rv s="0">
    <fb>45793</fb>
    <v>0</v>
  </rv>
  <rv s="0">
    <fb>266.76</fb>
    <v>1</v>
  </rv>
  <rv s="0">
    <fb>3817937</fb>
    <v>2</v>
  </rv>
  <rv s="0">
    <fb>45796</fb>
    <v>0</v>
  </rv>
  <rv s="0">
    <fb>268.41000000000003</fb>
    <v>1</v>
  </rv>
  <rv s="0">
    <fb>3198903</fb>
    <v>2</v>
  </rv>
  <rv s="0">
    <fb>45797</fb>
    <v>0</v>
  </rv>
  <rv s="0">
    <fb>266.95</fb>
    <v>1</v>
  </rv>
  <rv s="0">
    <fb>2437860</fb>
    <v>2</v>
  </rv>
  <rv s="0">
    <fb>45798</fb>
    <v>0</v>
  </rv>
  <rv s="0">
    <fb>260.87</fb>
    <v>1</v>
  </rv>
  <rv s="0">
    <fb>3753904</fb>
    <v>2</v>
  </rv>
  <rv s="0">
    <fb>45799</fb>
    <v>0</v>
  </rv>
  <rv s="0">
    <fb>258.37</fb>
    <v>1</v>
  </rv>
  <rv s="0">
    <fb>3091253</fb>
    <v>2</v>
  </rv>
  <rv s="0">
    <fb>45800</fb>
    <v>0</v>
  </rv>
  <rv s="0">
    <fb>258.63</fb>
    <v>1</v>
  </rv>
  <rv s="0">
    <fb>2722721</fb>
    <v>2</v>
  </rv>
  <rv s="0">
    <fb>45804</fb>
    <v>0</v>
  </rv>
  <rv s="0">
    <fb>263.23</fb>
    <v>1</v>
  </rv>
  <rv s="0">
    <fb>3284216</fb>
    <v>2</v>
  </rv>
  <rv s="0">
    <fb>45805</fb>
    <v>0</v>
  </rv>
  <rv s="0">
    <fb>260.24</fb>
    <v>1</v>
  </rv>
  <rv s="0">
    <fb>2318437</fb>
    <v>2</v>
  </rv>
  <rv s="0">
    <fb>45806</fb>
    <v>0</v>
  </rv>
  <rv s="0">
    <fb>258.69</fb>
    <v>1</v>
  </rv>
  <rv s="0">
    <fb>2295228</fb>
    <v>2</v>
  </rv>
  <rv s="0">
    <fb>45807</fb>
    <v>0</v>
  </rv>
  <rv s="0">
    <fb>259.06</fb>
    <v>1</v>
  </rv>
  <rv s="0">
    <fb>9668923</fb>
    <v>2</v>
  </rv>
  <rv s="0">
    <fb>45810</fb>
    <v>0</v>
  </rv>
  <rv s="0">
    <fb>263.89999999999998</fb>
    <v>1</v>
  </rv>
  <rv s="0">
    <fb>2831881</fb>
    <v>2</v>
  </rv>
  <rv s="0">
    <fb>45811</fb>
    <v>0</v>
  </rv>
  <rv s="0">
    <fb>265.2</fb>
    <v>1</v>
  </rv>
  <rv s="0">
    <fb>2494922</fb>
    <v>2</v>
  </rv>
  <rv s="0">
    <fb>45812</fb>
    <v>0</v>
  </rv>
  <rv s="0">
    <fb>265.52</fb>
    <v>1</v>
  </rv>
  <rv s="0">
    <fb>2588741</fb>
    <v>2</v>
  </rv>
  <rv s="0">
    <fb>45813</fb>
    <v>0</v>
  </rv>
  <rv s="0">
    <fb>266.86</fb>
    <v>1</v>
  </rv>
  <rv s="0">
    <fb>2659478</fb>
    <v>2</v>
  </rv>
  <rv s="0">
    <fb>45814</fb>
    <v>0</v>
  </rv>
  <rv s="0">
    <fb>268.87</fb>
    <v>1</v>
  </rv>
  <rv s="0">
    <fb>2495543</fb>
    <v>2</v>
  </rv>
  <rv s="0">
    <fb>45817</fb>
    <v>0</v>
  </rv>
  <rv s="0">
    <fb>272.08</fb>
    <v>1</v>
  </rv>
  <rv s="0">
    <fb>4331464</fb>
    <v>2</v>
  </rv>
  <rv s="0">
    <fb>45818</fb>
    <v>0</v>
  </rv>
  <rv s="0">
    <fb>276.24</fb>
    <v>1</v>
  </rv>
  <rv s="0">
    <fb>5163507</fb>
    <v>2</v>
  </rv>
  <rv s="0">
    <fb>45819</fb>
    <v>0</v>
  </rv>
  <rv s="0">
    <fb>281.52</fb>
    <v>1</v>
  </rv>
  <rv s="0">
    <fb>4656034</fb>
    <v>2</v>
  </rv>
  <rv s="0">
    <fb>45820</fb>
    <v>0</v>
  </rv>
  <rv s="0">
    <fb>281.02999999999997</fb>
    <v>1</v>
  </rv>
  <rv s="0">
    <fb>3418007</fb>
    <v>2</v>
  </rv>
  <rv s="0">
    <fb>45821</fb>
    <v>0</v>
  </rv>
  <rv s="0">
    <fb>277.22000000000003</fb>
    <v>1</v>
  </rv>
  <rv s="0">
    <fb>3243824</fb>
    <v>2</v>
  </rv>
  <rv s="0">
    <fb>45824</fb>
    <v>0</v>
  </rv>
  <rv s="0">
    <fb>281.83</fb>
    <v>1</v>
  </rv>
  <rv s="0">
    <fb>3685321</fb>
    <v>2</v>
  </rv>
  <rv s="0">
    <fb>45825</fb>
    <v>0</v>
  </rv>
  <rv s="0">
    <fb>283.05</fb>
    <v>1</v>
  </rv>
  <rv s="0">
    <fb>3069556</fb>
    <v>2</v>
  </rv>
  <rv s="0">
    <fb>45826</fb>
    <v>0</v>
  </rv>
  <rv s="0">
    <fb>283.20999999999998</fb>
    <v>1</v>
  </rv>
  <rv s="0">
    <fb>3534110</fb>
    <v>2</v>
  </rv>
  <rv s="0">
    <fb>45828</fb>
    <v>0</v>
  </rv>
  <rv s="0">
    <fb>280.97000000000003</fb>
    <v>1</v>
  </rv>
  <rv s="0">
    <fb>7676962</fb>
    <v>2</v>
  </rv>
  <rv s="0">
    <fb>45831</fb>
    <v>0</v>
  </rv>
  <rv s="0">
    <fb>289.18</fb>
    <v>1</v>
  </rv>
  <rv s="0">
    <fb>3786159</fb>
    <v>2</v>
  </rv>
  <rv s="0">
    <fb>45832</fb>
    <v>0</v>
  </rv>
  <rv s="0">
    <fb>293.79000000000002</fb>
    <v>1</v>
  </rv>
  <rv s="0">
    <fb>4219120</fb>
    <v>2</v>
  </rv>
  <rv s="0">
    <fb>45833</fb>
    <v>0</v>
  </rv>
  <rv s="0">
    <fb>291.06</fb>
    <v>1</v>
  </rv>
  <rv s="0">
    <fb>3862309</fb>
    <v>2</v>
  </rv>
  <rv s="0">
    <fb>45834</fb>
    <v>0</v>
  </rv>
  <rv s="0">
    <fb>291.93</fb>
    <v>1</v>
  </rv>
  <rv s="0">
    <fb>3621110</fb>
    <v>2</v>
  </rv>
  <rv s="0">
    <fb>45835</fb>
    <v>0</v>
  </rv>
  <rv s="0">
    <fb>289.7</fb>
    <v>1</v>
  </rv>
  <rv s="0">
    <fb>3562501</fb>
    <v>2</v>
  </rv>
  <rv s="0">
    <fb>45838</fb>
    <v>0</v>
  </rv>
  <rv s="0">
    <fb>294.77999999999997</fb>
    <v>1</v>
  </rv>
  <rv s="0">
    <fb>3495386</fb>
    <v>2</v>
  </rv>
  <rv s="0">
    <fb>45839</fb>
    <v>0</v>
  </rv>
  <rv s="0">
    <fb>291.2</fb>
    <v>1</v>
  </rv>
  <rv s="0">
    <fb>3272797</fb>
    <v>2</v>
  </rv>
  <rv s="0">
    <fb>45840</fb>
    <v>0</v>
  </rv>
  <rv s="0">
    <fb>287.64999999999998</fb>
    <v>1</v>
  </rv>
  <rv s="0">
    <fb>3257515</fb>
    <v>2</v>
  </rv>
  <rv s="0">
    <fb>45841</fb>
    <v>0</v>
  </rv>
  <rv s="0">
    <fb>291.97000000000003</fb>
    <v>1</v>
  </rv>
  <rv s="0">
    <fb>1853289</fb>
    <v>2</v>
  </rv>
  <rv s="0">
    <fb>45845</fb>
    <v>0</v>
  </rv>
  <rv s="0">
    <fb>292.47000000000003</fb>
    <v>1</v>
  </rv>
  <rv s="0">
    <fb>4488064</fb>
    <v>2</v>
  </rv>
  <rv s="0">
    <fb>45846</fb>
    <v>0</v>
  </rv>
  <rv s="0">
    <fb>290.42</fb>
    <v>1</v>
  </rv>
  <rv s="0">
    <fb>2925329</fb>
    <v>2</v>
  </rv>
  <rv s="0">
    <fb>45847</fb>
    <v>0</v>
  </rv>
  <rv s="0">
    <fb>290.14</fb>
    <v>1</v>
  </rv>
  <rv s="0">
    <fb>2971309</fb>
    <v>2</v>
  </rv>
  <rv s="0">
    <fb>45848</fb>
    <v>0</v>
  </rv>
  <rv s="0">
    <fb>287.43</fb>
    <v>1</v>
  </rv>
  <rv s="0">
    <fb>3489068</fb>
    <v>2</v>
  </rv>
  <rv s="0">
    <fb>45849</fb>
    <v>0</v>
  </rv>
  <rv s="0">
    <fb>283.58999999999997</fb>
    <v>1</v>
  </rv>
  <rv s="0">
    <fb>3790679</fb>
    <v>2</v>
  </rv>
  <rv s="0">
    <fb>45852</fb>
    <v>0</v>
  </rv>
  <rv s="0">
    <fb>283.79000000000002</fb>
    <v>1</v>
  </rv>
  <rv s="0">
    <fb>2857401</fb>
    <v>2</v>
  </rv>
  <rv s="0">
    <fb>45853</fb>
    <v>0</v>
  </rv>
  <rv s="0">
    <fb>282.7</fb>
    <v>1</v>
  </rv>
  <rv s="0">
    <fb>2864106</fb>
    <v>2</v>
  </rv>
  <rv s="0">
    <fb>45854</fb>
    <v>0</v>
  </rv>
  <rv s="0">
    <fb>281.92</fb>
    <v>1</v>
  </rv>
  <rv s="0">
    <fb>2804831</fb>
    <v>2</v>
  </rv>
  <rv s="0">
    <fb>45855</fb>
    <v>0</v>
  </rv>
  <rv s="0">
    <fb>282</fb>
    <v>1</v>
  </rv>
  <rv s="0">
    <fb>3337168</fb>
    <v>2</v>
  </rv>
  <rv s="0">
    <fb>45856</fb>
    <v>0</v>
  </rv>
  <rv s="0">
    <fb>285.87</fb>
    <v>1</v>
  </rv>
  <rv s="0">
    <fb>4478165</fb>
    <v>2</v>
  </rv>
  <rv s="0">
    <fb>45859</fb>
    <v>0</v>
  </rv>
  <rv s="0">
    <fb>284.70999999999998</fb>
    <v>1</v>
  </rv>
  <rv s="0">
    <fb>3051791</fb>
    <v>2</v>
  </rv>
  <rv s="0">
    <fb>45860</fb>
    <v>0</v>
  </rv>
  <rv s="0">
    <fb>281.95999999999998</fb>
    <v>1</v>
  </rv>
  <rv s="0">
    <fb>4824219</fb>
    <v>2</v>
  </rv>
  <rv s="0">
    <fb>45861</fb>
    <v>0</v>
  </rv>
  <rv s="0">
    <fb>282.01</fb>
    <v>1</v>
  </rv>
  <rv s="0">
    <fb>8105906</fb>
    <v>2</v>
  </rv>
  <rv s="0">
    <fb>45862</fb>
    <v>0</v>
  </rv>
  <rv s="0">
    <fb>260.51</fb>
    <v>1</v>
  </rv>
  <rv s="0">
    <fb>22647720</fb>
    <v>2</v>
  </rv>
  <rv s="0">
    <fb>45863</fb>
    <v>0</v>
  </rv>
  <rv s="0">
    <fb>259.72000000000003</fb>
    <v>1</v>
  </rv>
  <rv s="0">
    <fb>7758653</fb>
    <v>2</v>
  </rv>
  <rv s="0">
    <fb>45866</fb>
    <v>0</v>
  </rv>
  <rv s="0">
    <fb>263.20999999999998</fb>
    <v>1</v>
  </rv>
  <rv s="0">
    <fb>5192516</fb>
    <v>2</v>
  </rv>
  <rv s="0">
    <fb>45867</fb>
    <v>0</v>
  </rv>
  <rv s="0">
    <fb>262.41000000000003</fb>
    <v>1</v>
  </rv>
  <rv s="0">
    <fb>4627265</fb>
    <v>2</v>
  </rv>
  <rv s="0">
    <fb>45868</fb>
    <v>0</v>
  </rv>
  <rv s="0">
    <fb>260.26</fb>
    <v>1</v>
  </rv>
  <rv s="0">
    <fb>3718290</fb>
    <v>2</v>
  </rv>
  <rv s="0">
    <fb>45869</fb>
    <v>0</v>
  </rv>
  <rv s="0">
    <fb>253.15</fb>
    <v>1</v>
  </rv>
  <rv s="0">
    <fb>6739092</fb>
    <v>2</v>
  </rv>
  <rv s="0">
    <fb>45870</fb>
    <v>0</v>
  </rv>
  <rv s="0">
    <fb>250.05</fb>
    <v>1</v>
  </rv>
  <rv s="0">
    <fb>9683404</fb>
    <v>2</v>
  </rv>
  <rv s="0">
    <fb>45873</fb>
    <v>0</v>
  </rv>
  <rv s="0">
    <fb>251.98</fb>
    <v>1</v>
  </rv>
  <rv s="0">
    <fb>5280588</fb>
    <v>2</v>
  </rv>
  <rv s="0">
    <fb>45874</fb>
    <v>0</v>
  </rv>
  <rv s="0">
    <fb>250.67</fb>
    <v>1</v>
  </rv>
  <rv s="0">
    <fb>5823016</fb>
    <v>2</v>
  </rv>
  <rv s="0">
    <fb>45875</fb>
    <v>0</v>
  </rv>
  <rv s="0">
    <fb>252.28</fb>
    <v>1</v>
  </rv>
  <rv s="0">
    <fb>3692105</fb>
    <v>2</v>
  </rv>
  <rv s="0">
    <fb>45876</fb>
    <v>0</v>
  </rv>
  <rv s="0">
    <fb>250.16</fb>
    <v>1</v>
  </rv>
  <rv s="0">
    <fb>6251285</fb>
    <v>2</v>
  </rv>
  <rv s="0">
    <fb>45877</fb>
    <v>0</v>
  </rv>
  <rv s="0">
    <fb>242.27</fb>
    <v>1</v>
  </rv>
  <rv s="0">
    <fb>6828390</fb>
    <v>2</v>
  </rv>
  <rv s="0">
    <fb>45880</fb>
    <v>0</v>
  </rv>
  <rv s="0">
    <fb>236.3</fb>
    <v>1</v>
  </rv>
  <rv s="0">
    <fb>9381960</fb>
    <v>2</v>
  </rv>
  <rv s="0">
    <fb>45881</fb>
    <v>0</v>
  </rv>
  <rv s="0">
    <fb>234.77</fb>
    <v>1</v>
  </rv>
  <rv s="0">
    <fb>8800597</fb>
    <v>2</v>
  </rv>
  <rv s="0">
    <fb>45882</fb>
    <v>0</v>
  </rv>
  <rv s="0">
    <fb>240.07</fb>
    <v>1</v>
  </rv>
  <rv s="0">
    <fb>5663562</fb>
    <v>2</v>
  </rv>
  <rv s="0">
    <fb>45883</fb>
    <v>0</v>
  </rv>
  <rv s="0">
    <fb>237.11</fb>
    <v>1</v>
  </rv>
  <rv s="0">
    <fb>4556725</fb>
    <v>2</v>
  </rv>
  <rv s="0">
    <fb>45884</fb>
    <v>0</v>
  </rv>
  <rv s="0">
    <fb>239.72</fb>
    <v>1</v>
  </rv>
  <rv s="0">
    <fb>4344322</fb>
    <v>2</v>
  </rv>
  <rv s="0">
    <fb>45887</fb>
    <v>0</v>
  </rv>
  <rv s="0">
    <fb>239.45</fb>
    <v>1</v>
  </rv>
  <rv s="0">
    <fb>3569594</fb>
    <v>2</v>
  </rv>
  <rv s="0">
    <fb>45888</fb>
    <v>0</v>
  </rv>
  <rv s="0">
    <fb>241.28</fb>
    <v>1</v>
  </rv>
  <rv s="0">
    <fb>3328305</fb>
    <v>2</v>
  </rv>
  <rv s="0">
    <fb>45889</fb>
    <v>0</v>
  </rv>
  <rv s="0">
    <fb>242.55</fb>
    <v>1</v>
  </rv>
  <rv s="0">
    <fb>3240064</fb>
    <v>2</v>
  </rv>
  <rv s="0">
    <fb>45890</fb>
    <v>0</v>
  </rv>
  <rv s="0">
    <fb>239.4</fb>
    <v>1</v>
  </rv>
  <rv s="0">
    <fb>2991902</fb>
    <v>2</v>
  </rv>
  <rv s="0">
    <fb>45891</fb>
    <v>0</v>
  </rv>
  <rv s="0">
    <fb>242.09</fb>
    <v>1</v>
  </rv>
  <rv s="0">
    <fb>3134882</fb>
    <v>2</v>
  </rv>
  <rv s="0">
    <fb>45894</fb>
    <v>0</v>
  </rv>
  <rv s="0">
    <fb>239.43</fb>
    <v>1</v>
  </rv>
  <rv s="0">
    <fb>3513327</fb>
    <v>2</v>
  </rv>
  <rv s="0">
    <fb>45895</fb>
    <v>0</v>
  </rv>
  <rv s="0">
    <fb>242.63</fb>
    <v>1</v>
  </rv>
  <rv s="0">
    <fb>5386582</fb>
    <v>2</v>
  </rv>
  <rv s="0">
    <fb>45896</fb>
    <v>0</v>
  </rv>
  <rv s="0">
    <fb>244.84</fb>
    <v>1</v>
  </rv>
  <rv s="0">
    <fb>3698372</fb>
    <v>2</v>
  </rv>
  <rv s="0">
    <fb>45897</fb>
    <v>0</v>
  </rv>
  <rv s="0">
    <fb>245.73</fb>
    <v>1</v>
  </rv>
  <rv s="0">
    <fb>2820817</fb>
    <v>2</v>
  </rv>
  <rv s="0">
    <fb>45898</fb>
    <v>0</v>
  </rv>
  <rv s="0">
    <fb>2967558</fb>
    <v>2</v>
  </rv>
  <rv s="0">
    <fb>45902</fb>
    <v>0</v>
  </rv>
  <rv s="0">
    <fb>241.5</fb>
    <v>1</v>
  </rv>
  <rv s="0">
    <fb>3469501</fb>
    <v>2</v>
  </rv>
  <rv s="0">
    <fb>45903</fb>
    <v>0</v>
  </rv>
  <rv s="0">
    <fb>244.1</fb>
    <v>1</v>
  </rv>
  <rv s="0">
    <fb>3163225</fb>
    <v>2</v>
  </rv>
  <rv s="0">
    <fb>45904</fb>
    <v>0</v>
  </rv>
  <rv s="0">
    <fb>247.18</fb>
    <v>1</v>
  </rv>
  <rv s="0">
    <fb>4765087</fb>
    <v>2</v>
  </rv>
  <rv s="0">
    <fb>45905</fb>
    <v>0</v>
  </rv>
  <rv s="0">
    <fb>248.53</fb>
    <v>1</v>
  </rv>
  <rv s="0">
    <fb>3147478</fb>
    <v>2</v>
  </rv>
  <rv s="0">
    <fb>45908</fb>
    <v>0</v>
  </rv>
  <rv s="0">
    <fb>256.08999999999997</fb>
    <v>1</v>
  </rv>
  <rv s="0">
    <fb>6940270</fb>
    <v>2</v>
  </rv>
  <rv s="0">
    <fb>45909</fb>
    <v>0</v>
  </rv>
  <rv s="0">
    <fb>259.11</fb>
    <v>1</v>
  </rv>
  <rv s="0">
    <fb>4931105</fb>
    <v>2</v>
  </rv>
  <rv s="0">
    <fb>45910</fb>
    <v>0</v>
  </rv>
  <rv s="0">
    <fb>256.88</fb>
    <v>1</v>
  </rv>
  <rv s="0">
    <fb>5185420</fb>
    <v>2</v>
  </rv>
  <rv s="0">
    <fb>45911</fb>
    <v>0</v>
  </rv>
  <rv s="0">
    <fb>257.01</fb>
    <v>1</v>
  </rv>
  <rv s="0">
    <fb>3576048</fb>
    <v>2</v>
  </rv>
  <rv s="0">
    <fb>45912</fb>
    <v>0</v>
  </rv>
  <rv s="0">
    <fb>253.44</fb>
    <v>1</v>
  </rv>
  <rv s="0">
    <fb>3433300</fb>
    <v>2</v>
  </rv>
  <rv s="0">
    <fb>45915</fb>
    <v>0</v>
  </rv>
  <rv s="0">
    <fb>256.24</fb>
    <v>1</v>
  </rv>
  <rv s="0">
    <fb>4028365</fb>
    <v>2</v>
  </rv>
  <rv s="0">
    <fb>45916</fb>
    <v>0</v>
  </rv>
  <rv s="0">
    <fb>257.52</fb>
    <v>1</v>
  </rv>
  <rv s="0">
    <fb>2719918</fb>
    <v>2</v>
  </rv>
  <rv s="0">
    <fb>45917</fb>
    <v>0</v>
  </rv>
  <rv s="0">
    <fb>259.08</fb>
    <v>1</v>
  </rv>
  <rv s="0">
    <fb>3974785</fb>
    <v>2</v>
  </rv>
  <rv s="0">
    <fb>45918</fb>
    <v>0</v>
  </rv>
  <rv s="0">
    <fb>265</fb>
    <v>1</v>
  </rv>
  <rv s="0">
    <fb>4988421</fb>
    <v>2</v>
  </rv>
  <rv s="0">
    <fb>45919</fb>
    <v>0</v>
  </rv>
  <rv s="0">
    <fb>266.39999999999998</fb>
    <v>1</v>
  </rv>
  <rv s="0">
    <fb>9858112</fb>
    <v>2</v>
  </rv>
  <rv s="0">
    <fb>45922</fb>
    <v>0</v>
  </rv>
  <rv s="0">
    <fb>271.37</fb>
    <v>1</v>
  </rv>
  <rv s="0">
    <fb>5030540</fb>
    <v>2</v>
  </rv>
  <rv s="0">
    <fb>45923</fb>
    <v>0</v>
  </rv>
  <rv s="0">
    <fb>272.24</fb>
    <v>1</v>
  </rv>
  <rv s="0">
    <fb>5394121</fb>
    <v>2</v>
  </rv>
  <rv s="0">
    <fb>45924</fb>
    <v>0</v>
  </rv>
  <rv s="0">
    <fb>267.52999999999997</fb>
    <v>1</v>
  </rv>
  <rv s="0">
    <fb>3159924</fb>
    <v>2</v>
  </rv>
  <rv s="0">
    <fb>45925</fb>
    <v>0</v>
  </rv>
  <rv s="0">
    <fb>281.44</fb>
    <v>1</v>
  </rv>
  <rv s="0">
    <fb>11506192</fb>
    <v>2</v>
  </rv>
  <rv s="0">
    <fb>45926</fb>
    <v>0</v>
  </rv>
  <rv s="0">
    <fb>284.31</fb>
    <v>1</v>
  </rv>
  <rv s="0">
    <fb>9063938</fb>
    <v>2</v>
  </rv>
  <rv s="0">
    <fb>45929</fb>
    <v>0</v>
  </rv>
  <rv s="0">
    <fb>279.8</fb>
    <v>1</v>
  </rv>
  <rv s="0">
    <fb>6022125</fb>
    <v>2</v>
  </rv>
  <rv s="0">
    <fb>45930</fb>
    <v>0</v>
  </rv>
  <rv s="0">
    <fb>282.16000000000003</fb>
    <v>1</v>
  </rv>
  <rv s="0">
    <fb>5926924</fb>
    <v>2</v>
  </rv>
  <rv s="0">
    <fb>45931</fb>
    <v>0</v>
  </rv>
  <rv s="0">
    <fb>286.49</fb>
    <v>1</v>
  </rv>
  <rv s="0">
    <fb>4381338</fb>
    <v>2</v>
  </rv>
  <rv s="0">
    <fb>45932</fb>
    <v>0</v>
  </rv>
  <rv s="0">
    <fb>286.72000000000003</fb>
    <v>1</v>
  </rv>
  <rv s="0">
    <fb>3814232</fb>
    <v>2</v>
  </rv>
  <rv s="0">
    <fb>45933</fb>
    <v>0</v>
  </rv>
  <rv s="0">
    <fb>288.37</fb>
    <v>1</v>
  </rv>
  <rv s="0">
    <fb>4375082</fb>
    <v>2</v>
  </rv>
  <rv s="0">
    <fb>45936</fb>
    <v>0</v>
  </rv>
  <rv s="0">
    <fb>289.42</fb>
    <v>1</v>
  </rv>
  <rv s="0">
    <fb>2881947</fb>
    <v>2</v>
  </rv>
  <rv s="0">
    <fb>45937</fb>
    <v>0</v>
  </rv>
  <rv s="0">
    <fb>293.87</fb>
    <v>1</v>
  </rv>
  <rv s="0">
    <fb>7190126</fb>
    <v>2</v>
  </rv>
  <rv s="0">
    <fb>45938</fb>
    <v>0</v>
  </rv>
  <rv s="0">
    <fb>289.45999999999998</fb>
    <v>1</v>
  </rv>
  <rv s="0">
    <fb>5297030</fb>
    <v>2</v>
  </rv>
  <rv s="0">
    <fb>45939</fb>
    <v>0</v>
  </rv>
  <rv s="0">
    <fb>288.23</fb>
    <v>1</v>
  </rv>
  <rv s="0">
    <fb>4912375</fb>
    <v>2</v>
  </rv>
  <rv s="0">
    <fb>45940</fb>
    <v>0</v>
  </rv>
  <rv s="0">
    <fb>277.82</fb>
    <v>1</v>
  </rv>
  <rv s="0">
    <fb>4508506</fb>
    <v>2</v>
  </rv>
  <rv s="0">
    <fb>45943</fb>
    <v>0</v>
  </rv>
  <rv s="0">
    <fb>4333836</fb>
    <v>2</v>
  </rv>
  <rv s="0">
    <fb>45944</fb>
    <v>0</v>
  </rv>
  <rv s="0">
    <fb>276.14999999999998</fb>
    <v>1</v>
  </rv>
  <rv s="0">
    <fb>3058149</fb>
    <v>2</v>
  </rv>
  <rv s="0">
    <fb>45945</fb>
    <v>0</v>
  </rv>
  <rv s="0">
    <fb>280.75</fb>
    <v>1</v>
  </rv>
  <rv s="0">
    <fb>3346753</fb>
    <v>2</v>
  </rv>
  <rv s="0">
    <fb>45946</fb>
    <v>0</v>
  </rv>
  <rv s="0">
    <fb>275.97000000000003</fb>
    <v>1</v>
  </rv>
  <rv s="0">
    <fb>2956923</fb>
    <v>2</v>
  </rv>
  <rv s="0">
    <fb>45947</fb>
    <v>0</v>
  </rv>
  <rv s="0">
    <fb>281.27999999999997</fb>
    <v>1</v>
  </rv>
  <rv s="0">
    <fb>5309565</fb>
    <v>2</v>
  </rv>
  <rv s="0">
    <fb>45950</fb>
    <v>0</v>
  </rv>
  <rv s="0">
    <fb>283.64999999999998</fb>
    <v>1</v>
  </rv>
  <rv s="0">
    <fb>3494336</fb>
    <v>2</v>
  </rv>
  <rv s="0">
    <fb>45951</fb>
    <v>0</v>
  </rv>
  <rv s="0">
    <fb>282.05</fb>
    <v>1</v>
  </rv>
  <rv s="0">
    <fb>4080981</fb>
    <v>2</v>
  </rv>
  <rv s="0">
    <fb>45952</fb>
    <v>0</v>
  </rv>
  <rv s="0">
    <fb>287.51</fb>
    <v>1</v>
  </rv>
  <rv s="0">
    <fb>10538480</fb>
    <v>2</v>
  </rv>
  <rv s="0">
    <fb>45953</fb>
    <v>0</v>
  </rv>
  <rv s="0">
    <fb>285</fb>
    <v>1</v>
  </rv>
  <rv s="0">
    <fb>16676394</fb>
    <v>2</v>
  </rv>
  <rv s="0">
    <fb>45954</fb>
    <v>0</v>
  </rv>
  <rv s="0">
    <fb>307.45999999999998</fb>
    <v>1</v>
  </rv>
  <rv s="0">
    <fb>16914243</fb>
    <v>2</v>
  </rv>
  <rv s="0">
    <fb>45957</fb>
    <v>0</v>
  </rv>
  <rv s="0">
    <fb>313.08999999999997</fb>
    <v>1</v>
  </rv>
  <rv s="0">
    <fb>9868151</fb>
    <v>2</v>
  </rv>
  <rv s="0">
    <fb>45958</fb>
    <v>0</v>
  </rv>
  <rv s="0">
    <fb>312.57</fb>
    <v>1</v>
  </rv>
  <rv s="0">
    <fb>6044770</fb>
    <v>2</v>
  </rv>
  <rv s="0">
    <fb>45959</fb>
    <v>0</v>
  </rv>
  <rv s="0">
    <fb>308.20999999999998</fb>
    <v>1</v>
  </rv>
  <rv s="0">
    <fb>4135948</fb>
    <v>2</v>
  </rv>
  <rv s="0">
    <fb>45960</fb>
    <v>0</v>
  </rv>
  <rv s="0">
    <fb>310.06</fb>
    <v>1</v>
  </rv>
  <rv s="0">
    <fb>4694275</fb>
    <v>2</v>
  </rv>
  <rv s="0">
    <fb>45961</fb>
    <v>0</v>
  </rv>
  <rv s="0">
    <fb>307.41000000000003</fb>
    <v>1</v>
  </rv>
  <rv s="0">
    <fb>7697499</fb>
    <v>2</v>
  </rv>
  <rv s="0">
    <fb>45964</fb>
    <v>0</v>
  </rv>
  <rv s="0">
    <fb>304.73</fb>
    <v>1</v>
  </rv>
  <rv s="0">
    <fb>4957958</fb>
    <v>2</v>
  </rv>
  <rv s="0">
    <fb>45965</fb>
    <v>0</v>
  </rv>
  <rv s="0">
    <fb>300.85000000000002</fb>
    <v>1</v>
  </rv>
  <rv s="0">
    <fb>5677330</fb>
    <v>2</v>
  </rv>
  <rv s="0">
    <fb>45966</fb>
    <v>0</v>
  </rv>
  <rv s="0">
    <fb>306.77</fb>
    <v>1</v>
  </rv>
  <rv s="0">
    <fb>4650368</fb>
    <v>2</v>
  </rv>
  <rv s="0">
    <fb>45967</fb>
    <v>0</v>
  </rv>
  <rv s="0">
    <fb>312.42</fb>
    <v>1</v>
  </rv>
  <rv s="0">
    <fb>6818521</fb>
    <v>2</v>
  </rv>
  <rv s="0">
    <fb>45968</fb>
    <v>0</v>
  </rv>
  <rv s="0">
    <fb>306.38</fb>
    <v>1</v>
  </rv>
  <rv s="0">
    <fb>5070773</fb>
    <v>2</v>
  </rv>
  <rv s="0">
    <fb>45971</fb>
    <v>0</v>
  </rv>
  <rv s="0">
    <fb>309.13</fb>
    <v>1</v>
  </rv>
  <rv s="0">
    <fb>2975188</fb>
    <v>2</v>
  </rv>
  <rv s="0">
    <fb>45972</fb>
    <v>0</v>
  </rv>
  <rv s="0">
    <fb>313.72000000000003</fb>
    <v>1</v>
  </rv>
  <rv s="0">
    <fb>4381913</fb>
    <v>2</v>
  </rv>
  <rv s="0">
    <fb>45973</fb>
    <v>0</v>
  </rv>
  <rv s="0">
    <fb>314.98</fb>
    <v>1</v>
  </rv>
  <rv s="0">
    <fb>6042686</fb>
    <v>2</v>
  </rv>
  <rv s="0">
    <fb>45974</fb>
    <v>0</v>
  </rv>
  <rv s="0">
    <fb>304.86</fb>
    <v>1</v>
  </rv>
  <rv s="0">
    <fb>5310150</fb>
    <v>2</v>
  </rv>
  <rv s="0">
    <fb>45975</fb>
    <v>0</v>
  </rv>
  <rv s="0">
    <fb>305.69</fb>
    <v>1</v>
  </rv>
  <rv s="0">
    <fb>3592455</fb>
    <v>2</v>
  </rv>
  <rv s="0">
    <fb>45978</fb>
    <v>0</v>
  </rv>
  <rv s="0">
    <fb>297.17</fb>
    <v>1</v>
  </rv>
  <rv s="0">
    <fb>3909741</fb>
    <v>2</v>
  </rv>
  <rv s="0">
    <fb>45979</fb>
    <v>0</v>
  </rv>
  <rv s="0">
    <fb>289.95</fb>
    <v>1</v>
  </rv>
  <rv s="0">
    <fb>4861928</fb>
    <v>2</v>
  </rv>
  <rv s="0">
    <fb>45980</fb>
    <v>0</v>
  </rv>
  <rv s="0">
    <fb>288.52999999999997</fb>
    <v>1</v>
  </rv>
  <rv s="0">
    <fb>3595912</fb>
    <v>2</v>
  </rv>
  <rv s="0">
    <fb>45981</fb>
    <v>0</v>
  </rv>
  <rv s="0">
    <fb>290.39999999999998</fb>
    <v>1</v>
  </rv>
  <rv s="0">
    <fb>5597028</fb>
    <v>2</v>
  </rv>
  <rv s="0">
    <fb>45982</fb>
    <v>0</v>
  </rv>
  <rv s="0">
    <fb>297.44</fb>
    <v>1</v>
  </rv>
  <rv s="0">
    <fb>5710903</fb>
    <v>2</v>
  </rv>
  <rv s="0">
    <fb>45985</fb>
    <v>0</v>
  </rv>
  <rv s="0">
    <fb>304.12</fb>
    <v>1</v>
  </rv>
  <rv s="0">
    <fb>6050640</fb>
    <v>2</v>
  </rv>
  <rv s="0">
    <fb>45986</fb>
    <v>0</v>
  </rv>
  <rv s="0">
    <fb>304.48</fb>
    <v>1</v>
  </rv>
  <rv s="0">
    <fb>2825322</fb>
    <v>2</v>
  </rv>
  <rv s="0">
    <fb>45987</fb>
    <v>0</v>
  </rv>
  <rv s="0">
    <fb>303.20999999999998</fb>
    <v>1</v>
  </rv>
  <rv s="0">
    <fb>2196446</fb>
    <v>2</v>
  </rv>
  <rv s="0">
    <fb>45989</fb>
    <v>0</v>
  </rv>
  <rv s="0">
    <fb>308.58</fb>
    <v>1</v>
  </rv>
  <rv s="0">
    <fb>1689031</fb>
    <v>2</v>
  </rv>
  <rv s="0">
    <fb>45992</fb>
    <v>0</v>
  </rv>
  <rv s="0">
    <fb>305.67</fb>
    <v>1</v>
  </rv>
  <rv s="0">
    <fb>3166555</fb>
    <v>2</v>
  </rv>
  <rv s="0">
    <fb>45993</fb>
    <v>0</v>
  </rv>
  <rv s="0">
    <fb>301.77999999999997</fb>
    <v>1</v>
  </rv>
  <rv s="0">
    <fb>4261100</fb>
    <v>2</v>
  </rv>
  <rv s="0">
    <fb>45994</fb>
    <v>0</v>
  </rv>
  <rv s="0">
    <fb>302.62</fb>
    <v>1</v>
  </rv>
  <rv s="0">
    <fb>3953390</fb>
    <v>2</v>
  </rv>
  <rv s="0">
    <fb>45995</fb>
    <v>0</v>
  </rv>
  <rv s="0">
    <fb>307.99</fb>
    <v>1</v>
  </rv>
  <rv s="0">
    <fb>2962463</fb>
    <v>2</v>
  </rv>
  <rv s="0">
    <fb>45996</fb>
    <v>0</v>
  </rv>
  <rv s="0">
    <fb>307.94</fb>
    <v>1</v>
  </rv>
  <rv s="0">
    <fb>2344667</fb>
    <v>2</v>
  </rv>
  <rv s="0">
    <fb>45999</fb>
    <v>0</v>
  </rv>
  <rv s="0">
    <fb>309.18</fb>
    <v>1</v>
  </rv>
  <rv s="0">
    <fb>3630157</fb>
    <v>2</v>
  </rv>
  <rv s="0">
    <fb>46000</fb>
    <v>0</v>
  </rv>
  <rv s="0">
    <fb>310.48</fb>
    <v>1</v>
  </rv>
  <rv s="0">
    <fb>2935669</fb>
    <v>2</v>
  </rv>
  <rv s="0">
    <fb>46001</fb>
    <v>0</v>
  </rv>
  <rv s="0">
    <fb>312.67</fb>
    <v>1</v>
  </rv>
  <rv s="0">
    <fb>3411524</fb>
    <v>2</v>
  </rv>
  <rv s="0">
    <fb>46002</fb>
    <v>0</v>
  </rv>
  <rv s="0">
    <fb>310.74</fb>
    <v>1</v>
  </rv>
  <rv s="0">
    <fb>2755749</fb>
    <v>2</v>
  </rv>
  <rv s="0">
    <fb>46003</fb>
    <v>0</v>
  </rv>
  <rv s="0">
    <fb>309.24</fb>
    <v>1</v>
  </rv>
  <rv s="0">
    <fb>2953374</fb>
    <v>2</v>
  </rv>
  <rv s="0">
    <fb>46006</fb>
    <v>0</v>
  </rv>
  <rv s="0">
    <fb>308.66000000000003</fb>
    <v>1</v>
  </rv>
  <rv s="0">
    <fb>3566732</fb>
    <v>2</v>
  </rv>
  <rv s="0">
    <fb>46007</fb>
    <v>0</v>
  </rv>
  <rv s="0">
    <fb>303.18</fb>
    <v>1</v>
  </rv>
  <rv s="0">
    <fb>3366878</fb>
    <v>2</v>
  </rv>
  <rv s="0">
    <fb>46008</fb>
    <v>0</v>
  </rv>
  <rv s="0">
    <fb>303.32</fb>
    <v>1</v>
  </rv>
  <rv s="0">
    <fb>3130954</fb>
    <v>2</v>
  </rv>
  <rv s="0">
    <fb>46009</fb>
    <v>0</v>
  </rv>
  <rv s="0">
    <fb>300.45</fb>
    <v>1</v>
  </rv>
  <rv s="0">
    <fb>5411669</fb>
    <v>2</v>
  </rv>
  <rv s="0">
    <fb>46010</fb>
    <v>0</v>
  </rv>
  <rv s="0">
    <fb>300.98</fb>
    <v>1</v>
  </rv>
  <rv s="0">
    <fb>11031341</fb>
    <v>2</v>
  </rv>
  <rv s="0">
    <fb>46013</fb>
    <v>0</v>
  </rv>
  <rv s="0">
    <fb>302.79000000000002</fb>
    <v>1</v>
  </rv>
  <rv s="0">
    <fb>2612100</fb>
    <v>2</v>
  </rv>
  <rv s="0">
    <fb>46014</fb>
    <v>0</v>
  </rv>
  <rv s="0">
    <fb>303.77999999999997</fb>
    <v>1</v>
  </rv>
  <rv s="0">
    <fb>2923037</fb>
    <v>2</v>
  </rv>
  <rv s="0">
    <fb>46015</fb>
    <v>0</v>
  </rv>
  <rv s="0">
    <fb>304.56</fb>
    <v>1</v>
  </rv>
  <rv s="0">
    <fb>1210642</fb>
    <v>2</v>
  </rv>
  <rv s="0">
    <fb>46017</fb>
    <v>0</v>
  </rv>
  <rv s="0">
    <fb>305.08999999999997</fb>
    <v>1</v>
  </rv>
  <rv s="0">
    <fb>2814732</fb>
    <v>2</v>
  </rv>
  <rv s="0">
    <fb>46020</fb>
    <v>0</v>
  </rv>
  <rv s="0">
    <fb>305.74</fb>
    <v>1</v>
  </rv>
  <rv s="0">
    <fb>4664711</fb>
    <v>2</v>
  </rv>
  <rv s="0">
    <fb>46021</fb>
    <v>0</v>
  </rv>
  <rv s="0">
    <fb>302.05</fb>
    <v>1</v>
  </rv>
  <rv s="0">
    <fb>1883651</fb>
    <v>2</v>
  </rv>
  <rv s="0">
    <fb>46022</fb>
    <v>0</v>
  </rv>
  <rv s="0">
    <fb>296.20999999999998</fb>
    <v>1</v>
  </rv>
  <rv s="0">
    <fb>3430133</fb>
    <v>2</v>
  </rv>
  <rv s="0">
    <fb>46024</fb>
    <v>0</v>
  </rv>
  <rv s="0">
    <fb>291.5</fb>
    <v>1</v>
  </rv>
  <rv s="0">
    <fb>4662804</fb>
    <v>2</v>
  </rv>
  <rv s="0">
    <fb>46027</fb>
    <v>0</v>
  </rv>
  <rv s="0">
    <fb>294.97000000000003</fb>
    <v>1</v>
  </rv>
  <rv s="0">
    <fb>4189960</fb>
    <v>2</v>
  </rv>
  <rv s="0">
    <fb>46028</fb>
    <v>0</v>
  </rv>
  <rv s="0">
    <fb>302.47000000000003</fb>
    <v>1</v>
  </rv>
  <rv s="0">
    <fb>4147315</fb>
    <v>2</v>
  </rv>
  <rv s="0">
    <fb>46029</fb>
    <v>0</v>
  </rv>
  <rv s="0">
    <fb>296.73</fb>
    <v>1</v>
  </rv>
  <rv s="0">
    <fb>2833274</fb>
    <v>2</v>
  </rv>
  <rv s="0">
    <fb>46030</fb>
    <v>0</v>
  </rv>
  <rv s="0">
    <fb>302.72000000000003</fb>
    <v>1</v>
  </rv>
  <rv s="0">
    <fb>3343273</fb>
    <v>2</v>
  </rv>
  <rv s="0">
    <fb>46031</fb>
    <v>0</v>
  </rv>
  <rv s="0">
    <fb>304.22000000000003</fb>
    <v>1</v>
  </rv>
  <rv s="0">
    <fb>2718828</fb>
    <v>2</v>
  </rv>
  <rv s="0">
    <fb>46034</fb>
    <v>0</v>
  </rv>
  <rv s="0">
    <fb>312.18</fb>
    <v>1</v>
  </rv>
  <rv s="0">
    <fb>3895197</fb>
    <v>2</v>
  </rv>
  <rv s="0">
    <fb>46035</fb>
    <v>0</v>
  </rv>
  <rv s="0">
    <fb>303.16000000000003</fb>
    <v>1</v>
  </rv>
  <rv s="0">
    <fb>4507760</fb>
    <v>2</v>
  </rv>
  <rv s="0">
    <fb>46036</fb>
    <v>0</v>
  </rv>
  <rv s="0">
    <fb>309.02999999999997</fb>
    <v>1</v>
  </rv>
  <rv s="0">
    <fb>3779045</fb>
    <v>2</v>
  </rv>
  <rv s="0">
    <fb>46037</fb>
    <v>0</v>
  </rv>
  <rv s="0">
    <fb>297.95</fb>
    <v>1</v>
  </rv>
  <rv s="0">
    <fb>4932480</fb>
    <v>2</v>
  </rv>
  <rv s="0">
    <fb>46038</fb>
    <v>0</v>
  </rv>
  <rv s="0">
    <fb>6199635</fb>
    <v>2</v>
  </rv>
  <rv s="0">
    <fb>46042</fb>
    <v>0</v>
  </rv>
  <rv s="0">
    <fb>291.35000000000002</fb>
    <v>1</v>
  </rv>
  <rv s="0">
    <fb>7275490</fb>
    <v>2</v>
  </rv>
  <rv s="0">
    <fb>46043</fb>
    <v>0</v>
  </rv>
  <rv s="0">
    <fb>297.54000000000002</fb>
    <v>1</v>
  </rv>
  <rv s="0">
    <fb>5185023</fb>
    <v>2</v>
  </rv>
  <rv s="0">
    <fb>46044</fb>
    <v>0</v>
  </rv>
  <rv s="0">
    <fb>294.67</fb>
    <v>1</v>
  </rv>
  <rv s="0">
    <fb>3670152</fb>
    <v>2</v>
  </rv>
  <rv s="0">
    <fb>46045</fb>
    <v>0</v>
  </rv>
  <rv s="0">
    <fb>292.44</fb>
    <v>1</v>
  </rv>
  <rv s="0">
    <fb>3298424</fb>
    <v>2</v>
  </rv>
  <rv s="0">
    <fb>46048</fb>
    <v>0</v>
  </rv>
  <rv s="0">
    <fb>296.33</fb>
    <v>1</v>
  </rv>
  <rv s="0">
    <fb>3726890</fb>
    <v>2</v>
  </rv>
  <rv s="0">
    <fb>46049</fb>
    <v>0</v>
  </rv>
  <rv s="0">
    <fb>293.86</fb>
    <v>1</v>
  </rv>
  <rv s="0">
    <fb>2954936</fb>
    <v>2</v>
  </rv>
  <rv s="0">
    <fb>46050</fb>
    <v>0</v>
  </rv>
  <rv s="0">
    <fb>294.16000000000003</fb>
    <v>1</v>
  </rv>
  <rv s="0">
    <fb>5790347</fb>
    <v>2</v>
  </rv>
  <rv s="0">
    <fb>46051</fb>
    <v>0</v>
  </rv>
  <rv s="0">
    <fb>10124929</fb>
    <v>2</v>
  </rv>
  <rv s="0">
    <fb>46052</fb>
    <v>0</v>
  </rv>
  <rv s="0">
    <fb>306.7</fb>
    <v>1</v>
  </rv>
  <rv s="0">
    <fb>5940669</fb>
    <v>2</v>
  </rv>
  <rv s="0">
    <fb>46055</fb>
    <v>0</v>
  </rv>
  <rv s="0">
    <fb>314.73</fb>
    <v>1</v>
  </rv>
  <rv s="0">
    <fb>4581189</fb>
    <v>2</v>
  </rv>
  <rv s="0">
    <fb>46056</fb>
    <v>0</v>
  </rv>
  <rv s="0">
    <fb>294.31</fb>
    <v>1</v>
  </rv>
  <rv s="0">
    <fb>11466529</fb>
    <v>2</v>
  </rv>
  <rv s="0">
    <fb>46057</fb>
    <v>0</v>
  </rv>
  <rv s="0">
    <fb>289.05</fb>
    <v>1</v>
  </rv>
  <rv s="0">
    <fb>8708033</fb>
    <v>2</v>
  </rv>
  <rv s="0">
    <fb>46058</fb>
    <v>0</v>
  </rv>
  <rv s="0">
    <fb>289.89</fb>
    <v>1</v>
  </rv>
  <rv s="0">
    <fb>5532797</fb>
    <v>2</v>
  </rv>
  <rv s="0">
    <fb>46059</fb>
    <v>0</v>
  </rv>
  <rv s="0">
    <fb>298.93</fb>
    <v>1</v>
  </rv>
  <rv s="0">
    <fb>3744313</fb>
    <v>2</v>
  </rv>
  <rv s="0">
    <fb>46062</fb>
    <v>0</v>
  </rv>
  <rv s="0">
    <fb>296.33999999999997</fb>
    <v>1</v>
  </rv>
  <rv s="0">
    <fb>4627815</fb>
    <v>2</v>
  </rv>
  <rv s="0">
    <fb>46063</fb>
    <v>0</v>
  </rv>
  <rv s="0">
    <fb>291.76</fb>
    <v>1</v>
  </rv>
  <rv s="0">
    <fb>3837343</fb>
    <v>2</v>
  </rv>
  <rv s="0">
    <fb>46064</fb>
    <v>0</v>
  </rv>
  <rv s="0">
    <fb>272.81</fb>
    <v>1</v>
  </rv>
  <rv s="0">
    <fb>7628244</fb>
    <v>2</v>
  </rv>
  <rv s="0">
    <fb>46065</fb>
    <v>0</v>
  </rv>
  <rv s="0">
    <fb>259.52</fb>
    <v>1</v>
  </rv>
  <rv s="0">
    <fb>12565380</fb>
    <v>2</v>
  </rv>
  <rv s="0">
    <fb>46066</fb>
    <v>0</v>
  </rv>
  <rv s="0">
    <fb>262.38</fb>
    <v>1</v>
  </rv>
  <rv s="0">
    <fb>6842620</fb>
    <v>2</v>
  </rv>
  <rv s="0">
    <fb>46070</fb>
    <v>0</v>
  </rv>
  <rv s="0">
    <fb>258.31</fb>
    <v>1</v>
  </rv>
  <rv s="0">
    <fb>4929733</fb>
    <v>2</v>
  </rv>
  <rv s="0">
    <fb>46071</fb>
    <v>0</v>
  </rv>
  <rv s="0">
    <fb>260.79000000000002</fb>
    <v>1</v>
  </rv>
  <rv s="0">
    <fb>3949229</fb>
    <v>2</v>
  </rv>
  <rv s="0">
    <fb>46072</fb>
    <v>0</v>
  </rv>
  <rv s="0">
    <fb>256.27999999999997</fb>
    <v>1</v>
  </rv>
  <rv s="0">
    <fb>4948700</fb>
    <v>2</v>
  </rv>
  <rv s="0">
    <fb>46073</fb>
    <v>0</v>
  </rv>
  <rv s="0">
    <fb>257.16000000000003</fb>
    <v>1</v>
  </rv>
  <rv s="0">
    <fb>4708550</fb>
    <v>2</v>
  </rv>
  <rv s="0">
    <fb>46076</fb>
    <v>0</v>
  </rv>
  <rv s="0">
    <fb>223.35</fb>
    <v>1</v>
  </rv>
  <rv s="0">
    <fb>19522881</fb>
    <v>2</v>
  </rv>
  <rv s="1">
    <v>3</v>
    <v>IBM</v>
    <v>Daily</v>
    <v>45712</v>
    <v>46077</v>
    <v>0</v>
    <v>1</v>
    <v>639074016000000000,639075708983196212,0</v>
    <v>0</v>
    <v>a1v6nm</v>
    <v>XNYS:IBM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3E4074-4EE6-4489-8900-0D39478EFAF3}" name="Weekly" displayName="Weekly" ref="A1:B54" tableType="queryTable" totalsRowShown="0">
  <autoFilter ref="A1:B54" xr:uid="{9D3E4074-4EE6-4489-8900-0D39478EFAF3}"/>
  <tableColumns count="2">
    <tableColumn id="1" xr3:uid="{8177C18C-AF6C-4770-935B-F9595C371E00}" uniqueName="1" name="Week" queryTableFieldId="1" dataDxfId="0"/>
    <tableColumn id="2" xr3:uid="{4F97CBE3-A167-45EF-A8CF-887C2E746BFB}" uniqueName="2" name="Averag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O8"/>
  <sheetViews>
    <sheetView tabSelected="1" topLeftCell="A79" workbookViewId="0">
      <selection activeCell="O84" sqref="O84"/>
    </sheetView>
  </sheetViews>
  <sheetFormatPr defaultRowHeight="15" x14ac:dyDescent="0.25"/>
  <cols>
    <col min="1" max="16384" width="9.140625" style="21"/>
  </cols>
  <sheetData>
    <row r="8" spans="15:15" x14ac:dyDescent="0.25">
      <c r="O8" s="21" t="s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252"/>
  <sheetViews>
    <sheetView topLeftCell="G1" zoomScale="70" zoomScaleNormal="70" workbookViewId="0">
      <selection activeCell="AE5" sqref="AE5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252" ca="1">_xlfn.STOCKHISTORY("IBM",TODAY()-365,TODAY(),0,1,0,1,5)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45712</v>
      </c>
      <c r="B2" vm="1">
        <f ca="1"/>
        <v>45712</v>
      </c>
      <c r="C2" vm="2">
        <f ca="1"/>
        <v>261.87</v>
      </c>
      <c r="D2" vm="3">
        <f ca="1"/>
        <v>4398107</v>
      </c>
      <c r="E2">
        <f ca="1">C2*D2</f>
        <v>1151732280.0899999</v>
      </c>
      <c r="F2">
        <f ca="1">SUM($E$2:E2)/SUM($D$2:D2)</f>
        <v>261.87</v>
      </c>
      <c r="G2">
        <f ca="1">_xlfn.STDEV.P($C$2:C2)</f>
        <v>0</v>
      </c>
      <c r="H2">
        <f ca="1">F2 + G2</f>
        <v>261.87</v>
      </c>
      <c r="I2">
        <f ca="1">F2 - G2</f>
        <v>261.87</v>
      </c>
      <c r="AC2" t="s">
        <v>39</v>
      </c>
      <c r="AD2">
        <f ca="1">MIN(C:C)</f>
        <v>221.03</v>
      </c>
      <c r="AE2" s="18">
        <f ca="1">MIN(D:D)</f>
        <v>1210642</v>
      </c>
    </row>
    <row r="3" spans="1:31" x14ac:dyDescent="0.25">
      <c r="A3" s="20">
        <f t="shared" ref="A3:A66" ca="1" si="0">B3 - WEEKDAY(B3, 2) + 1</f>
        <v>45712</v>
      </c>
      <c r="B3" vm="4">
        <f ca="1"/>
        <v>45713</v>
      </c>
      <c r="C3" vm="5">
        <f ca="1"/>
        <v>257.75</v>
      </c>
      <c r="D3" vm="6">
        <f ca="1"/>
        <v>6292487</v>
      </c>
      <c r="E3">
        <f t="shared" ref="E3:E66" ca="1" si="1">C3*D3</f>
        <v>1621888524.25</v>
      </c>
      <c r="F3">
        <f ca="1">SUM($E$2:E3)/SUM($D$2:D3)</f>
        <v>259.44496670063421</v>
      </c>
      <c r="G3">
        <f ca="1">_xlfn.STDEV.P($C$2:C3)</f>
        <v>2.0600000000000023</v>
      </c>
      <c r="H3">
        <f t="shared" ref="H3:H66" ca="1" si="2">F3 + G3</f>
        <v>261.50496670063421</v>
      </c>
      <c r="I3">
        <f t="shared" ref="I3:I66" ca="1" si="3">F3 - G3</f>
        <v>257.38496670063421</v>
      </c>
      <c r="N3">
        <f ca="1">C3-C2</f>
        <v>-4.1200000000000045</v>
      </c>
      <c r="O3">
        <f ca="1">MAX(N3,0)</f>
        <v>0</v>
      </c>
      <c r="P3">
        <f ca="1">MAX(-N3,0)</f>
        <v>4.1200000000000045</v>
      </c>
      <c r="AC3" t="s">
        <v>40</v>
      </c>
      <c r="AD3">
        <f ca="1">MAX(C:C)</f>
        <v>314.98</v>
      </c>
      <c r="AE3" s="18">
        <f ca="1">MAX(D:D)</f>
        <v>22647720</v>
      </c>
    </row>
    <row r="4" spans="1:31" x14ac:dyDescent="0.25">
      <c r="A4" s="20">
        <f t="shared" ca="1" si="0"/>
        <v>45712</v>
      </c>
      <c r="B4" vm="7">
        <f ca="1"/>
        <v>45714</v>
      </c>
      <c r="C4" vm="8">
        <f ca="1"/>
        <v>255.84</v>
      </c>
      <c r="D4" vm="9">
        <f ca="1"/>
        <v>3460124</v>
      </c>
      <c r="E4">
        <f t="shared" ca="1" si="1"/>
        <v>885238124.15999997</v>
      </c>
      <c r="F4">
        <f ca="1">SUM($E$2:E4)/SUM($D$2:D4)</f>
        <v>258.56348267981878</v>
      </c>
      <c r="G4">
        <f ca="1">_xlfn.STDEV.P($C$2:C4)</f>
        <v>2.5162449977871577</v>
      </c>
      <c r="H4">
        <f t="shared" ca="1" si="2"/>
        <v>261.07972767760594</v>
      </c>
      <c r="I4">
        <f t="shared" ca="1" si="3"/>
        <v>256.04723768203161</v>
      </c>
      <c r="N4">
        <f t="shared" ref="N4:N67" ca="1" si="4">C4-C3</f>
        <v>-1.9099999999999966</v>
      </c>
      <c r="O4">
        <f t="shared" ref="O4:O67" ca="1" si="5">MAX(N4,0)</f>
        <v>0</v>
      </c>
      <c r="P4">
        <f t="shared" ref="P4:P67" ca="1" si="6">MAX(-N4,0)</f>
        <v>1.9099999999999966</v>
      </c>
      <c r="AC4" t="s">
        <v>41</v>
      </c>
      <c r="AD4">
        <f ca="1">MEDIAN(C:C)</f>
        <v>272.81</v>
      </c>
      <c r="AE4" s="18">
        <f ca="1">MEDIAN(D:D)</f>
        <v>4135948</v>
      </c>
    </row>
    <row r="5" spans="1:31" x14ac:dyDescent="0.25">
      <c r="A5" s="20">
        <f t="shared" ca="1" si="0"/>
        <v>45712</v>
      </c>
      <c r="B5" vm="10">
        <f ca="1"/>
        <v>45715</v>
      </c>
      <c r="C5" vm="11">
        <f ca="1"/>
        <v>253.23</v>
      </c>
      <c r="D5" vm="12">
        <f ca="1"/>
        <v>3402234</v>
      </c>
      <c r="E5">
        <f t="shared" ca="1" si="1"/>
        <v>861547715.81999993</v>
      </c>
      <c r="F5">
        <f ca="1">SUM($E$2:E5)/SUM($D$2:D5)</f>
        <v>257.52971034843597</v>
      </c>
      <c r="G5">
        <f ca="1">_xlfn.STDEV.P($C$2:C5)</f>
        <v>3.1511456250068841</v>
      </c>
      <c r="H5">
        <f t="shared" ca="1" si="2"/>
        <v>260.68085597344287</v>
      </c>
      <c r="I5">
        <f t="shared" ca="1" si="3"/>
        <v>254.37856472342909</v>
      </c>
      <c r="N5">
        <f t="shared" ca="1" si="4"/>
        <v>-2.6100000000000136</v>
      </c>
      <c r="O5">
        <f t="shared" ca="1" si="5"/>
        <v>0</v>
      </c>
      <c r="P5">
        <f t="shared" ca="1" si="6"/>
        <v>2.6100000000000136</v>
      </c>
      <c r="AC5" t="s">
        <v>42</v>
      </c>
      <c r="AD5">
        <f ca="1">AVERAGE(C:C)</f>
        <v>273.06063745019924</v>
      </c>
      <c r="AE5" s="18">
        <f ca="1">AVERAGE(D:D)</f>
        <v>4898979.5856573703</v>
      </c>
    </row>
    <row r="6" spans="1:31" x14ac:dyDescent="0.25">
      <c r="A6" s="20">
        <f t="shared" ca="1" si="0"/>
        <v>45712</v>
      </c>
      <c r="B6" vm="13">
        <f ca="1"/>
        <v>45716</v>
      </c>
      <c r="C6" vm="14">
        <f ca="1"/>
        <v>252.44</v>
      </c>
      <c r="D6" vm="15">
        <f ca="1"/>
        <v>7988809</v>
      </c>
      <c r="E6">
        <f t="shared" ca="1" si="1"/>
        <v>2016694943.96</v>
      </c>
      <c r="F6">
        <f ca="1">SUM($E$2:E6)/SUM($D$2:D6)</f>
        <v>255.93777924239444</v>
      </c>
      <c r="G6">
        <f ca="1">_xlfn.STDEV.P($C$2:C6)</f>
        <v>3.3951765786185595</v>
      </c>
      <c r="H6">
        <f t="shared" ca="1" si="2"/>
        <v>259.332955821013</v>
      </c>
      <c r="I6">
        <f t="shared" ca="1" si="3"/>
        <v>252.54260266377588</v>
      </c>
      <c r="N6">
        <f t="shared" ca="1" si="4"/>
        <v>-0.78999999999999204</v>
      </c>
      <c r="O6">
        <f t="shared" ca="1" si="5"/>
        <v>0</v>
      </c>
      <c r="P6">
        <f t="shared" ca="1" si="6"/>
        <v>0.78999999999999204</v>
      </c>
    </row>
    <row r="7" spans="1:31" x14ac:dyDescent="0.25">
      <c r="A7" s="20">
        <f t="shared" ca="1" si="0"/>
        <v>45719</v>
      </c>
      <c r="B7" vm="16">
        <f ca="1"/>
        <v>45719</v>
      </c>
      <c r="C7" vm="17">
        <f ca="1"/>
        <v>250.19</v>
      </c>
      <c r="D7" vm="18">
        <f ca="1"/>
        <v>2977699</v>
      </c>
      <c r="E7">
        <f t="shared" ca="1" si="1"/>
        <v>744990512.80999994</v>
      </c>
      <c r="F7">
        <f ca="1">SUM($E$2:E7)/SUM($D$2:D7)</f>
        <v>255.33765720283625</v>
      </c>
      <c r="G7">
        <f ca="1">_xlfn.STDEV.P($C$2:C7)</f>
        <v>3.829647503361115</v>
      </c>
      <c r="H7">
        <f t="shared" ca="1" si="2"/>
        <v>259.16730470619734</v>
      </c>
      <c r="I7">
        <f t="shared" ca="1" si="3"/>
        <v>251.50800969947514</v>
      </c>
      <c r="N7">
        <f t="shared" ca="1" si="4"/>
        <v>-2.25</v>
      </c>
      <c r="O7">
        <f t="shared" ca="1" si="5"/>
        <v>0</v>
      </c>
      <c r="P7">
        <f t="shared" ca="1" si="6"/>
        <v>2.25</v>
      </c>
    </row>
    <row r="8" spans="1:31" x14ac:dyDescent="0.25">
      <c r="A8" s="20">
        <f t="shared" ca="1" si="0"/>
        <v>45719</v>
      </c>
      <c r="B8" vm="19">
        <f ca="1"/>
        <v>45720</v>
      </c>
      <c r="C8" vm="20">
        <f ca="1"/>
        <v>253.21</v>
      </c>
      <c r="D8" vm="21">
        <f ca="1"/>
        <v>5342106</v>
      </c>
      <c r="E8">
        <f t="shared" ca="1" si="1"/>
        <v>1352674660.26</v>
      </c>
      <c r="F8">
        <f ca="1">SUM($E$2:E8)/SUM($D$2:D8)</f>
        <v>255.00199138309199</v>
      </c>
      <c r="G8">
        <f ca="1">_xlfn.STDEV.P($C$2:C8)</f>
        <v>3.6146555429082823</v>
      </c>
      <c r="H8">
        <f t="shared" ca="1" si="2"/>
        <v>258.61664692600027</v>
      </c>
      <c r="I8">
        <f t="shared" ca="1" si="3"/>
        <v>251.38733584018371</v>
      </c>
      <c r="N8">
        <f t="shared" ca="1" si="4"/>
        <v>3.0200000000000102</v>
      </c>
      <c r="O8">
        <f t="shared" ca="1" si="5"/>
        <v>3.0200000000000102</v>
      </c>
      <c r="P8">
        <f t="shared" ca="1" si="6"/>
        <v>0</v>
      </c>
    </row>
    <row r="9" spans="1:31" x14ac:dyDescent="0.25">
      <c r="A9" s="20">
        <f t="shared" ca="1" si="0"/>
        <v>45719</v>
      </c>
      <c r="B9" vm="22">
        <f ca="1"/>
        <v>45721</v>
      </c>
      <c r="C9" vm="23">
        <f ca="1"/>
        <v>251.35</v>
      </c>
      <c r="D9" vm="24">
        <f ca="1"/>
        <v>4009813</v>
      </c>
      <c r="E9">
        <f t="shared" ca="1" si="1"/>
        <v>1007866497.55</v>
      </c>
      <c r="F9">
        <f ca="1">SUM($E$2:E9)/SUM($D$2:D9)</f>
        <v>254.61531936558211</v>
      </c>
      <c r="G9">
        <f ca="1">_xlfn.STDEV.P($C$2:C9)</f>
        <v>3.5828131405363606</v>
      </c>
      <c r="H9">
        <f t="shared" ca="1" si="2"/>
        <v>258.1981325061185</v>
      </c>
      <c r="I9">
        <f t="shared" ca="1" si="3"/>
        <v>251.03250622504575</v>
      </c>
      <c r="N9">
        <f t="shared" ca="1" si="4"/>
        <v>-1.8600000000000136</v>
      </c>
      <c r="O9">
        <f t="shared" ca="1" si="5"/>
        <v>0</v>
      </c>
      <c r="P9">
        <f t="shared" ca="1" si="6"/>
        <v>1.8600000000000136</v>
      </c>
    </row>
    <row r="10" spans="1:31" x14ac:dyDescent="0.25">
      <c r="A10" s="20">
        <f t="shared" ca="1" si="0"/>
        <v>45719</v>
      </c>
      <c r="B10" vm="25">
        <f ca="1"/>
        <v>45722</v>
      </c>
      <c r="C10" vm="26">
        <f ca="1"/>
        <v>248.69</v>
      </c>
      <c r="D10" vm="27">
        <f ca="1"/>
        <v>3254358</v>
      </c>
      <c r="E10">
        <f t="shared" ca="1" si="1"/>
        <v>809326291.01999998</v>
      </c>
      <c r="F10">
        <f ca="1">SUM($E$2:E10)/SUM($D$2:D10)</f>
        <v>254.14643754396425</v>
      </c>
      <c r="G10">
        <f ca="1">_xlfn.STDEV.P($C$2:C10)</f>
        <v>3.8375786476036202</v>
      </c>
      <c r="H10">
        <f t="shared" ca="1" si="2"/>
        <v>257.98401619156789</v>
      </c>
      <c r="I10">
        <f t="shared" ca="1" si="3"/>
        <v>250.30885889636065</v>
      </c>
      <c r="N10">
        <f t="shared" ca="1" si="4"/>
        <v>-2.6599999999999966</v>
      </c>
      <c r="O10">
        <f t="shared" ca="1" si="5"/>
        <v>0</v>
      </c>
      <c r="P10">
        <f t="shared" ca="1" si="6"/>
        <v>2.6599999999999966</v>
      </c>
    </row>
    <row r="11" spans="1:31" x14ac:dyDescent="0.25">
      <c r="A11" s="20">
        <f t="shared" ca="1" si="0"/>
        <v>45719</v>
      </c>
      <c r="B11" vm="28">
        <f ca="1"/>
        <v>45723</v>
      </c>
      <c r="C11" vm="29">
        <f ca="1"/>
        <v>261.54000000000002</v>
      </c>
      <c r="D11" vm="30">
        <f ca="1"/>
        <v>6700184</v>
      </c>
      <c r="E11">
        <f t="shared" ca="1" si="1"/>
        <v>1752366123.3600001</v>
      </c>
      <c r="F11">
        <f ca="1">SUM($E$2:E11)/SUM($D$2:D11)</f>
        <v>255.18224046913807</v>
      </c>
      <c r="G11">
        <f ca="1">_xlfn.STDEV.P($C$2:C11)</f>
        <v>4.3114810680321956</v>
      </c>
      <c r="H11">
        <f t="shared" ca="1" si="2"/>
        <v>259.49372153717025</v>
      </c>
      <c r="I11">
        <f t="shared" ca="1" si="3"/>
        <v>250.87075940110586</v>
      </c>
      <c r="N11">
        <f t="shared" ca="1" si="4"/>
        <v>12.850000000000023</v>
      </c>
      <c r="O11">
        <f t="shared" ca="1" si="5"/>
        <v>12.850000000000023</v>
      </c>
      <c r="P11">
        <f t="shared" ca="1" si="6"/>
        <v>0</v>
      </c>
    </row>
    <row r="12" spans="1:31" x14ac:dyDescent="0.25">
      <c r="A12" s="20">
        <f t="shared" ca="1" si="0"/>
        <v>45726</v>
      </c>
      <c r="B12" vm="31">
        <f ca="1"/>
        <v>45726</v>
      </c>
      <c r="C12" vm="32">
        <f ca="1"/>
        <v>256.89999999999998</v>
      </c>
      <c r="D12" vm="33">
        <f ca="1"/>
        <v>8165503</v>
      </c>
      <c r="E12">
        <f t="shared" ca="1" si="1"/>
        <v>2097717720.6999998</v>
      </c>
      <c r="F12">
        <f ca="1">SUM($E$2:E12)/SUM($D$2:D12)</f>
        <v>255.43274973645964</v>
      </c>
      <c r="G12">
        <f ca="1">_xlfn.STDEV.P($C$2:C12)</f>
        <v>4.1631706766171215</v>
      </c>
      <c r="H12">
        <f t="shared" ca="1" si="2"/>
        <v>259.59592041307678</v>
      </c>
      <c r="I12">
        <f t="shared" ca="1" si="3"/>
        <v>251.26957905984253</v>
      </c>
      <c r="N12">
        <f t="shared" ca="1" si="4"/>
        <v>-4.6400000000000432</v>
      </c>
      <c r="O12">
        <f t="shared" ca="1" si="5"/>
        <v>0</v>
      </c>
      <c r="P12">
        <f t="shared" ca="1" si="6"/>
        <v>4.6400000000000432</v>
      </c>
    </row>
    <row r="13" spans="1:31" x14ac:dyDescent="0.25">
      <c r="A13" s="20">
        <f t="shared" ca="1" si="0"/>
        <v>45726</v>
      </c>
      <c r="B13" vm="34">
        <f ca="1"/>
        <v>45727</v>
      </c>
      <c r="C13" vm="35">
        <f ca="1"/>
        <v>248.95</v>
      </c>
      <c r="D13" vm="36">
        <f ca="1"/>
        <v>5630570</v>
      </c>
      <c r="E13">
        <f t="shared" ca="1" si="1"/>
        <v>1401730401.5</v>
      </c>
      <c r="F13">
        <f ca="1">SUM($E$2:E13)/SUM($D$2:D13)</f>
        <v>254.84040317617763</v>
      </c>
      <c r="G13">
        <f ca="1">_xlfn.STDEV.P($C$2:C13)</f>
        <v>4.3033668989137679</v>
      </c>
      <c r="H13">
        <f t="shared" ca="1" si="2"/>
        <v>259.14377007509142</v>
      </c>
      <c r="I13">
        <f t="shared" ca="1" si="3"/>
        <v>250.53703627726387</v>
      </c>
      <c r="N13">
        <f t="shared" ca="1" si="4"/>
        <v>-7.9499999999999886</v>
      </c>
      <c r="O13">
        <f t="shared" ca="1" si="5"/>
        <v>0</v>
      </c>
      <c r="P13">
        <f t="shared" ca="1" si="6"/>
        <v>7.9499999999999886</v>
      </c>
      <c r="W13" s="9">
        <f ca="1">AVERAGE(C2:C13)</f>
        <v>254.33</v>
      </c>
    </row>
    <row r="14" spans="1:31" x14ac:dyDescent="0.25">
      <c r="A14" s="20">
        <f t="shared" ca="1" si="0"/>
        <v>45726</v>
      </c>
      <c r="B14" vm="37">
        <f ca="1"/>
        <v>45728</v>
      </c>
      <c r="C14" vm="38">
        <f ca="1"/>
        <v>249.63</v>
      </c>
      <c r="D14" vm="39">
        <f ca="1"/>
        <v>3849206</v>
      </c>
      <c r="E14">
        <f t="shared" ca="1" si="1"/>
        <v>960877293.77999997</v>
      </c>
      <c r="F14">
        <f ca="1">SUM($E$2:E14)/SUM($D$2:D14)</f>
        <v>254.53407130555115</v>
      </c>
      <c r="G14">
        <f ca="1">_xlfn.STDEV.P($C$2:C14)</f>
        <v>4.3200638281499941</v>
      </c>
      <c r="H14">
        <f t="shared" ca="1" si="2"/>
        <v>258.85413513370116</v>
      </c>
      <c r="I14">
        <f t="shared" ca="1" si="3"/>
        <v>250.21400747740117</v>
      </c>
      <c r="N14">
        <f t="shared" ca="1" si="4"/>
        <v>0.68000000000000682</v>
      </c>
      <c r="O14">
        <f t="shared" ca="1" si="5"/>
        <v>0.68000000000000682</v>
      </c>
      <c r="P14">
        <f t="shared" ca="1" si="6"/>
        <v>0</v>
      </c>
      <c r="W14">
        <f ca="1">C14*(2/(12+1)) + W13*(1-(2/(12+1)))</f>
        <v>253.60692307692307</v>
      </c>
    </row>
    <row r="15" spans="1:31" x14ac:dyDescent="0.25">
      <c r="A15" s="20">
        <f t="shared" ca="1" si="0"/>
        <v>45726</v>
      </c>
      <c r="B15" vm="40">
        <f ca="1"/>
        <v>45729</v>
      </c>
      <c r="C15" vm="41">
        <f ca="1"/>
        <v>245.8</v>
      </c>
      <c r="D15" vm="42">
        <f ca="1"/>
        <v>3862416</v>
      </c>
      <c r="E15">
        <f t="shared" ca="1" si="1"/>
        <v>949381852.80000007</v>
      </c>
      <c r="F15">
        <f ca="1">SUM($E$2:E15)/SUM($D$2:D15)</f>
        <v>254.04751631676041</v>
      </c>
      <c r="G15">
        <f ca="1">_xlfn.STDEV.P($C$2:C15)</f>
        <v>4.6642726427294434</v>
      </c>
      <c r="H15">
        <f t="shared" ca="1" si="2"/>
        <v>258.71178895948987</v>
      </c>
      <c r="I15">
        <f t="shared" ca="1" si="3"/>
        <v>249.38324367403095</v>
      </c>
      <c r="N15">
        <f t="shared" ca="1" si="4"/>
        <v>-3.8299999999999841</v>
      </c>
      <c r="O15">
        <f t="shared" ca="1" si="5"/>
        <v>0</v>
      </c>
      <c r="P15">
        <f t="shared" ca="1" si="6"/>
        <v>3.8299999999999841</v>
      </c>
      <c r="Q15" s="2">
        <f ca="1">AVERAGE(O3:O16)</f>
        <v>1.3642857142857159</v>
      </c>
      <c r="R15" s="2">
        <f ca="1">AVERAGE(P3:P16)</f>
        <v>2.3300000000000023</v>
      </c>
      <c r="S15">
        <f ca="1">IF(R15=0,NA(),Q15/R15)</f>
        <v>0.58553034947884741</v>
      </c>
      <c r="T15">
        <f ca="1">100-(100/(1+S15))</f>
        <v>36.92962103634958</v>
      </c>
      <c r="U15">
        <f>70</f>
        <v>70</v>
      </c>
      <c r="V15">
        <f>30</f>
        <v>30</v>
      </c>
      <c r="W15">
        <f t="shared" ref="W15:W78" ca="1" si="7">C15*(2/(12+1)) + W14*(1-(2/(12+1)))</f>
        <v>252.40585798816568</v>
      </c>
    </row>
    <row r="16" spans="1:31" x14ac:dyDescent="0.25">
      <c r="A16" s="20">
        <f t="shared" ca="1" si="0"/>
        <v>45726</v>
      </c>
      <c r="B16" vm="43">
        <f ca="1"/>
        <v>45730</v>
      </c>
      <c r="C16" vm="44">
        <f ca="1"/>
        <v>248.35</v>
      </c>
      <c r="D16" vm="45">
        <f ca="1"/>
        <v>4045284</v>
      </c>
      <c r="E16">
        <f t="shared" ca="1" si="1"/>
        <v>1004646281.4</v>
      </c>
      <c r="F16">
        <f ca="1">SUM($E$2:E16)/SUM($D$2:D16)</f>
        <v>253.73341959963972</v>
      </c>
      <c r="G16">
        <f ca="1">_xlfn.STDEV.P($C$2:C16)</f>
        <v>4.6778719758264273</v>
      </c>
      <c r="H16">
        <f t="shared" ca="1" si="2"/>
        <v>258.41129157546612</v>
      </c>
      <c r="I16">
        <f t="shared" ca="1" si="3"/>
        <v>249.05554762381328</v>
      </c>
      <c r="N16">
        <f t="shared" ca="1" si="4"/>
        <v>2.5499999999999829</v>
      </c>
      <c r="O16">
        <f t="shared" ca="1" si="5"/>
        <v>2.5499999999999829</v>
      </c>
      <c r="P16">
        <f t="shared" ca="1" si="6"/>
        <v>0</v>
      </c>
      <c r="Q16">
        <f ca="1">(Q15*13+O16)/14</f>
        <v>1.448979591836735</v>
      </c>
      <c r="R16">
        <f ca="1">(R15*13+P16)/14</f>
        <v>2.1635714285714309</v>
      </c>
      <c r="S16">
        <f t="shared" ref="S16:S79" ca="1" si="8">IF(R16=0,NA(),Q16/R16)</f>
        <v>0.66971654954487514</v>
      </c>
      <c r="T16">
        <f t="shared" ref="T16:T79" ca="1" si="9">100-(100/(1+S16))</f>
        <v>40.109595232042459</v>
      </c>
      <c r="U16">
        <f>70</f>
        <v>70</v>
      </c>
      <c r="V16">
        <f>30</f>
        <v>30</v>
      </c>
      <c r="W16">
        <f t="shared" ca="1" si="7"/>
        <v>251.78187983614021</v>
      </c>
    </row>
    <row r="17" spans="1:25" x14ac:dyDescent="0.25">
      <c r="A17" s="20">
        <f t="shared" ca="1" si="0"/>
        <v>45733</v>
      </c>
      <c r="B17" vm="46">
        <f ca="1"/>
        <v>45733</v>
      </c>
      <c r="C17" vm="47">
        <f ca="1"/>
        <v>252.97</v>
      </c>
      <c r="D17" vm="48">
        <f ca="1"/>
        <v>3234149</v>
      </c>
      <c r="E17">
        <f t="shared" ca="1" si="1"/>
        <v>818142672.52999997</v>
      </c>
      <c r="F17">
        <f ca="1">SUM($E$2:E17)/SUM($D$2:D17)</f>
        <v>253.70119254736881</v>
      </c>
      <c r="G17">
        <f ca="1">_xlfn.STDEV.P($C$2:C17)</f>
        <v>4.5293707741114577</v>
      </c>
      <c r="H17">
        <f t="shared" ca="1" si="2"/>
        <v>258.23056332148025</v>
      </c>
      <c r="I17">
        <f t="shared" ca="1" si="3"/>
        <v>249.17182177325734</v>
      </c>
      <c r="N17">
        <f t="shared" ca="1" si="4"/>
        <v>4.6200000000000045</v>
      </c>
      <c r="O17">
        <f t="shared" ca="1" si="5"/>
        <v>4.6200000000000045</v>
      </c>
      <c r="P17">
        <f t="shared" ca="1" si="6"/>
        <v>0</v>
      </c>
      <c r="Q17">
        <f t="shared" ref="Q17:Q80" ca="1" si="10">(Q16*13+O17)/14</f>
        <v>1.6754810495626828</v>
      </c>
      <c r="R17">
        <f t="shared" ref="R17:R80" ca="1" si="11">(R16*13+P17)/14</f>
        <v>2.0090306122449002</v>
      </c>
      <c r="S17">
        <f t="shared" ca="1" si="8"/>
        <v>0.83397487293162376</v>
      </c>
      <c r="T17">
        <f t="shared" ca="1" si="9"/>
        <v>45.473625906254007</v>
      </c>
      <c r="U17">
        <f>70</f>
        <v>70</v>
      </c>
      <c r="V17">
        <f>30</f>
        <v>30</v>
      </c>
      <c r="W17">
        <f t="shared" ca="1" si="7"/>
        <v>251.96466755365711</v>
      </c>
    </row>
    <row r="18" spans="1:25" x14ac:dyDescent="0.25">
      <c r="A18" s="20">
        <f t="shared" ca="1" si="0"/>
        <v>45733</v>
      </c>
      <c r="B18" vm="49">
        <f ca="1"/>
        <v>45734</v>
      </c>
      <c r="C18" vm="50">
        <f ca="1"/>
        <v>246.95</v>
      </c>
      <c r="D18" vm="51">
        <f ca="1"/>
        <v>4172239</v>
      </c>
      <c r="E18">
        <f t="shared" ca="1" si="1"/>
        <v>1030334421.05</v>
      </c>
      <c r="F18">
        <f ca="1">SUM($E$2:E18)/SUM($D$2:D18)</f>
        <v>253.35252028859514</v>
      </c>
      <c r="G18">
        <f ca="1">_xlfn.STDEV.P($C$2:C18)</f>
        <v>4.6221958861225918</v>
      </c>
      <c r="H18">
        <f t="shared" ca="1" si="2"/>
        <v>257.97471617471774</v>
      </c>
      <c r="I18">
        <f t="shared" ca="1" si="3"/>
        <v>248.73032440247255</v>
      </c>
      <c r="N18">
        <f t="shared" ca="1" si="4"/>
        <v>-6.0200000000000102</v>
      </c>
      <c r="O18">
        <f t="shared" ca="1" si="5"/>
        <v>0</v>
      </c>
      <c r="P18">
        <f t="shared" ca="1" si="6"/>
        <v>6.0200000000000102</v>
      </c>
      <c r="Q18">
        <f t="shared" ca="1" si="10"/>
        <v>1.5558038317367768</v>
      </c>
      <c r="R18">
        <f t="shared" ca="1" si="11"/>
        <v>2.2955284256559798</v>
      </c>
      <c r="S18">
        <f t="shared" ca="1" si="8"/>
        <v>0.67775411288674581</v>
      </c>
      <c r="T18">
        <f t="shared" ca="1" si="9"/>
        <v>40.396510291999896</v>
      </c>
      <c r="U18">
        <f>70</f>
        <v>70</v>
      </c>
      <c r="V18">
        <f>30</f>
        <v>30</v>
      </c>
      <c r="W18">
        <f t="shared" ca="1" si="7"/>
        <v>251.19318023770987</v>
      </c>
    </row>
    <row r="19" spans="1:25" x14ac:dyDescent="0.25">
      <c r="A19" s="20">
        <f t="shared" ca="1" si="0"/>
        <v>45733</v>
      </c>
      <c r="B19" vm="52">
        <f ca="1"/>
        <v>45735</v>
      </c>
      <c r="C19" vm="53">
        <f ca="1"/>
        <v>252.29</v>
      </c>
      <c r="D19" vm="54">
        <f ca="1"/>
        <v>3853598</v>
      </c>
      <c r="E19">
        <f t="shared" ca="1" si="1"/>
        <v>972224239.41999996</v>
      </c>
      <c r="F19">
        <f ca="1">SUM($E$2:E19)/SUM($D$2:D19)</f>
        <v>253.30414387141153</v>
      </c>
      <c r="G19">
        <f ca="1">_xlfn.STDEV.P($C$2:C19)</f>
        <v>4.4928821965525412</v>
      </c>
      <c r="H19">
        <f t="shared" ca="1" si="2"/>
        <v>257.79702606796405</v>
      </c>
      <c r="I19">
        <f t="shared" ca="1" si="3"/>
        <v>248.811261674859</v>
      </c>
      <c r="N19">
        <f t="shared" ca="1" si="4"/>
        <v>5.3400000000000034</v>
      </c>
      <c r="O19">
        <f t="shared" ca="1" si="5"/>
        <v>5.3400000000000034</v>
      </c>
      <c r="P19">
        <f t="shared" ca="1" si="6"/>
        <v>0</v>
      </c>
      <c r="Q19">
        <f t="shared" ca="1" si="10"/>
        <v>1.826103558041293</v>
      </c>
      <c r="R19">
        <f t="shared" ca="1" si="11"/>
        <v>2.1315621095376955</v>
      </c>
      <c r="S19">
        <f t="shared" ca="1" si="8"/>
        <v>0.85669732534199905</v>
      </c>
      <c r="T19">
        <f t="shared" ca="1" si="9"/>
        <v>46.140925268161176</v>
      </c>
      <c r="U19">
        <f>70</f>
        <v>70</v>
      </c>
      <c r="V19">
        <f>30</f>
        <v>30</v>
      </c>
      <c r="W19">
        <f t="shared" ca="1" si="7"/>
        <v>251.36192173960066</v>
      </c>
    </row>
    <row r="20" spans="1:25" x14ac:dyDescent="0.25">
      <c r="A20" s="20">
        <f t="shared" ca="1" si="0"/>
        <v>45733</v>
      </c>
      <c r="B20" vm="55">
        <f ca="1"/>
        <v>45736</v>
      </c>
      <c r="C20" vm="56">
        <f ca="1"/>
        <v>243.32</v>
      </c>
      <c r="D20" vm="57">
        <f ca="1"/>
        <v>7026796</v>
      </c>
      <c r="E20">
        <f t="shared" ca="1" si="1"/>
        <v>1709760002.72</v>
      </c>
      <c r="F20">
        <f ca="1">SUM($E$2:E20)/SUM($D$2:D20)</f>
        <v>252.53879155320089</v>
      </c>
      <c r="G20">
        <f ca="1">_xlfn.STDEV.P($C$2:C20)</f>
        <v>4.8452956880575586</v>
      </c>
      <c r="H20">
        <f t="shared" ca="1" si="2"/>
        <v>257.38408724125844</v>
      </c>
      <c r="I20">
        <f t="shared" ca="1" si="3"/>
        <v>247.69349586514335</v>
      </c>
      <c r="N20">
        <f t="shared" ca="1" si="4"/>
        <v>-8.9699999999999989</v>
      </c>
      <c r="O20">
        <f t="shared" ca="1" si="5"/>
        <v>0</v>
      </c>
      <c r="P20">
        <f t="shared" ca="1" si="6"/>
        <v>8.9699999999999989</v>
      </c>
      <c r="Q20">
        <f t="shared" ca="1" si="10"/>
        <v>1.6956675896097722</v>
      </c>
      <c r="R20">
        <f t="shared" ca="1" si="11"/>
        <v>2.6200219588564315</v>
      </c>
      <c r="S20">
        <f t="shared" ca="1" si="8"/>
        <v>0.64719594577363204</v>
      </c>
      <c r="T20">
        <f t="shared" ca="1" si="9"/>
        <v>39.290768498684358</v>
      </c>
      <c r="U20">
        <f>70</f>
        <v>70</v>
      </c>
      <c r="V20">
        <f>30</f>
        <v>30</v>
      </c>
      <c r="W20">
        <f t="shared" ca="1" si="7"/>
        <v>250.12470301043135</v>
      </c>
    </row>
    <row r="21" spans="1:25" x14ac:dyDescent="0.25">
      <c r="A21" s="20">
        <f t="shared" ca="1" si="0"/>
        <v>45733</v>
      </c>
      <c r="B21" vm="58">
        <f ca="1"/>
        <v>45737</v>
      </c>
      <c r="C21" vm="59">
        <f ca="1"/>
        <v>243.87</v>
      </c>
      <c r="D21" vm="60">
        <f ca="1"/>
        <v>9580084</v>
      </c>
      <c r="E21">
        <f t="shared" ca="1" si="1"/>
        <v>2336295085.0799999</v>
      </c>
      <c r="F21">
        <f ca="1">SUM($E$2:E21)/SUM($D$2:D21)</f>
        <v>251.71853254841295</v>
      </c>
      <c r="G21">
        <f ca="1">_xlfn.STDEV.P($C$2:C21)</f>
        <v>5.0573689800132264</v>
      </c>
      <c r="H21">
        <f t="shared" ca="1" si="2"/>
        <v>256.77590152842617</v>
      </c>
      <c r="I21">
        <f t="shared" ca="1" si="3"/>
        <v>246.66116356839973</v>
      </c>
      <c r="J21">
        <f ca="1">AVERAGE(C2:C21)</f>
        <v>251.75699999999998</v>
      </c>
      <c r="K21">
        <f ca="1">_xlfn.STDEV.S(C2:C21)</f>
        <v>5.1887510920005466</v>
      </c>
      <c r="L21">
        <f ca="1">J21 + 2*K21</f>
        <v>262.13450218400106</v>
      </c>
      <c r="M21">
        <f ca="1">J21-2*K21</f>
        <v>241.37949781599889</v>
      </c>
      <c r="N21">
        <f t="shared" ca="1" si="4"/>
        <v>0.55000000000001137</v>
      </c>
      <c r="O21">
        <f t="shared" ca="1" si="5"/>
        <v>0.55000000000001137</v>
      </c>
      <c r="P21">
        <f t="shared" ca="1" si="6"/>
        <v>0</v>
      </c>
      <c r="Q21">
        <f t="shared" ca="1" si="10"/>
        <v>1.6138341903519322</v>
      </c>
      <c r="R21">
        <f t="shared" ca="1" si="11"/>
        <v>2.4328775332238295</v>
      </c>
      <c r="S21">
        <f t="shared" ca="1" si="8"/>
        <v>0.66334378459791399</v>
      </c>
      <c r="T21">
        <f t="shared" ca="1" si="9"/>
        <v>39.880137271698551</v>
      </c>
      <c r="U21">
        <f>70</f>
        <v>70</v>
      </c>
      <c r="V21">
        <f>30</f>
        <v>30</v>
      </c>
      <c r="W21">
        <f t="shared" ca="1" si="7"/>
        <v>249.16244100882653</v>
      </c>
    </row>
    <row r="22" spans="1:25" x14ac:dyDescent="0.25">
      <c r="A22" s="20">
        <f t="shared" ca="1" si="0"/>
        <v>45740</v>
      </c>
      <c r="B22" vm="61">
        <f ca="1"/>
        <v>45740</v>
      </c>
      <c r="C22" vm="62">
        <f ca="1"/>
        <v>248.45</v>
      </c>
      <c r="D22" vm="63">
        <f ca="1"/>
        <v>4753331</v>
      </c>
      <c r="E22">
        <f t="shared" ca="1" si="1"/>
        <v>1180965086.95</v>
      </c>
      <c r="F22">
        <f ca="1">SUM($E$2:E22)/SUM($D$2:D22)</f>
        <v>251.57196132727435</v>
      </c>
      <c r="G22">
        <f ca="1">_xlfn.STDEV.P($C$2:C22)</f>
        <v>4.9854793686412355</v>
      </c>
      <c r="H22">
        <f t="shared" ca="1" si="2"/>
        <v>256.5574406959156</v>
      </c>
      <c r="I22">
        <f t="shared" ca="1" si="3"/>
        <v>246.58648195863313</v>
      </c>
      <c r="J22">
        <f t="shared" ref="J22:J85" ca="1" si="12">AVERAGE(C3:C22)</f>
        <v>251.08599999999996</v>
      </c>
      <c r="K22">
        <f t="shared" ref="K22:K85" ca="1" si="13">_xlfn.STDEV.S(C3:C22)</f>
        <v>4.6520978855611066</v>
      </c>
      <c r="L22">
        <f t="shared" ref="L22:L85" ca="1" si="14">J22 + 2*K22</f>
        <v>260.39019577112219</v>
      </c>
      <c r="M22">
        <f t="shared" ref="M22:M85" ca="1" si="15">J22-2*K22</f>
        <v>241.78180422887775</v>
      </c>
      <c r="N22">
        <f t="shared" ca="1" si="4"/>
        <v>4.5799999999999841</v>
      </c>
      <c r="O22">
        <f t="shared" ca="1" si="5"/>
        <v>4.5799999999999841</v>
      </c>
      <c r="P22">
        <f t="shared" ca="1" si="6"/>
        <v>0</v>
      </c>
      <c r="Q22">
        <f t="shared" ca="1" si="10"/>
        <v>1.8257031767553644</v>
      </c>
      <c r="R22">
        <f t="shared" ca="1" si="11"/>
        <v>2.2591005665649844</v>
      </c>
      <c r="S22">
        <f t="shared" ca="1" si="8"/>
        <v>0.8081548930472755</v>
      </c>
      <c r="T22">
        <f t="shared" ca="1" si="9"/>
        <v>44.695003517386482</v>
      </c>
      <c r="U22">
        <f>70</f>
        <v>70</v>
      </c>
      <c r="V22">
        <f>30</f>
        <v>30</v>
      </c>
      <c r="W22">
        <f t="shared" ca="1" si="7"/>
        <v>249.0528346997763</v>
      </c>
    </row>
    <row r="23" spans="1:25" x14ac:dyDescent="0.25">
      <c r="A23" s="20">
        <f t="shared" ca="1" si="0"/>
        <v>45740</v>
      </c>
      <c r="B23" vm="64">
        <f ca="1"/>
        <v>45741</v>
      </c>
      <c r="C23" vm="65">
        <f ca="1"/>
        <v>249.9</v>
      </c>
      <c r="D23" vm="66">
        <f ca="1"/>
        <v>3133809</v>
      </c>
      <c r="E23">
        <f t="shared" ca="1" si="1"/>
        <v>783138869.10000002</v>
      </c>
      <c r="F23">
        <f ca="1">SUM($E$2:E23)/SUM($D$2:D23)</f>
        <v>251.52395007524129</v>
      </c>
      <c r="G23">
        <f ca="1">_xlfn.STDEV.P($C$2:C23)</f>
        <v>4.8837028908011861</v>
      </c>
      <c r="H23">
        <f t="shared" ca="1" si="2"/>
        <v>256.40765296604246</v>
      </c>
      <c r="I23">
        <f t="shared" ca="1" si="3"/>
        <v>246.64024718444011</v>
      </c>
      <c r="J23">
        <f t="shared" ca="1" si="12"/>
        <v>250.69349999999994</v>
      </c>
      <c r="K23">
        <f t="shared" ca="1" si="13"/>
        <v>4.3836709862613414</v>
      </c>
      <c r="L23">
        <f t="shared" ca="1" si="14"/>
        <v>259.46084197252264</v>
      </c>
      <c r="M23">
        <f t="shared" ca="1" si="15"/>
        <v>241.92615802747727</v>
      </c>
      <c r="N23">
        <f t="shared" ca="1" si="4"/>
        <v>1.4500000000000171</v>
      </c>
      <c r="O23">
        <f t="shared" ca="1" si="5"/>
        <v>1.4500000000000171</v>
      </c>
      <c r="P23">
        <f t="shared" ca="1" si="6"/>
        <v>0</v>
      </c>
      <c r="Q23">
        <f t="shared" ca="1" si="10"/>
        <v>1.7988672355585538</v>
      </c>
      <c r="R23">
        <f t="shared" ca="1" si="11"/>
        <v>2.0977362403817712</v>
      </c>
      <c r="S23">
        <f t="shared" ca="1" si="8"/>
        <v>0.85752784403017912</v>
      </c>
      <c r="T23">
        <f t="shared" ca="1" si="9"/>
        <v>46.165006182068673</v>
      </c>
      <c r="U23">
        <f>70</f>
        <v>70</v>
      </c>
      <c r="V23">
        <f>30</f>
        <v>30</v>
      </c>
      <c r="W23">
        <f t="shared" ca="1" si="7"/>
        <v>249.18316782288764</v>
      </c>
    </row>
    <row r="24" spans="1:25" x14ac:dyDescent="0.25">
      <c r="A24" s="20">
        <f t="shared" ca="1" si="0"/>
        <v>45740</v>
      </c>
      <c r="B24" vm="67">
        <f ca="1"/>
        <v>45742</v>
      </c>
      <c r="C24" vm="68">
        <f ca="1"/>
        <v>250.34</v>
      </c>
      <c r="D24" vm="69">
        <f ca="1"/>
        <v>4452220</v>
      </c>
      <c r="E24">
        <f t="shared" ca="1" si="1"/>
        <v>1114568754.8</v>
      </c>
      <c r="F24">
        <f ca="1">SUM($E$2:E24)/SUM($D$2:D24)</f>
        <v>251.47754253589505</v>
      </c>
      <c r="G24">
        <f ca="1">_xlfn.STDEV.P($C$2:C24)</f>
        <v>4.782436992965243</v>
      </c>
      <c r="H24">
        <f t="shared" ca="1" si="2"/>
        <v>256.2599795288603</v>
      </c>
      <c r="I24">
        <f t="shared" ca="1" si="3"/>
        <v>246.69510554292981</v>
      </c>
      <c r="J24">
        <f t="shared" ca="1" si="12"/>
        <v>250.41849999999994</v>
      </c>
      <c r="K24">
        <f t="shared" ca="1" si="13"/>
        <v>4.2130177645258673</v>
      </c>
      <c r="L24">
        <f t="shared" ca="1" si="14"/>
        <v>258.84453552905165</v>
      </c>
      <c r="M24">
        <f t="shared" ca="1" si="15"/>
        <v>241.99246447094819</v>
      </c>
      <c r="N24">
        <f t="shared" ca="1" si="4"/>
        <v>0.43999999999999773</v>
      </c>
      <c r="O24">
        <f t="shared" ca="1" si="5"/>
        <v>0.43999999999999773</v>
      </c>
      <c r="P24">
        <f t="shared" ca="1" si="6"/>
        <v>0</v>
      </c>
      <c r="Q24">
        <f t="shared" ca="1" si="10"/>
        <v>1.7018052901615142</v>
      </c>
      <c r="R24">
        <f t="shared" ca="1" si="11"/>
        <v>1.9478979374973591</v>
      </c>
      <c r="S24">
        <f t="shared" ca="1" si="8"/>
        <v>0.87366245294554679</v>
      </c>
      <c r="T24">
        <f t="shared" ca="1" si="9"/>
        <v>46.628593724129964</v>
      </c>
      <c r="U24">
        <f>70</f>
        <v>70</v>
      </c>
      <c r="V24">
        <f>30</f>
        <v>30</v>
      </c>
      <c r="W24">
        <f t="shared" ca="1" si="7"/>
        <v>249.36114200398185</v>
      </c>
    </row>
    <row r="25" spans="1:25" x14ac:dyDescent="0.25">
      <c r="A25" s="20">
        <f t="shared" ca="1" si="0"/>
        <v>45740</v>
      </c>
      <c r="B25" vm="70">
        <f ca="1"/>
        <v>45743</v>
      </c>
      <c r="C25" vm="71">
        <f ca="1"/>
        <v>246.21</v>
      </c>
      <c r="D25" vm="72">
        <f ca="1"/>
        <v>2889328</v>
      </c>
      <c r="E25">
        <f t="shared" ca="1" si="1"/>
        <v>711381446.88</v>
      </c>
      <c r="F25">
        <f ca="1">SUM($E$2:E25)/SUM($D$2:D25)</f>
        <v>251.34687304041796</v>
      </c>
      <c r="G25">
        <f ca="1">_xlfn.STDEV.P($C$2:C25)</f>
        <v>4.7983188606937022</v>
      </c>
      <c r="H25">
        <f t="shared" ca="1" si="2"/>
        <v>256.14519190111167</v>
      </c>
      <c r="I25">
        <f t="shared" ca="1" si="3"/>
        <v>246.54855417972425</v>
      </c>
      <c r="J25">
        <f t="shared" ca="1" si="12"/>
        <v>250.06749999999997</v>
      </c>
      <c r="K25">
        <f t="shared" ca="1" si="13"/>
        <v>4.2586368896508127</v>
      </c>
      <c r="L25">
        <f t="shared" ca="1" si="14"/>
        <v>258.5847737793016</v>
      </c>
      <c r="M25">
        <f t="shared" ca="1" si="15"/>
        <v>241.55022622069833</v>
      </c>
      <c r="N25">
        <f t="shared" ca="1" si="4"/>
        <v>-4.1299999999999955</v>
      </c>
      <c r="O25">
        <f t="shared" ca="1" si="5"/>
        <v>0</v>
      </c>
      <c r="P25">
        <f t="shared" ca="1" si="6"/>
        <v>4.1299999999999955</v>
      </c>
      <c r="Q25">
        <f t="shared" ca="1" si="10"/>
        <v>1.5802477694356918</v>
      </c>
      <c r="R25">
        <f t="shared" ca="1" si="11"/>
        <v>2.1037623705332615</v>
      </c>
      <c r="S25">
        <f t="shared" ca="1" si="8"/>
        <v>0.75115316804299082</v>
      </c>
      <c r="T25">
        <f t="shared" ca="1" si="9"/>
        <v>42.894772527662184</v>
      </c>
      <c r="U25">
        <f>70</f>
        <v>70</v>
      </c>
      <c r="V25">
        <f>30</f>
        <v>30</v>
      </c>
      <c r="W25">
        <f t="shared" ca="1" si="7"/>
        <v>248.87635092644621</v>
      </c>
    </row>
    <row r="26" spans="1:25" x14ac:dyDescent="0.25">
      <c r="A26" s="20">
        <f t="shared" ca="1" si="0"/>
        <v>45740</v>
      </c>
      <c r="B26" vm="73">
        <f ca="1"/>
        <v>45744</v>
      </c>
      <c r="C26" vm="74">
        <f ca="1"/>
        <v>244</v>
      </c>
      <c r="D26" vm="75">
        <f ca="1"/>
        <v>3125594</v>
      </c>
      <c r="E26">
        <f t="shared" ca="1" si="1"/>
        <v>762644936</v>
      </c>
      <c r="F26">
        <f ca="1">SUM($E$2:E26)/SUM($D$2:D26)</f>
        <v>251.15487192772699</v>
      </c>
      <c r="G26">
        <f ca="1">_xlfn.STDEV.P($C$2:C26)</f>
        <v>4.9114394468424445</v>
      </c>
      <c r="H26">
        <f t="shared" ca="1" si="2"/>
        <v>256.06631137456941</v>
      </c>
      <c r="I26">
        <f t="shared" ca="1" si="3"/>
        <v>246.24343248088454</v>
      </c>
      <c r="J26">
        <f t="shared" ca="1" si="12"/>
        <v>249.6455</v>
      </c>
      <c r="K26">
        <f t="shared" ca="1" si="13"/>
        <v>4.4260466796596623</v>
      </c>
      <c r="L26">
        <f t="shared" ca="1" si="14"/>
        <v>258.4975933593193</v>
      </c>
      <c r="M26">
        <f t="shared" ca="1" si="15"/>
        <v>240.79340664068067</v>
      </c>
      <c r="N26">
        <f t="shared" ca="1" si="4"/>
        <v>-2.210000000000008</v>
      </c>
      <c r="O26">
        <f t="shared" ca="1" si="5"/>
        <v>0</v>
      </c>
      <c r="P26">
        <f t="shared" ca="1" si="6"/>
        <v>2.210000000000008</v>
      </c>
      <c r="Q26">
        <f t="shared" ca="1" si="10"/>
        <v>1.4673729287617139</v>
      </c>
      <c r="R26">
        <f t="shared" ca="1" si="11"/>
        <v>2.1113507726380289</v>
      </c>
      <c r="S26">
        <f t="shared" ca="1" si="8"/>
        <v>0.69499248906343669</v>
      </c>
      <c r="T26">
        <f t="shared" ca="1" si="9"/>
        <v>41.002688421790758</v>
      </c>
      <c r="U26">
        <f>70</f>
        <v>70</v>
      </c>
      <c r="V26">
        <f>30</f>
        <v>30</v>
      </c>
      <c r="W26">
        <f t="shared" ca="1" si="7"/>
        <v>248.12614309160833</v>
      </c>
    </row>
    <row r="27" spans="1:25" x14ac:dyDescent="0.25">
      <c r="A27" s="20">
        <f t="shared" ca="1" si="0"/>
        <v>45747</v>
      </c>
      <c r="B27" vm="76">
        <f ca="1"/>
        <v>45747</v>
      </c>
      <c r="C27" vm="77">
        <f ca="1"/>
        <v>248.66</v>
      </c>
      <c r="D27" vm="78">
        <f ca="1"/>
        <v>6794972</v>
      </c>
      <c r="E27">
        <f t="shared" ca="1" si="1"/>
        <v>1689637737.52</v>
      </c>
      <c r="F27">
        <f ca="1">SUM($E$2:E27)/SUM($D$2:D27)</f>
        <v>251.020748092053</v>
      </c>
      <c r="G27">
        <f ca="1">_xlfn.STDEV.P($C$2:C27)</f>
        <v>4.8363589047568949</v>
      </c>
      <c r="H27">
        <f t="shared" ca="1" si="2"/>
        <v>255.8571069968099</v>
      </c>
      <c r="I27">
        <f t="shared" ca="1" si="3"/>
        <v>246.18438918729609</v>
      </c>
      <c r="J27">
        <f t="shared" ca="1" si="12"/>
        <v>249.56899999999996</v>
      </c>
      <c r="K27">
        <f t="shared" ca="1" si="13"/>
        <v>4.4293612465717436</v>
      </c>
      <c r="L27">
        <f t="shared" ca="1" si="14"/>
        <v>258.42772249314345</v>
      </c>
      <c r="M27">
        <f t="shared" ca="1" si="15"/>
        <v>240.71027750685647</v>
      </c>
      <c r="N27">
        <f t="shared" ca="1" si="4"/>
        <v>4.6599999999999966</v>
      </c>
      <c r="O27">
        <f t="shared" ca="1" si="5"/>
        <v>4.6599999999999966</v>
      </c>
      <c r="P27">
        <f t="shared" ca="1" si="6"/>
        <v>0</v>
      </c>
      <c r="Q27">
        <f t="shared" ca="1" si="10"/>
        <v>1.6954177195644482</v>
      </c>
      <c r="R27">
        <f t="shared" ca="1" si="11"/>
        <v>1.960540003163884</v>
      </c>
      <c r="S27">
        <f t="shared" ca="1" si="8"/>
        <v>0.86477078602242941</v>
      </c>
      <c r="T27">
        <f t="shared" ca="1" si="9"/>
        <v>46.374106271097922</v>
      </c>
      <c r="U27">
        <f>70</f>
        <v>70</v>
      </c>
      <c r="V27">
        <f>30</f>
        <v>30</v>
      </c>
      <c r="W27">
        <f t="shared" ca="1" si="7"/>
        <v>248.20827492366857</v>
      </c>
      <c r="X27" s="9">
        <f ca="1">AVERAGE(C2:C27)</f>
        <v>250.87307692307689</v>
      </c>
      <c r="Y27">
        <f ca="1">W28-X28</f>
        <v>-2.2973571158701418</v>
      </c>
    </row>
    <row r="28" spans="1:25" x14ac:dyDescent="0.25">
      <c r="A28" s="20">
        <f t="shared" ca="1" si="0"/>
        <v>45747</v>
      </c>
      <c r="B28" vm="79">
        <f ca="1"/>
        <v>45748</v>
      </c>
      <c r="C28" vm="68">
        <f ca="1"/>
        <v>250.34</v>
      </c>
      <c r="D28" vm="80">
        <f ca="1"/>
        <v>4413139</v>
      </c>
      <c r="E28">
        <f t="shared" ca="1" si="1"/>
        <v>1104785217.26</v>
      </c>
      <c r="F28">
        <f ca="1">SUM($E$2:E28)/SUM($D$2:D28)</f>
        <v>250.9977813598768</v>
      </c>
      <c r="G28">
        <f ca="1">_xlfn.STDEV.P($C$2:C28)</f>
        <v>4.7470193377099905</v>
      </c>
      <c r="H28">
        <f t="shared" ca="1" si="2"/>
        <v>255.74480069758678</v>
      </c>
      <c r="I28">
        <f t="shared" ca="1" si="3"/>
        <v>246.25076202216681</v>
      </c>
      <c r="J28">
        <f t="shared" ca="1" si="12"/>
        <v>249.42549999999997</v>
      </c>
      <c r="K28">
        <f t="shared" ca="1" si="13"/>
        <v>4.3509907825084726</v>
      </c>
      <c r="L28">
        <f t="shared" ca="1" si="14"/>
        <v>258.12748156501692</v>
      </c>
      <c r="M28">
        <f t="shared" ca="1" si="15"/>
        <v>240.72351843498302</v>
      </c>
      <c r="N28">
        <f t="shared" ca="1" si="4"/>
        <v>1.6800000000000068</v>
      </c>
      <c r="O28">
        <f t="shared" ca="1" si="5"/>
        <v>1.6800000000000068</v>
      </c>
      <c r="P28">
        <f t="shared" ca="1" si="6"/>
        <v>0</v>
      </c>
      <c r="Q28">
        <f t="shared" ca="1" si="10"/>
        <v>1.6943164538812738</v>
      </c>
      <c r="R28">
        <f t="shared" ca="1" si="11"/>
        <v>1.8205014315093209</v>
      </c>
      <c r="S28">
        <f t="shared" ca="1" si="8"/>
        <v>0.93068669134556459</v>
      </c>
      <c r="T28">
        <f t="shared" ca="1" si="9"/>
        <v>48.204957102435699</v>
      </c>
      <c r="U28">
        <f>70</f>
        <v>70</v>
      </c>
      <c r="V28">
        <f>30</f>
        <v>30</v>
      </c>
      <c r="W28">
        <f t="shared" ca="1" si="7"/>
        <v>248.53623262771958</v>
      </c>
      <c r="X28">
        <f ca="1">C28*(2/(26+1)) + X27*(1-(2/(26+1)))</f>
        <v>250.83358974358973</v>
      </c>
      <c r="Y28">
        <f t="shared" ref="Y28:Y91" ca="1" si="16">W29-X29</f>
        <v>-2.0120101887006854</v>
      </c>
    </row>
    <row r="29" spans="1:25" x14ac:dyDescent="0.25">
      <c r="A29" s="20">
        <f t="shared" ca="1" si="0"/>
        <v>45747</v>
      </c>
      <c r="B29" vm="81">
        <f ca="1"/>
        <v>45749</v>
      </c>
      <c r="C29" vm="82">
        <f ca="1"/>
        <v>249.98</v>
      </c>
      <c r="D29" vm="83">
        <f ca="1"/>
        <v>4080832</v>
      </c>
      <c r="E29">
        <f t="shared" ca="1" si="1"/>
        <v>1020126383.36</v>
      </c>
      <c r="F29">
        <f ca="1">SUM($E$2:E29)/SUM($D$2:D29)</f>
        <v>250.96699015362938</v>
      </c>
      <c r="G29">
        <f ca="1">_xlfn.STDEV.P($C$2:C29)</f>
        <v>4.6642970356458555</v>
      </c>
      <c r="H29">
        <f t="shared" ca="1" si="2"/>
        <v>255.63128718927524</v>
      </c>
      <c r="I29">
        <f t="shared" ca="1" si="3"/>
        <v>246.30269311798352</v>
      </c>
      <c r="J29">
        <f t="shared" ca="1" si="12"/>
        <v>249.35699999999997</v>
      </c>
      <c r="K29">
        <f t="shared" ca="1" si="13"/>
        <v>4.3298305546036042</v>
      </c>
      <c r="L29">
        <f t="shared" ca="1" si="14"/>
        <v>258.01666110920718</v>
      </c>
      <c r="M29">
        <f t="shared" ca="1" si="15"/>
        <v>240.69733889079276</v>
      </c>
      <c r="N29">
        <f t="shared" ca="1" si="4"/>
        <v>-0.36000000000001364</v>
      </c>
      <c r="O29">
        <f t="shared" ca="1" si="5"/>
        <v>0</v>
      </c>
      <c r="P29">
        <f t="shared" ca="1" si="6"/>
        <v>0.36000000000001364</v>
      </c>
      <c r="Q29">
        <f t="shared" ca="1" si="10"/>
        <v>1.5732938500326115</v>
      </c>
      <c r="R29">
        <f t="shared" ca="1" si="11"/>
        <v>1.7161799006872276</v>
      </c>
      <c r="S29">
        <f t="shared" ca="1" si="8"/>
        <v>0.91674179927325872</v>
      </c>
      <c r="T29">
        <f t="shared" ca="1" si="9"/>
        <v>47.828132073962465</v>
      </c>
      <c r="U29">
        <f>70</f>
        <v>70</v>
      </c>
      <c r="V29">
        <f>30</f>
        <v>30</v>
      </c>
      <c r="W29">
        <f t="shared" ca="1" si="7"/>
        <v>248.7583506849935</v>
      </c>
      <c r="X29">
        <f t="shared" ref="X29:X92" ca="1" si="17">C29*(2/(26+1)) + X28*(1-(2/(26+1)))</f>
        <v>250.77036087369419</v>
      </c>
      <c r="Y29">
        <f t="shared" ca="1" si="16"/>
        <v>-2.2832396880556587</v>
      </c>
    </row>
    <row r="30" spans="1:25" x14ac:dyDescent="0.25">
      <c r="A30" s="20">
        <f t="shared" ca="1" si="0"/>
        <v>45747</v>
      </c>
      <c r="B30" vm="84">
        <f ca="1"/>
        <v>45750</v>
      </c>
      <c r="C30" vm="85">
        <f ca="1"/>
        <v>243.49</v>
      </c>
      <c r="D30" vm="86">
        <f ca="1"/>
        <v>5309626</v>
      </c>
      <c r="E30">
        <f t="shared" ca="1" si="1"/>
        <v>1292840834.74</v>
      </c>
      <c r="F30">
        <f ca="1">SUM($E$2:E30)/SUM($D$2:D30)</f>
        <v>250.68382030380516</v>
      </c>
      <c r="G30">
        <f ca="1">_xlfn.STDEV.P($C$2:C30)</f>
        <v>4.7744477427775536</v>
      </c>
      <c r="H30">
        <f t="shared" ca="1" si="2"/>
        <v>255.4582680465827</v>
      </c>
      <c r="I30">
        <f t="shared" ca="1" si="3"/>
        <v>245.90937256102762</v>
      </c>
      <c r="J30">
        <f t="shared" ca="1" si="12"/>
        <v>249.09699999999998</v>
      </c>
      <c r="K30">
        <f t="shared" ca="1" si="13"/>
        <v>4.5237735761663682</v>
      </c>
      <c r="L30">
        <f t="shared" ca="1" si="14"/>
        <v>258.14454715233273</v>
      </c>
      <c r="M30">
        <f t="shared" ca="1" si="15"/>
        <v>240.04945284766725</v>
      </c>
      <c r="N30">
        <f t="shared" ca="1" si="4"/>
        <v>-6.4899999999999807</v>
      </c>
      <c r="O30">
        <f t="shared" ca="1" si="5"/>
        <v>0</v>
      </c>
      <c r="P30">
        <f t="shared" ca="1" si="6"/>
        <v>6.4899999999999807</v>
      </c>
      <c r="Q30">
        <f t="shared" ca="1" si="10"/>
        <v>1.4609157178874248</v>
      </c>
      <c r="R30">
        <f t="shared" ca="1" si="11"/>
        <v>2.0571670506381383</v>
      </c>
      <c r="S30">
        <f t="shared" ca="1" si="8"/>
        <v>0.71015901087577948</v>
      </c>
      <c r="T30">
        <f t="shared" ca="1" si="9"/>
        <v>41.525905273106979</v>
      </c>
      <c r="U30">
        <f>70</f>
        <v>70</v>
      </c>
      <c r="V30">
        <f>30</f>
        <v>30</v>
      </c>
      <c r="W30">
        <f t="shared" ca="1" si="7"/>
        <v>247.9478351949945</v>
      </c>
      <c r="X30">
        <f t="shared" ca="1" si="17"/>
        <v>250.23107488305016</v>
      </c>
      <c r="Y30">
        <f t="shared" ca="1" si="16"/>
        <v>-3.7468726042106653</v>
      </c>
    </row>
    <row r="31" spans="1:25" x14ac:dyDescent="0.25">
      <c r="A31" s="20">
        <f t="shared" ca="1" si="0"/>
        <v>45747</v>
      </c>
      <c r="B31" vm="87">
        <f ca="1"/>
        <v>45751</v>
      </c>
      <c r="C31" vm="88">
        <f ca="1"/>
        <v>227.48</v>
      </c>
      <c r="D31" vm="89">
        <f ca="1"/>
        <v>7407096</v>
      </c>
      <c r="E31">
        <f t="shared" ca="1" si="1"/>
        <v>1684966198.0799999</v>
      </c>
      <c r="F31">
        <f ca="1">SUM($E$2:E31)/SUM($D$2:D31)</f>
        <v>249.51941466486466</v>
      </c>
      <c r="G31">
        <f ca="1">_xlfn.STDEV.P($C$2:C31)</f>
        <v>6.2620840425177597</v>
      </c>
      <c r="H31">
        <f t="shared" ca="1" si="2"/>
        <v>255.78149870738241</v>
      </c>
      <c r="I31">
        <f t="shared" ca="1" si="3"/>
        <v>243.2573306223469</v>
      </c>
      <c r="J31">
        <f t="shared" ca="1" si="12"/>
        <v>247.39399999999992</v>
      </c>
      <c r="K31">
        <f t="shared" ca="1" si="13"/>
        <v>5.8187007050317368</v>
      </c>
      <c r="L31">
        <f t="shared" ca="1" si="14"/>
        <v>259.03140141006338</v>
      </c>
      <c r="M31">
        <f t="shared" ca="1" si="15"/>
        <v>235.75659858993646</v>
      </c>
      <c r="N31">
        <f t="shared" ca="1" si="4"/>
        <v>-16.010000000000019</v>
      </c>
      <c r="O31">
        <f t="shared" ca="1" si="5"/>
        <v>0</v>
      </c>
      <c r="P31">
        <f t="shared" ca="1" si="6"/>
        <v>16.010000000000019</v>
      </c>
      <c r="Q31">
        <f t="shared" ca="1" si="10"/>
        <v>1.35656459518118</v>
      </c>
      <c r="R31">
        <f t="shared" ca="1" si="11"/>
        <v>3.0537979755925582</v>
      </c>
      <c r="S31">
        <f t="shared" ca="1" si="8"/>
        <v>0.44422211489545327</v>
      </c>
      <c r="T31">
        <f t="shared" ca="1" si="9"/>
        <v>30.758573097158973</v>
      </c>
      <c r="U31">
        <f>70</f>
        <v>70</v>
      </c>
      <c r="V31">
        <f>30</f>
        <v>30</v>
      </c>
      <c r="W31">
        <f t="shared" ca="1" si="7"/>
        <v>244.79893747268764</v>
      </c>
      <c r="X31">
        <f t="shared" ca="1" si="17"/>
        <v>248.54581007689831</v>
      </c>
      <c r="Y31">
        <f t="shared" ca="1" si="16"/>
        <v>-4.9865066826316706</v>
      </c>
    </row>
    <row r="32" spans="1:25" x14ac:dyDescent="0.25">
      <c r="A32" s="20">
        <f t="shared" ca="1" si="0"/>
        <v>45754</v>
      </c>
      <c r="B32" vm="90">
        <f ca="1"/>
        <v>45754</v>
      </c>
      <c r="C32" vm="91">
        <f ca="1"/>
        <v>225.78</v>
      </c>
      <c r="D32" vm="92">
        <f ca="1"/>
        <v>7797889</v>
      </c>
      <c r="E32">
        <f t="shared" ca="1" si="1"/>
        <v>1760607378.4200001</v>
      </c>
      <c r="F32">
        <f ca="1">SUM($E$2:E32)/SUM($D$2:D32)</f>
        <v>248.32821112711406</v>
      </c>
      <c r="G32">
        <f ca="1">_xlfn.STDEV.P($C$2:C32)</f>
        <v>7.4806075615630636</v>
      </c>
      <c r="H32">
        <f t="shared" ca="1" si="2"/>
        <v>255.80881868867712</v>
      </c>
      <c r="I32">
        <f t="shared" ca="1" si="3"/>
        <v>240.847603565551</v>
      </c>
      <c r="J32">
        <f t="shared" ca="1" si="12"/>
        <v>245.83799999999997</v>
      </c>
      <c r="K32">
        <f t="shared" ca="1" si="13"/>
        <v>7.1512476644215539</v>
      </c>
      <c r="L32">
        <f t="shared" ca="1" si="14"/>
        <v>260.14049532884309</v>
      </c>
      <c r="M32">
        <f t="shared" ca="1" si="15"/>
        <v>231.53550467115684</v>
      </c>
      <c r="N32">
        <f t="shared" ca="1" si="4"/>
        <v>-1.6999999999999886</v>
      </c>
      <c r="O32">
        <f t="shared" ca="1" si="5"/>
        <v>0</v>
      </c>
      <c r="P32">
        <f t="shared" ca="1" si="6"/>
        <v>1.6999999999999886</v>
      </c>
      <c r="Q32">
        <f t="shared" ca="1" si="10"/>
        <v>1.25966712409681</v>
      </c>
      <c r="R32">
        <f t="shared" ca="1" si="11"/>
        <v>2.9570981201930886</v>
      </c>
      <c r="S32">
        <f t="shared" ca="1" si="8"/>
        <v>0.42598083421545646</v>
      </c>
      <c r="T32">
        <f t="shared" ca="1" si="9"/>
        <v>29.872830264918804</v>
      </c>
      <c r="U32">
        <f>70</f>
        <v>70</v>
      </c>
      <c r="V32">
        <f>30</f>
        <v>30</v>
      </c>
      <c r="W32">
        <f t="shared" ca="1" si="7"/>
        <v>241.87294709227416</v>
      </c>
      <c r="X32">
        <f t="shared" ca="1" si="17"/>
        <v>246.85945377490583</v>
      </c>
      <c r="Y32">
        <f t="shared" ca="1" si="16"/>
        <v>-6.2798210553816602</v>
      </c>
    </row>
    <row r="33" spans="1:27" x14ac:dyDescent="0.25">
      <c r="A33" s="20">
        <f t="shared" ca="1" si="0"/>
        <v>45754</v>
      </c>
      <c r="B33" vm="93">
        <f ca="1"/>
        <v>45755</v>
      </c>
      <c r="C33" vm="94">
        <f ca="1"/>
        <v>221.03</v>
      </c>
      <c r="D33" vm="95">
        <f ca="1"/>
        <v>6849996</v>
      </c>
      <c r="E33">
        <f t="shared" ca="1" si="1"/>
        <v>1514054615.8800001</v>
      </c>
      <c r="F33">
        <f ca="1">SUM($E$2:E33)/SUM($D$2:D33)</f>
        <v>247.17573969145511</v>
      </c>
      <c r="G33">
        <f ca="1">_xlfn.STDEV.P($C$2:C33)</f>
        <v>8.8281584291402488</v>
      </c>
      <c r="H33">
        <f t="shared" ca="1" si="2"/>
        <v>256.00389812059535</v>
      </c>
      <c r="I33">
        <f t="shared" ca="1" si="3"/>
        <v>238.34758126231486</v>
      </c>
      <c r="J33">
        <f t="shared" ca="1" si="12"/>
        <v>244.44199999999995</v>
      </c>
      <c r="K33">
        <f t="shared" ca="1" si="13"/>
        <v>8.9983697938775791</v>
      </c>
      <c r="L33">
        <f t="shared" ca="1" si="14"/>
        <v>262.43873958775509</v>
      </c>
      <c r="M33">
        <f t="shared" ca="1" si="15"/>
        <v>226.44526041224481</v>
      </c>
      <c r="N33">
        <f t="shared" ca="1" si="4"/>
        <v>-4.75</v>
      </c>
      <c r="O33">
        <f t="shared" ca="1" si="5"/>
        <v>0</v>
      </c>
      <c r="P33">
        <f t="shared" ca="1" si="6"/>
        <v>4.75</v>
      </c>
      <c r="Q33">
        <f t="shared" ca="1" si="10"/>
        <v>1.1696909009470378</v>
      </c>
      <c r="R33">
        <f t="shared" ca="1" si="11"/>
        <v>3.0851625401792968</v>
      </c>
      <c r="S33">
        <f t="shared" ca="1" si="8"/>
        <v>0.37913428732317622</v>
      </c>
      <c r="T33">
        <f t="shared" ca="1" si="9"/>
        <v>27.49074479607458</v>
      </c>
      <c r="U33">
        <f>70</f>
        <v>70</v>
      </c>
      <c r="V33">
        <f>30</f>
        <v>30</v>
      </c>
      <c r="W33">
        <f t="shared" ca="1" si="7"/>
        <v>238.6663398473089</v>
      </c>
      <c r="X33">
        <f t="shared" ca="1" si="17"/>
        <v>244.94616090269056</v>
      </c>
      <c r="Y33">
        <f t="shared" ca="1" si="16"/>
        <v>-6.0823913353951014</v>
      </c>
    </row>
    <row r="34" spans="1:27" x14ac:dyDescent="0.25">
      <c r="A34" s="20">
        <f t="shared" ca="1" si="0"/>
        <v>45754</v>
      </c>
      <c r="B34" vm="96">
        <f ca="1"/>
        <v>45756</v>
      </c>
      <c r="C34" vm="97">
        <f ca="1"/>
        <v>235.31</v>
      </c>
      <c r="D34" vm="98">
        <f ca="1"/>
        <v>7302808</v>
      </c>
      <c r="E34">
        <f t="shared" ca="1" si="1"/>
        <v>1718423750.48</v>
      </c>
      <c r="F34">
        <f ca="1">SUM($E$2:E34)/SUM($D$2:D34)</f>
        <v>246.6646813316508</v>
      </c>
      <c r="G34">
        <f ca="1">_xlfn.STDEV.P($C$2:C34)</f>
        <v>8.9676757448328157</v>
      </c>
      <c r="H34">
        <f t="shared" ca="1" si="2"/>
        <v>255.6323570764836</v>
      </c>
      <c r="I34">
        <f t="shared" ca="1" si="3"/>
        <v>237.69700558681799</v>
      </c>
      <c r="J34">
        <f t="shared" ca="1" si="12"/>
        <v>243.72599999999997</v>
      </c>
      <c r="K34">
        <f t="shared" ca="1" si="13"/>
        <v>9.1325544936204661</v>
      </c>
      <c r="L34">
        <f t="shared" ca="1" si="14"/>
        <v>261.99110898724092</v>
      </c>
      <c r="M34">
        <f t="shared" ca="1" si="15"/>
        <v>225.46089101275905</v>
      </c>
      <c r="N34">
        <f t="shared" ca="1" si="4"/>
        <v>14.280000000000001</v>
      </c>
      <c r="O34">
        <f t="shared" ca="1" si="5"/>
        <v>14.280000000000001</v>
      </c>
      <c r="P34">
        <f t="shared" ca="1" si="6"/>
        <v>0</v>
      </c>
      <c r="Q34">
        <f t="shared" ca="1" si="10"/>
        <v>2.1061415508793924</v>
      </c>
      <c r="R34">
        <f t="shared" ca="1" si="11"/>
        <v>2.8647937873093468</v>
      </c>
      <c r="S34">
        <f t="shared" ca="1" si="8"/>
        <v>0.73518085671971145</v>
      </c>
      <c r="T34">
        <f t="shared" ca="1" si="9"/>
        <v>42.369119845497877</v>
      </c>
      <c r="U34">
        <f>70</f>
        <v>70</v>
      </c>
      <c r="V34">
        <f>30</f>
        <v>30</v>
      </c>
      <c r="W34">
        <f t="shared" ca="1" si="7"/>
        <v>238.14997987079985</v>
      </c>
      <c r="X34">
        <f t="shared" ca="1" si="17"/>
        <v>244.23237120619495</v>
      </c>
      <c r="Y34">
        <f t="shared" ca="1" si="16"/>
        <v>-6.3178821093612783</v>
      </c>
    </row>
    <row r="35" spans="1:27" x14ac:dyDescent="0.25">
      <c r="A35" s="20">
        <f t="shared" ca="1" si="0"/>
        <v>45754</v>
      </c>
      <c r="B35" vm="99">
        <f ca="1"/>
        <v>45757</v>
      </c>
      <c r="C35" vm="100">
        <f ca="1"/>
        <v>229.55</v>
      </c>
      <c r="D35" vm="101">
        <f ca="1"/>
        <v>5656108</v>
      </c>
      <c r="E35">
        <f t="shared" ca="1" si="1"/>
        <v>1298359591.4000001</v>
      </c>
      <c r="F35">
        <f ca="1">SUM($E$2:E35)/SUM($D$2:D35)</f>
        <v>246.11219518903772</v>
      </c>
      <c r="G35">
        <f ca="1">_xlfn.STDEV.P($C$2:C35)</f>
        <v>9.3552706865903765</v>
      </c>
      <c r="H35">
        <f t="shared" ca="1" si="2"/>
        <v>255.46746587562811</v>
      </c>
      <c r="I35">
        <f t="shared" ca="1" si="3"/>
        <v>236.75692450244733</v>
      </c>
      <c r="J35">
        <f t="shared" ca="1" si="12"/>
        <v>242.91350000000003</v>
      </c>
      <c r="K35">
        <f t="shared" ca="1" si="13"/>
        <v>9.646711615882376</v>
      </c>
      <c r="L35">
        <f t="shared" ca="1" si="14"/>
        <v>262.20692323176479</v>
      </c>
      <c r="M35">
        <f t="shared" ca="1" si="15"/>
        <v>223.62007676823526</v>
      </c>
      <c r="N35">
        <f t="shared" ca="1" si="4"/>
        <v>-5.7599999999999909</v>
      </c>
      <c r="O35">
        <f t="shared" ca="1" si="5"/>
        <v>0</v>
      </c>
      <c r="P35">
        <f t="shared" ca="1" si="6"/>
        <v>5.7599999999999909</v>
      </c>
      <c r="Q35">
        <f t="shared" ca="1" si="10"/>
        <v>1.9557028686737215</v>
      </c>
      <c r="R35">
        <f t="shared" ca="1" si="11"/>
        <v>3.071594231072964</v>
      </c>
      <c r="S35">
        <f t="shared" ca="1" si="8"/>
        <v>0.63670612768098556</v>
      </c>
      <c r="T35">
        <f t="shared" ca="1" si="9"/>
        <v>38.901676783181664</v>
      </c>
      <c r="U35">
        <f>70</f>
        <v>70</v>
      </c>
      <c r="V35">
        <f>30</f>
        <v>30</v>
      </c>
      <c r="W35">
        <f t="shared" ca="1" si="7"/>
        <v>236.82690604452296</v>
      </c>
      <c r="X35">
        <f t="shared" ca="1" si="17"/>
        <v>243.14478815388424</v>
      </c>
      <c r="Y35">
        <f t="shared" ca="1" si="16"/>
        <v>-5.9573363384303661</v>
      </c>
    </row>
    <row r="36" spans="1:27" x14ac:dyDescent="0.25">
      <c r="A36" s="20">
        <f t="shared" ca="1" si="0"/>
        <v>45754</v>
      </c>
      <c r="B36" vm="102">
        <f ca="1"/>
        <v>45758</v>
      </c>
      <c r="C36" vm="103">
        <f ca="1"/>
        <v>235.48</v>
      </c>
      <c r="D36" vm="104">
        <f ca="1"/>
        <v>4325895</v>
      </c>
      <c r="E36">
        <f t="shared" ca="1" si="1"/>
        <v>1018661754.5999999</v>
      </c>
      <c r="F36">
        <f ca="1">SUM($E$2:E36)/SUM($D$2:D36)</f>
        <v>245.8560173591045</v>
      </c>
      <c r="G36">
        <f ca="1">_xlfn.STDEV.P($C$2:C36)</f>
        <v>9.4259936909179238</v>
      </c>
      <c r="H36">
        <f t="shared" ca="1" si="2"/>
        <v>255.28201105002242</v>
      </c>
      <c r="I36">
        <f t="shared" ca="1" si="3"/>
        <v>236.43002366818658</v>
      </c>
      <c r="J36">
        <f t="shared" ca="1" si="12"/>
        <v>242.27000000000004</v>
      </c>
      <c r="K36">
        <f t="shared" ca="1" si="13"/>
        <v>9.6941148723281962</v>
      </c>
      <c r="L36">
        <f t="shared" ca="1" si="14"/>
        <v>261.65822974465641</v>
      </c>
      <c r="M36">
        <f t="shared" ca="1" si="15"/>
        <v>222.88177025534364</v>
      </c>
      <c r="N36">
        <f t="shared" ca="1" si="4"/>
        <v>5.9299999999999784</v>
      </c>
      <c r="O36">
        <f t="shared" ca="1" si="5"/>
        <v>5.9299999999999784</v>
      </c>
      <c r="P36">
        <f t="shared" ca="1" si="6"/>
        <v>0</v>
      </c>
      <c r="Q36">
        <f t="shared" ca="1" si="10"/>
        <v>2.2395812351970252</v>
      </c>
      <c r="R36">
        <f t="shared" ca="1" si="11"/>
        <v>2.8521946431391809</v>
      </c>
      <c r="S36">
        <f t="shared" ca="1" si="8"/>
        <v>0.785213323566199</v>
      </c>
      <c r="T36">
        <f t="shared" ca="1" si="9"/>
        <v>43.98428541848611</v>
      </c>
      <c r="U36">
        <f>70</f>
        <v>70</v>
      </c>
      <c r="V36">
        <f>30</f>
        <v>30</v>
      </c>
      <c r="W36">
        <f t="shared" ca="1" si="7"/>
        <v>236.61968972998096</v>
      </c>
      <c r="X36">
        <f t="shared" ca="1" si="17"/>
        <v>242.57702606841133</v>
      </c>
      <c r="Y36">
        <f t="shared" ca="1" si="16"/>
        <v>-5.3213835396847458</v>
      </c>
      <c r="Z36" s="9">
        <f ca="1">AVERAGE(Y28:Y36)</f>
        <v>-4.7763826157613147</v>
      </c>
    </row>
    <row r="37" spans="1:27" x14ac:dyDescent="0.25">
      <c r="A37" s="20">
        <f t="shared" ca="1" si="0"/>
        <v>45761</v>
      </c>
      <c r="B37" vm="105">
        <f ca="1"/>
        <v>45761</v>
      </c>
      <c r="C37" vm="106">
        <f ca="1"/>
        <v>239.06</v>
      </c>
      <c r="D37" vm="107">
        <f ca="1"/>
        <v>3321717</v>
      </c>
      <c r="E37">
        <f t="shared" ca="1" si="1"/>
        <v>794089666.01999998</v>
      </c>
      <c r="F37">
        <f ca="1">SUM($E$2:E37)/SUM($D$2:D37)</f>
        <v>245.73256536939058</v>
      </c>
      <c r="G37">
        <f ca="1">_xlfn.STDEV.P($C$2:C37)</f>
        <v>9.3827990111666892</v>
      </c>
      <c r="H37">
        <f t="shared" ca="1" si="2"/>
        <v>255.11536438055728</v>
      </c>
      <c r="I37">
        <f t="shared" ca="1" si="3"/>
        <v>236.34976635822389</v>
      </c>
      <c r="J37">
        <f t="shared" ca="1" si="12"/>
        <v>241.57450000000003</v>
      </c>
      <c r="K37">
        <f t="shared" ca="1" si="13"/>
        <v>9.3799368615314123</v>
      </c>
      <c r="L37">
        <f t="shared" ca="1" si="14"/>
        <v>260.33437372306287</v>
      </c>
      <c r="M37">
        <f t="shared" ca="1" si="15"/>
        <v>222.81462627693719</v>
      </c>
      <c r="N37">
        <f t="shared" ca="1" si="4"/>
        <v>3.5800000000000125</v>
      </c>
      <c r="O37">
        <f t="shared" ca="1" si="5"/>
        <v>3.5800000000000125</v>
      </c>
      <c r="P37">
        <f t="shared" ca="1" si="6"/>
        <v>0</v>
      </c>
      <c r="Q37">
        <f t="shared" ca="1" si="10"/>
        <v>2.3353254326829531</v>
      </c>
      <c r="R37">
        <f t="shared" ca="1" si="11"/>
        <v>2.648466454343525</v>
      </c>
      <c r="S37">
        <f t="shared" ca="1" si="8"/>
        <v>0.88176515464373129</v>
      </c>
      <c r="T37">
        <f t="shared" ca="1" si="9"/>
        <v>46.85840592104455</v>
      </c>
      <c r="U37">
        <f>70</f>
        <v>70</v>
      </c>
      <c r="V37">
        <f>30</f>
        <v>30</v>
      </c>
      <c r="W37">
        <f t="shared" ca="1" si="7"/>
        <v>236.99512207921464</v>
      </c>
      <c r="X37">
        <f t="shared" ca="1" si="17"/>
        <v>242.31650561889938</v>
      </c>
      <c r="Y37">
        <f t="shared" ca="1" si="16"/>
        <v>-4.6316611641468626</v>
      </c>
      <c r="Z37">
        <f ca="1">Y37*(2/(9+1)) + Z36*(1-(2/(9+1)))</f>
        <v>-4.7474383254384245</v>
      </c>
      <c r="AA37">
        <f ca="1">Y37-Z37</f>
        <v>0.1157771612915619</v>
      </c>
    </row>
    <row r="38" spans="1:27" x14ac:dyDescent="0.25">
      <c r="A38" s="20">
        <f t="shared" ca="1" si="0"/>
        <v>45761</v>
      </c>
      <c r="B38" vm="108">
        <f ca="1"/>
        <v>45762</v>
      </c>
      <c r="C38" vm="109">
        <f ca="1"/>
        <v>240.7</v>
      </c>
      <c r="D38" vm="110">
        <f ca="1"/>
        <v>3363708</v>
      </c>
      <c r="E38">
        <f t="shared" ca="1" si="1"/>
        <v>809644515.5999999</v>
      </c>
      <c r="F38">
        <f ca="1">SUM($E$2:E38)/SUM($D$2:D38)</f>
        <v>245.64166357647861</v>
      </c>
      <c r="G38">
        <f ca="1">_xlfn.STDEV.P($C$2:C38)</f>
        <v>9.305668826879602</v>
      </c>
      <c r="H38">
        <f t="shared" ca="1" si="2"/>
        <v>254.94733240335822</v>
      </c>
      <c r="I38">
        <f t="shared" ca="1" si="3"/>
        <v>236.335994749599</v>
      </c>
      <c r="J38">
        <f t="shared" ca="1" si="12"/>
        <v>241.26200000000003</v>
      </c>
      <c r="K38">
        <f t="shared" ca="1" si="13"/>
        <v>9.2951507447927408</v>
      </c>
      <c r="L38">
        <f t="shared" ca="1" si="14"/>
        <v>259.8523014895855</v>
      </c>
      <c r="M38">
        <f t="shared" ca="1" si="15"/>
        <v>222.67169851041456</v>
      </c>
      <c r="N38">
        <f t="shared" ca="1" si="4"/>
        <v>1.6399999999999864</v>
      </c>
      <c r="O38">
        <f t="shared" ca="1" si="5"/>
        <v>1.6399999999999864</v>
      </c>
      <c r="P38">
        <f t="shared" ca="1" si="6"/>
        <v>0</v>
      </c>
      <c r="Q38">
        <f t="shared" ca="1" si="10"/>
        <v>2.2856593303484556</v>
      </c>
      <c r="R38">
        <f t="shared" ca="1" si="11"/>
        <v>2.4592902790332731</v>
      </c>
      <c r="S38">
        <f t="shared" ca="1" si="8"/>
        <v>0.92939794453501012</v>
      </c>
      <c r="T38">
        <f t="shared" ca="1" si="9"/>
        <v>48.170360457131999</v>
      </c>
      <c r="U38">
        <f>70</f>
        <v>70</v>
      </c>
      <c r="V38">
        <f>30</f>
        <v>30</v>
      </c>
      <c r="W38">
        <f t="shared" ca="1" si="7"/>
        <v>237.56510329779701</v>
      </c>
      <c r="X38">
        <f t="shared" ca="1" si="17"/>
        <v>242.19676446194387</v>
      </c>
      <c r="Y38">
        <f t="shared" ca="1" si="16"/>
        <v>-4.2084124520970079</v>
      </c>
      <c r="Z38">
        <f t="shared" ref="Z38:Z101" ca="1" si="18">Y38*(2/(9+1)) + Z37*(1-(2/(9+1)))</f>
        <v>-4.6396331507701412</v>
      </c>
      <c r="AA38">
        <f t="shared" ref="AA38:AA101" ca="1" si="19">Y38-Z38</f>
        <v>0.43122069867313328</v>
      </c>
    </row>
    <row r="39" spans="1:27" x14ac:dyDescent="0.25">
      <c r="A39" s="20">
        <f t="shared" ca="1" si="0"/>
        <v>45761</v>
      </c>
      <c r="B39" vm="111">
        <f ca="1"/>
        <v>45763</v>
      </c>
      <c r="C39" vm="112">
        <f ca="1"/>
        <v>238.57</v>
      </c>
      <c r="D39" vm="113">
        <f ca="1"/>
        <v>4870299</v>
      </c>
      <c r="E39">
        <f t="shared" ca="1" si="1"/>
        <v>1161907232.4300001</v>
      </c>
      <c r="F39">
        <f ca="1">SUM($E$2:E39)/SUM($D$2:D39)</f>
        <v>245.46143242283634</v>
      </c>
      <c r="G39">
        <f ca="1">_xlfn.STDEV.P($C$2:C39)</f>
        <v>9.2699707190996019</v>
      </c>
      <c r="H39">
        <f t="shared" ca="1" si="2"/>
        <v>254.73140314193594</v>
      </c>
      <c r="I39">
        <f t="shared" ca="1" si="3"/>
        <v>236.19146170373673</v>
      </c>
      <c r="J39">
        <f t="shared" ca="1" si="12"/>
        <v>240.57600000000002</v>
      </c>
      <c r="K39">
        <f t="shared" ca="1" si="13"/>
        <v>8.9378405492719839</v>
      </c>
      <c r="L39">
        <f t="shared" ca="1" si="14"/>
        <v>258.45168109854399</v>
      </c>
      <c r="M39">
        <f t="shared" ca="1" si="15"/>
        <v>222.70031890145606</v>
      </c>
      <c r="N39">
        <f t="shared" ca="1" si="4"/>
        <v>-2.1299999999999955</v>
      </c>
      <c r="O39">
        <f t="shared" ca="1" si="5"/>
        <v>0</v>
      </c>
      <c r="P39">
        <f t="shared" ca="1" si="6"/>
        <v>2.1299999999999955</v>
      </c>
      <c r="Q39">
        <f t="shared" ca="1" si="10"/>
        <v>2.1223979496092804</v>
      </c>
      <c r="R39">
        <f t="shared" ca="1" si="11"/>
        <v>2.4357695448166106</v>
      </c>
      <c r="S39">
        <f t="shared" ca="1" si="8"/>
        <v>0.87134595886782717</v>
      </c>
      <c r="T39">
        <f t="shared" ca="1" si="9"/>
        <v>46.562526546133427</v>
      </c>
      <c r="U39">
        <f>70</f>
        <v>70</v>
      </c>
      <c r="V39">
        <f>30</f>
        <v>30</v>
      </c>
      <c r="W39">
        <f t="shared" ca="1" si="7"/>
        <v>237.71970279044359</v>
      </c>
      <c r="X39">
        <f t="shared" ca="1" si="17"/>
        <v>241.9281152425406</v>
      </c>
      <c r="Y39">
        <f t="shared" ca="1" si="16"/>
        <v>-3.8097029204101034</v>
      </c>
      <c r="Z39">
        <f t="shared" ca="1" si="18"/>
        <v>-4.4736471046981343</v>
      </c>
      <c r="AA39">
        <f t="shared" ca="1" si="19"/>
        <v>0.66394418428803093</v>
      </c>
    </row>
    <row r="40" spans="1:27" x14ac:dyDescent="0.25">
      <c r="A40" s="20">
        <f t="shared" ca="1" si="0"/>
        <v>45761</v>
      </c>
      <c r="B40" vm="114">
        <f ca="1"/>
        <v>45764</v>
      </c>
      <c r="C40" vm="115">
        <f ca="1"/>
        <v>238.81</v>
      </c>
      <c r="D40" vm="116">
        <f ca="1"/>
        <v>4635204</v>
      </c>
      <c r="E40">
        <f t="shared" ca="1" si="1"/>
        <v>1106933067.24</v>
      </c>
      <c r="F40">
        <f ca="1">SUM($E$2:E40)/SUM($D$2:D40)</f>
        <v>245.30391517659919</v>
      </c>
      <c r="G40">
        <f ca="1">_xlfn.STDEV.P($C$2:C40)</f>
        <v>9.2266588355475196</v>
      </c>
      <c r="H40">
        <f t="shared" ca="1" si="2"/>
        <v>254.5305740121467</v>
      </c>
      <c r="I40">
        <f t="shared" ca="1" si="3"/>
        <v>236.07725634105168</v>
      </c>
      <c r="J40">
        <f t="shared" ca="1" si="12"/>
        <v>240.35050000000001</v>
      </c>
      <c r="K40">
        <f t="shared" ca="1" si="13"/>
        <v>8.9218451448942826</v>
      </c>
      <c r="L40">
        <f t="shared" ca="1" si="14"/>
        <v>258.19419028978859</v>
      </c>
      <c r="M40">
        <f t="shared" ca="1" si="15"/>
        <v>222.50680971021146</v>
      </c>
      <c r="N40">
        <f t="shared" ca="1" si="4"/>
        <v>0.24000000000000909</v>
      </c>
      <c r="O40">
        <f t="shared" ca="1" si="5"/>
        <v>0.24000000000000909</v>
      </c>
      <c r="P40">
        <f t="shared" ca="1" si="6"/>
        <v>0</v>
      </c>
      <c r="Q40">
        <f t="shared" ca="1" si="10"/>
        <v>1.9879409532086181</v>
      </c>
      <c r="R40">
        <f t="shared" ca="1" si="11"/>
        <v>2.2617860059011385</v>
      </c>
      <c r="S40">
        <f t="shared" ca="1" si="8"/>
        <v>0.87892530417199421</v>
      </c>
      <c r="T40">
        <f t="shared" ca="1" si="9"/>
        <v>46.77808650617537</v>
      </c>
      <c r="U40">
        <f>70</f>
        <v>70</v>
      </c>
      <c r="V40">
        <f>30</f>
        <v>30</v>
      </c>
      <c r="W40">
        <f t="shared" ca="1" si="7"/>
        <v>237.88744082268303</v>
      </c>
      <c r="X40">
        <f t="shared" ca="1" si="17"/>
        <v>241.69714374309314</v>
      </c>
      <c r="Y40">
        <f t="shared" ca="1" si="16"/>
        <v>-3.6605179264057028</v>
      </c>
      <c r="Z40">
        <f t="shared" ca="1" si="18"/>
        <v>-4.3110212690396486</v>
      </c>
      <c r="AA40">
        <f t="shared" ca="1" si="19"/>
        <v>0.65050334263394571</v>
      </c>
    </row>
    <row r="41" spans="1:27" x14ac:dyDescent="0.25">
      <c r="A41" s="20">
        <f t="shared" ca="1" si="0"/>
        <v>45768</v>
      </c>
      <c r="B41" vm="117">
        <f ca="1"/>
        <v>45768</v>
      </c>
      <c r="C41" vm="118">
        <f ca="1"/>
        <v>236.22</v>
      </c>
      <c r="D41" vm="119">
        <f ca="1"/>
        <v>4908923</v>
      </c>
      <c r="E41">
        <f t="shared" ca="1" si="1"/>
        <v>1159585791.0599999</v>
      </c>
      <c r="F41">
        <f ca="1">SUM($E$2:E41)/SUM($D$2:D41)</f>
        <v>245.08166324847511</v>
      </c>
      <c r="G41">
        <f ca="1">_xlfn.STDEV.P($C$2:C41)</f>
        <v>9.2405085763717576</v>
      </c>
      <c r="H41">
        <f t="shared" ca="1" si="2"/>
        <v>254.32217182484686</v>
      </c>
      <c r="I41">
        <f t="shared" ca="1" si="3"/>
        <v>235.84115467210336</v>
      </c>
      <c r="J41">
        <f t="shared" ca="1" si="12"/>
        <v>239.96800000000002</v>
      </c>
      <c r="K41">
        <f t="shared" ca="1" si="13"/>
        <v>8.9269996138267622</v>
      </c>
      <c r="L41">
        <f t="shared" ca="1" si="14"/>
        <v>257.82199922765352</v>
      </c>
      <c r="M41">
        <f t="shared" ca="1" si="15"/>
        <v>222.11400077234649</v>
      </c>
      <c r="N41">
        <f t="shared" ca="1" si="4"/>
        <v>-2.5900000000000034</v>
      </c>
      <c r="O41">
        <f t="shared" ca="1" si="5"/>
        <v>0</v>
      </c>
      <c r="P41">
        <f t="shared" ca="1" si="6"/>
        <v>2.5900000000000034</v>
      </c>
      <c r="Q41">
        <f t="shared" ca="1" si="10"/>
        <v>1.8459451708365739</v>
      </c>
      <c r="R41">
        <f t="shared" ca="1" si="11"/>
        <v>2.2852298626224861</v>
      </c>
      <c r="S41">
        <f t="shared" ca="1" si="8"/>
        <v>0.80777220752673107</v>
      </c>
      <c r="T41">
        <f t="shared" ca="1" si="9"/>
        <v>44.6832960570773</v>
      </c>
      <c r="U41">
        <f>70</f>
        <v>70</v>
      </c>
      <c r="V41">
        <f>30</f>
        <v>30</v>
      </c>
      <c r="W41">
        <f t="shared" ca="1" si="7"/>
        <v>237.6309114653472</v>
      </c>
      <c r="X41">
        <f t="shared" ca="1" si="17"/>
        <v>241.2914293917529</v>
      </c>
      <c r="Y41">
        <f t="shared" ca="1" si="16"/>
        <v>-3.1285864590072947</v>
      </c>
      <c r="Z41">
        <f t="shared" ca="1" si="18"/>
        <v>-4.0745343070331783</v>
      </c>
      <c r="AA41">
        <f t="shared" ca="1" si="19"/>
        <v>0.94594784802588361</v>
      </c>
    </row>
    <row r="42" spans="1:27" x14ac:dyDescent="0.25">
      <c r="A42" s="20">
        <f t="shared" ca="1" si="0"/>
        <v>45768</v>
      </c>
      <c r="B42" vm="120">
        <f ca="1"/>
        <v>45769</v>
      </c>
      <c r="C42" vm="121">
        <f ca="1"/>
        <v>240.9</v>
      </c>
      <c r="D42" vm="122">
        <f ca="1"/>
        <v>4232658</v>
      </c>
      <c r="E42">
        <f t="shared" ca="1" si="1"/>
        <v>1019647312.2</v>
      </c>
      <c r="F42">
        <f ca="1">SUM($E$2:E42)/SUM($D$2:D42)</f>
        <v>244.99526957886718</v>
      </c>
      <c r="G42">
        <f ca="1">_xlfn.STDEV.P($C$2:C42)</f>
        <v>9.1591693523087176</v>
      </c>
      <c r="H42">
        <f t="shared" ca="1" si="2"/>
        <v>254.15443893117589</v>
      </c>
      <c r="I42">
        <f t="shared" ca="1" si="3"/>
        <v>235.83610022655847</v>
      </c>
      <c r="J42">
        <f t="shared" ca="1" si="12"/>
        <v>239.59050000000002</v>
      </c>
      <c r="K42">
        <f t="shared" ca="1" si="13"/>
        <v>8.7063476389658554</v>
      </c>
      <c r="L42">
        <f t="shared" ca="1" si="14"/>
        <v>257.00319527793175</v>
      </c>
      <c r="M42">
        <f t="shared" ca="1" si="15"/>
        <v>222.17780472206832</v>
      </c>
      <c r="N42">
        <f t="shared" ca="1" si="4"/>
        <v>4.6800000000000068</v>
      </c>
      <c r="O42">
        <f t="shared" ca="1" si="5"/>
        <v>4.6800000000000068</v>
      </c>
      <c r="P42">
        <f t="shared" ca="1" si="6"/>
        <v>0</v>
      </c>
      <c r="Q42">
        <f t="shared" ca="1" si="10"/>
        <v>2.0483776586339619</v>
      </c>
      <c r="R42">
        <f t="shared" ca="1" si="11"/>
        <v>2.1219991581494511</v>
      </c>
      <c r="S42">
        <f t="shared" ca="1" si="8"/>
        <v>0.96530559438124719</v>
      </c>
      <c r="T42">
        <f t="shared" ca="1" si="9"/>
        <v>49.117327968791642</v>
      </c>
      <c r="U42">
        <f>70</f>
        <v>70</v>
      </c>
      <c r="V42">
        <f>30</f>
        <v>30</v>
      </c>
      <c r="W42">
        <f t="shared" ca="1" si="7"/>
        <v>238.13384816298611</v>
      </c>
      <c r="X42">
        <f t="shared" ca="1" si="17"/>
        <v>241.26243462199341</v>
      </c>
      <c r="Y42">
        <f t="shared" ca="1" si="16"/>
        <v>-2.3108215035355784</v>
      </c>
      <c r="Z42">
        <f t="shared" ca="1" si="18"/>
        <v>-3.7217917463336585</v>
      </c>
      <c r="AA42">
        <f t="shared" ca="1" si="19"/>
        <v>1.4109702427980801</v>
      </c>
    </row>
    <row r="43" spans="1:27" x14ac:dyDescent="0.25">
      <c r="A43" s="20">
        <f t="shared" ca="1" si="0"/>
        <v>45768</v>
      </c>
      <c r="B43" vm="123">
        <f ca="1"/>
        <v>45770</v>
      </c>
      <c r="C43" vm="124">
        <f ca="1"/>
        <v>245.48</v>
      </c>
      <c r="D43" vm="125">
        <f ca="1"/>
        <v>7948259</v>
      </c>
      <c r="E43">
        <f t="shared" ca="1" si="1"/>
        <v>1951138619.3199999</v>
      </c>
      <c r="F43">
        <f ca="1">SUM($E$2:E43)/SUM($D$2:D43)</f>
        <v>245.01337303639696</v>
      </c>
      <c r="G43">
        <f ca="1">_xlfn.STDEV.P($C$2:C43)</f>
        <v>9.0495625356239078</v>
      </c>
      <c r="H43">
        <f t="shared" ca="1" si="2"/>
        <v>254.06293557202088</v>
      </c>
      <c r="I43">
        <f t="shared" ca="1" si="3"/>
        <v>235.96381050077304</v>
      </c>
      <c r="J43">
        <f t="shared" ca="1" si="12"/>
        <v>239.36949999999996</v>
      </c>
      <c r="K43">
        <f t="shared" ca="1" si="13"/>
        <v>8.484142778396091</v>
      </c>
      <c r="L43">
        <f t="shared" ca="1" si="14"/>
        <v>256.33778555679214</v>
      </c>
      <c r="M43">
        <f t="shared" ca="1" si="15"/>
        <v>222.40121444320778</v>
      </c>
      <c r="N43">
        <f t="shared" ca="1" si="4"/>
        <v>4.5799999999999841</v>
      </c>
      <c r="O43">
        <f t="shared" ca="1" si="5"/>
        <v>4.5799999999999841</v>
      </c>
      <c r="P43">
        <f t="shared" ca="1" si="6"/>
        <v>0</v>
      </c>
      <c r="Q43">
        <f t="shared" ca="1" si="10"/>
        <v>2.2292078258743921</v>
      </c>
      <c r="R43">
        <f t="shared" ca="1" si="11"/>
        <v>1.9704277897102045</v>
      </c>
      <c r="S43">
        <f t="shared" ca="1" si="8"/>
        <v>1.1313319054448816</v>
      </c>
      <c r="T43">
        <f t="shared" ca="1" si="9"/>
        <v>53.080982016676288</v>
      </c>
      <c r="U43">
        <f>70</f>
        <v>70</v>
      </c>
      <c r="V43">
        <f>30</f>
        <v>30</v>
      </c>
      <c r="W43">
        <f t="shared" ca="1" si="7"/>
        <v>239.26402536868056</v>
      </c>
      <c r="X43">
        <f t="shared" ca="1" si="17"/>
        <v>241.57484687221614</v>
      </c>
      <c r="Y43">
        <f t="shared" ca="1" si="16"/>
        <v>-2.9321074044789555</v>
      </c>
      <c r="Z43">
        <f t="shared" ca="1" si="18"/>
        <v>-3.5638548779627182</v>
      </c>
      <c r="AA43">
        <f t="shared" ca="1" si="19"/>
        <v>0.6317474734837627</v>
      </c>
    </row>
    <row r="44" spans="1:27" x14ac:dyDescent="0.25">
      <c r="A44" s="20">
        <f t="shared" ca="1" si="0"/>
        <v>45768</v>
      </c>
      <c r="B44" vm="126">
        <f ca="1"/>
        <v>45771</v>
      </c>
      <c r="C44" vm="127">
        <f ca="1"/>
        <v>229.33</v>
      </c>
      <c r="D44" vm="128">
        <f ca="1"/>
        <v>15428144</v>
      </c>
      <c r="E44">
        <f t="shared" ca="1" si="1"/>
        <v>3538136263.52</v>
      </c>
      <c r="F44">
        <f ca="1">SUM($E$2:E44)/SUM($D$2:D44)</f>
        <v>243.95327149149753</v>
      </c>
      <c r="G44">
        <f ca="1">_xlfn.STDEV.P($C$2:C44)</f>
        <v>9.2791907784846952</v>
      </c>
      <c r="H44">
        <f t="shared" ca="1" si="2"/>
        <v>253.23246226998222</v>
      </c>
      <c r="I44">
        <f t="shared" ca="1" si="3"/>
        <v>234.67408071301284</v>
      </c>
      <c r="J44">
        <f t="shared" ca="1" si="12"/>
        <v>238.31899999999996</v>
      </c>
      <c r="K44">
        <f t="shared" ca="1" si="13"/>
        <v>8.3540144147652313</v>
      </c>
      <c r="L44">
        <f t="shared" ca="1" si="14"/>
        <v>255.02702882953042</v>
      </c>
      <c r="M44">
        <f t="shared" ca="1" si="15"/>
        <v>221.6109711704695</v>
      </c>
      <c r="N44">
        <f t="shared" ca="1" si="4"/>
        <v>-16.149999999999977</v>
      </c>
      <c r="O44">
        <f t="shared" ca="1" si="5"/>
        <v>0</v>
      </c>
      <c r="P44">
        <f t="shared" ca="1" si="6"/>
        <v>16.149999999999977</v>
      </c>
      <c r="Q44">
        <f t="shared" ca="1" si="10"/>
        <v>2.0699786954547927</v>
      </c>
      <c r="R44">
        <f t="shared" ca="1" si="11"/>
        <v>2.9832543761594743</v>
      </c>
      <c r="S44">
        <f t="shared" ca="1" si="8"/>
        <v>0.69386597133550598</v>
      </c>
      <c r="T44">
        <f t="shared" ca="1" si="9"/>
        <v>40.963451836064493</v>
      </c>
      <c r="U44">
        <f>70</f>
        <v>70</v>
      </c>
      <c r="V44">
        <f>30</f>
        <v>30</v>
      </c>
      <c r="W44">
        <f t="shared" ca="1" si="7"/>
        <v>237.73571377349896</v>
      </c>
      <c r="X44">
        <f t="shared" ca="1" si="17"/>
        <v>240.66782117797791</v>
      </c>
      <c r="Y44">
        <f t="shared" ca="1" si="16"/>
        <v>-3.1397575273892926</v>
      </c>
      <c r="Z44">
        <f t="shared" ca="1" si="18"/>
        <v>-3.4790354078480332</v>
      </c>
      <c r="AA44">
        <f t="shared" ca="1" si="19"/>
        <v>0.33927788045874063</v>
      </c>
    </row>
    <row r="45" spans="1:27" x14ac:dyDescent="0.25">
      <c r="A45" s="20">
        <f t="shared" ca="1" si="0"/>
        <v>45768</v>
      </c>
      <c r="B45" vm="129">
        <f ca="1"/>
        <v>45772</v>
      </c>
      <c r="C45" vm="130">
        <f ca="1"/>
        <v>232.41</v>
      </c>
      <c r="D45" vm="131">
        <f ca="1"/>
        <v>6700068</v>
      </c>
      <c r="E45">
        <f t="shared" ca="1" si="1"/>
        <v>1557162803.8799999</v>
      </c>
      <c r="F45">
        <f ca="1">SUM($E$2:E45)/SUM($D$2:D45)</f>
        <v>243.62408841666243</v>
      </c>
      <c r="G45">
        <f ca="1">_xlfn.STDEV.P($C$2:C45)</f>
        <v>9.37377578783817</v>
      </c>
      <c r="H45">
        <f t="shared" ca="1" si="2"/>
        <v>252.99786420450062</v>
      </c>
      <c r="I45">
        <f t="shared" ca="1" si="3"/>
        <v>234.25031262882425</v>
      </c>
      <c r="J45">
        <f t="shared" ca="1" si="12"/>
        <v>237.62899999999999</v>
      </c>
      <c r="K45">
        <f t="shared" ca="1" si="13"/>
        <v>8.2370407946441286</v>
      </c>
      <c r="L45">
        <f t="shared" ca="1" si="14"/>
        <v>254.10308158928825</v>
      </c>
      <c r="M45">
        <f t="shared" ca="1" si="15"/>
        <v>221.15491841071173</v>
      </c>
      <c r="N45">
        <f t="shared" ca="1" si="4"/>
        <v>3.0799999999999841</v>
      </c>
      <c r="O45">
        <f t="shared" ca="1" si="5"/>
        <v>3.0799999999999841</v>
      </c>
      <c r="P45">
        <f t="shared" ca="1" si="6"/>
        <v>0</v>
      </c>
      <c r="Q45">
        <f t="shared" ca="1" si="10"/>
        <v>2.1421230743508777</v>
      </c>
      <c r="R45">
        <f t="shared" ca="1" si="11"/>
        <v>2.770164777862369</v>
      </c>
      <c r="S45">
        <f t="shared" ca="1" si="8"/>
        <v>0.77328362972107123</v>
      </c>
      <c r="T45">
        <f t="shared" ca="1" si="9"/>
        <v>43.607441965880263</v>
      </c>
      <c r="U45">
        <f>70</f>
        <v>70</v>
      </c>
      <c r="V45">
        <f>30</f>
        <v>30</v>
      </c>
      <c r="W45">
        <f t="shared" ca="1" si="7"/>
        <v>236.91637319296063</v>
      </c>
      <c r="X45">
        <f t="shared" ca="1" si="17"/>
        <v>240.05613072034993</v>
      </c>
      <c r="Y45">
        <f t="shared" ca="1" si="16"/>
        <v>-2.967520358417147</v>
      </c>
      <c r="Z45">
        <f t="shared" ca="1" si="18"/>
        <v>-3.376732397961856</v>
      </c>
      <c r="AA45">
        <f t="shared" ca="1" si="19"/>
        <v>0.40921203954470897</v>
      </c>
    </row>
    <row r="46" spans="1:27" x14ac:dyDescent="0.25">
      <c r="A46" s="20">
        <f t="shared" ca="1" si="0"/>
        <v>45775</v>
      </c>
      <c r="B46" vm="132">
        <f ca="1"/>
        <v>45775</v>
      </c>
      <c r="C46" vm="133">
        <f ca="1"/>
        <v>236.16</v>
      </c>
      <c r="D46" vm="134">
        <f ca="1"/>
        <v>3653461</v>
      </c>
      <c r="E46">
        <f t="shared" ca="1" si="1"/>
        <v>862801349.75999999</v>
      </c>
      <c r="F46">
        <f ca="1">SUM($E$2:E46)/SUM($D$2:D46)</f>
        <v>243.50979814514486</v>
      </c>
      <c r="G46">
        <f ca="1">_xlfn.STDEV.P($C$2:C46)</f>
        <v>9.3614095066190384</v>
      </c>
      <c r="H46">
        <f t="shared" ca="1" si="2"/>
        <v>252.87120765176388</v>
      </c>
      <c r="I46">
        <f t="shared" ca="1" si="3"/>
        <v>234.14838863852583</v>
      </c>
      <c r="J46">
        <f t="shared" ca="1" si="12"/>
        <v>237.23699999999999</v>
      </c>
      <c r="K46">
        <f t="shared" ca="1" si="13"/>
        <v>8.1033554453500436</v>
      </c>
      <c r="L46">
        <f t="shared" ca="1" si="14"/>
        <v>253.44371089070009</v>
      </c>
      <c r="M46">
        <f t="shared" ca="1" si="15"/>
        <v>221.0302891092999</v>
      </c>
      <c r="N46">
        <f t="shared" ca="1" si="4"/>
        <v>3.75</v>
      </c>
      <c r="O46">
        <f t="shared" ca="1" si="5"/>
        <v>3.75</v>
      </c>
      <c r="P46">
        <f t="shared" ca="1" si="6"/>
        <v>0</v>
      </c>
      <c r="Q46">
        <f t="shared" ca="1" si="10"/>
        <v>2.2569714261829579</v>
      </c>
      <c r="R46">
        <f t="shared" ca="1" si="11"/>
        <v>2.5722958651579142</v>
      </c>
      <c r="S46">
        <f t="shared" ca="1" si="8"/>
        <v>0.87741517480704012</v>
      </c>
      <c r="T46">
        <f t="shared" ca="1" si="9"/>
        <v>46.735276596303237</v>
      </c>
      <c r="U46">
        <f>70</f>
        <v>70</v>
      </c>
      <c r="V46">
        <f>30</f>
        <v>30</v>
      </c>
      <c r="W46">
        <f t="shared" ca="1" si="7"/>
        <v>236.80000808635131</v>
      </c>
      <c r="X46">
        <f t="shared" ca="1" si="17"/>
        <v>239.76752844476846</v>
      </c>
      <c r="Y46">
        <f t="shared" ca="1" si="16"/>
        <v>-2.5410949940267926</v>
      </c>
      <c r="Z46">
        <f t="shared" ca="1" si="18"/>
        <v>-3.2096049171748438</v>
      </c>
      <c r="AA46">
        <f t="shared" ca="1" si="19"/>
        <v>0.66850992314805113</v>
      </c>
    </row>
    <row r="47" spans="1:27" x14ac:dyDescent="0.25">
      <c r="A47" s="20">
        <f t="shared" ca="1" si="0"/>
        <v>45775</v>
      </c>
      <c r="B47" vm="135">
        <f ca="1"/>
        <v>45776</v>
      </c>
      <c r="C47" vm="136">
        <f ca="1"/>
        <v>239.39</v>
      </c>
      <c r="D47" vm="137">
        <f ca="1"/>
        <v>3426508</v>
      </c>
      <c r="E47">
        <f t="shared" ca="1" si="1"/>
        <v>820271750.12</v>
      </c>
      <c r="F47">
        <f ca="1">SUM($E$2:E47)/SUM($D$2:D47)</f>
        <v>243.45147200623489</v>
      </c>
      <c r="G47">
        <f ca="1">_xlfn.STDEV.P($C$2:C47)</f>
        <v>9.2934162443900767</v>
      </c>
      <c r="H47">
        <f t="shared" ca="1" si="2"/>
        <v>252.74488825062497</v>
      </c>
      <c r="I47">
        <f t="shared" ca="1" si="3"/>
        <v>234.15805576184482</v>
      </c>
      <c r="J47">
        <f t="shared" ca="1" si="12"/>
        <v>236.77349999999996</v>
      </c>
      <c r="K47">
        <f t="shared" ca="1" si="13"/>
        <v>7.6690658698298746</v>
      </c>
      <c r="L47">
        <f t="shared" ca="1" si="14"/>
        <v>252.11163173965971</v>
      </c>
      <c r="M47">
        <f t="shared" ca="1" si="15"/>
        <v>221.4353682603402</v>
      </c>
      <c r="N47">
        <f t="shared" ca="1" si="4"/>
        <v>3.2299999999999898</v>
      </c>
      <c r="O47">
        <f t="shared" ca="1" si="5"/>
        <v>3.2299999999999898</v>
      </c>
      <c r="P47">
        <f t="shared" ca="1" si="6"/>
        <v>0</v>
      </c>
      <c r="Q47">
        <f t="shared" ca="1" si="10"/>
        <v>2.326473467169889</v>
      </c>
      <c r="R47">
        <f t="shared" ca="1" si="11"/>
        <v>2.388560446218063</v>
      </c>
      <c r="S47">
        <f t="shared" ca="1" si="8"/>
        <v>0.97400652801293786</v>
      </c>
      <c r="T47">
        <f t="shared" ca="1" si="9"/>
        <v>49.341606230319123</v>
      </c>
      <c r="U47">
        <f>70</f>
        <v>70</v>
      </c>
      <c r="V47">
        <f>30</f>
        <v>30</v>
      </c>
      <c r="W47">
        <f t="shared" ca="1" si="7"/>
        <v>237.19846838075881</v>
      </c>
      <c r="X47">
        <f t="shared" ca="1" si="17"/>
        <v>239.7395633747856</v>
      </c>
      <c r="Y47">
        <f t="shared" ca="1" si="16"/>
        <v>-1.9841965462107112</v>
      </c>
      <c r="Z47">
        <f t="shared" ca="1" si="18"/>
        <v>-2.9645232429820174</v>
      </c>
      <c r="AA47">
        <f t="shared" ca="1" si="19"/>
        <v>0.98032669677130624</v>
      </c>
    </row>
    <row r="48" spans="1:27" x14ac:dyDescent="0.25">
      <c r="A48" s="20">
        <f t="shared" ca="1" si="0"/>
        <v>45775</v>
      </c>
      <c r="B48" vm="138">
        <f ca="1"/>
        <v>45777</v>
      </c>
      <c r="C48" vm="139">
        <f ca="1"/>
        <v>241.82</v>
      </c>
      <c r="D48" vm="140">
        <f ca="1"/>
        <v>5142993</v>
      </c>
      <c r="E48">
        <f t="shared" ca="1" si="1"/>
        <v>1243678567.26</v>
      </c>
      <c r="F48">
        <f ca="1">SUM($E$2:E48)/SUM($D$2:D48)</f>
        <v>243.41752517938525</v>
      </c>
      <c r="G48">
        <f ca="1">_xlfn.STDEV.P($C$2:C48)</f>
        <v>9.2036880684137117</v>
      </c>
      <c r="H48">
        <f t="shared" ca="1" si="2"/>
        <v>252.62121324779895</v>
      </c>
      <c r="I48">
        <f t="shared" ca="1" si="3"/>
        <v>234.21383711097155</v>
      </c>
      <c r="J48">
        <f t="shared" ca="1" si="12"/>
        <v>236.3475</v>
      </c>
      <c r="K48">
        <f t="shared" ca="1" si="13"/>
        <v>7.0906334621623763</v>
      </c>
      <c r="L48">
        <f t="shared" ca="1" si="14"/>
        <v>250.52876692432474</v>
      </c>
      <c r="M48">
        <f t="shared" ca="1" si="15"/>
        <v>222.16623307567525</v>
      </c>
      <c r="N48">
        <f t="shared" ca="1" si="4"/>
        <v>2.4300000000000068</v>
      </c>
      <c r="O48">
        <f t="shared" ca="1" si="5"/>
        <v>2.4300000000000068</v>
      </c>
      <c r="P48">
        <f t="shared" ca="1" si="6"/>
        <v>0</v>
      </c>
      <c r="Q48">
        <f t="shared" ca="1" si="10"/>
        <v>2.3338682195148976</v>
      </c>
      <c r="R48">
        <f t="shared" ca="1" si="11"/>
        <v>2.2179489857739156</v>
      </c>
      <c r="S48">
        <f t="shared" ca="1" si="8"/>
        <v>1.0522641568784927</v>
      </c>
      <c r="T48">
        <f t="shared" ca="1" si="9"/>
        <v>51.27332918385094</v>
      </c>
      <c r="U48">
        <f>70</f>
        <v>70</v>
      </c>
      <c r="V48">
        <f>30</f>
        <v>30</v>
      </c>
      <c r="W48">
        <f t="shared" ca="1" si="7"/>
        <v>237.90947324525746</v>
      </c>
      <c r="X48">
        <f t="shared" ca="1" si="17"/>
        <v>239.89366979146817</v>
      </c>
      <c r="Y48">
        <f t="shared" ca="1" si="16"/>
        <v>-1.6975758643466747</v>
      </c>
      <c r="Z48">
        <f t="shared" ca="1" si="18"/>
        <v>-2.7111337672549487</v>
      </c>
      <c r="AA48">
        <f t="shared" ca="1" si="19"/>
        <v>1.013557902908274</v>
      </c>
    </row>
    <row r="49" spans="1:27" x14ac:dyDescent="0.25">
      <c r="A49" s="20">
        <f t="shared" ca="1" si="0"/>
        <v>45775</v>
      </c>
      <c r="B49" vm="141">
        <f ca="1"/>
        <v>45778</v>
      </c>
      <c r="C49" vm="142">
        <f ca="1"/>
        <v>239.66</v>
      </c>
      <c r="D49" vm="143">
        <f ca="1"/>
        <v>4243294</v>
      </c>
      <c r="E49">
        <f t="shared" ca="1" si="1"/>
        <v>1016947840.04</v>
      </c>
      <c r="F49">
        <f ca="1">SUM($E$2:E49)/SUM($D$2:D49)</f>
        <v>243.35410664834836</v>
      </c>
      <c r="G49">
        <f ca="1">_xlfn.STDEV.P($C$2:C49)</f>
        <v>9.1354982393735487</v>
      </c>
      <c r="H49">
        <f t="shared" ca="1" si="2"/>
        <v>252.48960488772192</v>
      </c>
      <c r="I49">
        <f t="shared" ca="1" si="3"/>
        <v>234.2186084089748</v>
      </c>
      <c r="J49">
        <f t="shared" ca="1" si="12"/>
        <v>235.83149999999995</v>
      </c>
      <c r="K49">
        <f t="shared" ca="1" si="13"/>
        <v>6.3869400259229625</v>
      </c>
      <c r="L49">
        <f t="shared" ca="1" si="14"/>
        <v>248.60538005184588</v>
      </c>
      <c r="M49">
        <f t="shared" ca="1" si="15"/>
        <v>223.05761994815401</v>
      </c>
      <c r="N49">
        <f t="shared" ca="1" si="4"/>
        <v>-2.1599999999999966</v>
      </c>
      <c r="O49">
        <f t="shared" ca="1" si="5"/>
        <v>0</v>
      </c>
      <c r="P49">
        <f t="shared" ca="1" si="6"/>
        <v>2.1599999999999966</v>
      </c>
      <c r="Q49">
        <f t="shared" ca="1" si="10"/>
        <v>2.167163346692405</v>
      </c>
      <c r="R49">
        <f t="shared" ca="1" si="11"/>
        <v>2.2138097725043502</v>
      </c>
      <c r="S49">
        <f t="shared" ca="1" si="8"/>
        <v>0.97892934325645475</v>
      </c>
      <c r="T49">
        <f t="shared" ca="1" si="9"/>
        <v>49.467624834222931</v>
      </c>
      <c r="U49">
        <f>70</f>
        <v>70</v>
      </c>
      <c r="V49">
        <f>30</f>
        <v>30</v>
      </c>
      <c r="W49">
        <f t="shared" ca="1" si="7"/>
        <v>238.17878505367941</v>
      </c>
      <c r="X49">
        <f t="shared" ca="1" si="17"/>
        <v>239.87636091802608</v>
      </c>
      <c r="Y49">
        <f t="shared" ca="1" si="16"/>
        <v>-0.98381235730968797</v>
      </c>
      <c r="Z49">
        <f t="shared" ca="1" si="18"/>
        <v>-2.3656694852658968</v>
      </c>
      <c r="AA49">
        <f t="shared" ca="1" si="19"/>
        <v>1.3818571279562089</v>
      </c>
    </row>
    <row r="50" spans="1:27" x14ac:dyDescent="0.25">
      <c r="A50" s="20">
        <f t="shared" ca="1" si="0"/>
        <v>45775</v>
      </c>
      <c r="B50" vm="144">
        <f ca="1"/>
        <v>45779</v>
      </c>
      <c r="C50" vm="145">
        <f ca="1"/>
        <v>245.55</v>
      </c>
      <c r="D50" vm="146">
        <f ca="1"/>
        <v>3731946</v>
      </c>
      <c r="E50">
        <f t="shared" ca="1" si="1"/>
        <v>916379340.30000007</v>
      </c>
      <c r="F50">
        <f ca="1">SUM($E$2:E50)/SUM($D$2:D50)</f>
        <v>243.38622539034975</v>
      </c>
      <c r="G50">
        <f ca="1">_xlfn.STDEV.P($C$2:C50)</f>
        <v>9.0428469687072877</v>
      </c>
      <c r="H50">
        <f t="shared" ca="1" si="2"/>
        <v>252.42907235905705</v>
      </c>
      <c r="I50">
        <f t="shared" ca="1" si="3"/>
        <v>234.34337842164246</v>
      </c>
      <c r="J50">
        <f t="shared" ca="1" si="12"/>
        <v>235.93449999999999</v>
      </c>
      <c r="K50">
        <f t="shared" ca="1" si="13"/>
        <v>6.5319115240406243</v>
      </c>
      <c r="L50">
        <f t="shared" ca="1" si="14"/>
        <v>248.99832304808123</v>
      </c>
      <c r="M50">
        <f t="shared" ca="1" si="15"/>
        <v>222.87067695191874</v>
      </c>
      <c r="N50">
        <f t="shared" ca="1" si="4"/>
        <v>5.8900000000000148</v>
      </c>
      <c r="O50">
        <f t="shared" ca="1" si="5"/>
        <v>5.8900000000000148</v>
      </c>
      <c r="P50">
        <f t="shared" ca="1" si="6"/>
        <v>0</v>
      </c>
      <c r="Q50">
        <f t="shared" ca="1" si="10"/>
        <v>2.4330802505000912</v>
      </c>
      <c r="R50">
        <f t="shared" ca="1" si="11"/>
        <v>2.0556805030397536</v>
      </c>
      <c r="S50">
        <f t="shared" ca="1" si="8"/>
        <v>1.1835887176544571</v>
      </c>
      <c r="T50">
        <f t="shared" ca="1" si="9"/>
        <v>54.203830056689029</v>
      </c>
      <c r="U50">
        <f>70</f>
        <v>70</v>
      </c>
      <c r="V50">
        <f>30</f>
        <v>30</v>
      </c>
      <c r="W50">
        <f t="shared" ca="1" si="7"/>
        <v>239.31281812234411</v>
      </c>
      <c r="X50">
        <f t="shared" ca="1" si="17"/>
        <v>240.2966304796538</v>
      </c>
      <c r="Y50">
        <f t="shared" ca="1" si="16"/>
        <v>-0.12381174800935923</v>
      </c>
      <c r="Z50">
        <f t="shared" ca="1" si="18"/>
        <v>-1.9172979378145893</v>
      </c>
      <c r="AA50">
        <f t="shared" ca="1" si="19"/>
        <v>1.7934861898052301</v>
      </c>
    </row>
    <row r="51" spans="1:27" x14ac:dyDescent="0.25">
      <c r="A51" s="20">
        <f t="shared" ca="1" si="0"/>
        <v>45782</v>
      </c>
      <c r="B51" vm="147">
        <f ca="1"/>
        <v>45782</v>
      </c>
      <c r="C51" vm="148">
        <f ca="1"/>
        <v>249.18</v>
      </c>
      <c r="D51" vm="149">
        <f ca="1"/>
        <v>4138168</v>
      </c>
      <c r="E51">
        <f t="shared" ca="1" si="1"/>
        <v>1031148702.24</v>
      </c>
      <c r="F51">
        <f ca="1">SUM($E$2:E51)/SUM($D$2:D51)</f>
        <v>243.47869401538566</v>
      </c>
      <c r="G51">
        <f ca="1">_xlfn.STDEV.P($C$2:C51)</f>
        <v>8.9749367819500545</v>
      </c>
      <c r="H51">
        <f t="shared" ca="1" si="2"/>
        <v>252.45363079733571</v>
      </c>
      <c r="I51">
        <f t="shared" ca="1" si="3"/>
        <v>234.50375723343561</v>
      </c>
      <c r="J51">
        <f t="shared" ca="1" si="12"/>
        <v>237.01950000000002</v>
      </c>
      <c r="K51">
        <f t="shared" ca="1" si="13"/>
        <v>6.8482487004458212</v>
      </c>
      <c r="L51">
        <f t="shared" ca="1" si="14"/>
        <v>250.71599740089167</v>
      </c>
      <c r="M51">
        <f t="shared" ca="1" si="15"/>
        <v>223.32300259910838</v>
      </c>
      <c r="N51">
        <f t="shared" ca="1" si="4"/>
        <v>3.6299999999999955</v>
      </c>
      <c r="O51">
        <f t="shared" ca="1" si="5"/>
        <v>3.6299999999999955</v>
      </c>
      <c r="P51">
        <f t="shared" ca="1" si="6"/>
        <v>0</v>
      </c>
      <c r="Q51">
        <f t="shared" ca="1" si="10"/>
        <v>2.5185745183215125</v>
      </c>
      <c r="R51">
        <f t="shared" ca="1" si="11"/>
        <v>1.9088461813940569</v>
      </c>
      <c r="S51">
        <f t="shared" ca="1" si="8"/>
        <v>1.3194224568069506</v>
      </c>
      <c r="T51">
        <f t="shared" ca="1" si="9"/>
        <v>56.885818835407115</v>
      </c>
      <c r="U51">
        <f>70</f>
        <v>70</v>
      </c>
      <c r="V51">
        <f>30</f>
        <v>30</v>
      </c>
      <c r="W51">
        <f t="shared" ca="1" si="7"/>
        <v>240.83084610352194</v>
      </c>
      <c r="X51">
        <f t="shared" ca="1" si="17"/>
        <v>240.95465785153129</v>
      </c>
      <c r="Y51">
        <f t="shared" ca="1" si="16"/>
        <v>0.54660253845679563</v>
      </c>
      <c r="Z51">
        <f t="shared" ca="1" si="18"/>
        <v>-1.4245178425603124</v>
      </c>
      <c r="AA51">
        <f t="shared" ca="1" si="19"/>
        <v>1.9711203810171081</v>
      </c>
    </row>
    <row r="52" spans="1:27" x14ac:dyDescent="0.25">
      <c r="A52" s="20">
        <f t="shared" ca="1" si="0"/>
        <v>45782</v>
      </c>
      <c r="B52" vm="150">
        <f ca="1"/>
        <v>45783</v>
      </c>
      <c r="C52" vm="151">
        <f ca="1"/>
        <v>249.12</v>
      </c>
      <c r="D52" vm="152">
        <f ca="1"/>
        <v>2900556</v>
      </c>
      <c r="E52">
        <f t="shared" ca="1" si="1"/>
        <v>722586510.72000003</v>
      </c>
      <c r="F52">
        <f ca="1">SUM($E$2:E52)/SUM($D$2:D52)</f>
        <v>243.54110401852222</v>
      </c>
      <c r="G52">
        <f ca="1">_xlfn.STDEV.P($C$2:C52)</f>
        <v>8.907735636595449</v>
      </c>
      <c r="H52">
        <f t="shared" ca="1" si="2"/>
        <v>252.44883965511767</v>
      </c>
      <c r="I52">
        <f t="shared" ca="1" si="3"/>
        <v>234.63336838192677</v>
      </c>
      <c r="J52">
        <f t="shared" ca="1" si="12"/>
        <v>238.18649999999997</v>
      </c>
      <c r="K52">
        <f t="shared" ca="1" si="13"/>
        <v>6.8207487434337164</v>
      </c>
      <c r="L52">
        <f t="shared" ca="1" si="14"/>
        <v>251.82799748686739</v>
      </c>
      <c r="M52">
        <f t="shared" ca="1" si="15"/>
        <v>224.54500251313254</v>
      </c>
      <c r="N52">
        <f t="shared" ca="1" si="4"/>
        <v>-6.0000000000002274E-2</v>
      </c>
      <c r="O52">
        <f t="shared" ca="1" si="5"/>
        <v>0</v>
      </c>
      <c r="P52">
        <f t="shared" ca="1" si="6"/>
        <v>6.0000000000002274E-2</v>
      </c>
      <c r="Q52">
        <f t="shared" ca="1" si="10"/>
        <v>2.3386763384414047</v>
      </c>
      <c r="R52">
        <f t="shared" ca="1" si="11"/>
        <v>1.7767857398659104</v>
      </c>
      <c r="S52">
        <f t="shared" ca="1" si="8"/>
        <v>1.3162399303237873</v>
      </c>
      <c r="T52">
        <f t="shared" ca="1" si="9"/>
        <v>56.826579711877692</v>
      </c>
      <c r="U52">
        <f>70</f>
        <v>70</v>
      </c>
      <c r="V52">
        <f>30</f>
        <v>30</v>
      </c>
      <c r="W52">
        <f t="shared" ca="1" si="7"/>
        <v>242.10610054913394</v>
      </c>
      <c r="X52">
        <f t="shared" ca="1" si="17"/>
        <v>241.55949801067715</v>
      </c>
      <c r="Y52">
        <f t="shared" ca="1" si="16"/>
        <v>1.4046581470732349</v>
      </c>
      <c r="Z52">
        <f t="shared" ca="1" si="18"/>
        <v>-0.858682644633603</v>
      </c>
      <c r="AA52">
        <f t="shared" ca="1" si="19"/>
        <v>2.2633407917068378</v>
      </c>
    </row>
    <row r="53" spans="1:27" x14ac:dyDescent="0.25">
      <c r="A53" s="20">
        <f t="shared" ca="1" si="0"/>
        <v>45782</v>
      </c>
      <c r="B53" vm="153">
        <f ca="1"/>
        <v>45784</v>
      </c>
      <c r="C53" vm="154">
        <f ca="1"/>
        <v>253.37</v>
      </c>
      <c r="D53" vm="155">
        <f ca="1"/>
        <v>3400001</v>
      </c>
      <c r="E53">
        <f t="shared" ca="1" si="1"/>
        <v>861458253.37</v>
      </c>
      <c r="F53">
        <f ca="1">SUM($E$2:E53)/SUM($D$2:D53)</f>
        <v>243.66693319649943</v>
      </c>
      <c r="G53">
        <f ca="1">_xlfn.STDEV.P($C$2:C53)</f>
        <v>8.9002993662669336</v>
      </c>
      <c r="H53">
        <f t="shared" ca="1" si="2"/>
        <v>252.56723256276635</v>
      </c>
      <c r="I53">
        <f t="shared" ca="1" si="3"/>
        <v>234.76663383023251</v>
      </c>
      <c r="J53">
        <f t="shared" ca="1" si="12"/>
        <v>239.80349999999999</v>
      </c>
      <c r="K53">
        <f t="shared" ca="1" si="13"/>
        <v>6.3570477052100047</v>
      </c>
      <c r="L53">
        <f t="shared" ca="1" si="14"/>
        <v>252.51759541042</v>
      </c>
      <c r="M53">
        <f t="shared" ca="1" si="15"/>
        <v>227.08940458957997</v>
      </c>
      <c r="N53">
        <f t="shared" ca="1" si="4"/>
        <v>4.25</v>
      </c>
      <c r="O53">
        <f t="shared" ca="1" si="5"/>
        <v>4.25</v>
      </c>
      <c r="P53">
        <f t="shared" ca="1" si="6"/>
        <v>0</v>
      </c>
      <c r="Q53">
        <f t="shared" ca="1" si="10"/>
        <v>2.4751994571241616</v>
      </c>
      <c r="R53">
        <f t="shared" ca="1" si="11"/>
        <v>1.6498724727326313</v>
      </c>
      <c r="S53">
        <f t="shared" ca="1" si="8"/>
        <v>1.5002368352898012</v>
      </c>
      <c r="T53">
        <f t="shared" ca="1" si="9"/>
        <v>60.003789005688709</v>
      </c>
      <c r="U53">
        <f>70</f>
        <v>70</v>
      </c>
      <c r="V53">
        <f>30</f>
        <v>30</v>
      </c>
      <c r="W53">
        <f t="shared" ca="1" si="7"/>
        <v>243.83900815695949</v>
      </c>
      <c r="X53">
        <f t="shared" ca="1" si="17"/>
        <v>242.43435000988626</v>
      </c>
      <c r="Y53">
        <f t="shared" ca="1" si="16"/>
        <v>2.1223409384727745</v>
      </c>
      <c r="Z53">
        <f t="shared" ca="1" si="18"/>
        <v>-0.26247792801232755</v>
      </c>
      <c r="AA53">
        <f t="shared" ca="1" si="19"/>
        <v>2.384818866485102</v>
      </c>
    </row>
    <row r="54" spans="1:27" x14ac:dyDescent="0.25">
      <c r="A54" s="20">
        <f t="shared" ca="1" si="0"/>
        <v>45782</v>
      </c>
      <c r="B54" vm="156">
        <f ca="1"/>
        <v>45785</v>
      </c>
      <c r="C54" vm="157">
        <f ca="1"/>
        <v>254.14</v>
      </c>
      <c r="D54" vm="158">
        <f ca="1"/>
        <v>3637012</v>
      </c>
      <c r="E54">
        <f t="shared" ca="1" si="1"/>
        <v>924310229.67999995</v>
      </c>
      <c r="F54">
        <f ca="1">SUM($E$2:E54)/SUM($D$2:D54)</f>
        <v>243.80841778809588</v>
      </c>
      <c r="G54">
        <f ca="1">_xlfn.STDEV.P($C$2:C54)</f>
        <v>8.9043593189370167</v>
      </c>
      <c r="H54">
        <f t="shared" ca="1" si="2"/>
        <v>252.71277710703291</v>
      </c>
      <c r="I54">
        <f t="shared" ca="1" si="3"/>
        <v>234.90405846915885</v>
      </c>
      <c r="J54">
        <f t="shared" ca="1" si="12"/>
        <v>240.74499999999998</v>
      </c>
      <c r="K54">
        <f t="shared" ca="1" si="13"/>
        <v>7.0166880026345604</v>
      </c>
      <c r="L54">
        <f t="shared" ca="1" si="14"/>
        <v>254.77837600526911</v>
      </c>
      <c r="M54">
        <f t="shared" ca="1" si="15"/>
        <v>226.71162399473084</v>
      </c>
      <c r="N54">
        <f t="shared" ca="1" si="4"/>
        <v>0.76999999999998181</v>
      </c>
      <c r="O54">
        <f t="shared" ca="1" si="5"/>
        <v>0.76999999999998181</v>
      </c>
      <c r="P54">
        <f t="shared" ca="1" si="6"/>
        <v>0</v>
      </c>
      <c r="Q54">
        <f t="shared" ca="1" si="10"/>
        <v>2.3533994959010056</v>
      </c>
      <c r="R54">
        <f t="shared" ca="1" si="11"/>
        <v>1.5320244389660149</v>
      </c>
      <c r="S54">
        <f t="shared" ca="1" si="8"/>
        <v>1.5361370458876937</v>
      </c>
      <c r="T54">
        <f t="shared" ca="1" si="9"/>
        <v>60.569954150487085</v>
      </c>
      <c r="U54">
        <f>70</f>
        <v>70</v>
      </c>
      <c r="V54">
        <f>30</f>
        <v>30</v>
      </c>
      <c r="W54">
        <f t="shared" ca="1" si="7"/>
        <v>245.42377613281189</v>
      </c>
      <c r="X54">
        <f t="shared" ca="1" si="17"/>
        <v>243.30143519433912</v>
      </c>
      <c r="Y54">
        <f t="shared" ca="1" si="16"/>
        <v>2.2663677301564462</v>
      </c>
      <c r="Z54">
        <f t="shared" ca="1" si="18"/>
        <v>0.24329120362142723</v>
      </c>
      <c r="AA54">
        <f t="shared" ca="1" si="19"/>
        <v>2.0230765265350188</v>
      </c>
    </row>
    <row r="55" spans="1:27" x14ac:dyDescent="0.25">
      <c r="A55" s="20">
        <f t="shared" ca="1" si="0"/>
        <v>45782</v>
      </c>
      <c r="B55" vm="159">
        <f ca="1"/>
        <v>45786</v>
      </c>
      <c r="C55" vm="160">
        <f ca="1"/>
        <v>249.2</v>
      </c>
      <c r="D55" vm="161">
        <f ca="1"/>
        <v>2901346</v>
      </c>
      <c r="E55">
        <f t="shared" ca="1" si="1"/>
        <v>723015423.19999993</v>
      </c>
      <c r="F55">
        <f ca="1">SUM($E$2:E55)/SUM($D$2:D55)</f>
        <v>243.86590232348664</v>
      </c>
      <c r="G55">
        <f ca="1">_xlfn.STDEV.P($C$2:C55)</f>
        <v>8.8387139311936096</v>
      </c>
      <c r="H55">
        <f t="shared" ca="1" si="2"/>
        <v>252.70461625468025</v>
      </c>
      <c r="I55">
        <f t="shared" ca="1" si="3"/>
        <v>235.02718839229303</v>
      </c>
      <c r="J55">
        <f t="shared" ca="1" si="12"/>
        <v>241.72750000000002</v>
      </c>
      <c r="K55">
        <f t="shared" ca="1" si="13"/>
        <v>6.7367693920829188</v>
      </c>
      <c r="L55">
        <f t="shared" ca="1" si="14"/>
        <v>255.20103878416586</v>
      </c>
      <c r="M55">
        <f t="shared" ca="1" si="15"/>
        <v>228.25396121583418</v>
      </c>
      <c r="N55">
        <f t="shared" ca="1" si="4"/>
        <v>-4.9399999999999977</v>
      </c>
      <c r="O55">
        <f t="shared" ca="1" si="5"/>
        <v>0</v>
      </c>
      <c r="P55">
        <f t="shared" ca="1" si="6"/>
        <v>4.9399999999999977</v>
      </c>
      <c r="Q55">
        <f t="shared" ca="1" si="10"/>
        <v>2.1852995319080768</v>
      </c>
      <c r="R55">
        <f t="shared" ca="1" si="11"/>
        <v>1.7754512647541565</v>
      </c>
      <c r="S55">
        <f t="shared" ca="1" si="8"/>
        <v>1.230841744456822</v>
      </c>
      <c r="T55">
        <f t="shared" ca="1" si="9"/>
        <v>55.173870917343557</v>
      </c>
      <c r="U55">
        <f>70</f>
        <v>70</v>
      </c>
      <c r="V55">
        <f>30</f>
        <v>30</v>
      </c>
      <c r="W55">
        <f t="shared" ca="1" si="7"/>
        <v>246.00473365084082</v>
      </c>
      <c r="X55">
        <f t="shared" ca="1" si="17"/>
        <v>243.73836592068437</v>
      </c>
      <c r="Y55">
        <f t="shared" ca="1" si="16"/>
        <v>2.7115583193085513</v>
      </c>
      <c r="Z55">
        <f t="shared" ca="1" si="18"/>
        <v>0.73694462675885208</v>
      </c>
      <c r="AA55">
        <f t="shared" ca="1" si="19"/>
        <v>1.9746136925496991</v>
      </c>
    </row>
    <row r="56" spans="1:27" x14ac:dyDescent="0.25">
      <c r="A56" s="20">
        <f t="shared" ca="1" si="0"/>
        <v>45789</v>
      </c>
      <c r="B56" vm="162">
        <f ca="1"/>
        <v>45789</v>
      </c>
      <c r="C56" vm="163">
        <f ca="1"/>
        <v>253.69</v>
      </c>
      <c r="D56" vm="164">
        <f ca="1"/>
        <v>4609520</v>
      </c>
      <c r="E56">
        <f t="shared" ca="1" si="1"/>
        <v>1169389128.8</v>
      </c>
      <c r="F56">
        <f ca="1">SUM($E$2:E56)/SUM($D$2:D56)</f>
        <v>244.02954202896248</v>
      </c>
      <c r="G56">
        <f ca="1">_xlfn.STDEV.P($C$2:C56)</f>
        <v>8.8313351947660799</v>
      </c>
      <c r="H56">
        <f t="shared" ca="1" si="2"/>
        <v>252.86087722372855</v>
      </c>
      <c r="I56">
        <f t="shared" ca="1" si="3"/>
        <v>235.19820683419641</v>
      </c>
      <c r="J56">
        <f t="shared" ca="1" si="12"/>
        <v>242.63799999999998</v>
      </c>
      <c r="K56">
        <f t="shared" ca="1" si="13"/>
        <v>7.0702755101533112</v>
      </c>
      <c r="L56">
        <f t="shared" ca="1" si="14"/>
        <v>256.77855102030662</v>
      </c>
      <c r="M56">
        <f t="shared" ca="1" si="15"/>
        <v>228.49744897969336</v>
      </c>
      <c r="N56">
        <f t="shared" ca="1" si="4"/>
        <v>4.4900000000000091</v>
      </c>
      <c r="O56">
        <f t="shared" ca="1" si="5"/>
        <v>4.4900000000000091</v>
      </c>
      <c r="P56">
        <f t="shared" ca="1" si="6"/>
        <v>0</v>
      </c>
      <c r="Q56">
        <f t="shared" ca="1" si="10"/>
        <v>2.3499209939146435</v>
      </c>
      <c r="R56">
        <f t="shared" ca="1" si="11"/>
        <v>1.6486333172717167</v>
      </c>
      <c r="S56">
        <f t="shared" ca="1" si="8"/>
        <v>1.4253751694181886</v>
      </c>
      <c r="T56">
        <f t="shared" ca="1" si="9"/>
        <v>58.769265365247179</v>
      </c>
      <c r="U56">
        <f>70</f>
        <v>70</v>
      </c>
      <c r="V56">
        <f>30</f>
        <v>30</v>
      </c>
      <c r="W56">
        <f t="shared" ca="1" si="7"/>
        <v>247.18708231994222</v>
      </c>
      <c r="X56">
        <f t="shared" ca="1" si="17"/>
        <v>244.47552400063367</v>
      </c>
      <c r="Y56">
        <f t="shared" ca="1" si="16"/>
        <v>3.4203366063159422</v>
      </c>
      <c r="Z56">
        <f t="shared" ca="1" si="18"/>
        <v>1.2736230226702703</v>
      </c>
      <c r="AA56">
        <f t="shared" ca="1" si="19"/>
        <v>2.1467135836456719</v>
      </c>
    </row>
    <row r="57" spans="1:27" x14ac:dyDescent="0.25">
      <c r="A57" s="20">
        <f t="shared" ca="1" si="0"/>
        <v>45789</v>
      </c>
      <c r="B57" vm="165">
        <f ca="1"/>
        <v>45790</v>
      </c>
      <c r="C57" vm="166">
        <f ca="1"/>
        <v>258.58999999999997</v>
      </c>
      <c r="D57" vm="167">
        <f ca="1"/>
        <v>3521389</v>
      </c>
      <c r="E57">
        <f t="shared" ca="1" si="1"/>
        <v>910595981.50999987</v>
      </c>
      <c r="F57">
        <f ca="1">SUM($E$2:E57)/SUM($D$2:D57)</f>
        <v>244.21249432518405</v>
      </c>
      <c r="G57">
        <f ca="1">_xlfn.STDEV.P($C$2:C57)</f>
        <v>8.9262046988210546</v>
      </c>
      <c r="H57">
        <f t="shared" ca="1" si="2"/>
        <v>253.13869902400512</v>
      </c>
      <c r="I57">
        <f t="shared" ca="1" si="3"/>
        <v>235.28628962636299</v>
      </c>
      <c r="J57">
        <f t="shared" ca="1" si="12"/>
        <v>243.61449999999996</v>
      </c>
      <c r="K57">
        <f t="shared" ca="1" si="13"/>
        <v>7.8552037562772057</v>
      </c>
      <c r="L57">
        <f t="shared" ca="1" si="14"/>
        <v>259.32490751255438</v>
      </c>
      <c r="M57">
        <f t="shared" ca="1" si="15"/>
        <v>227.90409248744555</v>
      </c>
      <c r="N57">
        <f t="shared" ca="1" si="4"/>
        <v>4.8999999999999773</v>
      </c>
      <c r="O57">
        <f t="shared" ca="1" si="5"/>
        <v>4.8999999999999773</v>
      </c>
      <c r="P57">
        <f t="shared" ca="1" si="6"/>
        <v>0</v>
      </c>
      <c r="Q57">
        <f t="shared" ca="1" si="10"/>
        <v>2.5320694943493103</v>
      </c>
      <c r="R57">
        <f t="shared" ca="1" si="11"/>
        <v>1.5308737946094513</v>
      </c>
      <c r="S57">
        <f t="shared" ca="1" si="8"/>
        <v>1.6540027683962537</v>
      </c>
      <c r="T57">
        <f t="shared" ca="1" si="9"/>
        <v>62.321064171147242</v>
      </c>
      <c r="U57">
        <f>70</f>
        <v>70</v>
      </c>
      <c r="V57">
        <f>30</f>
        <v>30</v>
      </c>
      <c r="W57">
        <f t="shared" ca="1" si="7"/>
        <v>248.94137734764342</v>
      </c>
      <c r="X57">
        <f t="shared" ca="1" si="17"/>
        <v>245.52104074132748</v>
      </c>
      <c r="Y57">
        <f t="shared" ca="1" si="16"/>
        <v>3.8752445336714061</v>
      </c>
      <c r="Z57">
        <f t="shared" ca="1" si="18"/>
        <v>1.7939473248704974</v>
      </c>
      <c r="AA57">
        <f t="shared" ca="1" si="19"/>
        <v>2.0812972088009087</v>
      </c>
    </row>
    <row r="58" spans="1:27" x14ac:dyDescent="0.25">
      <c r="A58" s="20">
        <f t="shared" ca="1" si="0"/>
        <v>45789</v>
      </c>
      <c r="B58" vm="168">
        <f ca="1"/>
        <v>45791</v>
      </c>
      <c r="C58" vm="169">
        <f ca="1"/>
        <v>257.82</v>
      </c>
      <c r="D58" vm="170">
        <f ca="1"/>
        <v>3635124</v>
      </c>
      <c r="E58">
        <f t="shared" ca="1" si="1"/>
        <v>937207669.67999995</v>
      </c>
      <c r="F58">
        <f ca="1">SUM($E$2:E58)/SUM($D$2:D58)</f>
        <v>244.3867350372623</v>
      </c>
      <c r="G58">
        <f ca="1">_xlfn.STDEV.P($C$2:C58)</f>
        <v>8.9923010194212392</v>
      </c>
      <c r="H58">
        <f t="shared" ca="1" si="2"/>
        <v>253.37903605668353</v>
      </c>
      <c r="I58">
        <f t="shared" ca="1" si="3"/>
        <v>235.39443401784106</v>
      </c>
      <c r="J58">
        <f t="shared" ca="1" si="12"/>
        <v>244.47049999999996</v>
      </c>
      <c r="K58">
        <f t="shared" ca="1" si="13"/>
        <v>8.4324794848939781</v>
      </c>
      <c r="L58">
        <f t="shared" ca="1" si="14"/>
        <v>261.33545896978791</v>
      </c>
      <c r="M58">
        <f t="shared" ca="1" si="15"/>
        <v>227.60554103021201</v>
      </c>
      <c r="N58">
        <f t="shared" ca="1" si="4"/>
        <v>-0.76999999999998181</v>
      </c>
      <c r="O58">
        <f t="shared" ca="1" si="5"/>
        <v>0</v>
      </c>
      <c r="P58">
        <f t="shared" ca="1" si="6"/>
        <v>0.76999999999998181</v>
      </c>
      <c r="Q58">
        <f t="shared" ca="1" si="10"/>
        <v>2.3512073876100739</v>
      </c>
      <c r="R58">
        <f t="shared" ca="1" si="11"/>
        <v>1.4765256664230606</v>
      </c>
      <c r="S58">
        <f t="shared" ca="1" si="8"/>
        <v>1.5923918161923747</v>
      </c>
      <c r="T58">
        <f t="shared" ca="1" si="9"/>
        <v>61.425584136090613</v>
      </c>
      <c r="U58">
        <f>70</f>
        <v>70</v>
      </c>
      <c r="V58">
        <f>30</f>
        <v>30</v>
      </c>
      <c r="W58">
        <f t="shared" ca="1" si="7"/>
        <v>250.30731929415981</v>
      </c>
      <c r="X58">
        <f t="shared" ca="1" si="17"/>
        <v>246.4320747604884</v>
      </c>
      <c r="Y58">
        <f t="shared" ca="1" si="16"/>
        <v>4.894272174378159</v>
      </c>
      <c r="Z58">
        <f t="shared" ca="1" si="18"/>
        <v>2.4140122947720295</v>
      </c>
      <c r="AA58">
        <f t="shared" ca="1" si="19"/>
        <v>2.4802598796061295</v>
      </c>
    </row>
    <row r="59" spans="1:27" x14ac:dyDescent="0.25">
      <c r="A59" s="20">
        <f t="shared" ca="1" si="0"/>
        <v>45789</v>
      </c>
      <c r="B59" vm="171">
        <f ca="1"/>
        <v>45792</v>
      </c>
      <c r="C59" vm="172">
        <f ca="1"/>
        <v>266.68</v>
      </c>
      <c r="D59" vm="173">
        <f ca="1"/>
        <v>4856276</v>
      </c>
      <c r="E59">
        <f t="shared" ca="1" si="1"/>
        <v>1295071683.6800001</v>
      </c>
      <c r="F59">
        <f ca="1">SUM($E$2:E59)/SUM($D$2:D59)</f>
        <v>244.7616757426396</v>
      </c>
      <c r="G59">
        <f ca="1">_xlfn.STDEV.P($C$2:C59)</f>
        <v>9.319770096690819</v>
      </c>
      <c r="H59">
        <f t="shared" ca="1" si="2"/>
        <v>254.08144583933043</v>
      </c>
      <c r="I59">
        <f t="shared" ca="1" si="3"/>
        <v>235.44190564594876</v>
      </c>
      <c r="J59">
        <f t="shared" ca="1" si="12"/>
        <v>245.87599999999998</v>
      </c>
      <c r="K59">
        <f t="shared" ca="1" si="13"/>
        <v>9.6517379945680997</v>
      </c>
      <c r="L59">
        <f t="shared" ca="1" si="14"/>
        <v>265.17947598913617</v>
      </c>
      <c r="M59">
        <f t="shared" ca="1" si="15"/>
        <v>226.57252401086379</v>
      </c>
      <c r="N59">
        <f t="shared" ca="1" si="4"/>
        <v>8.8600000000000136</v>
      </c>
      <c r="O59">
        <f t="shared" ca="1" si="5"/>
        <v>8.8600000000000136</v>
      </c>
      <c r="P59">
        <f t="shared" ca="1" si="6"/>
        <v>0</v>
      </c>
      <c r="Q59">
        <f t="shared" ca="1" si="10"/>
        <v>2.8161211456379265</v>
      </c>
      <c r="R59">
        <f t="shared" ca="1" si="11"/>
        <v>1.3710595473928422</v>
      </c>
      <c r="S59">
        <f t="shared" ca="1" si="8"/>
        <v>2.0539743521665135</v>
      </c>
      <c r="T59">
        <f t="shared" ca="1" si="9"/>
        <v>67.255782639739849</v>
      </c>
      <c r="U59">
        <f>70</f>
        <v>70</v>
      </c>
      <c r="V59">
        <f>30</f>
        <v>30</v>
      </c>
      <c r="W59">
        <f t="shared" ca="1" si="7"/>
        <v>252.82619324890447</v>
      </c>
      <c r="X59">
        <f t="shared" ca="1" si="17"/>
        <v>247.93192107452631</v>
      </c>
      <c r="Y59">
        <f t="shared" ca="1" si="16"/>
        <v>5.6432622384717206</v>
      </c>
      <c r="Z59">
        <f t="shared" ca="1" si="18"/>
        <v>3.059862283511968</v>
      </c>
      <c r="AA59">
        <f t="shared" ca="1" si="19"/>
        <v>2.5833999549597526</v>
      </c>
    </row>
    <row r="60" spans="1:27" x14ac:dyDescent="0.25">
      <c r="A60" s="20">
        <f t="shared" ca="1" si="0"/>
        <v>45789</v>
      </c>
      <c r="B60" vm="174">
        <f ca="1"/>
        <v>45793</v>
      </c>
      <c r="C60" vm="175">
        <f ca="1"/>
        <v>266.76</v>
      </c>
      <c r="D60" vm="176">
        <f ca="1"/>
        <v>3817937</v>
      </c>
      <c r="E60">
        <f t="shared" ca="1" si="1"/>
        <v>1018472874.12</v>
      </c>
      <c r="F60">
        <f ca="1">SUM($E$2:E60)/SUM($D$2:D60)</f>
        <v>245.04875318950187</v>
      </c>
      <c r="G60">
        <f ca="1">_xlfn.STDEV.P($C$2:C60)</f>
        <v>9.6156128696484338</v>
      </c>
      <c r="H60">
        <f t="shared" ca="1" si="2"/>
        <v>254.6643660591503</v>
      </c>
      <c r="I60">
        <f t="shared" ca="1" si="3"/>
        <v>235.43314031985344</v>
      </c>
      <c r="J60">
        <f t="shared" ca="1" si="12"/>
        <v>247.27350000000001</v>
      </c>
      <c r="K60">
        <f t="shared" ca="1" si="13"/>
        <v>10.555910928305323</v>
      </c>
      <c r="L60">
        <f t="shared" ca="1" si="14"/>
        <v>268.38532185661063</v>
      </c>
      <c r="M60">
        <f t="shared" ca="1" si="15"/>
        <v>226.16167814338937</v>
      </c>
      <c r="N60">
        <f t="shared" ca="1" si="4"/>
        <v>7.9999999999984084E-2</v>
      </c>
      <c r="O60">
        <f t="shared" ca="1" si="5"/>
        <v>7.9999999999984084E-2</v>
      </c>
      <c r="P60">
        <f t="shared" ca="1" si="6"/>
        <v>0</v>
      </c>
      <c r="Q60">
        <f t="shared" ca="1" si="10"/>
        <v>2.6206839209495021</v>
      </c>
      <c r="R60">
        <f t="shared" ca="1" si="11"/>
        <v>1.2731267225790679</v>
      </c>
      <c r="S60">
        <f t="shared" ca="1" si="8"/>
        <v>2.0584627393890429</v>
      </c>
      <c r="T60">
        <f t="shared" ca="1" si="9"/>
        <v>67.303835776016044</v>
      </c>
      <c r="U60">
        <f>70</f>
        <v>70</v>
      </c>
      <c r="V60">
        <f>30</f>
        <v>30</v>
      </c>
      <c r="W60">
        <f t="shared" ca="1" si="7"/>
        <v>254.96985582599609</v>
      </c>
      <c r="X60">
        <f t="shared" ca="1" si="17"/>
        <v>249.32659358752437</v>
      </c>
      <c r="Y60">
        <f t="shared" ca="1" si="16"/>
        <v>6.2973910665966457</v>
      </c>
      <c r="Z60">
        <f t="shared" ca="1" si="18"/>
        <v>3.7073680401289035</v>
      </c>
      <c r="AA60">
        <f t="shared" ca="1" si="19"/>
        <v>2.5900230264677422</v>
      </c>
    </row>
    <row r="61" spans="1:27" x14ac:dyDescent="0.25">
      <c r="A61" s="20">
        <f t="shared" ca="1" si="0"/>
        <v>45796</v>
      </c>
      <c r="B61" vm="177">
        <f ca="1"/>
        <v>45796</v>
      </c>
      <c r="C61" vm="178">
        <f ca="1"/>
        <v>268.41000000000003</v>
      </c>
      <c r="D61" vm="179">
        <f ca="1"/>
        <v>3198903</v>
      </c>
      <c r="E61">
        <f t="shared" ca="1" si="1"/>
        <v>858617554.23000014</v>
      </c>
      <c r="F61">
        <f ca="1">SUM($E$2:E61)/SUM($D$2:D61)</f>
        <v>245.3014239424335</v>
      </c>
      <c r="G61">
        <f ca="1">_xlfn.STDEV.P($C$2:C61)</f>
        <v>9.9389850029512026</v>
      </c>
      <c r="H61">
        <f t="shared" ca="1" si="2"/>
        <v>255.2404089453847</v>
      </c>
      <c r="I61">
        <f t="shared" ca="1" si="3"/>
        <v>235.3624389394823</v>
      </c>
      <c r="J61">
        <f t="shared" ca="1" si="12"/>
        <v>248.88299999999998</v>
      </c>
      <c r="K61">
        <f t="shared" ca="1" si="13"/>
        <v>11.2153086636549</v>
      </c>
      <c r="L61">
        <f t="shared" ca="1" si="14"/>
        <v>271.31361732730977</v>
      </c>
      <c r="M61">
        <f t="shared" ca="1" si="15"/>
        <v>226.45238267269019</v>
      </c>
      <c r="N61">
        <f t="shared" ca="1" si="4"/>
        <v>1.6500000000000341</v>
      </c>
      <c r="O61">
        <f t="shared" ca="1" si="5"/>
        <v>1.6500000000000341</v>
      </c>
      <c r="P61">
        <f t="shared" ca="1" si="6"/>
        <v>0</v>
      </c>
      <c r="Q61">
        <f t="shared" ca="1" si="10"/>
        <v>2.5513493551673969</v>
      </c>
      <c r="R61">
        <f t="shared" ca="1" si="11"/>
        <v>1.1821890995377058</v>
      </c>
      <c r="S61">
        <f t="shared" ca="1" si="8"/>
        <v>2.1581567248125535</v>
      </c>
      <c r="T61">
        <f t="shared" ca="1" si="9"/>
        <v>68.335960272543048</v>
      </c>
      <c r="U61">
        <f>70</f>
        <v>70</v>
      </c>
      <c r="V61">
        <f>30</f>
        <v>30</v>
      </c>
      <c r="W61">
        <f t="shared" ca="1" si="7"/>
        <v>257.03757031430439</v>
      </c>
      <c r="X61">
        <f t="shared" ca="1" si="17"/>
        <v>250.74017924770774</v>
      </c>
      <c r="Y61">
        <f t="shared" ca="1" si="16"/>
        <v>6.621652785878581</v>
      </c>
      <c r="Z61">
        <f t="shared" ca="1" si="18"/>
        <v>4.2902249892788396</v>
      </c>
      <c r="AA61">
        <f t="shared" ca="1" si="19"/>
        <v>2.3314277965997414</v>
      </c>
    </row>
    <row r="62" spans="1:27" x14ac:dyDescent="0.25">
      <c r="A62" s="20">
        <f t="shared" ca="1" si="0"/>
        <v>45796</v>
      </c>
      <c r="B62" vm="180">
        <f ca="1"/>
        <v>45797</v>
      </c>
      <c r="C62" vm="181">
        <f ca="1"/>
        <v>266.95</v>
      </c>
      <c r="D62" vm="182">
        <f ca="1"/>
        <v>2437860</v>
      </c>
      <c r="E62">
        <f t="shared" ca="1" si="1"/>
        <v>650786727</v>
      </c>
      <c r="F62">
        <f ca="1">SUM($E$2:E62)/SUM($D$2:D62)</f>
        <v>245.47840668465759</v>
      </c>
      <c r="G62">
        <f ca="1">_xlfn.STDEV.P($C$2:C62)</f>
        <v>10.181651905662649</v>
      </c>
      <c r="H62">
        <f t="shared" ca="1" si="2"/>
        <v>255.66005859032023</v>
      </c>
      <c r="I62">
        <f t="shared" ca="1" si="3"/>
        <v>235.29675477899494</v>
      </c>
      <c r="J62">
        <f t="shared" ca="1" si="12"/>
        <v>250.18549999999999</v>
      </c>
      <c r="K62">
        <f t="shared" ca="1" si="13"/>
        <v>11.739806093171351</v>
      </c>
      <c r="L62">
        <f t="shared" ca="1" si="14"/>
        <v>273.6651121863427</v>
      </c>
      <c r="M62">
        <f t="shared" ca="1" si="15"/>
        <v>226.70588781365728</v>
      </c>
      <c r="N62">
        <f t="shared" ca="1" si="4"/>
        <v>-1.4600000000000364</v>
      </c>
      <c r="O62">
        <f t="shared" ca="1" si="5"/>
        <v>0</v>
      </c>
      <c r="P62">
        <f t="shared" ca="1" si="6"/>
        <v>1.4600000000000364</v>
      </c>
      <c r="Q62">
        <f t="shared" ca="1" si="10"/>
        <v>2.3691101155125831</v>
      </c>
      <c r="R62">
        <f t="shared" ca="1" si="11"/>
        <v>1.2020327352850149</v>
      </c>
      <c r="S62">
        <f t="shared" ca="1" si="8"/>
        <v>1.9709197977464745</v>
      </c>
      <c r="T62">
        <f t="shared" ca="1" si="9"/>
        <v>66.340390583464156</v>
      </c>
      <c r="U62">
        <f>70</f>
        <v>70</v>
      </c>
      <c r="V62">
        <f>30</f>
        <v>30</v>
      </c>
      <c r="W62">
        <f t="shared" ca="1" si="7"/>
        <v>258.56255949671908</v>
      </c>
      <c r="X62">
        <f t="shared" ca="1" si="17"/>
        <v>251.94090671084049</v>
      </c>
      <c r="Y62">
        <f t="shared" ca="1" si="16"/>
        <v>6.3152293148216643</v>
      </c>
      <c r="Z62">
        <f t="shared" ca="1" si="18"/>
        <v>4.6952258543874041</v>
      </c>
      <c r="AA62">
        <f t="shared" ca="1" si="19"/>
        <v>1.6200034604342601</v>
      </c>
    </row>
    <row r="63" spans="1:27" x14ac:dyDescent="0.25">
      <c r="A63" s="20">
        <f t="shared" ca="1" si="0"/>
        <v>45796</v>
      </c>
      <c r="B63" vm="183">
        <f ca="1"/>
        <v>45798</v>
      </c>
      <c r="C63" vm="184">
        <f ca="1"/>
        <v>260.87</v>
      </c>
      <c r="D63" vm="185">
        <f ca="1"/>
        <v>3753904</v>
      </c>
      <c r="E63">
        <f t="shared" ca="1" si="1"/>
        <v>979280936.48000002</v>
      </c>
      <c r="F63">
        <f ca="1">SUM($E$2:E63)/SUM($D$2:D63)</f>
        <v>245.66975583962832</v>
      </c>
      <c r="G63">
        <f ca="1">_xlfn.STDEV.P($C$2:C63)</f>
        <v>10.245000938251097</v>
      </c>
      <c r="H63">
        <f t="shared" ca="1" si="2"/>
        <v>255.91475677787943</v>
      </c>
      <c r="I63">
        <f t="shared" ca="1" si="3"/>
        <v>235.42475490137721</v>
      </c>
      <c r="J63">
        <f t="shared" ca="1" si="12"/>
        <v>250.95499999999998</v>
      </c>
      <c r="K63">
        <f t="shared" ca="1" si="13"/>
        <v>11.918168571775748</v>
      </c>
      <c r="L63">
        <f t="shared" ca="1" si="14"/>
        <v>274.79133714355146</v>
      </c>
      <c r="M63">
        <f t="shared" ca="1" si="15"/>
        <v>227.11866285644848</v>
      </c>
      <c r="N63">
        <f t="shared" ca="1" si="4"/>
        <v>-6.0799999999999841</v>
      </c>
      <c r="O63">
        <f t="shared" ca="1" si="5"/>
        <v>0</v>
      </c>
      <c r="P63">
        <f t="shared" ca="1" si="6"/>
        <v>6.0799999999999841</v>
      </c>
      <c r="Q63">
        <f t="shared" ca="1" si="10"/>
        <v>2.1998879644045415</v>
      </c>
      <c r="R63">
        <f t="shared" ca="1" si="11"/>
        <v>1.5504589684789412</v>
      </c>
      <c r="S63">
        <f t="shared" ca="1" si="8"/>
        <v>1.4188624201791775</v>
      </c>
      <c r="T63">
        <f t="shared" ca="1" si="9"/>
        <v>58.658252257028948</v>
      </c>
      <c r="U63">
        <f>70</f>
        <v>70</v>
      </c>
      <c r="V63">
        <f>30</f>
        <v>30</v>
      </c>
      <c r="W63">
        <f t="shared" ca="1" si="7"/>
        <v>258.91755034337768</v>
      </c>
      <c r="X63">
        <f t="shared" ca="1" si="17"/>
        <v>252.60232102855602</v>
      </c>
      <c r="Y63">
        <f t="shared" ca="1" si="16"/>
        <v>5.8037553210896817</v>
      </c>
      <c r="Z63">
        <f t="shared" ca="1" si="18"/>
        <v>4.91693174772786</v>
      </c>
      <c r="AA63">
        <f t="shared" ca="1" si="19"/>
        <v>0.88682357336182172</v>
      </c>
    </row>
    <row r="64" spans="1:27" x14ac:dyDescent="0.25">
      <c r="A64" s="20">
        <f t="shared" ca="1" si="0"/>
        <v>45796</v>
      </c>
      <c r="B64" vm="186">
        <f ca="1"/>
        <v>45799</v>
      </c>
      <c r="C64" vm="187">
        <f ca="1"/>
        <v>258.37</v>
      </c>
      <c r="D64" vm="188">
        <f ca="1"/>
        <v>3091253</v>
      </c>
      <c r="E64">
        <f t="shared" ca="1" si="1"/>
        <v>798687037.61000001</v>
      </c>
      <c r="F64">
        <f ca="1">SUM($E$2:E64)/SUM($D$2:D64)</f>
        <v>245.79845714092386</v>
      </c>
      <c r="G64">
        <f ca="1">_xlfn.STDEV.P($C$2:C64)</f>
        <v>10.255113231568448</v>
      </c>
      <c r="H64">
        <f t="shared" ca="1" si="2"/>
        <v>256.05357037249229</v>
      </c>
      <c r="I64">
        <f t="shared" ca="1" si="3"/>
        <v>235.5433439093554</v>
      </c>
      <c r="J64">
        <f t="shared" ca="1" si="12"/>
        <v>252.40699999999998</v>
      </c>
      <c r="K64">
        <f t="shared" ca="1" si="13"/>
        <v>10.867594562687154</v>
      </c>
      <c r="L64">
        <f t="shared" ca="1" si="14"/>
        <v>274.14218912537427</v>
      </c>
      <c r="M64">
        <f t="shared" ca="1" si="15"/>
        <v>230.67181087462566</v>
      </c>
      <c r="N64">
        <f t="shared" ca="1" si="4"/>
        <v>-2.5</v>
      </c>
      <c r="O64">
        <f t="shared" ca="1" si="5"/>
        <v>0</v>
      </c>
      <c r="P64">
        <f t="shared" ca="1" si="6"/>
        <v>2.5</v>
      </c>
      <c r="Q64">
        <f t="shared" ca="1" si="10"/>
        <v>2.0427531098042171</v>
      </c>
      <c r="R64">
        <f t="shared" ca="1" si="11"/>
        <v>1.6182833278733024</v>
      </c>
      <c r="S64">
        <f t="shared" ca="1" si="8"/>
        <v>1.2622963325518157</v>
      </c>
      <c r="T64">
        <f t="shared" ca="1" si="9"/>
        <v>55.797125884387384</v>
      </c>
      <c r="U64">
        <f>70</f>
        <v>70</v>
      </c>
      <c r="V64">
        <f>30</f>
        <v>30</v>
      </c>
      <c r="W64">
        <f t="shared" ca="1" si="7"/>
        <v>258.8333118290119</v>
      </c>
      <c r="X64">
        <f t="shared" ca="1" si="17"/>
        <v>253.02955650792222</v>
      </c>
      <c r="Y64">
        <f t="shared" ca="1" si="16"/>
        <v>5.3576289120849765</v>
      </c>
      <c r="Z64">
        <f t="shared" ca="1" si="18"/>
        <v>5.0050711805992831</v>
      </c>
      <c r="AA64">
        <f t="shared" ca="1" si="19"/>
        <v>0.35255773148569336</v>
      </c>
    </row>
    <row r="65" spans="1:27" x14ac:dyDescent="0.25">
      <c r="A65" s="20">
        <f t="shared" ca="1" si="0"/>
        <v>45796</v>
      </c>
      <c r="B65" vm="189">
        <f ca="1"/>
        <v>45800</v>
      </c>
      <c r="C65" vm="190">
        <f ca="1"/>
        <v>258.63</v>
      </c>
      <c r="D65" vm="191">
        <f ca="1"/>
        <v>2722721</v>
      </c>
      <c r="E65">
        <f t="shared" ca="1" si="1"/>
        <v>704177332.23000002</v>
      </c>
      <c r="F65">
        <f ca="1">SUM($E$2:E65)/SUM($D$2:D65)</f>
        <v>245.91197368922832</v>
      </c>
      <c r="G65">
        <f ca="1">_xlfn.STDEV.P($C$2:C65)</f>
        <v>10.26634215055897</v>
      </c>
      <c r="H65">
        <f t="shared" ca="1" si="2"/>
        <v>256.17831583978727</v>
      </c>
      <c r="I65">
        <f t="shared" ca="1" si="3"/>
        <v>235.64563153866936</v>
      </c>
      <c r="J65">
        <f t="shared" ca="1" si="12"/>
        <v>253.71799999999999</v>
      </c>
      <c r="K65">
        <f t="shared" ca="1" si="13"/>
        <v>9.8634330523883733</v>
      </c>
      <c r="L65">
        <f t="shared" ca="1" si="14"/>
        <v>273.44486610477674</v>
      </c>
      <c r="M65">
        <f t="shared" ca="1" si="15"/>
        <v>233.99113389522324</v>
      </c>
      <c r="N65">
        <f t="shared" ca="1" si="4"/>
        <v>0.25999999999999091</v>
      </c>
      <c r="O65">
        <f t="shared" ca="1" si="5"/>
        <v>0.25999999999999091</v>
      </c>
      <c r="P65">
        <f t="shared" ca="1" si="6"/>
        <v>0</v>
      </c>
      <c r="Q65">
        <f t="shared" ca="1" si="10"/>
        <v>1.9154136019610581</v>
      </c>
      <c r="R65">
        <f t="shared" ca="1" si="11"/>
        <v>1.5026916615966379</v>
      </c>
      <c r="S65">
        <f t="shared" ca="1" si="8"/>
        <v>1.2746551078388866</v>
      </c>
      <c r="T65">
        <f t="shared" ca="1" si="9"/>
        <v>56.037291255548446</v>
      </c>
      <c r="U65">
        <f>70</f>
        <v>70</v>
      </c>
      <c r="V65">
        <f>30</f>
        <v>30</v>
      </c>
      <c r="W65">
        <f t="shared" ca="1" si="7"/>
        <v>258.80203308608702</v>
      </c>
      <c r="X65">
        <f t="shared" ca="1" si="17"/>
        <v>253.44440417400205</v>
      </c>
      <c r="Y65">
        <f t="shared" ca="1" si="16"/>
        <v>5.3139956410746265</v>
      </c>
      <c r="Z65">
        <f t="shared" ca="1" si="18"/>
        <v>5.0668560726943515</v>
      </c>
      <c r="AA65">
        <f t="shared" ca="1" si="19"/>
        <v>0.24713956838027507</v>
      </c>
    </row>
    <row r="66" spans="1:27" x14ac:dyDescent="0.25">
      <c r="A66" s="20">
        <f t="shared" ca="1" si="0"/>
        <v>45803</v>
      </c>
      <c r="B66" vm="192">
        <f ca="1"/>
        <v>45804</v>
      </c>
      <c r="C66" vm="193">
        <f ca="1"/>
        <v>263.23</v>
      </c>
      <c r="D66" vm="194">
        <f ca="1"/>
        <v>3284216</v>
      </c>
      <c r="E66">
        <f t="shared" ca="1" si="1"/>
        <v>864504177.68000007</v>
      </c>
      <c r="F66">
        <f ca="1">SUM($E$2:E66)/SUM($D$2:D66)</f>
        <v>246.09482472337703</v>
      </c>
      <c r="G66">
        <f ca="1">_xlfn.STDEV.P($C$2:C66)</f>
        <v>10.363349044024524</v>
      </c>
      <c r="H66">
        <f t="shared" ca="1" si="2"/>
        <v>256.45817376740155</v>
      </c>
      <c r="I66">
        <f t="shared" ca="1" si="3"/>
        <v>235.73147567935251</v>
      </c>
      <c r="J66">
        <f t="shared" ca="1" si="12"/>
        <v>255.07150000000001</v>
      </c>
      <c r="K66">
        <f t="shared" ca="1" si="13"/>
        <v>9.1594485440761648</v>
      </c>
      <c r="L66">
        <f t="shared" ca="1" si="14"/>
        <v>273.39039708815233</v>
      </c>
      <c r="M66">
        <f t="shared" ca="1" si="15"/>
        <v>236.75260291184767</v>
      </c>
      <c r="N66">
        <f t="shared" ca="1" si="4"/>
        <v>4.6000000000000227</v>
      </c>
      <c r="O66">
        <f t="shared" ca="1" si="5"/>
        <v>4.6000000000000227</v>
      </c>
      <c r="P66">
        <f t="shared" ca="1" si="6"/>
        <v>0</v>
      </c>
      <c r="Q66">
        <f t="shared" ca="1" si="10"/>
        <v>2.1071697732495553</v>
      </c>
      <c r="R66">
        <f t="shared" ca="1" si="11"/>
        <v>1.3953565429111638</v>
      </c>
      <c r="S66">
        <f t="shared" ca="1" si="8"/>
        <v>1.5101299979239138</v>
      </c>
      <c r="T66">
        <f t="shared" ca="1" si="9"/>
        <v>60.161425869294291</v>
      </c>
      <c r="U66">
        <f>70</f>
        <v>70</v>
      </c>
      <c r="V66">
        <f>30</f>
        <v>30</v>
      </c>
      <c r="W66">
        <f t="shared" ca="1" si="7"/>
        <v>259.48325876515059</v>
      </c>
      <c r="X66">
        <f t="shared" ca="1" si="17"/>
        <v>254.16926312407597</v>
      </c>
      <c r="Y66">
        <f t="shared" ca="1" si="16"/>
        <v>4.9807331564815627</v>
      </c>
      <c r="Z66">
        <f t="shared" ca="1" si="18"/>
        <v>5.0496314894517935</v>
      </c>
      <c r="AA66">
        <f t="shared" ca="1" si="19"/>
        <v>-6.8898332970230847E-2</v>
      </c>
    </row>
    <row r="67" spans="1:27" x14ac:dyDescent="0.25">
      <c r="A67" s="20">
        <f t="shared" ref="A67:A130" ca="1" si="20">B67 - WEEKDAY(B67, 2) + 1</f>
        <v>45803</v>
      </c>
      <c r="B67" vm="195">
        <f ca="1"/>
        <v>45805</v>
      </c>
      <c r="C67" vm="196">
        <f ca="1"/>
        <v>260.24</v>
      </c>
      <c r="D67" vm="197">
        <f ca="1"/>
        <v>2318437</v>
      </c>
      <c r="E67">
        <f t="shared" ref="E67:E130" ca="1" si="21">C67*D67</f>
        <v>603350044.88</v>
      </c>
      <c r="F67">
        <f ca="1">SUM($E$2:E67)/SUM($D$2:D67)</f>
        <v>246.19947633437161</v>
      </c>
      <c r="G67">
        <f ca="1">_xlfn.STDEV.P($C$2:C67)</f>
        <v>10.392600060585597</v>
      </c>
      <c r="H67">
        <f t="shared" ref="H67:H130" ca="1" si="22">F67 + G67</f>
        <v>256.59207639495719</v>
      </c>
      <c r="I67">
        <f t="shared" ref="I67:I130" ca="1" si="23">F67 - G67</f>
        <v>235.806876273786</v>
      </c>
      <c r="J67">
        <f t="shared" ca="1" si="12"/>
        <v>256.11399999999992</v>
      </c>
      <c r="K67">
        <f t="shared" ca="1" si="13"/>
        <v>8.4388895502966097</v>
      </c>
      <c r="L67">
        <f t="shared" ca="1" si="14"/>
        <v>272.99177910059313</v>
      </c>
      <c r="M67">
        <f t="shared" ca="1" si="15"/>
        <v>239.2362208994067</v>
      </c>
      <c r="N67">
        <f t="shared" ca="1" si="4"/>
        <v>-2.9900000000000091</v>
      </c>
      <c r="O67">
        <f t="shared" ca="1" si="5"/>
        <v>0</v>
      </c>
      <c r="P67">
        <f t="shared" ca="1" si="6"/>
        <v>2.9900000000000091</v>
      </c>
      <c r="Q67">
        <f t="shared" ca="1" si="10"/>
        <v>1.9566576465888728</v>
      </c>
      <c r="R67">
        <f t="shared" ca="1" si="11"/>
        <v>1.5092596469889386</v>
      </c>
      <c r="S67">
        <f t="shared" ca="1" si="8"/>
        <v>1.2964354082430545</v>
      </c>
      <c r="T67">
        <f t="shared" ca="1" si="9"/>
        <v>56.454250948644138</v>
      </c>
      <c r="U67">
        <f>70</f>
        <v>70</v>
      </c>
      <c r="V67">
        <f>30</f>
        <v>30</v>
      </c>
      <c r="W67">
        <f t="shared" ca="1" si="7"/>
        <v>259.59968049358895</v>
      </c>
      <c r="X67">
        <f t="shared" ca="1" si="17"/>
        <v>254.61894733710739</v>
      </c>
      <c r="Y67">
        <f t="shared" ca="1" si="16"/>
        <v>4.5392228548034836</v>
      </c>
      <c r="Z67">
        <f t="shared" ca="1" si="18"/>
        <v>4.9475497625221312</v>
      </c>
      <c r="AA67">
        <f t="shared" ca="1" si="19"/>
        <v>-0.40832690771864755</v>
      </c>
    </row>
    <row r="68" spans="1:27" x14ac:dyDescent="0.25">
      <c r="A68" s="20">
        <f t="shared" ca="1" si="20"/>
        <v>45803</v>
      </c>
      <c r="B68" vm="198">
        <f ca="1"/>
        <v>45806</v>
      </c>
      <c r="C68" vm="199">
        <f ca="1"/>
        <v>258.69</v>
      </c>
      <c r="D68" vm="200">
        <f ca="1"/>
        <v>2295228</v>
      </c>
      <c r="E68">
        <f t="shared" ca="1" si="21"/>
        <v>593752531.32000005</v>
      </c>
      <c r="F68">
        <f ca="1">SUM($E$2:E68)/SUM($D$2:D68)</f>
        <v>246.29029590419967</v>
      </c>
      <c r="G68">
        <f ca="1">_xlfn.STDEV.P($C$2:C68)</f>
        <v>10.393049963669853</v>
      </c>
      <c r="H68">
        <f t="shared" ca="1" si="22"/>
        <v>256.68334586786955</v>
      </c>
      <c r="I68">
        <f t="shared" ca="1" si="23"/>
        <v>235.89724594052981</v>
      </c>
      <c r="J68">
        <f t="shared" ca="1" si="12"/>
        <v>256.95749999999992</v>
      </c>
      <c r="K68">
        <f t="shared" ca="1" si="13"/>
        <v>7.7499398130090773</v>
      </c>
      <c r="L68">
        <f t="shared" ca="1" si="14"/>
        <v>272.45737962601805</v>
      </c>
      <c r="M68">
        <f t="shared" ca="1" si="15"/>
        <v>241.45762037398177</v>
      </c>
      <c r="N68">
        <f t="shared" ref="N68:N131" ca="1" si="24">C68-C67</f>
        <v>-1.5500000000000114</v>
      </c>
      <c r="O68">
        <f t="shared" ref="O68:O131" ca="1" si="25">MAX(N68,0)</f>
        <v>0</v>
      </c>
      <c r="P68">
        <f t="shared" ref="P68:P131" ca="1" si="26">MAX(-N68,0)</f>
        <v>1.5500000000000114</v>
      </c>
      <c r="Q68">
        <f t="shared" ca="1" si="10"/>
        <v>1.816896386118239</v>
      </c>
      <c r="R68">
        <f t="shared" ca="1" si="11"/>
        <v>1.5121696722040152</v>
      </c>
      <c r="S68">
        <f t="shared" ca="1" si="8"/>
        <v>1.2015162183950423</v>
      </c>
      <c r="T68">
        <f t="shared" ca="1" si="9"/>
        <v>54.576759796526787</v>
      </c>
      <c r="U68">
        <f>70</f>
        <v>70</v>
      </c>
      <c r="V68">
        <f>30</f>
        <v>30</v>
      </c>
      <c r="W68">
        <f t="shared" ca="1" si="7"/>
        <v>259.45972964842144</v>
      </c>
      <c r="X68">
        <f t="shared" ca="1" si="17"/>
        <v>254.92050679361796</v>
      </c>
      <c r="Y68">
        <f t="shared" ca="1" si="16"/>
        <v>4.1710968594168776</v>
      </c>
      <c r="Z68">
        <f t="shared" ca="1" si="18"/>
        <v>4.7922591819010805</v>
      </c>
      <c r="AA68">
        <f t="shared" ca="1" si="19"/>
        <v>-0.62116232248420289</v>
      </c>
    </row>
    <row r="69" spans="1:27" x14ac:dyDescent="0.25">
      <c r="A69" s="20">
        <f t="shared" ca="1" si="20"/>
        <v>45803</v>
      </c>
      <c r="B69" vm="201">
        <f ca="1"/>
        <v>45807</v>
      </c>
      <c r="C69" vm="202">
        <f ca="1"/>
        <v>259.06</v>
      </c>
      <c r="D69" vm="203">
        <f ca="1"/>
        <v>9668923</v>
      </c>
      <c r="E69">
        <f t="shared" ca="1" si="21"/>
        <v>2504831192.3800001</v>
      </c>
      <c r="F69">
        <f ca="1">SUM($E$2:E69)/SUM($D$2:D69)</f>
        <v>246.66981094754615</v>
      </c>
      <c r="G69">
        <f ca="1">_xlfn.STDEV.P($C$2:C69)</f>
        <v>10.396657135097565</v>
      </c>
      <c r="H69">
        <f t="shared" ca="1" si="22"/>
        <v>257.06646808264372</v>
      </c>
      <c r="I69">
        <f t="shared" ca="1" si="23"/>
        <v>236.27315381244858</v>
      </c>
      <c r="J69">
        <f t="shared" ca="1" si="12"/>
        <v>257.92749999999995</v>
      </c>
      <c r="K69">
        <f t="shared" ca="1" si="13"/>
        <v>6.5997160026617419</v>
      </c>
      <c r="L69">
        <f t="shared" ca="1" si="14"/>
        <v>271.12693200532345</v>
      </c>
      <c r="M69">
        <f t="shared" ca="1" si="15"/>
        <v>244.72806799467648</v>
      </c>
      <c r="N69">
        <f t="shared" ca="1" si="24"/>
        <v>0.37000000000000455</v>
      </c>
      <c r="O69">
        <f t="shared" ca="1" si="25"/>
        <v>0.37000000000000455</v>
      </c>
      <c r="P69">
        <f t="shared" ca="1" si="26"/>
        <v>0</v>
      </c>
      <c r="Q69">
        <f t="shared" ca="1" si="10"/>
        <v>1.7135466442526508</v>
      </c>
      <c r="R69">
        <f t="shared" ca="1" si="11"/>
        <v>1.4041575527608714</v>
      </c>
      <c r="S69">
        <f t="shared" ca="1" si="8"/>
        <v>1.2203378751077147</v>
      </c>
      <c r="T69">
        <f t="shared" ca="1" si="9"/>
        <v>54.9618095871338</v>
      </c>
      <c r="U69">
        <f>70</f>
        <v>70</v>
      </c>
      <c r="V69">
        <f>30</f>
        <v>30</v>
      </c>
      <c r="W69">
        <f t="shared" ca="1" si="7"/>
        <v>259.3982327794335</v>
      </c>
      <c r="X69">
        <f t="shared" ca="1" si="17"/>
        <v>255.22713592001662</v>
      </c>
      <c r="Y69">
        <f t="shared" ca="1" si="16"/>
        <v>4.2212420555166545</v>
      </c>
      <c r="Z69">
        <f t="shared" ca="1" si="18"/>
        <v>4.6780557566241958</v>
      </c>
      <c r="AA69">
        <f t="shared" ca="1" si="19"/>
        <v>-0.45681370110754127</v>
      </c>
    </row>
    <row r="70" spans="1:27" x14ac:dyDescent="0.25">
      <c r="A70" s="20">
        <f t="shared" ca="1" si="20"/>
        <v>45810</v>
      </c>
      <c r="B70" vm="204">
        <f ca="1"/>
        <v>45810</v>
      </c>
      <c r="C70" vm="205">
        <f ca="1"/>
        <v>263.89999999999998</v>
      </c>
      <c r="D70" vm="206">
        <f ca="1"/>
        <v>2831881</v>
      </c>
      <c r="E70">
        <f t="shared" ca="1" si="21"/>
        <v>747333395.89999998</v>
      </c>
      <c r="F70">
        <f ca="1">SUM($E$2:E70)/SUM($D$2:D70)</f>
        <v>246.81849730879992</v>
      </c>
      <c r="G70">
        <f ca="1">_xlfn.STDEV.P($C$2:C70)</f>
        <v>10.483794425572066</v>
      </c>
      <c r="H70">
        <f t="shared" ca="1" si="22"/>
        <v>257.30229173437198</v>
      </c>
      <c r="I70">
        <f t="shared" ca="1" si="23"/>
        <v>236.33470288322786</v>
      </c>
      <c r="J70">
        <f t="shared" ca="1" si="12"/>
        <v>258.84499999999997</v>
      </c>
      <c r="K70">
        <f t="shared" ca="1" si="13"/>
        <v>6.0402200203913807</v>
      </c>
      <c r="L70">
        <f t="shared" ca="1" si="14"/>
        <v>270.92544004078275</v>
      </c>
      <c r="M70">
        <f t="shared" ca="1" si="15"/>
        <v>246.76455995921719</v>
      </c>
      <c r="N70">
        <f t="shared" ca="1" si="24"/>
        <v>4.839999999999975</v>
      </c>
      <c r="O70">
        <f t="shared" ca="1" si="25"/>
        <v>4.839999999999975</v>
      </c>
      <c r="P70">
        <f t="shared" ca="1" si="26"/>
        <v>0</v>
      </c>
      <c r="Q70">
        <f t="shared" ca="1" si="10"/>
        <v>1.9368647410917454</v>
      </c>
      <c r="R70">
        <f t="shared" ca="1" si="11"/>
        <v>1.3038605847065234</v>
      </c>
      <c r="S70">
        <f t="shared" ca="1" si="8"/>
        <v>1.4854845401494365</v>
      </c>
      <c r="T70">
        <f t="shared" ca="1" si="9"/>
        <v>59.766396296318291</v>
      </c>
      <c r="U70">
        <f>70</f>
        <v>70</v>
      </c>
      <c r="V70">
        <f>30</f>
        <v>30</v>
      </c>
      <c r="W70">
        <f t="shared" ca="1" si="7"/>
        <v>260.09081235182833</v>
      </c>
      <c r="X70">
        <f t="shared" ca="1" si="17"/>
        <v>255.86957029631168</v>
      </c>
      <c r="Y70">
        <f t="shared" ca="1" si="16"/>
        <v>4.3161279834521906</v>
      </c>
      <c r="Z70">
        <f t="shared" ca="1" si="18"/>
        <v>4.6056702019897946</v>
      </c>
      <c r="AA70">
        <f t="shared" ca="1" si="19"/>
        <v>-0.28954221853760398</v>
      </c>
    </row>
    <row r="71" spans="1:27" x14ac:dyDescent="0.25">
      <c r="A71" s="20">
        <f t="shared" ca="1" si="20"/>
        <v>45810</v>
      </c>
      <c r="B71" vm="207">
        <f ca="1"/>
        <v>45811</v>
      </c>
      <c r="C71" vm="208">
        <f ca="1"/>
        <v>265.2</v>
      </c>
      <c r="D71" vm="209">
        <f ca="1"/>
        <v>2494922</v>
      </c>
      <c r="E71">
        <f t="shared" ca="1" si="21"/>
        <v>661653314.39999998</v>
      </c>
      <c r="F71">
        <f ca="1">SUM($E$2:E71)/SUM($D$2:D71)</f>
        <v>246.95719038768399</v>
      </c>
      <c r="G71">
        <f ca="1">_xlfn.STDEV.P($C$2:C71)</f>
        <v>10.590628645271291</v>
      </c>
      <c r="H71">
        <f t="shared" ca="1" si="22"/>
        <v>257.54781903295526</v>
      </c>
      <c r="I71">
        <f t="shared" ca="1" si="23"/>
        <v>236.3665617424127</v>
      </c>
      <c r="J71">
        <f t="shared" ca="1" si="12"/>
        <v>259.64599999999996</v>
      </c>
      <c r="K71">
        <f t="shared" ca="1" si="13"/>
        <v>5.7461322460828992</v>
      </c>
      <c r="L71">
        <f t="shared" ca="1" si="14"/>
        <v>271.13826449216577</v>
      </c>
      <c r="M71">
        <f t="shared" ca="1" si="15"/>
        <v>248.15373550783417</v>
      </c>
      <c r="N71">
        <f t="shared" ca="1" si="24"/>
        <v>1.3000000000000114</v>
      </c>
      <c r="O71">
        <f t="shared" ca="1" si="25"/>
        <v>1.3000000000000114</v>
      </c>
      <c r="P71">
        <f t="shared" ca="1" si="26"/>
        <v>0</v>
      </c>
      <c r="Q71">
        <f t="shared" ca="1" si="10"/>
        <v>1.891374402442336</v>
      </c>
      <c r="R71">
        <f t="shared" ca="1" si="11"/>
        <v>1.2107276857989147</v>
      </c>
      <c r="S71">
        <f t="shared" ca="1" si="8"/>
        <v>1.5621798564838201</v>
      </c>
      <c r="T71">
        <f t="shared" ca="1" si="9"/>
        <v>60.970733671587787</v>
      </c>
      <c r="U71">
        <f>70</f>
        <v>70</v>
      </c>
      <c r="V71">
        <f>30</f>
        <v>30</v>
      </c>
      <c r="W71">
        <f t="shared" ca="1" si="7"/>
        <v>260.87684122077781</v>
      </c>
      <c r="X71">
        <f t="shared" ca="1" si="17"/>
        <v>256.56071323732561</v>
      </c>
      <c r="Y71">
        <f t="shared" ca="1" si="16"/>
        <v>4.3668092320233427</v>
      </c>
      <c r="Z71">
        <f t="shared" ca="1" si="18"/>
        <v>4.5578980079965046</v>
      </c>
      <c r="AA71">
        <f t="shared" ca="1" si="19"/>
        <v>-0.19108877597316187</v>
      </c>
    </row>
    <row r="72" spans="1:27" x14ac:dyDescent="0.25">
      <c r="A72" s="20">
        <f t="shared" ca="1" si="20"/>
        <v>45810</v>
      </c>
      <c r="B72" vm="210">
        <f ca="1"/>
        <v>45812</v>
      </c>
      <c r="C72" vm="211">
        <f ca="1"/>
        <v>265.52</v>
      </c>
      <c r="D72" vm="212">
        <f ca="1"/>
        <v>2588741</v>
      </c>
      <c r="E72">
        <f t="shared" ca="1" si="21"/>
        <v>687362510.31999993</v>
      </c>
      <c r="F72">
        <f ca="1">SUM($E$2:E72)/SUM($D$2:D72)</f>
        <v>247.10138939575816</v>
      </c>
      <c r="G72">
        <f ca="1">_xlfn.STDEV.P($C$2:C72)</f>
        <v>10.695282339079991</v>
      </c>
      <c r="H72">
        <f t="shared" ca="1" si="22"/>
        <v>257.79667173483813</v>
      </c>
      <c r="I72">
        <f t="shared" ca="1" si="23"/>
        <v>236.40610705667817</v>
      </c>
      <c r="J72">
        <f t="shared" ca="1" si="12"/>
        <v>260.46600000000001</v>
      </c>
      <c r="K72">
        <f t="shared" ca="1" si="13"/>
        <v>5.3192890304507534</v>
      </c>
      <c r="L72">
        <f t="shared" ca="1" si="14"/>
        <v>271.10457806090153</v>
      </c>
      <c r="M72">
        <f t="shared" ca="1" si="15"/>
        <v>249.82742193909851</v>
      </c>
      <c r="N72">
        <f t="shared" ca="1" si="24"/>
        <v>0.31999999999999318</v>
      </c>
      <c r="O72">
        <f t="shared" ca="1" si="25"/>
        <v>0.31999999999999318</v>
      </c>
      <c r="P72">
        <f t="shared" ca="1" si="26"/>
        <v>0</v>
      </c>
      <c r="Q72">
        <f t="shared" ca="1" si="10"/>
        <v>1.7791333736964545</v>
      </c>
      <c r="R72">
        <f t="shared" ca="1" si="11"/>
        <v>1.1242471368132778</v>
      </c>
      <c r="S72">
        <f t="shared" ca="1" si="8"/>
        <v>1.582510922589029</v>
      </c>
      <c r="T72">
        <f t="shared" ca="1" si="9"/>
        <v>61.277995331865782</v>
      </c>
      <c r="U72">
        <f>70</f>
        <v>70</v>
      </c>
      <c r="V72">
        <f>30</f>
        <v>30</v>
      </c>
      <c r="W72">
        <f t="shared" ca="1" si="7"/>
        <v>261.59117334065814</v>
      </c>
      <c r="X72">
        <f t="shared" ca="1" si="17"/>
        <v>257.2243641086348</v>
      </c>
      <c r="Y72">
        <f t="shared" ca="1" si="16"/>
        <v>4.4636471420773773</v>
      </c>
      <c r="Z72">
        <f t="shared" ca="1" si="18"/>
        <v>4.5390478348126795</v>
      </c>
      <c r="AA72">
        <f t="shared" ca="1" si="19"/>
        <v>-7.5400692735302144E-2</v>
      </c>
    </row>
    <row r="73" spans="1:27" x14ac:dyDescent="0.25">
      <c r="A73" s="20">
        <f t="shared" ca="1" si="20"/>
        <v>45810</v>
      </c>
      <c r="B73" vm="213">
        <f ca="1"/>
        <v>45813</v>
      </c>
      <c r="C73" vm="214">
        <f ca="1"/>
        <v>266.86</v>
      </c>
      <c r="D73" vm="215">
        <f ca="1"/>
        <v>2659478</v>
      </c>
      <c r="E73">
        <f t="shared" ca="1" si="21"/>
        <v>709708299.08000004</v>
      </c>
      <c r="F73">
        <f ca="1">SUM($E$2:E73)/SUM($D$2:D73)</f>
        <v>247.2578232206115</v>
      </c>
      <c r="G73">
        <f ca="1">_xlfn.STDEV.P($C$2:C73)</f>
        <v>10.82009062397867</v>
      </c>
      <c r="H73">
        <f t="shared" ca="1" si="22"/>
        <v>258.07791384459017</v>
      </c>
      <c r="I73">
        <f t="shared" ca="1" si="23"/>
        <v>236.43773259663283</v>
      </c>
      <c r="J73">
        <f t="shared" ca="1" si="12"/>
        <v>261.14049999999992</v>
      </c>
      <c r="K73">
        <f t="shared" ca="1" si="13"/>
        <v>5.2266165718822082</v>
      </c>
      <c r="L73">
        <f t="shared" ca="1" si="14"/>
        <v>271.59373314376433</v>
      </c>
      <c r="M73">
        <f t="shared" ca="1" si="15"/>
        <v>250.68726685623551</v>
      </c>
      <c r="N73">
        <f t="shared" ca="1" si="24"/>
        <v>1.3400000000000318</v>
      </c>
      <c r="O73">
        <f t="shared" ca="1" si="25"/>
        <v>1.3400000000000318</v>
      </c>
      <c r="P73">
        <f t="shared" ca="1" si="26"/>
        <v>0</v>
      </c>
      <c r="Q73">
        <f t="shared" ca="1" si="10"/>
        <v>1.74776670414671</v>
      </c>
      <c r="R73">
        <f t="shared" ca="1" si="11"/>
        <v>1.0439437698980438</v>
      </c>
      <c r="S73">
        <f t="shared" ca="1" si="8"/>
        <v>1.6741962110827144</v>
      </c>
      <c r="T73">
        <f t="shared" ca="1" si="9"/>
        <v>62.605586087674347</v>
      </c>
      <c r="U73">
        <f>70</f>
        <v>70</v>
      </c>
      <c r="V73">
        <f>30</f>
        <v>30</v>
      </c>
      <c r="W73">
        <f t="shared" ca="1" si="7"/>
        <v>262.40176205747997</v>
      </c>
      <c r="X73">
        <f t="shared" ca="1" si="17"/>
        <v>257.93811491540259</v>
      </c>
      <c r="Y73">
        <f t="shared" ca="1" si="16"/>
        <v>4.6489914061701256</v>
      </c>
      <c r="Z73">
        <f t="shared" ca="1" si="18"/>
        <v>4.5610365490841689</v>
      </c>
      <c r="AA73">
        <f t="shared" ca="1" si="19"/>
        <v>8.7954857085956739E-2</v>
      </c>
    </row>
    <row r="74" spans="1:27" x14ac:dyDescent="0.25">
      <c r="A74" s="20">
        <f t="shared" ca="1" si="20"/>
        <v>45810</v>
      </c>
      <c r="B74" vm="216">
        <f ca="1"/>
        <v>45814</v>
      </c>
      <c r="C74" vm="217">
        <f ca="1"/>
        <v>268.87</v>
      </c>
      <c r="D74" vm="218">
        <f ca="1"/>
        <v>2495543</v>
      </c>
      <c r="E74">
        <f t="shared" ca="1" si="21"/>
        <v>670976646.40999997</v>
      </c>
      <c r="F74">
        <f ca="1">SUM($E$2:E74)/SUM($D$2:D74)</f>
        <v>247.41720067553382</v>
      </c>
      <c r="G74">
        <f ca="1">_xlfn.STDEV.P($C$2:C74)</f>
        <v>10.980497859079616</v>
      </c>
      <c r="H74">
        <f t="shared" ca="1" si="22"/>
        <v>258.39769853461343</v>
      </c>
      <c r="I74">
        <f t="shared" ca="1" si="23"/>
        <v>236.43670281645421</v>
      </c>
      <c r="J74">
        <f t="shared" ca="1" si="12"/>
        <v>261.87699999999995</v>
      </c>
      <c r="K74">
        <f t="shared" ca="1" si="13"/>
        <v>5.2260603054107122</v>
      </c>
      <c r="L74">
        <f t="shared" ca="1" si="14"/>
        <v>272.32912061082141</v>
      </c>
      <c r="M74">
        <f t="shared" ca="1" si="15"/>
        <v>251.42487938917853</v>
      </c>
      <c r="N74">
        <f t="shared" ca="1" si="24"/>
        <v>2.0099999999999909</v>
      </c>
      <c r="O74">
        <f t="shared" ca="1" si="25"/>
        <v>2.0099999999999909</v>
      </c>
      <c r="P74">
        <f t="shared" ca="1" si="26"/>
        <v>0</v>
      </c>
      <c r="Q74">
        <f t="shared" ca="1" si="10"/>
        <v>1.7664976538505157</v>
      </c>
      <c r="R74">
        <f t="shared" ca="1" si="11"/>
        <v>0.96937635776246922</v>
      </c>
      <c r="S74">
        <f t="shared" ca="1" si="8"/>
        <v>1.8223032155725103</v>
      </c>
      <c r="T74">
        <f t="shared" ca="1" si="9"/>
        <v>64.567945978223037</v>
      </c>
      <c r="U74">
        <f>70</f>
        <v>70</v>
      </c>
      <c r="V74">
        <f>30</f>
        <v>30</v>
      </c>
      <c r="W74">
        <f t="shared" ca="1" si="7"/>
        <v>263.39687558709846</v>
      </c>
      <c r="X74">
        <f t="shared" ca="1" si="17"/>
        <v>258.74788418092834</v>
      </c>
      <c r="Y74">
        <f t="shared" ca="1" si="16"/>
        <v>4.9972925657166343</v>
      </c>
      <c r="Z74">
        <f t="shared" ca="1" si="18"/>
        <v>4.6482877524106625</v>
      </c>
      <c r="AA74">
        <f t="shared" ca="1" si="19"/>
        <v>0.34900481330597177</v>
      </c>
    </row>
    <row r="75" spans="1:27" x14ac:dyDescent="0.25">
      <c r="A75" s="20">
        <f t="shared" ca="1" si="20"/>
        <v>45817</v>
      </c>
      <c r="B75" vm="219">
        <f ca="1"/>
        <v>45817</v>
      </c>
      <c r="C75" vm="220">
        <f ca="1"/>
        <v>272.08</v>
      </c>
      <c r="D75" vm="221">
        <f ca="1"/>
        <v>4331464</v>
      </c>
      <c r="E75">
        <f t="shared" ca="1" si="21"/>
        <v>1178504725.1199999</v>
      </c>
      <c r="F75">
        <f ca="1">SUM($E$2:E75)/SUM($D$2:D75)</f>
        <v>247.72888635958506</v>
      </c>
      <c r="G75">
        <f ca="1">_xlfn.STDEV.P($C$2:C75)</f>
        <v>11.207822519481459</v>
      </c>
      <c r="H75">
        <f t="shared" ca="1" si="22"/>
        <v>258.93670887906654</v>
      </c>
      <c r="I75">
        <f t="shared" ca="1" si="23"/>
        <v>236.52106384010361</v>
      </c>
      <c r="J75">
        <f t="shared" ca="1" si="12"/>
        <v>263.02100000000002</v>
      </c>
      <c r="K75">
        <f t="shared" ca="1" si="13"/>
        <v>4.7911243598532227</v>
      </c>
      <c r="L75">
        <f t="shared" ca="1" si="14"/>
        <v>272.60324871970647</v>
      </c>
      <c r="M75">
        <f t="shared" ca="1" si="15"/>
        <v>253.43875128029356</v>
      </c>
      <c r="N75">
        <f t="shared" ca="1" si="24"/>
        <v>3.2099999999999795</v>
      </c>
      <c r="O75">
        <f t="shared" ca="1" si="25"/>
        <v>3.2099999999999795</v>
      </c>
      <c r="P75">
        <f t="shared" ca="1" si="26"/>
        <v>0</v>
      </c>
      <c r="Q75">
        <f t="shared" ca="1" si="10"/>
        <v>1.8696049642897632</v>
      </c>
      <c r="R75">
        <f t="shared" ca="1" si="11"/>
        <v>0.90013518935086434</v>
      </c>
      <c r="S75">
        <f t="shared" ca="1" si="8"/>
        <v>2.077026858196751</v>
      </c>
      <c r="T75">
        <f t="shared" ca="1" si="9"/>
        <v>67.501096152731151</v>
      </c>
      <c r="U75">
        <f>70</f>
        <v>70</v>
      </c>
      <c r="V75">
        <f>30</f>
        <v>30</v>
      </c>
      <c r="W75">
        <f t="shared" ca="1" si="7"/>
        <v>264.73274088139101</v>
      </c>
      <c r="X75">
        <f t="shared" ca="1" si="17"/>
        <v>259.73544831567438</v>
      </c>
      <c r="Y75">
        <f t="shared" ca="1" si="16"/>
        <v>5.5450807384015661</v>
      </c>
      <c r="Z75">
        <f t="shared" ca="1" si="18"/>
        <v>4.8276463496088429</v>
      </c>
      <c r="AA75">
        <f t="shared" ca="1" si="19"/>
        <v>0.71743438879272325</v>
      </c>
    </row>
    <row r="76" spans="1:27" x14ac:dyDescent="0.25">
      <c r="A76" s="20">
        <f t="shared" ca="1" si="20"/>
        <v>45817</v>
      </c>
      <c r="B76" vm="222">
        <f ca="1"/>
        <v>45818</v>
      </c>
      <c r="C76" vm="223">
        <f ca="1"/>
        <v>276.24</v>
      </c>
      <c r="D76" vm="224">
        <f ca="1"/>
        <v>5163507</v>
      </c>
      <c r="E76">
        <f t="shared" ca="1" si="21"/>
        <v>1426367173.6800001</v>
      </c>
      <c r="F76">
        <f ca="1">SUM($E$2:E76)/SUM($D$2:D76)</f>
        <v>248.1520463962419</v>
      </c>
      <c r="G76">
        <f ca="1">_xlfn.STDEV.P($C$2:C76)</f>
        <v>11.532243190097736</v>
      </c>
      <c r="H76">
        <f t="shared" ca="1" si="22"/>
        <v>259.68428958633962</v>
      </c>
      <c r="I76">
        <f t="shared" ca="1" si="23"/>
        <v>236.61980320614416</v>
      </c>
      <c r="J76">
        <f t="shared" ca="1" si="12"/>
        <v>264.14849999999996</v>
      </c>
      <c r="K76">
        <f t="shared" ca="1" si="13"/>
        <v>5.1216355066675634</v>
      </c>
      <c r="L76">
        <f t="shared" ca="1" si="14"/>
        <v>274.39177101333507</v>
      </c>
      <c r="M76">
        <f t="shared" ca="1" si="15"/>
        <v>253.90522898666484</v>
      </c>
      <c r="N76">
        <f t="shared" ca="1" si="24"/>
        <v>4.160000000000025</v>
      </c>
      <c r="O76">
        <f t="shared" ca="1" si="25"/>
        <v>4.160000000000025</v>
      </c>
      <c r="P76">
        <f t="shared" ca="1" si="26"/>
        <v>0</v>
      </c>
      <c r="Q76">
        <f t="shared" ca="1" si="10"/>
        <v>2.0332046096976391</v>
      </c>
      <c r="R76">
        <f t="shared" ca="1" si="11"/>
        <v>0.83583981868294543</v>
      </c>
      <c r="S76">
        <f t="shared" ca="1" si="8"/>
        <v>2.432529013634948</v>
      </c>
      <c r="T76">
        <f t="shared" ca="1" si="9"/>
        <v>70.866961472787978</v>
      </c>
      <c r="U76">
        <f>70</f>
        <v>70</v>
      </c>
      <c r="V76">
        <f>30</f>
        <v>30</v>
      </c>
      <c r="W76">
        <f t="shared" ca="1" si="7"/>
        <v>266.50308843810006</v>
      </c>
      <c r="X76">
        <f t="shared" ca="1" si="17"/>
        <v>260.9580076996985</v>
      </c>
      <c r="Y76">
        <f t="shared" ca="1" si="16"/>
        <v>6.3322642840846584</v>
      </c>
      <c r="Z76">
        <f t="shared" ca="1" si="18"/>
        <v>5.1285699365040056</v>
      </c>
      <c r="AA76">
        <f t="shared" ca="1" si="19"/>
        <v>1.2036943475806527</v>
      </c>
    </row>
    <row r="77" spans="1:27" x14ac:dyDescent="0.25">
      <c r="A77" s="20">
        <f t="shared" ca="1" si="20"/>
        <v>45817</v>
      </c>
      <c r="B77" vm="225">
        <f ca="1"/>
        <v>45819</v>
      </c>
      <c r="C77" vm="226">
        <f ca="1"/>
        <v>281.52</v>
      </c>
      <c r="D77" vm="227">
        <f ca="1"/>
        <v>4656034</v>
      </c>
      <c r="E77">
        <f t="shared" ca="1" si="21"/>
        <v>1310766691.6799998</v>
      </c>
      <c r="F77">
        <f ca="1">SUM($E$2:E77)/SUM($D$2:D77)</f>
        <v>248.59272065829771</v>
      </c>
      <c r="G77">
        <f ca="1">_xlfn.STDEV.P($C$2:C77)</f>
        <v>11.993816431829174</v>
      </c>
      <c r="H77">
        <f t="shared" ca="1" si="22"/>
        <v>260.58653709012685</v>
      </c>
      <c r="I77">
        <f t="shared" ca="1" si="23"/>
        <v>236.59890422646853</v>
      </c>
      <c r="J77">
        <f t="shared" ca="1" si="12"/>
        <v>265.29499999999996</v>
      </c>
      <c r="K77">
        <f t="shared" ca="1" si="13"/>
        <v>6.2533136478947977</v>
      </c>
      <c r="L77">
        <f t="shared" ca="1" si="14"/>
        <v>277.80162729578956</v>
      </c>
      <c r="M77">
        <f t="shared" ca="1" si="15"/>
        <v>252.78837270421036</v>
      </c>
      <c r="N77">
        <f t="shared" ca="1" si="24"/>
        <v>5.2799999999999727</v>
      </c>
      <c r="O77">
        <f t="shared" ca="1" si="25"/>
        <v>5.2799999999999727</v>
      </c>
      <c r="P77">
        <f t="shared" ca="1" si="26"/>
        <v>0</v>
      </c>
      <c r="Q77">
        <f t="shared" ca="1" si="10"/>
        <v>2.2651185661478057</v>
      </c>
      <c r="R77">
        <f t="shared" ca="1" si="11"/>
        <v>0.77613697449130647</v>
      </c>
      <c r="S77">
        <f t="shared" ca="1" si="8"/>
        <v>2.9184520781688095</v>
      </c>
      <c r="T77">
        <f t="shared" ca="1" si="9"/>
        <v>74.4797185201937</v>
      </c>
      <c r="U77">
        <f>70</f>
        <v>70</v>
      </c>
      <c r="V77">
        <f>30</f>
        <v>30</v>
      </c>
      <c r="W77">
        <f t="shared" ca="1" si="7"/>
        <v>268.81338252454623</v>
      </c>
      <c r="X77">
        <f t="shared" ca="1" si="17"/>
        <v>262.48111824046157</v>
      </c>
      <c r="Y77">
        <f t="shared" ca="1" si="16"/>
        <v>6.8377526542456053</v>
      </c>
      <c r="Z77">
        <f t="shared" ca="1" si="18"/>
        <v>5.4704064800523255</v>
      </c>
      <c r="AA77">
        <f t="shared" ca="1" si="19"/>
        <v>1.3673461741932798</v>
      </c>
    </row>
    <row r="78" spans="1:27" x14ac:dyDescent="0.25">
      <c r="A78" s="20">
        <f t="shared" ca="1" si="20"/>
        <v>45817</v>
      </c>
      <c r="B78" vm="228">
        <f ca="1"/>
        <v>45820</v>
      </c>
      <c r="C78" vm="229">
        <f ca="1"/>
        <v>281.02999999999997</v>
      </c>
      <c r="D78" vm="230">
        <f ca="1"/>
        <v>3418007</v>
      </c>
      <c r="E78">
        <f t="shared" ca="1" si="21"/>
        <v>960562507.20999992</v>
      </c>
      <c r="F78">
        <f ca="1">SUM($E$2:E78)/SUM($D$2:D78)</f>
        <v>248.90417842182944</v>
      </c>
      <c r="G78">
        <f ca="1">_xlfn.STDEV.P($C$2:C78)</f>
        <v>12.398471873859352</v>
      </c>
      <c r="H78">
        <f t="shared" ca="1" si="22"/>
        <v>261.30265029568881</v>
      </c>
      <c r="I78">
        <f t="shared" ca="1" si="23"/>
        <v>236.50570654797008</v>
      </c>
      <c r="J78">
        <f t="shared" ca="1" si="12"/>
        <v>266.45549999999997</v>
      </c>
      <c r="K78">
        <f t="shared" ca="1" si="13"/>
        <v>6.9120569525857789</v>
      </c>
      <c r="L78">
        <f t="shared" ca="1" si="14"/>
        <v>280.27961390517152</v>
      </c>
      <c r="M78">
        <f t="shared" ca="1" si="15"/>
        <v>252.63138609482843</v>
      </c>
      <c r="N78">
        <f t="shared" ca="1" si="24"/>
        <v>-0.49000000000000909</v>
      </c>
      <c r="O78">
        <f t="shared" ca="1" si="25"/>
        <v>0</v>
      </c>
      <c r="P78">
        <f t="shared" ca="1" si="26"/>
        <v>0.49000000000000909</v>
      </c>
      <c r="Q78">
        <f t="shared" ca="1" si="10"/>
        <v>2.1033243828515338</v>
      </c>
      <c r="R78">
        <f t="shared" ca="1" si="11"/>
        <v>0.75569861917049952</v>
      </c>
      <c r="S78">
        <f t="shared" ca="1" si="8"/>
        <v>2.7832846712890249</v>
      </c>
      <c r="T78">
        <f t="shared" ca="1" si="9"/>
        <v>73.567941963529691</v>
      </c>
      <c r="U78">
        <f>70</f>
        <v>70</v>
      </c>
      <c r="V78">
        <f>30</f>
        <v>30</v>
      </c>
      <c r="W78">
        <f t="shared" ca="1" si="7"/>
        <v>270.69286213615447</v>
      </c>
      <c r="X78">
        <f t="shared" ca="1" si="17"/>
        <v>263.85510948190887</v>
      </c>
      <c r="Y78">
        <f t="shared" ca="1" si="16"/>
        <v>6.8519358199928888</v>
      </c>
      <c r="Z78">
        <f t="shared" ca="1" si="18"/>
        <v>5.7467123480404378</v>
      </c>
      <c r="AA78">
        <f t="shared" ca="1" si="19"/>
        <v>1.105223471952451</v>
      </c>
    </row>
    <row r="79" spans="1:27" x14ac:dyDescent="0.25">
      <c r="A79" s="20">
        <f t="shared" ca="1" si="20"/>
        <v>45817</v>
      </c>
      <c r="B79" vm="231">
        <f ca="1"/>
        <v>45821</v>
      </c>
      <c r="C79" vm="232">
        <f ca="1"/>
        <v>277.22000000000003</v>
      </c>
      <c r="D79" vm="233">
        <f ca="1"/>
        <v>3243824</v>
      </c>
      <c r="E79">
        <f t="shared" ca="1" si="21"/>
        <v>899252889.28000009</v>
      </c>
      <c r="F79">
        <f ca="1">SUM($E$2:E79)/SUM($D$2:D79)</f>
        <v>249.15987719374093</v>
      </c>
      <c r="G79">
        <f ca="1">_xlfn.STDEV.P($C$2:C79)</f>
        <v>12.662761951355098</v>
      </c>
      <c r="H79">
        <f t="shared" ca="1" si="22"/>
        <v>261.82263914509605</v>
      </c>
      <c r="I79">
        <f t="shared" ca="1" si="23"/>
        <v>236.49711524238583</v>
      </c>
      <c r="J79">
        <f t="shared" ca="1" si="12"/>
        <v>266.98249999999996</v>
      </c>
      <c r="K79">
        <f t="shared" ca="1" si="13"/>
        <v>7.3198489163298097</v>
      </c>
      <c r="L79">
        <f t="shared" ca="1" si="14"/>
        <v>281.62219783265959</v>
      </c>
      <c r="M79">
        <f t="shared" ca="1" si="15"/>
        <v>252.34280216734035</v>
      </c>
      <c r="N79">
        <f t="shared" ca="1" si="24"/>
        <v>-3.8099999999999454</v>
      </c>
      <c r="O79">
        <f t="shared" ca="1" si="25"/>
        <v>0</v>
      </c>
      <c r="P79">
        <f t="shared" ca="1" si="26"/>
        <v>3.8099999999999454</v>
      </c>
      <c r="Q79">
        <f t="shared" ca="1" si="10"/>
        <v>1.9530869269335671</v>
      </c>
      <c r="R79">
        <f t="shared" ca="1" si="11"/>
        <v>0.97386300351545985</v>
      </c>
      <c r="S79">
        <f t="shared" ca="1" si="8"/>
        <v>2.0055047988097869</v>
      </c>
      <c r="T79">
        <f t="shared" ca="1" si="9"/>
        <v>66.72771907081929</v>
      </c>
      <c r="U79">
        <f>70</f>
        <v>70</v>
      </c>
      <c r="V79">
        <f>30</f>
        <v>30</v>
      </c>
      <c r="W79">
        <f t="shared" ref="W79:W142" ca="1" si="27">C79*(2/(12+1)) + W78*(1-(2/(12+1)))</f>
        <v>271.69703719213072</v>
      </c>
      <c r="X79">
        <f t="shared" ca="1" si="17"/>
        <v>264.84510137213783</v>
      </c>
      <c r="Y79">
        <f t="shared" ca="1" si="16"/>
        <v>7.1527125359488082</v>
      </c>
      <c r="Z79">
        <f t="shared" ca="1" si="18"/>
        <v>6.0279123856221126</v>
      </c>
      <c r="AA79">
        <f t="shared" ca="1" si="19"/>
        <v>1.1248001503266956</v>
      </c>
    </row>
    <row r="80" spans="1:27" x14ac:dyDescent="0.25">
      <c r="A80" s="20">
        <f t="shared" ca="1" si="20"/>
        <v>45824</v>
      </c>
      <c r="B80" vm="234">
        <f ca="1"/>
        <v>45824</v>
      </c>
      <c r="C80" vm="235">
        <f ca="1"/>
        <v>281.83</v>
      </c>
      <c r="D80" vm="236">
        <f ca="1"/>
        <v>3685321</v>
      </c>
      <c r="E80">
        <f t="shared" ca="1" si="21"/>
        <v>1038634017.4299999</v>
      </c>
      <c r="F80">
        <f ca="1">SUM($E$2:E80)/SUM($D$2:D80)</f>
        <v>249.49164590545342</v>
      </c>
      <c r="G80">
        <f ca="1">_xlfn.STDEV.P($C$2:C80)</f>
        <v>13.031360940203195</v>
      </c>
      <c r="H80">
        <f t="shared" ca="1" si="22"/>
        <v>262.5230068456566</v>
      </c>
      <c r="I80">
        <f t="shared" ca="1" si="23"/>
        <v>236.46028496525022</v>
      </c>
      <c r="J80">
        <f t="shared" ca="1" si="12"/>
        <v>267.73599999999999</v>
      </c>
      <c r="K80">
        <f t="shared" ca="1" si="13"/>
        <v>8.0363224110744067</v>
      </c>
      <c r="L80">
        <f t="shared" ca="1" si="14"/>
        <v>283.80864482214878</v>
      </c>
      <c r="M80">
        <f t="shared" ca="1" si="15"/>
        <v>251.66335517785117</v>
      </c>
      <c r="N80">
        <f t="shared" ca="1" si="24"/>
        <v>4.6099999999999568</v>
      </c>
      <c r="O80">
        <f t="shared" ca="1" si="25"/>
        <v>4.6099999999999568</v>
      </c>
      <c r="P80">
        <f t="shared" ca="1" si="26"/>
        <v>0</v>
      </c>
      <c r="Q80">
        <f t="shared" ca="1" si="10"/>
        <v>2.1428664321525948</v>
      </c>
      <c r="R80">
        <f t="shared" ca="1" si="11"/>
        <v>0.90430136040721276</v>
      </c>
      <c r="S80">
        <f t="shared" ref="S80:S143" ca="1" si="28">IF(R80=0,NA(),Q80/R80)</f>
        <v>2.3696375190540997</v>
      </c>
      <c r="T80">
        <f t="shared" ref="T80:T143" ca="1" si="29">100-(100/(1+S80))</f>
        <v>70.323217427828467</v>
      </c>
      <c r="U80">
        <f>70</f>
        <v>70</v>
      </c>
      <c r="V80">
        <f>30</f>
        <v>30</v>
      </c>
      <c r="W80">
        <f t="shared" ca="1" si="27"/>
        <v>273.25595454718757</v>
      </c>
      <c r="X80">
        <f t="shared" ca="1" si="17"/>
        <v>266.10324201123876</v>
      </c>
      <c r="Y80">
        <f t="shared" ca="1" si="16"/>
        <v>7.4041733528835039</v>
      </c>
      <c r="Z80">
        <f t="shared" ca="1" si="18"/>
        <v>6.3031645790743909</v>
      </c>
      <c r="AA80">
        <f t="shared" ca="1" si="19"/>
        <v>1.101008773809113</v>
      </c>
    </row>
    <row r="81" spans="1:27" x14ac:dyDescent="0.25">
      <c r="A81" s="20">
        <f t="shared" ca="1" si="20"/>
        <v>45824</v>
      </c>
      <c r="B81" vm="237">
        <f ca="1"/>
        <v>45825</v>
      </c>
      <c r="C81" vm="238">
        <f ca="1"/>
        <v>283.05</v>
      </c>
      <c r="D81" vm="239">
        <f ca="1"/>
        <v>3069556</v>
      </c>
      <c r="E81">
        <f t="shared" ca="1" si="21"/>
        <v>868837825.80000007</v>
      </c>
      <c r="F81">
        <f ca="1">SUM($E$2:E81)/SUM($D$2:D81)</f>
        <v>249.77311297445792</v>
      </c>
      <c r="G81">
        <f ca="1">_xlfn.STDEV.P($C$2:C81)</f>
        <v>13.404736252534027</v>
      </c>
      <c r="H81">
        <f t="shared" ca="1" si="22"/>
        <v>263.17784922699195</v>
      </c>
      <c r="I81">
        <f t="shared" ca="1" si="23"/>
        <v>236.36837672192388</v>
      </c>
      <c r="J81">
        <f t="shared" ca="1" si="12"/>
        <v>268.46799999999996</v>
      </c>
      <c r="K81">
        <f t="shared" ca="1" si="13"/>
        <v>8.7371406860838068</v>
      </c>
      <c r="L81">
        <f t="shared" ca="1" si="14"/>
        <v>285.9422813721676</v>
      </c>
      <c r="M81">
        <f t="shared" ca="1" si="15"/>
        <v>250.99371862783235</v>
      </c>
      <c r="N81">
        <f t="shared" ca="1" si="24"/>
        <v>1.2200000000000273</v>
      </c>
      <c r="O81">
        <f t="shared" ca="1" si="25"/>
        <v>1.2200000000000273</v>
      </c>
      <c r="P81">
        <f t="shared" ca="1" si="26"/>
        <v>0</v>
      </c>
      <c r="Q81">
        <f t="shared" ref="Q81:Q144" ca="1" si="30">(Q80*13+O81)/14</f>
        <v>2.0769474012845541</v>
      </c>
      <c r="R81">
        <f t="shared" ref="R81:R144" ca="1" si="31">(R80*13+P81)/14</f>
        <v>0.83970840609241193</v>
      </c>
      <c r="S81">
        <f t="shared" ca="1" si="28"/>
        <v>2.4734150405253668</v>
      </c>
      <c r="T81">
        <f t="shared" ca="1" si="29"/>
        <v>71.209890314497329</v>
      </c>
      <c r="U81">
        <f>70</f>
        <v>70</v>
      </c>
      <c r="V81">
        <f>30</f>
        <v>30</v>
      </c>
      <c r="W81">
        <f t="shared" ca="1" si="27"/>
        <v>274.76273077069715</v>
      </c>
      <c r="X81">
        <f t="shared" ca="1" si="17"/>
        <v>267.35855741781364</v>
      </c>
      <c r="Y81">
        <f t="shared" ca="1" si="16"/>
        <v>7.5295723023008918</v>
      </c>
      <c r="Z81">
        <f t="shared" ca="1" si="18"/>
        <v>6.5484461237196916</v>
      </c>
      <c r="AA81">
        <f t="shared" ca="1" si="19"/>
        <v>0.98112617858120021</v>
      </c>
    </row>
    <row r="82" spans="1:27" x14ac:dyDescent="0.25">
      <c r="A82" s="20">
        <f t="shared" ca="1" si="20"/>
        <v>45824</v>
      </c>
      <c r="B82" vm="240">
        <f ca="1"/>
        <v>45826</v>
      </c>
      <c r="C82" vm="241">
        <f ca="1"/>
        <v>283.20999999999998</v>
      </c>
      <c r="D82" vm="242">
        <f ca="1"/>
        <v>3534110</v>
      </c>
      <c r="E82">
        <f t="shared" ca="1" si="21"/>
        <v>1000895293.0999999</v>
      </c>
      <c r="F82">
        <f ca="1">SUM($E$2:E82)/SUM($D$2:D82)</f>
        <v>250.0929167015791</v>
      </c>
      <c r="G82">
        <f ca="1">_xlfn.STDEV.P($C$2:C82)</f>
        <v>13.752881952067424</v>
      </c>
      <c r="H82">
        <f t="shared" ca="1" si="22"/>
        <v>263.84579865364651</v>
      </c>
      <c r="I82">
        <f t="shared" ca="1" si="23"/>
        <v>236.34003474951169</v>
      </c>
      <c r="J82">
        <f t="shared" ca="1" si="12"/>
        <v>269.28100000000001</v>
      </c>
      <c r="K82">
        <f t="shared" ca="1" si="13"/>
        <v>9.3251718765026368</v>
      </c>
      <c r="L82">
        <f t="shared" ca="1" si="14"/>
        <v>287.93134375300531</v>
      </c>
      <c r="M82">
        <f t="shared" ca="1" si="15"/>
        <v>250.63065624699473</v>
      </c>
      <c r="N82">
        <f t="shared" ca="1" si="24"/>
        <v>0.15999999999996817</v>
      </c>
      <c r="O82">
        <f t="shared" ca="1" si="25"/>
        <v>0.15999999999996817</v>
      </c>
      <c r="P82">
        <f t="shared" ca="1" si="26"/>
        <v>0</v>
      </c>
      <c r="Q82">
        <f t="shared" ca="1" si="30"/>
        <v>1.9400225869070837</v>
      </c>
      <c r="R82">
        <f t="shared" ca="1" si="31"/>
        <v>0.77972923422866824</v>
      </c>
      <c r="S82">
        <f t="shared" ca="1" si="28"/>
        <v>2.4880721431795649</v>
      </c>
      <c r="T82">
        <f t="shared" ca="1" si="29"/>
        <v>71.330868200207391</v>
      </c>
      <c r="U82">
        <f>70</f>
        <v>70</v>
      </c>
      <c r="V82">
        <f>30</f>
        <v>30</v>
      </c>
      <c r="W82">
        <f t="shared" ca="1" si="27"/>
        <v>276.06231065212836</v>
      </c>
      <c r="X82">
        <f t="shared" ca="1" si="17"/>
        <v>268.53273834982747</v>
      </c>
      <c r="Y82">
        <f t="shared" ca="1" si="16"/>
        <v>7.3633227919891624</v>
      </c>
      <c r="Z82">
        <f t="shared" ca="1" si="18"/>
        <v>6.7114214573735866</v>
      </c>
      <c r="AA82">
        <f t="shared" ca="1" si="19"/>
        <v>0.65190133461557576</v>
      </c>
    </row>
    <row r="83" spans="1:27" x14ac:dyDescent="0.25">
      <c r="A83" s="20">
        <f t="shared" ca="1" si="20"/>
        <v>45824</v>
      </c>
      <c r="B83" vm="243">
        <f ca="1"/>
        <v>45828</v>
      </c>
      <c r="C83" vm="244">
        <f ca="1"/>
        <v>280.97000000000003</v>
      </c>
      <c r="D83" vm="245">
        <f ca="1"/>
        <v>7676962</v>
      </c>
      <c r="E83">
        <f t="shared" ca="1" si="21"/>
        <v>2156996013.1400003</v>
      </c>
      <c r="F83">
        <f ca="1">SUM($E$2:E83)/SUM($D$2:D83)</f>
        <v>250.72136958998871</v>
      </c>
      <c r="G83">
        <f ca="1">_xlfn.STDEV.P($C$2:C83)</f>
        <v>14.017701832464926</v>
      </c>
      <c r="H83">
        <f t="shared" ca="1" si="22"/>
        <v>264.73907142245366</v>
      </c>
      <c r="I83">
        <f t="shared" ca="1" si="23"/>
        <v>236.70366775752379</v>
      </c>
      <c r="J83">
        <f t="shared" ca="1" si="12"/>
        <v>270.286</v>
      </c>
      <c r="K83">
        <f t="shared" ca="1" si="13"/>
        <v>9.4532230092787852</v>
      </c>
      <c r="L83">
        <f t="shared" ca="1" si="14"/>
        <v>289.19244601855758</v>
      </c>
      <c r="M83">
        <f t="shared" ca="1" si="15"/>
        <v>251.37955398144243</v>
      </c>
      <c r="N83">
        <f t="shared" ca="1" si="24"/>
        <v>-2.2399999999999523</v>
      </c>
      <c r="O83">
        <f t="shared" ca="1" si="25"/>
        <v>0</v>
      </c>
      <c r="P83">
        <f t="shared" ca="1" si="26"/>
        <v>2.2399999999999523</v>
      </c>
      <c r="Q83">
        <f t="shared" ca="1" si="30"/>
        <v>1.8014495449851491</v>
      </c>
      <c r="R83">
        <f t="shared" ca="1" si="31"/>
        <v>0.88403428892661717</v>
      </c>
      <c r="S83">
        <f t="shared" ca="1" si="28"/>
        <v>2.037759810394284</v>
      </c>
      <c r="T83">
        <f t="shared" ca="1" si="29"/>
        <v>67.081005003150466</v>
      </c>
      <c r="U83">
        <f>70</f>
        <v>70</v>
      </c>
      <c r="V83">
        <f>30</f>
        <v>30</v>
      </c>
      <c r="W83">
        <f t="shared" ca="1" si="27"/>
        <v>276.81733978257017</v>
      </c>
      <c r="X83">
        <f t="shared" ca="1" si="17"/>
        <v>269.45401699058101</v>
      </c>
      <c r="Y83">
        <f t="shared" ca="1" si="16"/>
        <v>7.8040865911240189</v>
      </c>
      <c r="Z83">
        <f t="shared" ca="1" si="18"/>
        <v>6.929954484123674</v>
      </c>
      <c r="AA83">
        <f t="shared" ca="1" si="19"/>
        <v>0.87413210700034494</v>
      </c>
    </row>
    <row r="84" spans="1:27" x14ac:dyDescent="0.25">
      <c r="A84" s="20">
        <f t="shared" ca="1" si="20"/>
        <v>45831</v>
      </c>
      <c r="B84" vm="246">
        <f ca="1"/>
        <v>45831</v>
      </c>
      <c r="C84" vm="247">
        <f ca="1"/>
        <v>289.18</v>
      </c>
      <c r="D84" vm="248">
        <f ca="1"/>
        <v>3786159</v>
      </c>
      <c r="E84">
        <f t="shared" ca="1" si="21"/>
        <v>1094881459.6200001</v>
      </c>
      <c r="F84">
        <f ca="1">SUM($E$2:E84)/SUM($D$2:D84)</f>
        <v>251.10357957453601</v>
      </c>
      <c r="G84">
        <f ca="1">_xlfn.STDEV.P($C$2:C84)</f>
        <v>14.481459715189404</v>
      </c>
      <c r="H84">
        <f t="shared" ca="1" si="22"/>
        <v>265.58503928972544</v>
      </c>
      <c r="I84">
        <f t="shared" ca="1" si="23"/>
        <v>236.62211985934661</v>
      </c>
      <c r="J84">
        <f t="shared" ca="1" si="12"/>
        <v>271.82650000000007</v>
      </c>
      <c r="K84">
        <f t="shared" ca="1" si="13"/>
        <v>9.9086205290884806</v>
      </c>
      <c r="L84">
        <f t="shared" ca="1" si="14"/>
        <v>291.64374105817706</v>
      </c>
      <c r="M84">
        <f t="shared" ca="1" si="15"/>
        <v>252.00925894182311</v>
      </c>
      <c r="N84">
        <f t="shared" ca="1" si="24"/>
        <v>8.2099999999999795</v>
      </c>
      <c r="O84">
        <f t="shared" ca="1" si="25"/>
        <v>8.2099999999999795</v>
      </c>
      <c r="P84">
        <f t="shared" ca="1" si="26"/>
        <v>0</v>
      </c>
      <c r="Q84">
        <f t="shared" ca="1" si="30"/>
        <v>2.2592031489147799</v>
      </c>
      <c r="R84">
        <f t="shared" ca="1" si="31"/>
        <v>0.82088898257471599</v>
      </c>
      <c r="S84">
        <f t="shared" ca="1" si="28"/>
        <v>2.7521421250274254</v>
      </c>
      <c r="T84">
        <f t="shared" ca="1" si="29"/>
        <v>73.348557525850893</v>
      </c>
      <c r="U84">
        <f>70</f>
        <v>70</v>
      </c>
      <c r="V84">
        <f>30</f>
        <v>30</v>
      </c>
      <c r="W84">
        <f t="shared" ca="1" si="27"/>
        <v>278.71928750832865</v>
      </c>
      <c r="X84">
        <f t="shared" ca="1" si="17"/>
        <v>270.91520091720463</v>
      </c>
      <c r="Y84">
        <f t="shared" ca="1" si="16"/>
        <v>8.4282281820002822</v>
      </c>
      <c r="Z84">
        <f t="shared" ca="1" si="18"/>
        <v>7.2296092236989962</v>
      </c>
      <c r="AA84">
        <f t="shared" ca="1" si="19"/>
        <v>1.1986189583012861</v>
      </c>
    </row>
    <row r="85" spans="1:27" x14ac:dyDescent="0.25">
      <c r="A85" s="20">
        <f t="shared" ca="1" si="20"/>
        <v>45831</v>
      </c>
      <c r="B85" vm="249">
        <f ca="1"/>
        <v>45832</v>
      </c>
      <c r="C85" vm="250">
        <f ca="1"/>
        <v>293.79000000000002</v>
      </c>
      <c r="D85" vm="251">
        <f ca="1"/>
        <v>4219120</v>
      </c>
      <c r="E85">
        <f t="shared" ca="1" si="21"/>
        <v>1239535264.8000002</v>
      </c>
      <c r="F85">
        <f ca="1">SUM($E$2:E85)/SUM($D$2:D85)</f>
        <v>251.5711400005888</v>
      </c>
      <c r="G85">
        <f ca="1">_xlfn.STDEV.P($C$2:C85)</f>
        <v>15.045766320447129</v>
      </c>
      <c r="H85">
        <f t="shared" ca="1" si="22"/>
        <v>266.61690632103591</v>
      </c>
      <c r="I85">
        <f t="shared" ca="1" si="23"/>
        <v>236.52537368014168</v>
      </c>
      <c r="J85">
        <f t="shared" ca="1" si="12"/>
        <v>273.58450000000005</v>
      </c>
      <c r="K85">
        <f t="shared" ca="1" si="13"/>
        <v>10.542822190326561</v>
      </c>
      <c r="L85">
        <f t="shared" ca="1" si="14"/>
        <v>294.67014438065314</v>
      </c>
      <c r="M85">
        <f t="shared" ca="1" si="15"/>
        <v>252.49885561934693</v>
      </c>
      <c r="N85">
        <f t="shared" ca="1" si="24"/>
        <v>4.6100000000000136</v>
      </c>
      <c r="O85">
        <f t="shared" ca="1" si="25"/>
        <v>4.6100000000000136</v>
      </c>
      <c r="P85">
        <f t="shared" ca="1" si="26"/>
        <v>0</v>
      </c>
      <c r="Q85">
        <f t="shared" ca="1" si="30"/>
        <v>2.4271172097065823</v>
      </c>
      <c r="R85">
        <f t="shared" ca="1" si="31"/>
        <v>0.76225405524795053</v>
      </c>
      <c r="S85">
        <f t="shared" ca="1" si="28"/>
        <v>3.1841315805359347</v>
      </c>
      <c r="T85">
        <f t="shared" ca="1" si="29"/>
        <v>76.100177999853614</v>
      </c>
      <c r="U85">
        <f>70</f>
        <v>70</v>
      </c>
      <c r="V85">
        <f>30</f>
        <v>30</v>
      </c>
      <c r="W85">
        <f t="shared" ca="1" si="27"/>
        <v>281.03785866089345</v>
      </c>
      <c r="X85">
        <f t="shared" ca="1" si="17"/>
        <v>272.60963047889317</v>
      </c>
      <c r="Y85">
        <f t="shared" ca="1" si="16"/>
        <v>8.6034020417238821</v>
      </c>
      <c r="Z85">
        <f t="shared" ca="1" si="18"/>
        <v>7.5043677873039734</v>
      </c>
      <c r="AA85">
        <f t="shared" ca="1" si="19"/>
        <v>1.0990342544199088</v>
      </c>
    </row>
    <row r="86" spans="1:27" x14ac:dyDescent="0.25">
      <c r="A86" s="20">
        <f t="shared" ca="1" si="20"/>
        <v>45831</v>
      </c>
      <c r="B86" vm="252">
        <f ca="1"/>
        <v>45833</v>
      </c>
      <c r="C86" vm="253">
        <f ca="1"/>
        <v>291.06</v>
      </c>
      <c r="D86" vm="254">
        <f ca="1"/>
        <v>3862309</v>
      </c>
      <c r="E86">
        <f t="shared" ca="1" si="21"/>
        <v>1124163657.54</v>
      </c>
      <c r="F86">
        <f ca="1">SUM($E$2:E86)/SUM($D$2:D86)</f>
        <v>251.96316588046477</v>
      </c>
      <c r="G86">
        <f ca="1">_xlfn.STDEV.P($C$2:C86)</f>
        <v>15.484030405281935</v>
      </c>
      <c r="H86">
        <f t="shared" ca="1" si="22"/>
        <v>267.44719628574671</v>
      </c>
      <c r="I86">
        <f t="shared" ca="1" si="23"/>
        <v>236.47913547518283</v>
      </c>
      <c r="J86">
        <f t="shared" ref="J86:J149" ca="1" si="32">AVERAGE(C67:C86)</f>
        <v>274.97600000000006</v>
      </c>
      <c r="K86">
        <f t="shared" ref="K86:K149" ca="1" si="33">_xlfn.STDEV.S(C67:C86)</f>
        <v>10.933586304304926</v>
      </c>
      <c r="L86">
        <f t="shared" ref="L86:L149" ca="1" si="34">J86 + 2*K86</f>
        <v>296.8431726086099</v>
      </c>
      <c r="M86">
        <f t="shared" ref="M86:M149" ca="1" si="35">J86-2*K86</f>
        <v>253.10882739139021</v>
      </c>
      <c r="N86">
        <f t="shared" ca="1" si="24"/>
        <v>-2.7300000000000182</v>
      </c>
      <c r="O86">
        <f t="shared" ca="1" si="25"/>
        <v>0</v>
      </c>
      <c r="P86">
        <f t="shared" ca="1" si="26"/>
        <v>2.7300000000000182</v>
      </c>
      <c r="Q86">
        <f t="shared" ca="1" si="30"/>
        <v>2.2537516947275407</v>
      </c>
      <c r="R86">
        <f t="shared" ca="1" si="31"/>
        <v>0.90280733701595539</v>
      </c>
      <c r="S86">
        <f t="shared" ca="1" si="28"/>
        <v>2.4963816778193837</v>
      </c>
      <c r="T86">
        <f t="shared" ca="1" si="29"/>
        <v>71.399003537174522</v>
      </c>
      <c r="U86">
        <f>70</f>
        <v>70</v>
      </c>
      <c r="V86">
        <f>30</f>
        <v>30</v>
      </c>
      <c r="W86">
        <f t="shared" ca="1" si="27"/>
        <v>282.57972655921753</v>
      </c>
      <c r="X86">
        <f t="shared" ca="1" si="17"/>
        <v>273.97632451749365</v>
      </c>
      <c r="Y86">
        <f t="shared" ca="1" si="16"/>
        <v>8.7120037604050253</v>
      </c>
      <c r="Z86">
        <f t="shared" ca="1" si="18"/>
        <v>7.7458949819241845</v>
      </c>
      <c r="AA86">
        <f t="shared" ca="1" si="19"/>
        <v>0.96610877848084087</v>
      </c>
    </row>
    <row r="87" spans="1:27" x14ac:dyDescent="0.25">
      <c r="A87" s="20">
        <f t="shared" ca="1" si="20"/>
        <v>45831</v>
      </c>
      <c r="B87" vm="255">
        <f ca="1"/>
        <v>45834</v>
      </c>
      <c r="C87" vm="256">
        <f ca="1"/>
        <v>291.93</v>
      </c>
      <c r="D87" vm="257">
        <f ca="1"/>
        <v>3621110</v>
      </c>
      <c r="E87">
        <f t="shared" ca="1" si="21"/>
        <v>1057110642.3000001</v>
      </c>
      <c r="F87">
        <f ca="1">SUM($E$2:E87)/SUM($D$2:D87)</f>
        <v>252.33172832057332</v>
      </c>
      <c r="G87">
        <f ca="1">_xlfn.STDEV.P($C$2:C87)</f>
        <v>15.912202458305201</v>
      </c>
      <c r="H87">
        <f t="shared" ca="1" si="22"/>
        <v>268.24393077887851</v>
      </c>
      <c r="I87">
        <f t="shared" ca="1" si="23"/>
        <v>236.41952586226813</v>
      </c>
      <c r="J87">
        <f t="shared" ca="1" si="32"/>
        <v>276.5605000000001</v>
      </c>
      <c r="K87">
        <f t="shared" ca="1" si="33"/>
        <v>10.981799524188819</v>
      </c>
      <c r="L87">
        <f t="shared" ca="1" si="34"/>
        <v>298.52409904837776</v>
      </c>
      <c r="M87">
        <f t="shared" ca="1" si="35"/>
        <v>254.59690095162247</v>
      </c>
      <c r="N87">
        <f t="shared" ca="1" si="24"/>
        <v>0.87000000000000455</v>
      </c>
      <c r="O87">
        <f t="shared" ca="1" si="25"/>
        <v>0.87000000000000455</v>
      </c>
      <c r="P87">
        <f t="shared" ca="1" si="26"/>
        <v>0</v>
      </c>
      <c r="Q87">
        <f t="shared" ca="1" si="30"/>
        <v>2.1549122879612881</v>
      </c>
      <c r="R87">
        <f t="shared" ca="1" si="31"/>
        <v>0.8383210986576729</v>
      </c>
      <c r="S87">
        <f t="shared" ca="1" si="28"/>
        <v>2.5705094282032892</v>
      </c>
      <c r="T87">
        <f t="shared" ca="1" si="29"/>
        <v>71.992792062078138</v>
      </c>
      <c r="U87">
        <f>70</f>
        <v>70</v>
      </c>
      <c r="V87">
        <f>30</f>
        <v>30</v>
      </c>
      <c r="W87">
        <f t="shared" ca="1" si="27"/>
        <v>284.01823016549173</v>
      </c>
      <c r="X87">
        <f t="shared" ca="1" si="17"/>
        <v>275.3062264050867</v>
      </c>
      <c r="Y87">
        <f t="shared" ca="1" si="16"/>
        <v>8.5199167450081745</v>
      </c>
      <c r="Z87">
        <f t="shared" ca="1" si="18"/>
        <v>7.9006993345409828</v>
      </c>
      <c r="AA87">
        <f t="shared" ca="1" si="19"/>
        <v>0.6192174104671917</v>
      </c>
    </row>
    <row r="88" spans="1:27" x14ac:dyDescent="0.25">
      <c r="A88" s="20">
        <f t="shared" ca="1" si="20"/>
        <v>45831</v>
      </c>
      <c r="B88" vm="258">
        <f ca="1"/>
        <v>45835</v>
      </c>
      <c r="C88" vm="259">
        <f ca="1"/>
        <v>289.7</v>
      </c>
      <c r="D88" vm="260">
        <f ca="1"/>
        <v>3562501</v>
      </c>
      <c r="E88">
        <f t="shared" ca="1" si="21"/>
        <v>1032056539.6999999</v>
      </c>
      <c r="F88">
        <f ca="1">SUM($E$2:E88)/SUM($D$2:D88)</f>
        <v>252.6677020082081</v>
      </c>
      <c r="G88">
        <f ca="1">_xlfn.STDEV.P($C$2:C88)</f>
        <v>16.252309744890514</v>
      </c>
      <c r="H88">
        <f t="shared" ca="1" si="22"/>
        <v>268.92001175309861</v>
      </c>
      <c r="I88">
        <f t="shared" ca="1" si="23"/>
        <v>236.41539226331759</v>
      </c>
      <c r="J88">
        <f t="shared" ca="1" si="32"/>
        <v>278.11100000000005</v>
      </c>
      <c r="K88">
        <f t="shared" ca="1" si="33"/>
        <v>10.504658565557827</v>
      </c>
      <c r="L88">
        <f t="shared" ca="1" si="34"/>
        <v>299.12031713111571</v>
      </c>
      <c r="M88">
        <f t="shared" ca="1" si="35"/>
        <v>257.10168286888438</v>
      </c>
      <c r="N88">
        <f t="shared" ca="1" si="24"/>
        <v>-2.2300000000000182</v>
      </c>
      <c r="O88">
        <f t="shared" ca="1" si="25"/>
        <v>0</v>
      </c>
      <c r="P88">
        <f t="shared" ca="1" si="26"/>
        <v>2.2300000000000182</v>
      </c>
      <c r="Q88">
        <f t="shared" ca="1" si="30"/>
        <v>2.0009899816783387</v>
      </c>
      <c r="R88">
        <f t="shared" ca="1" si="31"/>
        <v>0.93772673446784049</v>
      </c>
      <c r="S88">
        <f t="shared" ca="1" si="28"/>
        <v>2.133873236336703</v>
      </c>
      <c r="T88">
        <f t="shared" ca="1" si="29"/>
        <v>68.09060467394859</v>
      </c>
      <c r="U88">
        <f>70</f>
        <v>70</v>
      </c>
      <c r="V88">
        <f>30</f>
        <v>30</v>
      </c>
      <c r="W88">
        <f t="shared" ca="1" si="27"/>
        <v>284.89234860156995</v>
      </c>
      <c r="X88">
        <f t="shared" ca="1" si="17"/>
        <v>276.37243185656178</v>
      </c>
      <c r="Y88">
        <f t="shared" ca="1" si="16"/>
        <v>8.6775703170475822</v>
      </c>
      <c r="Z88">
        <f t="shared" ca="1" si="18"/>
        <v>8.0560735310423031</v>
      </c>
      <c r="AA88">
        <f t="shared" ca="1" si="19"/>
        <v>0.62149678600527913</v>
      </c>
    </row>
    <row r="89" spans="1:27" x14ac:dyDescent="0.25">
      <c r="A89" s="20">
        <f t="shared" ca="1" si="20"/>
        <v>45838</v>
      </c>
      <c r="B89" vm="261">
        <f ca="1"/>
        <v>45838</v>
      </c>
      <c r="C89" vm="262">
        <f ca="1"/>
        <v>294.77999999999997</v>
      </c>
      <c r="D89" vm="263">
        <f ca="1"/>
        <v>3495386</v>
      </c>
      <c r="E89">
        <f t="shared" ca="1" si="21"/>
        <v>1030369885.0799999</v>
      </c>
      <c r="F89">
        <f ca="1">SUM($E$2:E89)/SUM($D$2:D89)</f>
        <v>253.03594713955874</v>
      </c>
      <c r="G89">
        <f ca="1">_xlfn.STDEV.P($C$2:C89)</f>
        <v>16.695698558657863</v>
      </c>
      <c r="H89">
        <f t="shared" ca="1" si="22"/>
        <v>269.7316456982166</v>
      </c>
      <c r="I89">
        <f t="shared" ca="1" si="23"/>
        <v>236.34024858090089</v>
      </c>
      <c r="J89">
        <f t="shared" ca="1" si="32"/>
        <v>279.89700000000005</v>
      </c>
      <c r="K89">
        <f t="shared" ca="1" si="33"/>
        <v>10.124821557881772</v>
      </c>
      <c r="L89">
        <f t="shared" ca="1" si="34"/>
        <v>300.1466431157636</v>
      </c>
      <c r="M89">
        <f t="shared" ca="1" si="35"/>
        <v>259.6473568842365</v>
      </c>
      <c r="N89">
        <f t="shared" ca="1" si="24"/>
        <v>5.0799999999999841</v>
      </c>
      <c r="O89">
        <f t="shared" ca="1" si="25"/>
        <v>5.0799999999999841</v>
      </c>
      <c r="P89">
        <f t="shared" ca="1" si="26"/>
        <v>0</v>
      </c>
      <c r="Q89">
        <f t="shared" ca="1" si="30"/>
        <v>2.2209192687013135</v>
      </c>
      <c r="R89">
        <f t="shared" ca="1" si="31"/>
        <v>0.87074625343442336</v>
      </c>
      <c r="S89">
        <f t="shared" ca="1" si="28"/>
        <v>2.5505929654494608</v>
      </c>
      <c r="T89">
        <f t="shared" ca="1" si="29"/>
        <v>71.835690271148479</v>
      </c>
      <c r="U89">
        <f>70</f>
        <v>70</v>
      </c>
      <c r="V89">
        <f>30</f>
        <v>30</v>
      </c>
      <c r="W89">
        <f t="shared" ca="1" si="27"/>
        <v>286.41352573978997</v>
      </c>
      <c r="X89">
        <f t="shared" ca="1" si="17"/>
        <v>277.73595542274239</v>
      </c>
      <c r="Y89">
        <f t="shared" ca="1" si="16"/>
        <v>8.416614337112037</v>
      </c>
      <c r="Z89">
        <f t="shared" ca="1" si="18"/>
        <v>8.1281816922562502</v>
      </c>
      <c r="AA89">
        <f t="shared" ca="1" si="19"/>
        <v>0.28843264485578679</v>
      </c>
    </row>
    <row r="90" spans="1:27" x14ac:dyDescent="0.25">
      <c r="A90" s="20">
        <f t="shared" ca="1" si="20"/>
        <v>45838</v>
      </c>
      <c r="B90" vm="264">
        <f ca="1"/>
        <v>45839</v>
      </c>
      <c r="C90" vm="265">
        <f ca="1"/>
        <v>291.2</v>
      </c>
      <c r="D90" vm="266">
        <f ca="1"/>
        <v>3272797</v>
      </c>
      <c r="E90">
        <f t="shared" ca="1" si="21"/>
        <v>953038486.39999998</v>
      </c>
      <c r="F90">
        <f ca="1">SUM($E$2:E90)/SUM($D$2:D90)</f>
        <v>253.34587825085612</v>
      </c>
      <c r="G90">
        <f ca="1">_xlfn.STDEV.P($C$2:C90)</f>
        <v>17.019528854494951</v>
      </c>
      <c r="H90">
        <f t="shared" ca="1" si="22"/>
        <v>270.3654071053511</v>
      </c>
      <c r="I90">
        <f t="shared" ca="1" si="23"/>
        <v>236.32634939636117</v>
      </c>
      <c r="J90">
        <f t="shared" ca="1" si="32"/>
        <v>281.26200000000006</v>
      </c>
      <c r="K90">
        <f t="shared" ca="1" si="33"/>
        <v>9.6853593254539554</v>
      </c>
      <c r="L90">
        <f t="shared" ca="1" si="34"/>
        <v>300.63271865090798</v>
      </c>
      <c r="M90">
        <f t="shared" ca="1" si="35"/>
        <v>261.89128134909214</v>
      </c>
      <c r="N90">
        <f t="shared" ca="1" si="24"/>
        <v>-3.5799999999999841</v>
      </c>
      <c r="O90">
        <f t="shared" ca="1" si="25"/>
        <v>0</v>
      </c>
      <c r="P90">
        <f t="shared" ca="1" si="26"/>
        <v>3.5799999999999841</v>
      </c>
      <c r="Q90">
        <f t="shared" ca="1" si="30"/>
        <v>2.0622821780797911</v>
      </c>
      <c r="R90">
        <f t="shared" ca="1" si="31"/>
        <v>1.0642643781891061</v>
      </c>
      <c r="S90">
        <f t="shared" ca="1" si="28"/>
        <v>1.9377536450001807</v>
      </c>
      <c r="T90">
        <f t="shared" ca="1" si="29"/>
        <v>65.960386035026488</v>
      </c>
      <c r="U90">
        <f>70</f>
        <v>70</v>
      </c>
      <c r="V90">
        <f>30</f>
        <v>30</v>
      </c>
      <c r="W90">
        <f t="shared" ca="1" si="27"/>
        <v>287.14990639520687</v>
      </c>
      <c r="X90">
        <f t="shared" ca="1" si="17"/>
        <v>278.73329205809483</v>
      </c>
      <c r="Y90">
        <f t="shared" ca="1" si="16"/>
        <v>7.8330549301869041</v>
      </c>
      <c r="Z90">
        <f t="shared" ca="1" si="18"/>
        <v>8.0691563398423813</v>
      </c>
      <c r="AA90">
        <f t="shared" ca="1" si="19"/>
        <v>-0.23610140965547721</v>
      </c>
    </row>
    <row r="91" spans="1:27" x14ac:dyDescent="0.25">
      <c r="A91" s="20">
        <f t="shared" ca="1" si="20"/>
        <v>45838</v>
      </c>
      <c r="B91" vm="267">
        <f ca="1"/>
        <v>45840</v>
      </c>
      <c r="C91" vm="268">
        <f ca="1"/>
        <v>287.64999999999998</v>
      </c>
      <c r="D91" vm="269">
        <f ca="1"/>
        <v>3257515</v>
      </c>
      <c r="E91">
        <f t="shared" ca="1" si="21"/>
        <v>937024189.74999988</v>
      </c>
      <c r="F91">
        <f ca="1">SUM($E$2:E91)/SUM($D$2:D91)</f>
        <v>253.62093861324158</v>
      </c>
      <c r="G91">
        <f ca="1">_xlfn.STDEV.P($C$2:C91)</f>
        <v>17.246053579347606</v>
      </c>
      <c r="H91">
        <f t="shared" ca="1" si="22"/>
        <v>270.86699219258918</v>
      </c>
      <c r="I91">
        <f t="shared" ca="1" si="23"/>
        <v>236.37488503389397</v>
      </c>
      <c r="J91">
        <f t="shared" ca="1" si="32"/>
        <v>282.3845</v>
      </c>
      <c r="K91">
        <f t="shared" ca="1" si="33"/>
        <v>9.0027367037970567</v>
      </c>
      <c r="L91">
        <f t="shared" ca="1" si="34"/>
        <v>300.38997340759414</v>
      </c>
      <c r="M91">
        <f t="shared" ca="1" si="35"/>
        <v>264.37902659240586</v>
      </c>
      <c r="N91">
        <f t="shared" ca="1" si="24"/>
        <v>-3.5500000000000114</v>
      </c>
      <c r="O91">
        <f t="shared" ca="1" si="25"/>
        <v>0</v>
      </c>
      <c r="P91">
        <f t="shared" ca="1" si="26"/>
        <v>3.5500000000000114</v>
      </c>
      <c r="Q91">
        <f t="shared" ca="1" si="30"/>
        <v>1.9149763082169489</v>
      </c>
      <c r="R91">
        <f t="shared" ca="1" si="31"/>
        <v>1.2418169226041706</v>
      </c>
      <c r="S91">
        <f t="shared" ca="1" si="28"/>
        <v>1.5420761896215098</v>
      </c>
      <c r="T91">
        <f t="shared" ca="1" si="29"/>
        <v>60.662075980150298</v>
      </c>
      <c r="U91">
        <f>70</f>
        <v>70</v>
      </c>
      <c r="V91">
        <f>30</f>
        <v>30</v>
      </c>
      <c r="W91">
        <f t="shared" ca="1" si="27"/>
        <v>287.22684387286733</v>
      </c>
      <c r="X91">
        <f t="shared" ca="1" si="17"/>
        <v>279.39378894268043</v>
      </c>
      <c r="Y91">
        <f t="shared" ca="1" si="16"/>
        <v>7.6312000680069332</v>
      </c>
      <c r="Z91">
        <f t="shared" ca="1" si="18"/>
        <v>7.9815650854752924</v>
      </c>
      <c r="AA91">
        <f t="shared" ca="1" si="19"/>
        <v>-0.35036501746835924</v>
      </c>
    </row>
    <row r="92" spans="1:27" x14ac:dyDescent="0.25">
      <c r="A92" s="20">
        <f t="shared" ca="1" si="20"/>
        <v>45838</v>
      </c>
      <c r="B92" vm="270">
        <f ca="1"/>
        <v>45841</v>
      </c>
      <c r="C92" vm="271">
        <f ca="1"/>
        <v>291.97000000000003</v>
      </c>
      <c r="D92" vm="272">
        <f ca="1"/>
        <v>1853289</v>
      </c>
      <c r="E92">
        <f t="shared" ca="1" si="21"/>
        <v>541104789.33000004</v>
      </c>
      <c r="F92">
        <f ca="1">SUM($E$2:E92)/SUM($D$2:D92)</f>
        <v>253.79508581443775</v>
      </c>
      <c r="G92">
        <f ca="1">_xlfn.STDEV.P($C$2:C92)</f>
        <v>17.547575454953911</v>
      </c>
      <c r="H92">
        <f t="shared" ca="1" si="22"/>
        <v>271.34266126939167</v>
      </c>
      <c r="I92">
        <f t="shared" ca="1" si="23"/>
        <v>236.24751035948384</v>
      </c>
      <c r="J92">
        <f t="shared" ca="1" si="32"/>
        <v>283.70699999999999</v>
      </c>
      <c r="K92">
        <f t="shared" ca="1" si="33"/>
        <v>8.3111416025021558</v>
      </c>
      <c r="L92">
        <f t="shared" ca="1" si="34"/>
        <v>300.32928320500429</v>
      </c>
      <c r="M92">
        <f t="shared" ca="1" si="35"/>
        <v>267.0847167949957</v>
      </c>
      <c r="N92">
        <f t="shared" ca="1" si="24"/>
        <v>4.32000000000005</v>
      </c>
      <c r="O92">
        <f t="shared" ca="1" si="25"/>
        <v>4.32000000000005</v>
      </c>
      <c r="P92">
        <f t="shared" ca="1" si="26"/>
        <v>0</v>
      </c>
      <c r="Q92">
        <f t="shared" ca="1" si="30"/>
        <v>2.0867637147728848</v>
      </c>
      <c r="R92">
        <f t="shared" ca="1" si="31"/>
        <v>1.1531157138467301</v>
      </c>
      <c r="S92">
        <f t="shared" ca="1" si="28"/>
        <v>1.8096741634120628</v>
      </c>
      <c r="T92">
        <f t="shared" ca="1" si="29"/>
        <v>64.408684358416778</v>
      </c>
      <c r="U92">
        <f>70</f>
        <v>70</v>
      </c>
      <c r="V92">
        <f>30</f>
        <v>30</v>
      </c>
      <c r="W92">
        <f t="shared" ca="1" si="27"/>
        <v>287.95656020011847</v>
      </c>
      <c r="X92">
        <f t="shared" ca="1" si="17"/>
        <v>280.32536013211154</v>
      </c>
      <c r="Y92">
        <f t="shared" ref="Y92:Y155" ca="1" si="36">W93-X93</f>
        <v>7.4259724686579602</v>
      </c>
      <c r="Z92">
        <f t="shared" ca="1" si="18"/>
        <v>7.8704465621118267</v>
      </c>
      <c r="AA92">
        <f t="shared" ca="1" si="19"/>
        <v>-0.44447409345386646</v>
      </c>
    </row>
    <row r="93" spans="1:27" x14ac:dyDescent="0.25">
      <c r="A93" s="20">
        <f t="shared" ca="1" si="20"/>
        <v>45845</v>
      </c>
      <c r="B93" vm="273">
        <f ca="1"/>
        <v>45845</v>
      </c>
      <c r="C93" vm="274">
        <f ca="1"/>
        <v>292.47000000000003</v>
      </c>
      <c r="D93" vm="275">
        <f ca="1"/>
        <v>4488064</v>
      </c>
      <c r="E93">
        <f t="shared" ca="1" si="21"/>
        <v>1312624078.0800002</v>
      </c>
      <c r="F93">
        <f ca="1">SUM($E$2:E93)/SUM($D$2:D93)</f>
        <v>254.21577089299601</v>
      </c>
      <c r="G93">
        <f ca="1">_xlfn.STDEV.P($C$2:C93)</f>
        <v>17.839998422161955</v>
      </c>
      <c r="H93">
        <f t="shared" ca="1" si="22"/>
        <v>272.05576931515793</v>
      </c>
      <c r="I93">
        <f t="shared" ca="1" si="23"/>
        <v>236.37577247083405</v>
      </c>
      <c r="J93">
        <f t="shared" ca="1" si="32"/>
        <v>284.98750000000001</v>
      </c>
      <c r="K93">
        <f t="shared" ca="1" si="33"/>
        <v>7.5135021443854155</v>
      </c>
      <c r="L93">
        <f t="shared" ca="1" si="34"/>
        <v>300.01450428877087</v>
      </c>
      <c r="M93">
        <f t="shared" ca="1" si="35"/>
        <v>269.96049571122916</v>
      </c>
      <c r="N93">
        <f t="shared" ca="1" si="24"/>
        <v>0.5</v>
      </c>
      <c r="O93">
        <f t="shared" ca="1" si="25"/>
        <v>0.5</v>
      </c>
      <c r="P93">
        <f t="shared" ca="1" si="26"/>
        <v>0</v>
      </c>
      <c r="Q93">
        <f t="shared" ca="1" si="30"/>
        <v>1.9734234494319645</v>
      </c>
      <c r="R93">
        <f t="shared" ca="1" si="31"/>
        <v>1.0707503057148207</v>
      </c>
      <c r="S93">
        <f t="shared" ca="1" si="28"/>
        <v>1.843028611712167</v>
      </c>
      <c r="T93">
        <f t="shared" ca="1" si="29"/>
        <v>64.826242132056251</v>
      </c>
      <c r="U93">
        <f>70</f>
        <v>70</v>
      </c>
      <c r="V93">
        <f>30</f>
        <v>30</v>
      </c>
      <c r="W93">
        <f t="shared" ca="1" si="27"/>
        <v>288.6509355539464</v>
      </c>
      <c r="X93">
        <f t="shared" ref="X93:X156" ca="1" si="37">C93*(2/(26+1)) + X92*(1-(2/(26+1)))</f>
        <v>281.22496308528844</v>
      </c>
      <c r="Y93">
        <f t="shared" ca="1" si="36"/>
        <v>7.0170223840551103</v>
      </c>
      <c r="Z93">
        <f t="shared" ca="1" si="18"/>
        <v>7.6997617265004834</v>
      </c>
      <c r="AA93">
        <f t="shared" ca="1" si="19"/>
        <v>-0.68273934244537315</v>
      </c>
    </row>
    <row r="94" spans="1:27" x14ac:dyDescent="0.25">
      <c r="A94" s="20">
        <f t="shared" ca="1" si="20"/>
        <v>45845</v>
      </c>
      <c r="B94" vm="276">
        <f ca="1"/>
        <v>45846</v>
      </c>
      <c r="C94" vm="277">
        <f ca="1"/>
        <v>290.42</v>
      </c>
      <c r="D94" vm="278">
        <f ca="1"/>
        <v>2925329</v>
      </c>
      <c r="E94">
        <f t="shared" ca="1" si="21"/>
        <v>849574048.18000007</v>
      </c>
      <c r="F94">
        <f ca="1">SUM($E$2:E94)/SUM($D$2:D94)</f>
        <v>254.47065013404378</v>
      </c>
      <c r="G94">
        <f ca="1">_xlfn.STDEV.P($C$2:C94)</f>
        <v>18.072213245599002</v>
      </c>
      <c r="H94">
        <f t="shared" ca="1" si="22"/>
        <v>272.54286337964277</v>
      </c>
      <c r="I94">
        <f t="shared" ca="1" si="23"/>
        <v>236.39843688844479</v>
      </c>
      <c r="J94">
        <f t="shared" ca="1" si="32"/>
        <v>286.06499999999994</v>
      </c>
      <c r="K94">
        <f t="shared" ca="1" si="33"/>
        <v>6.5659396249047841</v>
      </c>
      <c r="L94">
        <f t="shared" ca="1" si="34"/>
        <v>299.19687924980951</v>
      </c>
      <c r="M94">
        <f t="shared" ca="1" si="35"/>
        <v>272.93312075019037</v>
      </c>
      <c r="N94">
        <f t="shared" ca="1" si="24"/>
        <v>-2.0500000000000114</v>
      </c>
      <c r="O94">
        <f t="shared" ca="1" si="25"/>
        <v>0</v>
      </c>
      <c r="P94">
        <f t="shared" ca="1" si="26"/>
        <v>2.0500000000000114</v>
      </c>
      <c r="Q94">
        <f t="shared" ca="1" si="30"/>
        <v>1.8324646316153956</v>
      </c>
      <c r="R94">
        <f t="shared" ca="1" si="31"/>
        <v>1.1406967124494771</v>
      </c>
      <c r="S94">
        <f t="shared" ca="1" si="28"/>
        <v>1.6064433355650245</v>
      </c>
      <c r="T94">
        <f t="shared" ca="1" si="29"/>
        <v>61.633541525535591</v>
      </c>
      <c r="U94">
        <f>70</f>
        <v>70</v>
      </c>
      <c r="V94">
        <f>30</f>
        <v>30</v>
      </c>
      <c r="W94">
        <f t="shared" ca="1" si="27"/>
        <v>288.92309931487773</v>
      </c>
      <c r="X94">
        <f t="shared" ca="1" si="37"/>
        <v>281.90607693082262</v>
      </c>
      <c r="Y94">
        <f t="shared" ca="1" si="36"/>
        <v>6.5943176467274611</v>
      </c>
      <c r="Z94">
        <f t="shared" ca="1" si="18"/>
        <v>7.4786729105458791</v>
      </c>
      <c r="AA94">
        <f t="shared" ca="1" si="19"/>
        <v>-0.884355263818418</v>
      </c>
    </row>
    <row r="95" spans="1:27" x14ac:dyDescent="0.25">
      <c r="A95" s="20">
        <f t="shared" ca="1" si="20"/>
        <v>45845</v>
      </c>
      <c r="B95" vm="279">
        <f ca="1"/>
        <v>45847</v>
      </c>
      <c r="C95" vm="280">
        <f ca="1"/>
        <v>290.14</v>
      </c>
      <c r="D95" vm="281">
        <f ca="1"/>
        <v>2971309</v>
      </c>
      <c r="E95">
        <f t="shared" ca="1" si="21"/>
        <v>862095593.25999999</v>
      </c>
      <c r="F95">
        <f ca="1">SUM($E$2:E95)/SUM($D$2:D95)</f>
        <v>254.72389986897983</v>
      </c>
      <c r="G95">
        <f ca="1">_xlfn.STDEV.P($C$2:C95)</f>
        <v>18.284588159375922</v>
      </c>
      <c r="H95">
        <f t="shared" ca="1" si="22"/>
        <v>273.00848802835577</v>
      </c>
      <c r="I95">
        <f t="shared" ca="1" si="23"/>
        <v>236.43931170960391</v>
      </c>
      <c r="J95">
        <f t="shared" ca="1" si="32"/>
        <v>286.96799999999996</v>
      </c>
      <c r="K95">
        <f t="shared" ca="1" si="33"/>
        <v>5.7300542846698379</v>
      </c>
      <c r="L95">
        <f t="shared" ca="1" si="34"/>
        <v>298.42810856933966</v>
      </c>
      <c r="M95">
        <f t="shared" ca="1" si="35"/>
        <v>275.50789143066027</v>
      </c>
      <c r="N95">
        <f t="shared" ca="1" si="24"/>
        <v>-0.28000000000002956</v>
      </c>
      <c r="O95">
        <f t="shared" ca="1" si="25"/>
        <v>0</v>
      </c>
      <c r="P95">
        <f t="shared" ca="1" si="26"/>
        <v>0.28000000000002956</v>
      </c>
      <c r="Q95">
        <f t="shared" ca="1" si="30"/>
        <v>1.7015743007857245</v>
      </c>
      <c r="R95">
        <f t="shared" ca="1" si="31"/>
        <v>1.079218375845945</v>
      </c>
      <c r="S95">
        <f t="shared" ca="1" si="28"/>
        <v>1.5766728392221323</v>
      </c>
      <c r="T95">
        <f t="shared" ca="1" si="29"/>
        <v>61.190261146933636</v>
      </c>
      <c r="U95">
        <f>70</f>
        <v>70</v>
      </c>
      <c r="V95">
        <f>30</f>
        <v>30</v>
      </c>
      <c r="W95">
        <f t="shared" ca="1" si="27"/>
        <v>289.11031480489652</v>
      </c>
      <c r="X95">
        <f t="shared" ca="1" si="37"/>
        <v>282.51599715816906</v>
      </c>
      <c r="Y95">
        <f t="shared" ca="1" si="36"/>
        <v>5.9718074662374079</v>
      </c>
      <c r="Z95">
        <f t="shared" ca="1" si="18"/>
        <v>7.1772998216841852</v>
      </c>
      <c r="AA95">
        <f t="shared" ca="1" si="19"/>
        <v>-1.2054923554467774</v>
      </c>
    </row>
    <row r="96" spans="1:27" x14ac:dyDescent="0.25">
      <c r="A96" s="20">
        <f t="shared" ca="1" si="20"/>
        <v>45845</v>
      </c>
      <c r="B96" vm="282">
        <f ca="1"/>
        <v>45848</v>
      </c>
      <c r="C96" vm="283">
        <f ca="1"/>
        <v>287.43</v>
      </c>
      <c r="D96" vm="284">
        <f ca="1"/>
        <v>3489068</v>
      </c>
      <c r="E96">
        <f t="shared" ca="1" si="21"/>
        <v>1002862815.24</v>
      </c>
      <c r="F96">
        <f ca="1">SUM($E$2:E96)/SUM($D$2:D96)</f>
        <v>254.99431963527661</v>
      </c>
      <c r="G96">
        <f ca="1">_xlfn.STDEV.P($C$2:C96)</f>
        <v>18.436555370157883</v>
      </c>
      <c r="H96">
        <f t="shared" ca="1" si="22"/>
        <v>273.43087500543447</v>
      </c>
      <c r="I96">
        <f t="shared" ca="1" si="23"/>
        <v>236.55776426511872</v>
      </c>
      <c r="J96">
        <f t="shared" ca="1" si="32"/>
        <v>287.52750000000003</v>
      </c>
      <c r="K96">
        <f t="shared" ca="1" si="33"/>
        <v>5.1437216456978954</v>
      </c>
      <c r="L96">
        <f t="shared" ca="1" si="34"/>
        <v>297.81494329139582</v>
      </c>
      <c r="M96">
        <f t="shared" ca="1" si="35"/>
        <v>277.24005670860424</v>
      </c>
      <c r="N96">
        <f t="shared" ca="1" si="24"/>
        <v>-2.7099999999999795</v>
      </c>
      <c r="O96">
        <f t="shared" ca="1" si="25"/>
        <v>0</v>
      </c>
      <c r="P96">
        <f t="shared" ca="1" si="26"/>
        <v>2.7099999999999795</v>
      </c>
      <c r="Q96">
        <f t="shared" ca="1" si="30"/>
        <v>1.5800332793010299</v>
      </c>
      <c r="R96">
        <f t="shared" ca="1" si="31"/>
        <v>1.1957027775712332</v>
      </c>
      <c r="S96">
        <f t="shared" ca="1" si="28"/>
        <v>1.3214264522413057</v>
      </c>
      <c r="T96">
        <f t="shared" ca="1" si="29"/>
        <v>56.923037598950692</v>
      </c>
      <c r="U96">
        <f>70</f>
        <v>70</v>
      </c>
      <c r="V96">
        <f>30</f>
        <v>30</v>
      </c>
      <c r="W96">
        <f t="shared" ca="1" si="27"/>
        <v>288.85180483491246</v>
      </c>
      <c r="X96">
        <f t="shared" ca="1" si="37"/>
        <v>282.87999736867505</v>
      </c>
      <c r="Y96">
        <f t="shared" ca="1" si="36"/>
        <v>5.1097062425914714</v>
      </c>
      <c r="Z96">
        <f t="shared" ca="1" si="18"/>
        <v>6.7637811058656432</v>
      </c>
      <c r="AA96">
        <f t="shared" ca="1" si="19"/>
        <v>-1.6540748632741717</v>
      </c>
    </row>
    <row r="97" spans="1:28" x14ac:dyDescent="0.25">
      <c r="A97" s="20">
        <f t="shared" ca="1" si="20"/>
        <v>45845</v>
      </c>
      <c r="B97" vm="285">
        <f ca="1"/>
        <v>45849</v>
      </c>
      <c r="C97" vm="286">
        <f ca="1"/>
        <v>283.58999999999997</v>
      </c>
      <c r="D97" vm="287">
        <f ca="1"/>
        <v>3790679</v>
      </c>
      <c r="E97">
        <f t="shared" ca="1" si="21"/>
        <v>1074998657.6099999</v>
      </c>
      <c r="F97">
        <f ca="1">SUM($E$2:E97)/SUM($D$2:D97)</f>
        <v>255.24890525488192</v>
      </c>
      <c r="G97">
        <f ca="1">_xlfn.STDEV.P($C$2:C97)</f>
        <v>18.520792798219141</v>
      </c>
      <c r="H97">
        <f t="shared" ca="1" si="22"/>
        <v>273.76969805310108</v>
      </c>
      <c r="I97">
        <f t="shared" ca="1" si="23"/>
        <v>236.72811245666279</v>
      </c>
      <c r="J97">
        <f t="shared" ca="1" si="32"/>
        <v>287.63100000000003</v>
      </c>
      <c r="K97">
        <f t="shared" ca="1" si="33"/>
        <v>5.036180570317363</v>
      </c>
      <c r="L97">
        <f t="shared" ca="1" si="34"/>
        <v>297.70336114063474</v>
      </c>
      <c r="M97">
        <f t="shared" ca="1" si="35"/>
        <v>277.55863885936532</v>
      </c>
      <c r="N97">
        <f t="shared" ca="1" si="24"/>
        <v>-3.8400000000000318</v>
      </c>
      <c r="O97">
        <f t="shared" ca="1" si="25"/>
        <v>0</v>
      </c>
      <c r="P97">
        <f t="shared" ca="1" si="26"/>
        <v>3.8400000000000318</v>
      </c>
      <c r="Q97">
        <f t="shared" ca="1" si="30"/>
        <v>1.4671737593509564</v>
      </c>
      <c r="R97">
        <f t="shared" ca="1" si="31"/>
        <v>1.3845811506018617</v>
      </c>
      <c r="S97">
        <f t="shared" ca="1" si="28"/>
        <v>1.0596516922920645</v>
      </c>
      <c r="T97">
        <f t="shared" ca="1" si="29"/>
        <v>51.448101456069047</v>
      </c>
      <c r="U97">
        <f>70</f>
        <v>70</v>
      </c>
      <c r="V97">
        <f>30</f>
        <v>30</v>
      </c>
      <c r="W97">
        <f t="shared" ca="1" si="27"/>
        <v>288.04229639877207</v>
      </c>
      <c r="X97">
        <f t="shared" ca="1" si="37"/>
        <v>282.93259015618059</v>
      </c>
      <c r="Y97">
        <f t="shared" ca="1" si="36"/>
        <v>4.3919949563436376</v>
      </c>
      <c r="Z97">
        <f t="shared" ca="1" si="18"/>
        <v>6.2894238759612424</v>
      </c>
      <c r="AA97">
        <f t="shared" ca="1" si="19"/>
        <v>-1.8974289196176048</v>
      </c>
    </row>
    <row r="98" spans="1:28" x14ac:dyDescent="0.25">
      <c r="A98" s="20">
        <f t="shared" ca="1" si="20"/>
        <v>45852</v>
      </c>
      <c r="B98" vm="288">
        <f ca="1"/>
        <v>45852</v>
      </c>
      <c r="C98" vm="289">
        <f ca="1"/>
        <v>283.79000000000002</v>
      </c>
      <c r="D98" vm="290">
        <f ca="1"/>
        <v>2857401</v>
      </c>
      <c r="E98">
        <f t="shared" ca="1" si="21"/>
        <v>810901829.79000008</v>
      </c>
      <c r="F98">
        <f ca="1">SUM($E$2:E98)/SUM($D$2:D98)</f>
        <v>255.43916785541285</v>
      </c>
      <c r="G98">
        <f ca="1">_xlfn.STDEV.P($C$2:C98)</f>
        <v>18.602043078536205</v>
      </c>
      <c r="H98">
        <f t="shared" ca="1" si="22"/>
        <v>274.04121093394906</v>
      </c>
      <c r="I98">
        <f t="shared" ca="1" si="23"/>
        <v>236.83712477687664</v>
      </c>
      <c r="J98">
        <f t="shared" ca="1" si="32"/>
        <v>287.76900000000001</v>
      </c>
      <c r="K98">
        <f t="shared" ca="1" si="33"/>
        <v>4.8812119935847669</v>
      </c>
      <c r="L98">
        <f t="shared" ca="1" si="34"/>
        <v>297.53142398716955</v>
      </c>
      <c r="M98">
        <f t="shared" ca="1" si="35"/>
        <v>278.00657601283046</v>
      </c>
      <c r="N98">
        <f t="shared" ca="1" si="24"/>
        <v>0.20000000000004547</v>
      </c>
      <c r="O98">
        <f t="shared" ca="1" si="25"/>
        <v>0.20000000000004547</v>
      </c>
      <c r="P98">
        <f t="shared" ca="1" si="26"/>
        <v>0</v>
      </c>
      <c r="Q98">
        <f t="shared" ca="1" si="30"/>
        <v>1.3766613479687486</v>
      </c>
      <c r="R98">
        <f t="shared" ca="1" si="31"/>
        <v>1.285682496987443</v>
      </c>
      <c r="S98">
        <f t="shared" ca="1" si="28"/>
        <v>1.0707630781273632</v>
      </c>
      <c r="T98">
        <f t="shared" ca="1" si="29"/>
        <v>51.708623233502784</v>
      </c>
      <c r="U98">
        <f>70</f>
        <v>70</v>
      </c>
      <c r="V98">
        <f>30</f>
        <v>30</v>
      </c>
      <c r="W98">
        <f t="shared" ca="1" si="27"/>
        <v>287.38809695280713</v>
      </c>
      <c r="X98">
        <f t="shared" ca="1" si="37"/>
        <v>282.99610199646349</v>
      </c>
      <c r="Y98">
        <f t="shared" ca="1" si="36"/>
        <v>3.6926827525158501</v>
      </c>
      <c r="Z98">
        <f t="shared" ca="1" si="18"/>
        <v>5.7700756512721645</v>
      </c>
      <c r="AA98">
        <f t="shared" ca="1" si="19"/>
        <v>-2.0773928987563144</v>
      </c>
    </row>
    <row r="99" spans="1:28" x14ac:dyDescent="0.25">
      <c r="A99" s="20">
        <f t="shared" ca="1" si="20"/>
        <v>45852</v>
      </c>
      <c r="B99" vm="291">
        <f ca="1"/>
        <v>45853</v>
      </c>
      <c r="C99" vm="292">
        <f ca="1"/>
        <v>282.7</v>
      </c>
      <c r="D99" vm="293">
        <f ca="1"/>
        <v>2864106</v>
      </c>
      <c r="E99">
        <f t="shared" ca="1" si="21"/>
        <v>809682766.19999993</v>
      </c>
      <c r="F99">
        <f ca="1">SUM($E$2:E99)/SUM($D$2:D99)</f>
        <v>255.62011325236648</v>
      </c>
      <c r="G99">
        <f ca="1">_xlfn.STDEV.P($C$2:C99)</f>
        <v>18.663282288741559</v>
      </c>
      <c r="H99">
        <f t="shared" ca="1" si="22"/>
        <v>274.28339554110806</v>
      </c>
      <c r="I99">
        <f t="shared" ca="1" si="23"/>
        <v>236.95683096362492</v>
      </c>
      <c r="J99">
        <f t="shared" ca="1" si="32"/>
        <v>288.04300000000001</v>
      </c>
      <c r="K99">
        <f t="shared" ca="1" si="33"/>
        <v>4.3866437236108835</v>
      </c>
      <c r="L99">
        <f t="shared" ca="1" si="34"/>
        <v>296.81628744722178</v>
      </c>
      <c r="M99">
        <f t="shared" ca="1" si="35"/>
        <v>279.26971255277823</v>
      </c>
      <c r="N99">
        <f t="shared" ca="1" si="24"/>
        <v>-1.0900000000000318</v>
      </c>
      <c r="O99">
        <f t="shared" ca="1" si="25"/>
        <v>0</v>
      </c>
      <c r="P99">
        <f t="shared" ca="1" si="26"/>
        <v>1.0900000000000318</v>
      </c>
      <c r="Q99">
        <f t="shared" ca="1" si="30"/>
        <v>1.2783283945424095</v>
      </c>
      <c r="R99">
        <f t="shared" ca="1" si="31"/>
        <v>1.2717051757740563</v>
      </c>
      <c r="S99">
        <f t="shared" ca="1" si="28"/>
        <v>1.0052081401369795</v>
      </c>
      <c r="T99">
        <f t="shared" ca="1" si="29"/>
        <v>50.12986532501867</v>
      </c>
      <c r="U99">
        <f>70</f>
        <v>70</v>
      </c>
      <c r="V99">
        <f>30</f>
        <v>30</v>
      </c>
      <c r="W99">
        <f t="shared" ca="1" si="27"/>
        <v>286.66685126775985</v>
      </c>
      <c r="X99">
        <f t="shared" ca="1" si="37"/>
        <v>282.974168515244</v>
      </c>
      <c r="Y99">
        <f t="shared" ca="1" si="36"/>
        <v>3.0404844987760384</v>
      </c>
      <c r="Z99">
        <f t="shared" ca="1" si="18"/>
        <v>5.22415742077294</v>
      </c>
      <c r="AA99">
        <f t="shared" ca="1" si="19"/>
        <v>-2.1836729219969016</v>
      </c>
    </row>
    <row r="100" spans="1:28" x14ac:dyDescent="0.25">
      <c r="A100" s="20">
        <f t="shared" ca="1" si="20"/>
        <v>45852</v>
      </c>
      <c r="B100" vm="294">
        <f ca="1"/>
        <v>45854</v>
      </c>
      <c r="C100" vm="295">
        <f ca="1"/>
        <v>281.92</v>
      </c>
      <c r="D100" vm="296">
        <f ca="1"/>
        <v>2804831</v>
      </c>
      <c r="E100">
        <f t="shared" ca="1" si="21"/>
        <v>790737955.5200001</v>
      </c>
      <c r="F100">
        <f ca="1">SUM($E$2:E100)/SUM($D$2:D100)</f>
        <v>255.78996345128087</v>
      </c>
      <c r="G100">
        <f ca="1">_xlfn.STDEV.P($C$2:C100)</f>
        <v>18.710252189813691</v>
      </c>
      <c r="H100">
        <f t="shared" ca="1" si="22"/>
        <v>274.50021564109454</v>
      </c>
      <c r="I100">
        <f t="shared" ca="1" si="23"/>
        <v>237.07971126146717</v>
      </c>
      <c r="J100">
        <f t="shared" ca="1" si="32"/>
        <v>288.04750000000001</v>
      </c>
      <c r="K100">
        <f t="shared" ca="1" si="33"/>
        <v>4.3799758170445111</v>
      </c>
      <c r="L100">
        <f t="shared" ca="1" si="34"/>
        <v>296.80745163408903</v>
      </c>
      <c r="M100">
        <f t="shared" ca="1" si="35"/>
        <v>279.28754836591099</v>
      </c>
      <c r="N100">
        <f t="shared" ca="1" si="24"/>
        <v>-0.77999999999997272</v>
      </c>
      <c r="O100">
        <f t="shared" ca="1" si="25"/>
        <v>0</v>
      </c>
      <c r="P100">
        <f t="shared" ca="1" si="26"/>
        <v>0.77999999999997272</v>
      </c>
      <c r="Q100">
        <f t="shared" ca="1" si="30"/>
        <v>1.1870192235036661</v>
      </c>
      <c r="R100">
        <f t="shared" ca="1" si="31"/>
        <v>1.2365833775044788</v>
      </c>
      <c r="S100">
        <f t="shared" ca="1" si="28"/>
        <v>0.95991846979146933</v>
      </c>
      <c r="T100">
        <f t="shared" ca="1" si="29"/>
        <v>48.977469450226792</v>
      </c>
      <c r="U100">
        <f>70</f>
        <v>70</v>
      </c>
      <c r="V100">
        <f>30</f>
        <v>30</v>
      </c>
      <c r="W100">
        <f t="shared" ca="1" si="27"/>
        <v>285.93656645733529</v>
      </c>
      <c r="X100">
        <f t="shared" ca="1" si="37"/>
        <v>282.89608195855925</v>
      </c>
      <c r="Y100">
        <f t="shared" ca="1" si="36"/>
        <v>2.5012353313300082</v>
      </c>
      <c r="Z100">
        <f t="shared" ca="1" si="18"/>
        <v>4.6795730028843536</v>
      </c>
      <c r="AA100">
        <f t="shared" ca="1" si="19"/>
        <v>-2.1783376715543454</v>
      </c>
    </row>
    <row r="101" spans="1:28" x14ac:dyDescent="0.25">
      <c r="A101" s="20">
        <f t="shared" ca="1" si="20"/>
        <v>45852</v>
      </c>
      <c r="B101" vm="297">
        <f ca="1"/>
        <v>45855</v>
      </c>
      <c r="C101" vm="298">
        <f ca="1"/>
        <v>282</v>
      </c>
      <c r="D101" vm="299">
        <f ca="1"/>
        <v>3337168</v>
      </c>
      <c r="E101">
        <f t="shared" ca="1" si="21"/>
        <v>941081376</v>
      </c>
      <c r="F101">
        <f ca="1">SUM($E$2:E101)/SUM($D$2:D101)</f>
        <v>255.98982389435793</v>
      </c>
      <c r="G101">
        <f ca="1">_xlfn.STDEV.P($C$2:C101)</f>
        <v>18.754346492480082</v>
      </c>
      <c r="H101">
        <f t="shared" ca="1" si="22"/>
        <v>274.74417038683799</v>
      </c>
      <c r="I101">
        <f t="shared" ca="1" si="23"/>
        <v>237.23547740187786</v>
      </c>
      <c r="J101">
        <f t="shared" ca="1" si="32"/>
        <v>287.995</v>
      </c>
      <c r="K101">
        <f t="shared" ca="1" si="33"/>
        <v>4.4487828021890028</v>
      </c>
      <c r="L101">
        <f t="shared" ca="1" si="34"/>
        <v>296.89256560437804</v>
      </c>
      <c r="M101">
        <f t="shared" ca="1" si="35"/>
        <v>279.09743439562197</v>
      </c>
      <c r="N101">
        <f t="shared" ca="1" si="24"/>
        <v>7.9999999999984084E-2</v>
      </c>
      <c r="O101">
        <f t="shared" ca="1" si="25"/>
        <v>7.9999999999984084E-2</v>
      </c>
      <c r="P101">
        <f t="shared" ca="1" si="26"/>
        <v>0</v>
      </c>
      <c r="Q101">
        <f t="shared" ca="1" si="30"/>
        <v>1.1079464218248316</v>
      </c>
      <c r="R101">
        <f t="shared" ca="1" si="31"/>
        <v>1.1482559933970162</v>
      </c>
      <c r="S101">
        <f t="shared" ca="1" si="28"/>
        <v>0.96489496087633542</v>
      </c>
      <c r="T101">
        <f t="shared" ca="1" si="29"/>
        <v>49.106694255350732</v>
      </c>
      <c r="U101">
        <f>70</f>
        <v>70</v>
      </c>
      <c r="V101">
        <f>30</f>
        <v>30</v>
      </c>
      <c r="W101">
        <f t="shared" ca="1" si="27"/>
        <v>285.3309408485145</v>
      </c>
      <c r="X101">
        <f t="shared" ca="1" si="37"/>
        <v>282.82970551718449</v>
      </c>
      <c r="Y101">
        <f t="shared" ca="1" si="36"/>
        <v>2.3589605097545814</v>
      </c>
      <c r="Z101">
        <f t="shared" ca="1" si="18"/>
        <v>4.2154505042583992</v>
      </c>
      <c r="AA101">
        <f t="shared" ca="1" si="19"/>
        <v>-1.8564899945038178</v>
      </c>
      <c r="AB101">
        <f ca="1">AVERAGE(C2:C101)</f>
        <v>259.41420000000011</v>
      </c>
    </row>
    <row r="102" spans="1:28" x14ac:dyDescent="0.25">
      <c r="A102" s="20">
        <f t="shared" ca="1" si="20"/>
        <v>45852</v>
      </c>
      <c r="B102" vm="300">
        <f ca="1"/>
        <v>45856</v>
      </c>
      <c r="C102" vm="301">
        <f ca="1"/>
        <v>285.87</v>
      </c>
      <c r="D102" vm="302">
        <f ca="1"/>
        <v>4478165</v>
      </c>
      <c r="E102">
        <f t="shared" ca="1" si="21"/>
        <v>1280173028.55</v>
      </c>
      <c r="F102">
        <f ca="1">SUM($E$2:E102)/SUM($D$2:D102)</f>
        <v>256.29247555561375</v>
      </c>
      <c r="G102">
        <f ca="1">_xlfn.STDEV.P($C$2:C102)</f>
        <v>18.844210391728193</v>
      </c>
      <c r="H102">
        <f t="shared" ca="1" si="22"/>
        <v>275.13668594734196</v>
      </c>
      <c r="I102">
        <f t="shared" ca="1" si="23"/>
        <v>237.44826516388557</v>
      </c>
      <c r="J102">
        <f t="shared" ca="1" si="32"/>
        <v>288.12800000000004</v>
      </c>
      <c r="K102">
        <f t="shared" ca="1" si="33"/>
        <v>4.3365479844056409</v>
      </c>
      <c r="L102">
        <f t="shared" ca="1" si="34"/>
        <v>296.8010959688113</v>
      </c>
      <c r="M102">
        <f t="shared" ca="1" si="35"/>
        <v>279.45490403118879</v>
      </c>
      <c r="N102">
        <f t="shared" ca="1" si="24"/>
        <v>3.8700000000000045</v>
      </c>
      <c r="O102">
        <f t="shared" ca="1" si="25"/>
        <v>3.8700000000000045</v>
      </c>
      <c r="P102">
        <f t="shared" ca="1" si="26"/>
        <v>0</v>
      </c>
      <c r="Q102">
        <f t="shared" ca="1" si="30"/>
        <v>1.3052359631230581</v>
      </c>
      <c r="R102">
        <f t="shared" ca="1" si="31"/>
        <v>1.0662377081543721</v>
      </c>
      <c r="S102">
        <f t="shared" ca="1" si="28"/>
        <v>1.2241510060475964</v>
      </c>
      <c r="T102">
        <f t="shared" ca="1" si="29"/>
        <v>55.039024001475539</v>
      </c>
      <c r="U102">
        <f>70</f>
        <v>70</v>
      </c>
      <c r="V102">
        <f>30</f>
        <v>30</v>
      </c>
      <c r="W102">
        <f t="shared" ca="1" si="27"/>
        <v>285.41387302566613</v>
      </c>
      <c r="X102">
        <f t="shared" ca="1" si="37"/>
        <v>283.05491251591155</v>
      </c>
      <c r="Y102">
        <f t="shared" ca="1" si="36"/>
        <v>2.128073279064381</v>
      </c>
      <c r="Z102">
        <f t="shared" ref="Z102:Z165" ca="1" si="38">Y102*(2/(9+1)) + Z101*(1-(2/(9+1)))</f>
        <v>3.797975059219596</v>
      </c>
      <c r="AA102">
        <f t="shared" ref="AA102:AA165" ca="1" si="39">Y102-Z102</f>
        <v>-1.669901780155215</v>
      </c>
      <c r="AB102">
        <f t="shared" ref="AB102:AB165" ca="1" si="40">AVERAGE(C3:C102)</f>
        <v>259.65420000000012</v>
      </c>
    </row>
    <row r="103" spans="1:28" x14ac:dyDescent="0.25">
      <c r="A103" s="20">
        <f t="shared" ca="1" si="20"/>
        <v>45859</v>
      </c>
      <c r="B103" vm="303">
        <f ca="1"/>
        <v>45859</v>
      </c>
      <c r="C103" vm="304">
        <f ca="1"/>
        <v>284.70999999999998</v>
      </c>
      <c r="D103" vm="305">
        <f ca="1"/>
        <v>3051791</v>
      </c>
      <c r="E103">
        <f t="shared" ca="1" si="21"/>
        <v>868875415.6099999</v>
      </c>
      <c r="F103">
        <f ca="1">SUM($E$2:E103)/SUM($D$2:D103)</f>
        <v>256.48728650950602</v>
      </c>
      <c r="G103">
        <f ca="1">_xlfn.STDEV.P($C$2:C103)</f>
        <v>18.913135011699683</v>
      </c>
      <c r="H103">
        <f t="shared" ca="1" si="22"/>
        <v>275.40042152120571</v>
      </c>
      <c r="I103">
        <f t="shared" ca="1" si="23"/>
        <v>237.57415149780633</v>
      </c>
      <c r="J103">
        <f t="shared" ca="1" si="32"/>
        <v>288.315</v>
      </c>
      <c r="K103">
        <f t="shared" ca="1" si="33"/>
        <v>4.0849769695930096</v>
      </c>
      <c r="L103">
        <f t="shared" ca="1" si="34"/>
        <v>296.48495393918603</v>
      </c>
      <c r="M103">
        <f t="shared" ca="1" si="35"/>
        <v>280.14504606081397</v>
      </c>
      <c r="N103">
        <f t="shared" ca="1" si="24"/>
        <v>-1.160000000000025</v>
      </c>
      <c r="O103">
        <f t="shared" ca="1" si="25"/>
        <v>0</v>
      </c>
      <c r="P103">
        <f t="shared" ca="1" si="26"/>
        <v>1.160000000000025</v>
      </c>
      <c r="Q103">
        <f t="shared" ca="1" si="30"/>
        <v>1.2120048228999827</v>
      </c>
      <c r="R103">
        <f t="shared" ca="1" si="31"/>
        <v>1.0729350147147758</v>
      </c>
      <c r="S103">
        <f t="shared" ca="1" si="28"/>
        <v>1.1296162454183458</v>
      </c>
      <c r="T103">
        <f t="shared" ca="1" si="29"/>
        <v>53.04318314854148</v>
      </c>
      <c r="U103">
        <f>70</f>
        <v>70</v>
      </c>
      <c r="V103">
        <f>30</f>
        <v>30</v>
      </c>
      <c r="W103">
        <f t="shared" ca="1" si="27"/>
        <v>285.30558486787135</v>
      </c>
      <c r="X103">
        <f t="shared" ca="1" si="37"/>
        <v>283.17751158880696</v>
      </c>
      <c r="Y103">
        <f t="shared" ca="1" si="36"/>
        <v>1.703553958391808</v>
      </c>
      <c r="Z103">
        <f t="shared" ca="1" si="38"/>
        <v>3.3790908390540384</v>
      </c>
      <c r="AA103">
        <f t="shared" ca="1" si="39"/>
        <v>-1.6755368806622304</v>
      </c>
      <c r="AB103">
        <f t="shared" ca="1" si="40"/>
        <v>259.92380000000009</v>
      </c>
    </row>
    <row r="104" spans="1:28" x14ac:dyDescent="0.25">
      <c r="A104" s="20">
        <f t="shared" ca="1" si="20"/>
        <v>45859</v>
      </c>
      <c r="B104" vm="306">
        <f ca="1"/>
        <v>45860</v>
      </c>
      <c r="C104" vm="307">
        <f ca="1"/>
        <v>281.95999999999998</v>
      </c>
      <c r="D104" vm="308">
        <f ca="1"/>
        <v>4824219</v>
      </c>
      <c r="E104">
        <f t="shared" ca="1" si="21"/>
        <v>1360236789.24</v>
      </c>
      <c r="F104">
        <f ca="1">SUM($E$2:E104)/SUM($D$2:D104)</f>
        <v>256.76036880343054</v>
      </c>
      <c r="G104">
        <f ca="1">_xlfn.STDEV.P($C$2:C104)</f>
        <v>18.94474795821527</v>
      </c>
      <c r="H104">
        <f t="shared" ca="1" si="22"/>
        <v>275.7051167616458</v>
      </c>
      <c r="I104">
        <f t="shared" ca="1" si="23"/>
        <v>237.81562084521528</v>
      </c>
      <c r="J104">
        <f t="shared" ca="1" si="32"/>
        <v>287.95400000000001</v>
      </c>
      <c r="K104">
        <f t="shared" ca="1" si="33"/>
        <v>4.316949946675928</v>
      </c>
      <c r="L104">
        <f t="shared" ca="1" si="34"/>
        <v>296.58789989335185</v>
      </c>
      <c r="M104">
        <f t="shared" ca="1" si="35"/>
        <v>279.32010010664817</v>
      </c>
      <c r="N104">
        <f t="shared" ca="1" si="24"/>
        <v>-2.75</v>
      </c>
      <c r="O104">
        <f t="shared" ca="1" si="25"/>
        <v>0</v>
      </c>
      <c r="P104">
        <f t="shared" ca="1" si="26"/>
        <v>2.75</v>
      </c>
      <c r="Q104">
        <f t="shared" ca="1" si="30"/>
        <v>1.1254330498356981</v>
      </c>
      <c r="R104">
        <f t="shared" ca="1" si="31"/>
        <v>1.1927253708065777</v>
      </c>
      <c r="S104">
        <f t="shared" ca="1" si="28"/>
        <v>0.94358104336677828</v>
      </c>
      <c r="T104">
        <f t="shared" ca="1" si="29"/>
        <v>48.548582349427278</v>
      </c>
      <c r="U104">
        <f>70</f>
        <v>70</v>
      </c>
      <c r="V104">
        <f>30</f>
        <v>30</v>
      </c>
      <c r="W104">
        <f t="shared" ca="1" si="27"/>
        <v>284.79087950358343</v>
      </c>
      <c r="X104">
        <f t="shared" ca="1" si="37"/>
        <v>283.08732554519162</v>
      </c>
      <c r="Y104">
        <f t="shared" ca="1" si="36"/>
        <v>1.355528234692315</v>
      </c>
      <c r="Z104">
        <f t="shared" ca="1" si="38"/>
        <v>2.9743783181816941</v>
      </c>
      <c r="AA104">
        <f t="shared" ca="1" si="39"/>
        <v>-1.6188500834893791</v>
      </c>
      <c r="AB104">
        <f t="shared" ca="1" si="40"/>
        <v>260.18500000000006</v>
      </c>
    </row>
    <row r="105" spans="1:28" x14ac:dyDescent="0.25">
      <c r="A105" s="20">
        <f t="shared" ca="1" si="20"/>
        <v>45859</v>
      </c>
      <c r="B105" vm="309">
        <f ca="1"/>
        <v>45861</v>
      </c>
      <c r="C105" vm="310">
        <f ca="1"/>
        <v>282.01</v>
      </c>
      <c r="D105" vm="311">
        <f ca="1"/>
        <v>8105906</v>
      </c>
      <c r="E105">
        <f t="shared" ca="1" si="21"/>
        <v>2285946551.0599999</v>
      </c>
      <c r="F105">
        <f ca="1">SUM($E$2:E105)/SUM($D$2:D105)</f>
        <v>257.20714957531374</v>
      </c>
      <c r="G105">
        <f ca="1">_xlfn.STDEV.P($C$2:C105)</f>
        <v>18.973906505969282</v>
      </c>
      <c r="H105">
        <f t="shared" ca="1" si="22"/>
        <v>276.18105608128303</v>
      </c>
      <c r="I105">
        <f t="shared" ca="1" si="23"/>
        <v>238.23324306934444</v>
      </c>
      <c r="J105">
        <f t="shared" ca="1" si="32"/>
        <v>287.36500000000001</v>
      </c>
      <c r="K105">
        <f t="shared" ca="1" si="33"/>
        <v>4.2822700571198551</v>
      </c>
      <c r="L105">
        <f t="shared" ca="1" si="34"/>
        <v>295.92954011423973</v>
      </c>
      <c r="M105">
        <f t="shared" ca="1" si="35"/>
        <v>278.80045988576029</v>
      </c>
      <c r="N105">
        <f t="shared" ca="1" si="24"/>
        <v>5.0000000000011369E-2</v>
      </c>
      <c r="O105">
        <f t="shared" ca="1" si="25"/>
        <v>5.0000000000011369E-2</v>
      </c>
      <c r="P105">
        <f t="shared" ca="1" si="26"/>
        <v>0</v>
      </c>
      <c r="Q105">
        <f t="shared" ca="1" si="30"/>
        <v>1.0486164034188634</v>
      </c>
      <c r="R105">
        <f t="shared" ca="1" si="31"/>
        <v>1.1075307014632507</v>
      </c>
      <c r="S105">
        <f t="shared" ca="1" si="28"/>
        <v>0.9468057201786364</v>
      </c>
      <c r="T105">
        <f t="shared" ca="1" si="29"/>
        <v>48.633806155642418</v>
      </c>
      <c r="U105">
        <f>70</f>
        <v>70</v>
      </c>
      <c r="V105">
        <f>30</f>
        <v>30</v>
      </c>
      <c r="W105">
        <f t="shared" ca="1" si="27"/>
        <v>284.36305188764749</v>
      </c>
      <c r="X105">
        <f t="shared" ca="1" si="37"/>
        <v>283.00752365295517</v>
      </c>
      <c r="Y105">
        <f t="shared" ca="1" si="36"/>
        <v>-0.64768882216282009</v>
      </c>
      <c r="Z105">
        <f t="shared" ca="1" si="38"/>
        <v>2.2499648901127913</v>
      </c>
      <c r="AA105">
        <f t="shared" ca="1" si="39"/>
        <v>-2.8976537122756114</v>
      </c>
      <c r="AB105">
        <f t="shared" ca="1" si="40"/>
        <v>260.47280000000001</v>
      </c>
    </row>
    <row r="106" spans="1:28" x14ac:dyDescent="0.25">
      <c r="A106" s="20">
        <f t="shared" ca="1" si="20"/>
        <v>45859</v>
      </c>
      <c r="B106" vm="312">
        <f ca="1"/>
        <v>45862</v>
      </c>
      <c r="C106" vm="313">
        <f ca="1"/>
        <v>260.51</v>
      </c>
      <c r="D106" vm="314">
        <f ca="1"/>
        <v>22647720</v>
      </c>
      <c r="E106">
        <f t="shared" ca="1" si="21"/>
        <v>5899957537.1999998</v>
      </c>
      <c r="F106">
        <f ca="1">SUM($E$2:E106)/SUM($D$2:D106)</f>
        <v>257.36274413587353</v>
      </c>
      <c r="G106">
        <f ca="1">_xlfn.STDEV.P($C$2:C106)</f>
        <v>18.883345144966917</v>
      </c>
      <c r="H106">
        <f t="shared" ca="1" si="22"/>
        <v>276.24608928084047</v>
      </c>
      <c r="I106">
        <f t="shared" ca="1" si="23"/>
        <v>238.47939899090662</v>
      </c>
      <c r="J106">
        <f t="shared" ca="1" si="32"/>
        <v>285.83749999999998</v>
      </c>
      <c r="K106">
        <f t="shared" ca="1" si="33"/>
        <v>7.2883893787888523</v>
      </c>
      <c r="L106">
        <f t="shared" ca="1" si="34"/>
        <v>300.41427875757768</v>
      </c>
      <c r="M106">
        <f t="shared" ca="1" si="35"/>
        <v>271.26072124242228</v>
      </c>
      <c r="N106">
        <f t="shared" ca="1" si="24"/>
        <v>-21.5</v>
      </c>
      <c r="O106">
        <f t="shared" ca="1" si="25"/>
        <v>0</v>
      </c>
      <c r="P106">
        <f t="shared" ca="1" si="26"/>
        <v>21.5</v>
      </c>
      <c r="Q106">
        <f t="shared" ca="1" si="30"/>
        <v>0.97371523174608743</v>
      </c>
      <c r="R106">
        <f t="shared" ca="1" si="31"/>
        <v>2.5641356513587326</v>
      </c>
      <c r="S106">
        <f t="shared" ca="1" si="28"/>
        <v>0.37974404015252344</v>
      </c>
      <c r="T106">
        <f t="shared" ca="1" si="29"/>
        <v>27.522788945009296</v>
      </c>
      <c r="U106">
        <f>70</f>
        <v>70</v>
      </c>
      <c r="V106">
        <f>30</f>
        <v>30</v>
      </c>
      <c r="W106">
        <f t="shared" ca="1" si="27"/>
        <v>280.69335159724017</v>
      </c>
      <c r="X106">
        <f t="shared" ca="1" si="37"/>
        <v>281.34104041940299</v>
      </c>
      <c r="Y106">
        <f t="shared" ca="1" si="36"/>
        <v>-2.2727997490758867</v>
      </c>
      <c r="Z106">
        <f t="shared" ca="1" si="38"/>
        <v>1.3454119622750558</v>
      </c>
      <c r="AA106">
        <f t="shared" ca="1" si="39"/>
        <v>-3.6182117113509422</v>
      </c>
      <c r="AB106">
        <f t="shared" ca="1" si="40"/>
        <v>260.55350000000004</v>
      </c>
    </row>
    <row r="107" spans="1:28" x14ac:dyDescent="0.25">
      <c r="A107" s="20">
        <f t="shared" ca="1" si="20"/>
        <v>45859</v>
      </c>
      <c r="B107" vm="315">
        <f ca="1"/>
        <v>45863</v>
      </c>
      <c r="C107" vm="316">
        <f ca="1"/>
        <v>259.72000000000003</v>
      </c>
      <c r="D107" vm="317">
        <f ca="1"/>
        <v>7758653</v>
      </c>
      <c r="E107">
        <f t="shared" ca="1" si="21"/>
        <v>2015077357.1600003</v>
      </c>
      <c r="F107">
        <f ca="1">SUM($E$2:E107)/SUM($D$2:D107)</f>
        <v>257.40018286497514</v>
      </c>
      <c r="G107">
        <f ca="1">_xlfn.STDEV.P($C$2:C107)</f>
        <v>18.794159560104458</v>
      </c>
      <c r="H107">
        <f t="shared" ca="1" si="22"/>
        <v>276.19434242507958</v>
      </c>
      <c r="I107">
        <f t="shared" ca="1" si="23"/>
        <v>238.60602330487069</v>
      </c>
      <c r="J107">
        <f t="shared" ca="1" si="32"/>
        <v>284.22700000000003</v>
      </c>
      <c r="K107">
        <f t="shared" ca="1" si="33"/>
        <v>9.1835746394252542</v>
      </c>
      <c r="L107">
        <f t="shared" ca="1" si="34"/>
        <v>302.59414927885052</v>
      </c>
      <c r="M107">
        <f t="shared" ca="1" si="35"/>
        <v>265.85985072114954</v>
      </c>
      <c r="N107">
        <f t="shared" ca="1" si="24"/>
        <v>-0.78999999999996362</v>
      </c>
      <c r="O107">
        <f t="shared" ca="1" si="25"/>
        <v>0</v>
      </c>
      <c r="P107">
        <f t="shared" ca="1" si="26"/>
        <v>0.78999999999996362</v>
      </c>
      <c r="Q107">
        <f t="shared" ca="1" si="30"/>
        <v>0.90416414376422405</v>
      </c>
      <c r="R107">
        <f t="shared" ca="1" si="31"/>
        <v>2.4374116762616778</v>
      </c>
      <c r="S107">
        <f t="shared" ca="1" si="28"/>
        <v>0.3709525775108144</v>
      </c>
      <c r="T107">
        <f t="shared" ca="1" si="29"/>
        <v>27.05801671012857</v>
      </c>
      <c r="U107">
        <f>70</f>
        <v>70</v>
      </c>
      <c r="V107">
        <f>30</f>
        <v>30</v>
      </c>
      <c r="W107">
        <f t="shared" ca="1" si="27"/>
        <v>277.46668212074167</v>
      </c>
      <c r="X107">
        <f t="shared" ca="1" si="37"/>
        <v>279.73948186981755</v>
      </c>
      <c r="Y107">
        <f t="shared" ca="1" si="36"/>
        <v>-3.2417293955282958</v>
      </c>
      <c r="Z107">
        <f t="shared" ca="1" si="38"/>
        <v>0.42798369071438536</v>
      </c>
      <c r="AA107">
        <f t="shared" ca="1" si="39"/>
        <v>-3.6697130862426812</v>
      </c>
      <c r="AB107">
        <f t="shared" ca="1" si="40"/>
        <v>260.64880000000005</v>
      </c>
    </row>
    <row r="108" spans="1:28" x14ac:dyDescent="0.25">
      <c r="A108" s="20">
        <f t="shared" ca="1" si="20"/>
        <v>45866</v>
      </c>
      <c r="B108" vm="318">
        <f ca="1"/>
        <v>45866</v>
      </c>
      <c r="C108" vm="319">
        <f ca="1"/>
        <v>263.20999999999998</v>
      </c>
      <c r="D108" vm="320">
        <f ca="1"/>
        <v>5192516</v>
      </c>
      <c r="E108">
        <f t="shared" ca="1" si="21"/>
        <v>1366722136.3599999</v>
      </c>
      <c r="F108">
        <f ca="1">SUM($E$2:E108)/SUM($D$2:D108)</f>
        <v>257.46128782336683</v>
      </c>
      <c r="G108">
        <f ca="1">_xlfn.STDEV.P($C$2:C108)</f>
        <v>18.708166365489792</v>
      </c>
      <c r="H108">
        <f t="shared" ca="1" si="22"/>
        <v>276.16945418885661</v>
      </c>
      <c r="I108">
        <f t="shared" ca="1" si="23"/>
        <v>238.75312145787703</v>
      </c>
      <c r="J108">
        <f t="shared" ca="1" si="32"/>
        <v>282.90250000000003</v>
      </c>
      <c r="K108">
        <f t="shared" ca="1" si="33"/>
        <v>10.206028597688825</v>
      </c>
      <c r="L108">
        <f t="shared" ca="1" si="34"/>
        <v>303.31455719537769</v>
      </c>
      <c r="M108">
        <f t="shared" ca="1" si="35"/>
        <v>262.49044280462238</v>
      </c>
      <c r="N108">
        <f t="shared" ca="1" si="24"/>
        <v>3.4899999999999523</v>
      </c>
      <c r="O108">
        <f t="shared" ca="1" si="25"/>
        <v>3.4899999999999523</v>
      </c>
      <c r="P108">
        <f t="shared" ca="1" si="26"/>
        <v>0</v>
      </c>
      <c r="Q108">
        <f t="shared" ca="1" si="30"/>
        <v>1.0888667049239189</v>
      </c>
      <c r="R108">
        <f t="shared" ca="1" si="31"/>
        <v>2.2633108422429866</v>
      </c>
      <c r="S108">
        <f t="shared" ca="1" si="28"/>
        <v>0.48109463561126675</v>
      </c>
      <c r="T108">
        <f t="shared" ca="1" si="29"/>
        <v>32.48236973140564</v>
      </c>
      <c r="U108">
        <f>70</f>
        <v>70</v>
      </c>
      <c r="V108">
        <f>30</f>
        <v>30</v>
      </c>
      <c r="W108">
        <f t="shared" ca="1" si="27"/>
        <v>275.27334640985833</v>
      </c>
      <c r="X108">
        <f t="shared" ca="1" si="37"/>
        <v>278.51507580538663</v>
      </c>
      <c r="Y108">
        <f t="shared" ca="1" si="36"/>
        <v>-4.0277371880989676</v>
      </c>
      <c r="Z108">
        <f t="shared" ca="1" si="38"/>
        <v>-0.46316048504828522</v>
      </c>
      <c r="AA108">
        <f t="shared" ca="1" si="39"/>
        <v>-3.5645767030506823</v>
      </c>
      <c r="AB108">
        <f t="shared" ca="1" si="40"/>
        <v>260.74880000000007</v>
      </c>
    </row>
    <row r="109" spans="1:28" x14ac:dyDescent="0.25">
      <c r="A109" s="20">
        <f t="shared" ca="1" si="20"/>
        <v>45866</v>
      </c>
      <c r="B109" vm="321">
        <f ca="1"/>
        <v>45867</v>
      </c>
      <c r="C109" vm="322">
        <f ca="1"/>
        <v>262.41000000000003</v>
      </c>
      <c r="D109" vm="323">
        <f ca="1"/>
        <v>4627265</v>
      </c>
      <c r="E109">
        <f t="shared" ca="1" si="21"/>
        <v>1214240608.6500001</v>
      </c>
      <c r="F109">
        <f ca="1">SUM($E$2:E109)/SUM($D$2:D109)</f>
        <v>257.50723948265232</v>
      </c>
      <c r="G109">
        <f ca="1">_xlfn.STDEV.P($C$2:C109)</f>
        <v>18.622379797463797</v>
      </c>
      <c r="H109">
        <f t="shared" ca="1" si="22"/>
        <v>276.12961928011612</v>
      </c>
      <c r="I109">
        <f t="shared" ca="1" si="23"/>
        <v>238.88485968518853</v>
      </c>
      <c r="J109">
        <f t="shared" ca="1" si="32"/>
        <v>281.28399999999999</v>
      </c>
      <c r="K109">
        <f t="shared" ca="1" si="33"/>
        <v>10.774174971467163</v>
      </c>
      <c r="L109">
        <f t="shared" ca="1" si="34"/>
        <v>302.83234994293434</v>
      </c>
      <c r="M109">
        <f t="shared" ca="1" si="35"/>
        <v>259.73565005706564</v>
      </c>
      <c r="N109">
        <f t="shared" ca="1" si="24"/>
        <v>-0.79999999999995453</v>
      </c>
      <c r="O109">
        <f t="shared" ca="1" si="25"/>
        <v>0</v>
      </c>
      <c r="P109">
        <f t="shared" ca="1" si="26"/>
        <v>0.79999999999995453</v>
      </c>
      <c r="Q109">
        <f t="shared" ca="1" si="30"/>
        <v>1.0110905117150675</v>
      </c>
      <c r="R109">
        <f t="shared" ca="1" si="31"/>
        <v>2.158788639225627</v>
      </c>
      <c r="S109">
        <f t="shared" ca="1" si="28"/>
        <v>0.46836012259067328</v>
      </c>
      <c r="T109">
        <f t="shared" ca="1" si="29"/>
        <v>31.896815732392071</v>
      </c>
      <c r="U109">
        <f>70</f>
        <v>70</v>
      </c>
      <c r="V109">
        <f>30</f>
        <v>30</v>
      </c>
      <c r="W109">
        <f t="shared" ca="1" si="27"/>
        <v>273.2943700391109</v>
      </c>
      <c r="X109">
        <f t="shared" ca="1" si="37"/>
        <v>277.32210722720987</v>
      </c>
      <c r="Y109">
        <f t="shared" ca="1" si="36"/>
        <v>-4.7691650918155801</v>
      </c>
      <c r="Z109">
        <f t="shared" ca="1" si="38"/>
        <v>-1.3243614064017444</v>
      </c>
      <c r="AA109">
        <f t="shared" ca="1" si="39"/>
        <v>-3.4448036854138357</v>
      </c>
      <c r="AB109">
        <f t="shared" ca="1" si="40"/>
        <v>260.85940000000005</v>
      </c>
    </row>
    <row r="110" spans="1:28" x14ac:dyDescent="0.25">
      <c r="A110" s="20">
        <f t="shared" ca="1" si="20"/>
        <v>45866</v>
      </c>
      <c r="B110" vm="324">
        <f ca="1"/>
        <v>45868</v>
      </c>
      <c r="C110" vm="325">
        <f ca="1"/>
        <v>260.26</v>
      </c>
      <c r="D110" vm="326">
        <f ca="1"/>
        <v>3718290</v>
      </c>
      <c r="E110">
        <f t="shared" ca="1" si="21"/>
        <v>967722155.39999998</v>
      </c>
      <c r="F110">
        <f ca="1">SUM($E$2:E110)/SUM($D$2:D110)</f>
        <v>257.52762716453071</v>
      </c>
      <c r="G110">
        <f ca="1">_xlfn.STDEV.P($C$2:C110)</f>
        <v>18.536763175497846</v>
      </c>
      <c r="H110">
        <f t="shared" ca="1" si="22"/>
        <v>276.06439034002858</v>
      </c>
      <c r="I110">
        <f t="shared" ca="1" si="23"/>
        <v>238.99086398903287</v>
      </c>
      <c r="J110">
        <f t="shared" ca="1" si="32"/>
        <v>279.73700000000002</v>
      </c>
      <c r="K110">
        <f t="shared" ca="1" si="33"/>
        <v>11.473978385895627</v>
      </c>
      <c r="L110">
        <f t="shared" ca="1" si="34"/>
        <v>302.68495677179129</v>
      </c>
      <c r="M110">
        <f t="shared" ca="1" si="35"/>
        <v>256.78904322820875</v>
      </c>
      <c r="N110">
        <f t="shared" ca="1" si="24"/>
        <v>-2.1500000000000341</v>
      </c>
      <c r="O110">
        <f t="shared" ca="1" si="25"/>
        <v>0</v>
      </c>
      <c r="P110">
        <f t="shared" ca="1" si="26"/>
        <v>2.1500000000000341</v>
      </c>
      <c r="Q110">
        <f t="shared" ca="1" si="30"/>
        <v>0.938869760878277</v>
      </c>
      <c r="R110">
        <f t="shared" ca="1" si="31"/>
        <v>2.1581608792809419</v>
      </c>
      <c r="S110">
        <f t="shared" ca="1" si="28"/>
        <v>0.4350323323398812</v>
      </c>
      <c r="T110">
        <f t="shared" ca="1" si="29"/>
        <v>30.315158936561559</v>
      </c>
      <c r="U110">
        <f>70</f>
        <v>70</v>
      </c>
      <c r="V110">
        <f>30</f>
        <v>30</v>
      </c>
      <c r="W110">
        <f t="shared" ca="1" si="27"/>
        <v>271.28908234078614</v>
      </c>
      <c r="X110">
        <f t="shared" ca="1" si="37"/>
        <v>276.05824743260172</v>
      </c>
      <c r="Y110">
        <f t="shared" ca="1" si="36"/>
        <v>-5.8628859270144744</v>
      </c>
      <c r="Z110">
        <f t="shared" ca="1" si="38"/>
        <v>-2.2320663105242904</v>
      </c>
      <c r="AA110">
        <f t="shared" ca="1" si="39"/>
        <v>-3.630819616490184</v>
      </c>
      <c r="AB110">
        <f t="shared" ca="1" si="40"/>
        <v>260.9751</v>
      </c>
    </row>
    <row r="111" spans="1:28" x14ac:dyDescent="0.25">
      <c r="A111" s="20">
        <f t="shared" ca="1" si="20"/>
        <v>45866</v>
      </c>
      <c r="B111" vm="327">
        <f ca="1"/>
        <v>45869</v>
      </c>
      <c r="C111" vm="328">
        <f ca="1"/>
        <v>253.15</v>
      </c>
      <c r="D111" vm="329">
        <f ca="1"/>
        <v>6739092</v>
      </c>
      <c r="E111">
        <f t="shared" ca="1" si="21"/>
        <v>1706001139.8</v>
      </c>
      <c r="F111">
        <f ca="1">SUM($E$2:E111)/SUM($D$2:D111)</f>
        <v>257.46964352747932</v>
      </c>
      <c r="G111">
        <f ca="1">_xlfn.STDEV.P($C$2:C111)</f>
        <v>18.465089343706797</v>
      </c>
      <c r="H111">
        <f t="shared" ca="1" si="22"/>
        <v>275.9347328711861</v>
      </c>
      <c r="I111">
        <f t="shared" ca="1" si="23"/>
        <v>239.00455418377251</v>
      </c>
      <c r="J111">
        <f t="shared" ca="1" si="32"/>
        <v>278.012</v>
      </c>
      <c r="K111">
        <f t="shared" ca="1" si="33"/>
        <v>12.7447242335593</v>
      </c>
      <c r="L111">
        <f t="shared" ca="1" si="34"/>
        <v>303.50144846711862</v>
      </c>
      <c r="M111">
        <f t="shared" ca="1" si="35"/>
        <v>252.52255153288141</v>
      </c>
      <c r="N111">
        <f t="shared" ca="1" si="24"/>
        <v>-7.1099999999999852</v>
      </c>
      <c r="O111">
        <f t="shared" ca="1" si="25"/>
        <v>0</v>
      </c>
      <c r="P111">
        <f t="shared" ca="1" si="26"/>
        <v>7.1099999999999852</v>
      </c>
      <c r="Q111">
        <f t="shared" ca="1" si="30"/>
        <v>0.87180763510125725</v>
      </c>
      <c r="R111">
        <f t="shared" ca="1" si="31"/>
        <v>2.5118636736180164</v>
      </c>
      <c r="S111">
        <f t="shared" ca="1" si="28"/>
        <v>0.34707601541349992</v>
      </c>
      <c r="T111">
        <f t="shared" ca="1" si="29"/>
        <v>25.765139564671202</v>
      </c>
      <c r="U111">
        <f>70</f>
        <v>70</v>
      </c>
      <c r="V111">
        <f>30</f>
        <v>30</v>
      </c>
      <c r="W111">
        <f t="shared" ca="1" si="27"/>
        <v>268.49845428835749</v>
      </c>
      <c r="X111">
        <f t="shared" ca="1" si="37"/>
        <v>274.36134021537197</v>
      </c>
      <c r="Y111">
        <f t="shared" ca="1" si="36"/>
        <v>-6.9002696477313634</v>
      </c>
      <c r="Z111">
        <f t="shared" ca="1" si="38"/>
        <v>-3.165706977965705</v>
      </c>
      <c r="AA111">
        <f t="shared" ca="1" si="39"/>
        <v>-3.7345626697656584</v>
      </c>
      <c r="AB111">
        <f t="shared" ca="1" si="40"/>
        <v>260.89120000000003</v>
      </c>
    </row>
    <row r="112" spans="1:28" x14ac:dyDescent="0.25">
      <c r="A112" s="20">
        <f t="shared" ca="1" si="20"/>
        <v>45866</v>
      </c>
      <c r="B112" vm="330">
        <f ca="1"/>
        <v>45870</v>
      </c>
      <c r="C112" vm="331">
        <f ca="1"/>
        <v>250.05</v>
      </c>
      <c r="D112" vm="332">
        <f ca="1"/>
        <v>9683404</v>
      </c>
      <c r="E112">
        <f t="shared" ca="1" si="21"/>
        <v>2421335170.2000003</v>
      </c>
      <c r="F112">
        <f ca="1">SUM($E$2:E112)/SUM($D$2:D112)</f>
        <v>257.33106740652039</v>
      </c>
      <c r="G112">
        <f ca="1">_xlfn.STDEV.P($C$2:C112)</f>
        <v>18.40732226439733</v>
      </c>
      <c r="H112">
        <f t="shared" ca="1" si="22"/>
        <v>275.73838967091774</v>
      </c>
      <c r="I112">
        <f t="shared" ca="1" si="23"/>
        <v>238.92374514212307</v>
      </c>
      <c r="J112">
        <f t="shared" ca="1" si="32"/>
        <v>275.91600000000005</v>
      </c>
      <c r="K112">
        <f t="shared" ca="1" si="33"/>
        <v>13.736841129259895</v>
      </c>
      <c r="L112">
        <f t="shared" ca="1" si="34"/>
        <v>303.38968225851983</v>
      </c>
      <c r="M112">
        <f t="shared" ca="1" si="35"/>
        <v>248.44231774148025</v>
      </c>
      <c r="N112">
        <f t="shared" ca="1" si="24"/>
        <v>-3.0999999999999943</v>
      </c>
      <c r="O112">
        <f t="shared" ca="1" si="25"/>
        <v>0</v>
      </c>
      <c r="P112">
        <f t="shared" ca="1" si="26"/>
        <v>3.0999999999999943</v>
      </c>
      <c r="Q112">
        <f t="shared" ca="1" si="30"/>
        <v>0.80953566116545317</v>
      </c>
      <c r="R112">
        <f t="shared" ca="1" si="31"/>
        <v>2.553873411216729</v>
      </c>
      <c r="S112">
        <f t="shared" ca="1" si="28"/>
        <v>0.31698347208985983</v>
      </c>
      <c r="T112">
        <f t="shared" ca="1" si="29"/>
        <v>24.068902822816256</v>
      </c>
      <c r="U112">
        <f>70</f>
        <v>70</v>
      </c>
      <c r="V112">
        <f>30</f>
        <v>30</v>
      </c>
      <c r="W112">
        <f t="shared" ca="1" si="27"/>
        <v>265.66023055168711</v>
      </c>
      <c r="X112">
        <f t="shared" ca="1" si="37"/>
        <v>272.56050019941847</v>
      </c>
      <c r="Y112">
        <f t="shared" ca="1" si="36"/>
        <v>-7.4804390055838894</v>
      </c>
      <c r="Z112">
        <f t="shared" ca="1" si="38"/>
        <v>-4.0286533834893419</v>
      </c>
      <c r="AA112">
        <f t="shared" ca="1" si="39"/>
        <v>-3.4517856220945475</v>
      </c>
      <c r="AB112">
        <f t="shared" ca="1" si="40"/>
        <v>260.82270000000005</v>
      </c>
    </row>
    <row r="113" spans="1:28" x14ac:dyDescent="0.25">
      <c r="A113" s="20">
        <f t="shared" ca="1" si="20"/>
        <v>45873</v>
      </c>
      <c r="B113" vm="333">
        <f ca="1"/>
        <v>45873</v>
      </c>
      <c r="C113" vm="334">
        <f ca="1"/>
        <v>251.98</v>
      </c>
      <c r="D113" vm="335">
        <f ca="1"/>
        <v>5280588</v>
      </c>
      <c r="E113">
        <f t="shared" ca="1" si="21"/>
        <v>1330602564.24</v>
      </c>
      <c r="F113">
        <f ca="1">SUM($E$2:E113)/SUM($D$2:D113)</f>
        <v>257.27711645435272</v>
      </c>
      <c r="G113">
        <f ca="1">_xlfn.STDEV.P($C$2:C113)</f>
        <v>18.341379327394591</v>
      </c>
      <c r="H113">
        <f t="shared" ca="1" si="22"/>
        <v>275.6184957817473</v>
      </c>
      <c r="I113">
        <f t="shared" ca="1" si="23"/>
        <v>238.93573712695814</v>
      </c>
      <c r="J113">
        <f t="shared" ca="1" si="32"/>
        <v>273.89150000000001</v>
      </c>
      <c r="K113">
        <f t="shared" ca="1" si="33"/>
        <v>14.146304064461869</v>
      </c>
      <c r="L113">
        <f t="shared" ca="1" si="34"/>
        <v>302.18410812892375</v>
      </c>
      <c r="M113">
        <f t="shared" ca="1" si="35"/>
        <v>245.59889187107626</v>
      </c>
      <c r="N113">
        <f t="shared" ca="1" si="24"/>
        <v>1.9299999999999784</v>
      </c>
      <c r="O113">
        <f t="shared" ca="1" si="25"/>
        <v>1.9299999999999784</v>
      </c>
      <c r="P113">
        <f t="shared" ca="1" si="26"/>
        <v>0</v>
      </c>
      <c r="Q113">
        <f t="shared" ca="1" si="30"/>
        <v>0.88956882822506211</v>
      </c>
      <c r="R113">
        <f t="shared" ca="1" si="31"/>
        <v>2.3714538818441051</v>
      </c>
      <c r="S113">
        <f t="shared" ca="1" si="28"/>
        <v>0.37511538176458653</v>
      </c>
      <c r="T113">
        <f t="shared" ca="1" si="29"/>
        <v>27.278829597791855</v>
      </c>
      <c r="U113">
        <f>70</f>
        <v>70</v>
      </c>
      <c r="V113">
        <f>30</f>
        <v>30</v>
      </c>
      <c r="W113">
        <f t="shared" ca="1" si="27"/>
        <v>263.55557969758138</v>
      </c>
      <c r="X113">
        <f t="shared" ca="1" si="37"/>
        <v>271.03601870316527</v>
      </c>
      <c r="Y113">
        <f t="shared" ca="1" si="36"/>
        <v>-7.9542419041226253</v>
      </c>
      <c r="Z113">
        <f t="shared" ca="1" si="38"/>
        <v>-4.8137710876159989</v>
      </c>
      <c r="AA113">
        <f t="shared" ca="1" si="39"/>
        <v>-3.1404708165066264</v>
      </c>
      <c r="AB113">
        <f t="shared" ca="1" si="40"/>
        <v>260.85300000000001</v>
      </c>
    </row>
    <row r="114" spans="1:28" x14ac:dyDescent="0.25">
      <c r="A114" s="20">
        <f t="shared" ca="1" si="20"/>
        <v>45873</v>
      </c>
      <c r="B114" vm="336">
        <f ca="1"/>
        <v>45874</v>
      </c>
      <c r="C114" vm="337">
        <f ca="1"/>
        <v>250.67</v>
      </c>
      <c r="D114" vm="338">
        <f ca="1"/>
        <v>5823016</v>
      </c>
      <c r="E114">
        <f t="shared" ca="1" si="21"/>
        <v>1459655420.72</v>
      </c>
      <c r="F114">
        <f ca="1">SUM($E$2:E114)/SUM($D$2:D114)</f>
        <v>257.20446663547449</v>
      </c>
      <c r="G114">
        <f ca="1">_xlfn.STDEV.P($C$2:C114)</f>
        <v>18.281633076212742</v>
      </c>
      <c r="H114">
        <f t="shared" ca="1" si="22"/>
        <v>275.48609971168725</v>
      </c>
      <c r="I114">
        <f t="shared" ca="1" si="23"/>
        <v>238.92283355926173</v>
      </c>
      <c r="J114">
        <f t="shared" ca="1" si="32"/>
        <v>271.904</v>
      </c>
      <c r="K114">
        <f t="shared" ca="1" si="33"/>
        <v>14.490076604352371</v>
      </c>
      <c r="L114">
        <f t="shared" ca="1" si="34"/>
        <v>300.88415320870473</v>
      </c>
      <c r="M114">
        <f t="shared" ca="1" si="35"/>
        <v>242.92384679129526</v>
      </c>
      <c r="N114">
        <f t="shared" ca="1" si="24"/>
        <v>-1.3100000000000023</v>
      </c>
      <c r="O114">
        <f t="shared" ca="1" si="25"/>
        <v>0</v>
      </c>
      <c r="P114">
        <f t="shared" ca="1" si="26"/>
        <v>1.3100000000000023</v>
      </c>
      <c r="Q114">
        <f t="shared" ca="1" si="30"/>
        <v>0.82602819763755775</v>
      </c>
      <c r="R114">
        <f t="shared" ca="1" si="31"/>
        <v>2.2956357474266693</v>
      </c>
      <c r="S114">
        <f t="shared" ca="1" si="28"/>
        <v>0.35982546384525838</v>
      </c>
      <c r="T114">
        <f t="shared" ca="1" si="29"/>
        <v>26.461150597059628</v>
      </c>
      <c r="U114">
        <f>70</f>
        <v>70</v>
      </c>
      <c r="V114">
        <f>30</f>
        <v>30</v>
      </c>
      <c r="W114">
        <f t="shared" ca="1" si="27"/>
        <v>261.5731828210304</v>
      </c>
      <c r="X114">
        <f t="shared" ca="1" si="37"/>
        <v>269.52742472515303</v>
      </c>
      <c r="Y114">
        <f t="shared" ca="1" si="36"/>
        <v>-8.1063753214492635</v>
      </c>
      <c r="Z114">
        <f t="shared" ca="1" si="38"/>
        <v>-5.4722919343826515</v>
      </c>
      <c r="AA114">
        <f t="shared" ca="1" si="39"/>
        <v>-2.634083387066612</v>
      </c>
      <c r="AB114">
        <f t="shared" ca="1" si="40"/>
        <v>260.86340000000001</v>
      </c>
    </row>
    <row r="115" spans="1:28" x14ac:dyDescent="0.25">
      <c r="A115" s="20">
        <f t="shared" ca="1" si="20"/>
        <v>45873</v>
      </c>
      <c r="B115" vm="339">
        <f ca="1"/>
        <v>45875</v>
      </c>
      <c r="C115" vm="340">
        <f ca="1"/>
        <v>252.28</v>
      </c>
      <c r="D115" vm="341">
        <f ca="1"/>
        <v>3692105</v>
      </c>
      <c r="E115">
        <f t="shared" ca="1" si="21"/>
        <v>931444249.39999998</v>
      </c>
      <c r="F115">
        <f ca="1">SUM($E$2:E115)/SUM($D$2:D115)</f>
        <v>257.17037165079989</v>
      </c>
      <c r="G115">
        <f ca="1">_xlfn.STDEV.P($C$2:C115)</f>
        <v>18.215763539953254</v>
      </c>
      <c r="H115">
        <f t="shared" ca="1" si="22"/>
        <v>275.38613519075312</v>
      </c>
      <c r="I115">
        <f t="shared" ca="1" si="23"/>
        <v>238.95460811084664</v>
      </c>
      <c r="J115">
        <f t="shared" ca="1" si="32"/>
        <v>270.01100000000002</v>
      </c>
      <c r="K115">
        <f t="shared" ca="1" si="33"/>
        <v>14.45531186286313</v>
      </c>
      <c r="L115">
        <f t="shared" ca="1" si="34"/>
        <v>298.92162372572631</v>
      </c>
      <c r="M115">
        <f t="shared" ca="1" si="35"/>
        <v>241.10037627427377</v>
      </c>
      <c r="N115">
        <f t="shared" ca="1" si="24"/>
        <v>1.6100000000000136</v>
      </c>
      <c r="O115">
        <f t="shared" ca="1" si="25"/>
        <v>1.6100000000000136</v>
      </c>
      <c r="P115">
        <f t="shared" ca="1" si="26"/>
        <v>0</v>
      </c>
      <c r="Q115">
        <f t="shared" ca="1" si="30"/>
        <v>0.88202618352059037</v>
      </c>
      <c r="R115">
        <f t="shared" ca="1" si="31"/>
        <v>2.1316617654676215</v>
      </c>
      <c r="S115">
        <f t="shared" ca="1" si="28"/>
        <v>0.41377398507079793</v>
      </c>
      <c r="T115">
        <f t="shared" ca="1" si="29"/>
        <v>29.267336182457569</v>
      </c>
      <c r="U115">
        <f>70</f>
        <v>70</v>
      </c>
      <c r="V115">
        <f>30</f>
        <v>30</v>
      </c>
      <c r="W115">
        <f t="shared" ca="1" si="27"/>
        <v>260.14346238702575</v>
      </c>
      <c r="X115">
        <f t="shared" ca="1" si="37"/>
        <v>268.24983770847501</v>
      </c>
      <c r="Y115">
        <f t="shared" ca="1" si="36"/>
        <v>-8.3023046333553339</v>
      </c>
      <c r="Z115">
        <f t="shared" ca="1" si="38"/>
        <v>-6.0382944741771878</v>
      </c>
      <c r="AA115">
        <f t="shared" ca="1" si="39"/>
        <v>-2.2640101591781461</v>
      </c>
      <c r="AB115">
        <f t="shared" ca="1" si="40"/>
        <v>260.9282</v>
      </c>
    </row>
    <row r="116" spans="1:28" x14ac:dyDescent="0.25">
      <c r="A116" s="20">
        <f t="shared" ca="1" si="20"/>
        <v>45873</v>
      </c>
      <c r="B116" vm="342">
        <f ca="1"/>
        <v>45876</v>
      </c>
      <c r="C116" vm="343">
        <f ca="1"/>
        <v>250.16</v>
      </c>
      <c r="D116" vm="344">
        <f ca="1"/>
        <v>6251285</v>
      </c>
      <c r="E116">
        <f t="shared" ca="1" si="21"/>
        <v>1563821455.5999999</v>
      </c>
      <c r="F116">
        <f ca="1">SUM($E$2:E116)/SUM($D$2:D116)</f>
        <v>257.0891435841188</v>
      </c>
      <c r="G116">
        <f ca="1">_xlfn.STDEV.P($C$2:C116)</f>
        <v>18.159395769533628</v>
      </c>
      <c r="H116">
        <f t="shared" ca="1" si="22"/>
        <v>275.2485393536524</v>
      </c>
      <c r="I116">
        <f t="shared" ca="1" si="23"/>
        <v>238.92974781458517</v>
      </c>
      <c r="J116">
        <f t="shared" ca="1" si="32"/>
        <v>268.14749999999998</v>
      </c>
      <c r="K116">
        <f t="shared" ca="1" si="33"/>
        <v>14.493833125995707</v>
      </c>
      <c r="L116">
        <f t="shared" ca="1" si="34"/>
        <v>297.13516625199139</v>
      </c>
      <c r="M116">
        <f t="shared" ca="1" si="35"/>
        <v>239.15983374800857</v>
      </c>
      <c r="N116">
        <f t="shared" ca="1" si="24"/>
        <v>-2.1200000000000045</v>
      </c>
      <c r="O116">
        <f t="shared" ca="1" si="25"/>
        <v>0</v>
      </c>
      <c r="P116">
        <f t="shared" ca="1" si="26"/>
        <v>2.1200000000000045</v>
      </c>
      <c r="Q116">
        <f t="shared" ca="1" si="30"/>
        <v>0.81902431326911962</v>
      </c>
      <c r="R116">
        <f t="shared" ca="1" si="31"/>
        <v>2.1308287822199348</v>
      </c>
      <c r="S116">
        <f t="shared" ca="1" si="28"/>
        <v>0.38436889913597178</v>
      </c>
      <c r="T116">
        <f t="shared" ca="1" si="29"/>
        <v>27.764918684309393</v>
      </c>
      <c r="U116">
        <f>70</f>
        <v>70</v>
      </c>
      <c r="V116">
        <f>30</f>
        <v>30</v>
      </c>
      <c r="W116">
        <f t="shared" ca="1" si="27"/>
        <v>258.60754509671409</v>
      </c>
      <c r="X116">
        <f t="shared" ca="1" si="37"/>
        <v>266.90984973006942</v>
      </c>
      <c r="Y116">
        <f t="shared" ca="1" si="36"/>
        <v>-8.9905990556936217</v>
      </c>
      <c r="Z116">
        <f t="shared" ca="1" si="38"/>
        <v>-6.6287553904804746</v>
      </c>
      <c r="AA116">
        <f t="shared" ca="1" si="39"/>
        <v>-2.3618436652131471</v>
      </c>
      <c r="AB116">
        <f t="shared" ca="1" si="40"/>
        <v>260.94630000000001</v>
      </c>
    </row>
    <row r="117" spans="1:28" x14ac:dyDescent="0.25">
      <c r="A117" s="20">
        <f t="shared" ca="1" si="20"/>
        <v>45873</v>
      </c>
      <c r="B117" vm="345">
        <f ca="1"/>
        <v>45877</v>
      </c>
      <c r="C117" vm="346">
        <f ca="1"/>
        <v>242.27</v>
      </c>
      <c r="D117" vm="347">
        <f ca="1"/>
        <v>6828390</v>
      </c>
      <c r="E117">
        <f t="shared" ca="1" si="21"/>
        <v>1654314045.3</v>
      </c>
      <c r="F117">
        <f ca="1">SUM($E$2:E117)/SUM($D$2:D117)</f>
        <v>256.90392906081962</v>
      </c>
      <c r="G117">
        <f ca="1">_xlfn.STDEV.P($C$2:C117)</f>
        <v>18.154396829882202</v>
      </c>
      <c r="H117">
        <f t="shared" ca="1" si="22"/>
        <v>275.05832589070184</v>
      </c>
      <c r="I117">
        <f t="shared" ca="1" si="23"/>
        <v>238.7495322309374</v>
      </c>
      <c r="J117">
        <f t="shared" ca="1" si="32"/>
        <v>266.08150000000006</v>
      </c>
      <c r="K117">
        <f t="shared" ca="1" si="33"/>
        <v>15.108658819226456</v>
      </c>
      <c r="L117">
        <f t="shared" ca="1" si="34"/>
        <v>296.29881763845299</v>
      </c>
      <c r="M117">
        <f t="shared" ca="1" si="35"/>
        <v>235.86418236154714</v>
      </c>
      <c r="N117">
        <f t="shared" ca="1" si="24"/>
        <v>-7.8899999999999864</v>
      </c>
      <c r="O117">
        <f t="shared" ca="1" si="25"/>
        <v>0</v>
      </c>
      <c r="P117">
        <f t="shared" ca="1" si="26"/>
        <v>7.8899999999999864</v>
      </c>
      <c r="Q117">
        <f t="shared" ca="1" si="30"/>
        <v>0.76052257660703959</v>
      </c>
      <c r="R117">
        <f t="shared" ca="1" si="31"/>
        <v>2.54219815491851</v>
      </c>
      <c r="S117">
        <f t="shared" ca="1" si="28"/>
        <v>0.2991594400836225</v>
      </c>
      <c r="T117">
        <f t="shared" ca="1" si="29"/>
        <v>23.027153623605003</v>
      </c>
      <c r="U117">
        <f>70</f>
        <v>70</v>
      </c>
      <c r="V117">
        <f>30</f>
        <v>30</v>
      </c>
      <c r="W117">
        <f t="shared" ca="1" si="27"/>
        <v>256.09407662029656</v>
      </c>
      <c r="X117">
        <f t="shared" ca="1" si="37"/>
        <v>265.08467567599018</v>
      </c>
      <c r="Y117">
        <f t="shared" ca="1" si="36"/>
        <v>-9.9036434144408361</v>
      </c>
      <c r="Z117">
        <f t="shared" ca="1" si="38"/>
        <v>-7.2837329952725476</v>
      </c>
      <c r="AA117">
        <f t="shared" ca="1" si="39"/>
        <v>-2.6199104191682885</v>
      </c>
      <c r="AB117">
        <f t="shared" ca="1" si="40"/>
        <v>260.83929999999998</v>
      </c>
    </row>
    <row r="118" spans="1:28" x14ac:dyDescent="0.25">
      <c r="A118" s="20">
        <f t="shared" ca="1" si="20"/>
        <v>45880</v>
      </c>
      <c r="B118" vm="348">
        <f ca="1"/>
        <v>45880</v>
      </c>
      <c r="C118" vm="349">
        <f ca="1"/>
        <v>236.3</v>
      </c>
      <c r="D118" vm="350">
        <f ca="1"/>
        <v>9381960</v>
      </c>
      <c r="E118">
        <f t="shared" ca="1" si="21"/>
        <v>2216957148</v>
      </c>
      <c r="F118">
        <f ca="1">SUM($E$2:E118)/SUM($D$2:D118)</f>
        <v>256.55608648836801</v>
      </c>
      <c r="G118">
        <f ca="1">_xlfn.STDEV.P($C$2:C118)</f>
        <v>18.205236987757331</v>
      </c>
      <c r="H118">
        <f t="shared" ca="1" si="22"/>
        <v>274.76132347612531</v>
      </c>
      <c r="I118">
        <f t="shared" ca="1" si="23"/>
        <v>238.35084950061068</v>
      </c>
      <c r="J118">
        <f t="shared" ca="1" si="32"/>
        <v>263.70700000000005</v>
      </c>
      <c r="K118">
        <f t="shared" ca="1" si="33"/>
        <v>15.89064872313604</v>
      </c>
      <c r="L118">
        <f t="shared" ca="1" si="34"/>
        <v>295.48829744627216</v>
      </c>
      <c r="M118">
        <f t="shared" ca="1" si="35"/>
        <v>231.92570255372797</v>
      </c>
      <c r="N118">
        <f t="shared" ca="1" si="24"/>
        <v>-5.9699999999999989</v>
      </c>
      <c r="O118">
        <f t="shared" ca="1" si="25"/>
        <v>0</v>
      </c>
      <c r="P118">
        <f t="shared" ca="1" si="26"/>
        <v>5.9699999999999989</v>
      </c>
      <c r="Q118">
        <f t="shared" ca="1" si="30"/>
        <v>0.70619953542082248</v>
      </c>
      <c r="R118">
        <f t="shared" ca="1" si="31"/>
        <v>2.7870411438529024</v>
      </c>
      <c r="S118">
        <f t="shared" ca="1" si="28"/>
        <v>0.25338683534630124</v>
      </c>
      <c r="T118">
        <f t="shared" ca="1" si="29"/>
        <v>20.216171751659772</v>
      </c>
      <c r="U118">
        <f>70</f>
        <v>70</v>
      </c>
      <c r="V118">
        <f>30</f>
        <v>30</v>
      </c>
      <c r="W118">
        <f t="shared" ca="1" si="27"/>
        <v>253.04883406332786</v>
      </c>
      <c r="X118">
        <f t="shared" ca="1" si="37"/>
        <v>262.9524774777687</v>
      </c>
      <c r="Y118">
        <f t="shared" ca="1" si="36"/>
        <v>-10.628180807596721</v>
      </c>
      <c r="Z118">
        <f t="shared" ca="1" si="38"/>
        <v>-7.9526225577373832</v>
      </c>
      <c r="AA118">
        <f t="shared" ca="1" si="39"/>
        <v>-2.6755582498593373</v>
      </c>
      <c r="AB118">
        <f t="shared" ca="1" si="40"/>
        <v>260.7328</v>
      </c>
    </row>
    <row r="119" spans="1:28" x14ac:dyDescent="0.25">
      <c r="A119" s="20">
        <f t="shared" ca="1" si="20"/>
        <v>45880</v>
      </c>
      <c r="B119" vm="351">
        <f ca="1"/>
        <v>45881</v>
      </c>
      <c r="C119" vm="352">
        <f ca="1"/>
        <v>234.77</v>
      </c>
      <c r="D119" vm="353">
        <f ca="1"/>
        <v>8800597</v>
      </c>
      <c r="E119">
        <f t="shared" ca="1" si="21"/>
        <v>2066116157.6900001</v>
      </c>
      <c r="F119">
        <f ca="1">SUM($E$2:E119)/SUM($D$2:D119)</f>
        <v>256.21645591409248</v>
      </c>
      <c r="G119">
        <f ca="1">_xlfn.STDEV.P($C$2:C119)</f>
        <v>18.269846203518004</v>
      </c>
      <c r="H119">
        <f t="shared" ca="1" si="22"/>
        <v>274.48630211761048</v>
      </c>
      <c r="I119">
        <f t="shared" ca="1" si="23"/>
        <v>237.94660971057448</v>
      </c>
      <c r="J119">
        <f t="shared" ca="1" si="32"/>
        <v>261.31050000000005</v>
      </c>
      <c r="K119">
        <f t="shared" ca="1" si="33"/>
        <v>16.478843366092487</v>
      </c>
      <c r="L119">
        <f t="shared" ca="1" si="34"/>
        <v>294.26818673218503</v>
      </c>
      <c r="M119">
        <f t="shared" ca="1" si="35"/>
        <v>228.35281326781507</v>
      </c>
      <c r="N119">
        <f t="shared" ca="1" si="24"/>
        <v>-1.5300000000000011</v>
      </c>
      <c r="O119">
        <f t="shared" ca="1" si="25"/>
        <v>0</v>
      </c>
      <c r="P119">
        <f t="shared" ca="1" si="26"/>
        <v>1.5300000000000011</v>
      </c>
      <c r="Q119">
        <f t="shared" ca="1" si="30"/>
        <v>0.65575671146219228</v>
      </c>
      <c r="R119">
        <f t="shared" ca="1" si="31"/>
        <v>2.697252490720552</v>
      </c>
      <c r="S119">
        <f t="shared" ca="1" si="28"/>
        <v>0.24312025430255937</v>
      </c>
      <c r="T119">
        <f t="shared" ca="1" si="29"/>
        <v>19.55725952184406</v>
      </c>
      <c r="U119">
        <f>70</f>
        <v>70</v>
      </c>
      <c r="V119">
        <f>30</f>
        <v>30</v>
      </c>
      <c r="W119">
        <f t="shared" ca="1" si="27"/>
        <v>250.23670574589283</v>
      </c>
      <c r="X119">
        <f t="shared" ca="1" si="37"/>
        <v>260.86488655348955</v>
      </c>
      <c r="Y119">
        <f t="shared" ca="1" si="36"/>
        <v>-10.651927416962764</v>
      </c>
      <c r="Z119">
        <f t="shared" ca="1" si="38"/>
        <v>-8.4924835295824597</v>
      </c>
      <c r="AA119">
        <f t="shared" ca="1" si="39"/>
        <v>-2.1594438873803039</v>
      </c>
      <c r="AB119">
        <f t="shared" ca="1" si="40"/>
        <v>260.55759999999992</v>
      </c>
    </row>
    <row r="120" spans="1:28" x14ac:dyDescent="0.25">
      <c r="A120" s="20">
        <f t="shared" ca="1" si="20"/>
        <v>45880</v>
      </c>
      <c r="B120" vm="354">
        <f ca="1"/>
        <v>45882</v>
      </c>
      <c r="C120" vm="355">
        <f ca="1"/>
        <v>240.07</v>
      </c>
      <c r="D120" vm="356">
        <f ca="1"/>
        <v>5663562</v>
      </c>
      <c r="E120">
        <f t="shared" ca="1" si="21"/>
        <v>1359651329.3399999</v>
      </c>
      <c r="F120">
        <f ca="1">SUM($E$2:E120)/SUM($D$2:D120)</f>
        <v>256.05607710491347</v>
      </c>
      <c r="G120">
        <f ca="1">_xlfn.STDEV.P($C$2:C120)</f>
        <v>18.277879972209888</v>
      </c>
      <c r="H120">
        <f t="shared" ca="1" si="22"/>
        <v>274.33395707712339</v>
      </c>
      <c r="I120">
        <f t="shared" ca="1" si="23"/>
        <v>237.77819713270358</v>
      </c>
      <c r="J120">
        <f t="shared" ca="1" si="32"/>
        <v>259.21800000000007</v>
      </c>
      <c r="K120">
        <f t="shared" ca="1" si="33"/>
        <v>16.380877040976127</v>
      </c>
      <c r="L120">
        <f t="shared" ca="1" si="34"/>
        <v>291.97975408195231</v>
      </c>
      <c r="M120">
        <f t="shared" ca="1" si="35"/>
        <v>226.45624591804781</v>
      </c>
      <c r="N120">
        <f t="shared" ca="1" si="24"/>
        <v>5.2999999999999829</v>
      </c>
      <c r="O120">
        <f t="shared" ca="1" si="25"/>
        <v>5.2999999999999829</v>
      </c>
      <c r="P120">
        <f t="shared" ca="1" si="26"/>
        <v>0</v>
      </c>
      <c r="Q120">
        <f t="shared" ca="1" si="30"/>
        <v>0.98748837492917729</v>
      </c>
      <c r="R120">
        <f t="shared" ca="1" si="31"/>
        <v>2.5045915985262268</v>
      </c>
      <c r="S120">
        <f t="shared" ca="1" si="28"/>
        <v>0.39427121591809366</v>
      </c>
      <c r="T120">
        <f t="shared" ca="1" si="29"/>
        <v>28.277942728558429</v>
      </c>
      <c r="U120">
        <f>70</f>
        <v>70</v>
      </c>
      <c r="V120">
        <f>30</f>
        <v>30</v>
      </c>
      <c r="W120">
        <f t="shared" ca="1" si="27"/>
        <v>248.67259716960163</v>
      </c>
      <c r="X120">
        <f t="shared" ca="1" si="37"/>
        <v>259.32452458656439</v>
      </c>
      <c r="Y120">
        <f t="shared" ca="1" si="36"/>
        <v>-10.785268180232862</v>
      </c>
      <c r="Z120">
        <f t="shared" ca="1" si="38"/>
        <v>-8.9510404597125408</v>
      </c>
      <c r="AA120">
        <f t="shared" ca="1" si="39"/>
        <v>-1.834227720520321</v>
      </c>
      <c r="AB120">
        <f t="shared" ca="1" si="40"/>
        <v>260.52509999999995</v>
      </c>
    </row>
    <row r="121" spans="1:28" x14ac:dyDescent="0.25">
      <c r="A121" s="20">
        <f t="shared" ca="1" si="20"/>
        <v>45880</v>
      </c>
      <c r="B121" vm="357">
        <f ca="1"/>
        <v>45883</v>
      </c>
      <c r="C121" vm="358">
        <f ca="1"/>
        <v>237.11</v>
      </c>
      <c r="D121" vm="359">
        <f ca="1"/>
        <v>4556725</v>
      </c>
      <c r="E121">
        <f t="shared" ca="1" si="21"/>
        <v>1080445064.75</v>
      </c>
      <c r="F121">
        <f ca="1">SUM($E$2:E121)/SUM($D$2:D121)</f>
        <v>255.90586832187682</v>
      </c>
      <c r="G121">
        <f ca="1">_xlfn.STDEV.P($C$2:C121)</f>
        <v>18.311916179354963</v>
      </c>
      <c r="H121">
        <f t="shared" ca="1" si="22"/>
        <v>274.21778450123179</v>
      </c>
      <c r="I121">
        <f t="shared" ca="1" si="23"/>
        <v>237.59395214252186</v>
      </c>
      <c r="J121">
        <f t="shared" ca="1" si="32"/>
        <v>256.9735</v>
      </c>
      <c r="K121">
        <f t="shared" ca="1" si="33"/>
        <v>16.169038078018769</v>
      </c>
      <c r="L121">
        <f t="shared" ca="1" si="34"/>
        <v>289.31157615603752</v>
      </c>
      <c r="M121">
        <f t="shared" ca="1" si="35"/>
        <v>224.63542384396246</v>
      </c>
      <c r="N121">
        <f t="shared" ca="1" si="24"/>
        <v>-2.9599999999999795</v>
      </c>
      <c r="O121">
        <f t="shared" ca="1" si="25"/>
        <v>0</v>
      </c>
      <c r="P121">
        <f t="shared" ca="1" si="26"/>
        <v>2.9599999999999795</v>
      </c>
      <c r="Q121">
        <f t="shared" ca="1" si="30"/>
        <v>0.9169534910056647</v>
      </c>
      <c r="R121">
        <f t="shared" ca="1" si="31"/>
        <v>2.5371207700600662</v>
      </c>
      <c r="S121">
        <f t="shared" ca="1" si="28"/>
        <v>0.36141499522860943</v>
      </c>
      <c r="T121">
        <f t="shared" ca="1" si="29"/>
        <v>26.547011491372658</v>
      </c>
      <c r="U121">
        <f>70</f>
        <v>70</v>
      </c>
      <c r="V121">
        <f>30</f>
        <v>30</v>
      </c>
      <c r="W121">
        <f t="shared" ca="1" si="27"/>
        <v>246.893736066586</v>
      </c>
      <c r="X121">
        <f t="shared" ca="1" si="37"/>
        <v>257.67900424681886</v>
      </c>
      <c r="Y121">
        <f t="shared" ca="1" si="36"/>
        <v>-10.558623271909056</v>
      </c>
      <c r="Z121">
        <f t="shared" ca="1" si="38"/>
        <v>-9.2725570221518439</v>
      </c>
      <c r="AA121">
        <f t="shared" ca="1" si="39"/>
        <v>-1.2860662497572122</v>
      </c>
      <c r="AB121">
        <f t="shared" ca="1" si="40"/>
        <v>260.45749999999998</v>
      </c>
    </row>
    <row r="122" spans="1:28" x14ac:dyDescent="0.25">
      <c r="A122" s="20">
        <f t="shared" ca="1" si="20"/>
        <v>45880</v>
      </c>
      <c r="B122" vm="360">
        <f ca="1"/>
        <v>45884</v>
      </c>
      <c r="C122" vm="361">
        <f ca="1"/>
        <v>239.72</v>
      </c>
      <c r="D122" vm="362">
        <f ca="1"/>
        <v>4344322</v>
      </c>
      <c r="E122">
        <f t="shared" ca="1" si="21"/>
        <v>1041420869.84</v>
      </c>
      <c r="F122">
        <f ca="1">SUM($E$2:E122)/SUM($D$2:D122)</f>
        <v>255.7844425494317</v>
      </c>
      <c r="G122">
        <f ca="1">_xlfn.STDEV.P($C$2:C122)</f>
        <v>18.319497566995789</v>
      </c>
      <c r="H122">
        <f t="shared" ca="1" si="22"/>
        <v>274.10394011642751</v>
      </c>
      <c r="I122">
        <f t="shared" ca="1" si="23"/>
        <v>237.46494498243592</v>
      </c>
      <c r="J122">
        <f t="shared" ca="1" si="32"/>
        <v>254.66600000000003</v>
      </c>
      <c r="K122">
        <f t="shared" ca="1" si="33"/>
        <v>15.084852074358004</v>
      </c>
      <c r="L122">
        <f t="shared" ca="1" si="34"/>
        <v>284.83570414871605</v>
      </c>
      <c r="M122">
        <f t="shared" ca="1" si="35"/>
        <v>224.496295851284</v>
      </c>
      <c r="N122">
        <f t="shared" ca="1" si="24"/>
        <v>2.6099999999999852</v>
      </c>
      <c r="O122">
        <f t="shared" ca="1" si="25"/>
        <v>2.6099999999999852</v>
      </c>
      <c r="P122">
        <f t="shared" ca="1" si="26"/>
        <v>0</v>
      </c>
      <c r="Q122">
        <f t="shared" ca="1" si="30"/>
        <v>1.0378853845052591</v>
      </c>
      <c r="R122">
        <f t="shared" ca="1" si="31"/>
        <v>2.3558978579129186</v>
      </c>
      <c r="S122">
        <f t="shared" ca="1" si="28"/>
        <v>0.44054770074994593</v>
      </c>
      <c r="T122">
        <f t="shared" ca="1" si="29"/>
        <v>30.58195855094543</v>
      </c>
      <c r="U122">
        <f>70</f>
        <v>70</v>
      </c>
      <c r="V122">
        <f>30</f>
        <v>30</v>
      </c>
      <c r="W122">
        <f t="shared" ca="1" si="27"/>
        <v>245.7900843640343</v>
      </c>
      <c r="X122">
        <f t="shared" ca="1" si="37"/>
        <v>256.34870763594336</v>
      </c>
      <c r="Y122">
        <f t="shared" ca="1" si="36"/>
        <v>-10.28226474519488</v>
      </c>
      <c r="Z122">
        <f t="shared" ca="1" si="38"/>
        <v>-9.4744985667604507</v>
      </c>
      <c r="AA122">
        <f t="shared" ca="1" si="39"/>
        <v>-0.80776617843442899</v>
      </c>
      <c r="AB122">
        <f t="shared" ca="1" si="40"/>
        <v>260.37019999999995</v>
      </c>
    </row>
    <row r="123" spans="1:28" x14ac:dyDescent="0.25">
      <c r="A123" s="20">
        <f t="shared" ca="1" si="20"/>
        <v>45887</v>
      </c>
      <c r="B123" vm="363">
        <f ca="1"/>
        <v>45887</v>
      </c>
      <c r="C123" vm="364">
        <f ca="1"/>
        <v>239.45</v>
      </c>
      <c r="D123" vm="365">
        <f ca="1"/>
        <v>3569594</v>
      </c>
      <c r="E123">
        <f t="shared" ca="1" si="21"/>
        <v>854739283.29999995</v>
      </c>
      <c r="F123">
        <f ca="1">SUM($E$2:E123)/SUM($D$2:D123)</f>
        <v>255.68437179471098</v>
      </c>
      <c r="G123">
        <f ca="1">_xlfn.STDEV.P($C$2:C123)</f>
        <v>18.327906179761985</v>
      </c>
      <c r="H123">
        <f t="shared" ca="1" si="22"/>
        <v>274.01227797447297</v>
      </c>
      <c r="I123">
        <f t="shared" ca="1" si="23"/>
        <v>237.356465614949</v>
      </c>
      <c r="J123">
        <f t="shared" ca="1" si="32"/>
        <v>252.40300000000002</v>
      </c>
      <c r="K123">
        <f t="shared" ca="1" si="33"/>
        <v>13.668950254230625</v>
      </c>
      <c r="L123">
        <f t="shared" ca="1" si="34"/>
        <v>279.74090050846127</v>
      </c>
      <c r="M123">
        <f t="shared" ca="1" si="35"/>
        <v>225.06509949153877</v>
      </c>
      <c r="N123">
        <f t="shared" ca="1" si="24"/>
        <v>-0.27000000000001023</v>
      </c>
      <c r="O123">
        <f t="shared" ca="1" si="25"/>
        <v>0</v>
      </c>
      <c r="P123">
        <f t="shared" ca="1" si="26"/>
        <v>0.27000000000001023</v>
      </c>
      <c r="Q123">
        <f t="shared" ca="1" si="30"/>
        <v>0.96375071418345493</v>
      </c>
      <c r="R123">
        <f t="shared" ca="1" si="31"/>
        <v>2.2069051537762823</v>
      </c>
      <c r="S123">
        <f t="shared" ca="1" si="28"/>
        <v>0.43669784020140628</v>
      </c>
      <c r="T123">
        <f t="shared" ca="1" si="29"/>
        <v>30.395941859297778</v>
      </c>
      <c r="U123">
        <f>70</f>
        <v>70</v>
      </c>
      <c r="V123">
        <f>30</f>
        <v>30</v>
      </c>
      <c r="W123">
        <f t="shared" ca="1" si="27"/>
        <v>244.81468676956749</v>
      </c>
      <c r="X123">
        <f t="shared" ca="1" si="37"/>
        <v>255.09695151476237</v>
      </c>
      <c r="Y123">
        <f t="shared" ca="1" si="36"/>
        <v>-9.8025848197613072</v>
      </c>
      <c r="Z123">
        <f t="shared" ca="1" si="38"/>
        <v>-9.540115817360622</v>
      </c>
      <c r="AA123">
        <f t="shared" ca="1" si="39"/>
        <v>-0.26246900240068527</v>
      </c>
      <c r="AB123">
        <f t="shared" ca="1" si="40"/>
        <v>260.26569999999992</v>
      </c>
    </row>
    <row r="124" spans="1:28" x14ac:dyDescent="0.25">
      <c r="A124" s="20">
        <f t="shared" ca="1" si="20"/>
        <v>45887</v>
      </c>
      <c r="B124" vm="366">
        <f ca="1"/>
        <v>45888</v>
      </c>
      <c r="C124" vm="367">
        <f ca="1"/>
        <v>241.28</v>
      </c>
      <c r="D124" vm="368">
        <f ca="1"/>
        <v>3328305</v>
      </c>
      <c r="E124">
        <f t="shared" ca="1" si="21"/>
        <v>803053430.39999998</v>
      </c>
      <c r="F124">
        <f ca="1">SUM($E$2:E124)/SUM($D$2:D124)</f>
        <v>255.6025577743201</v>
      </c>
      <c r="G124">
        <f ca="1">_xlfn.STDEV.P($C$2:C124)</f>
        <v>18.320074625895153</v>
      </c>
      <c r="H124">
        <f t="shared" ca="1" si="22"/>
        <v>273.92263240021526</v>
      </c>
      <c r="I124">
        <f t="shared" ca="1" si="23"/>
        <v>237.28248314842494</v>
      </c>
      <c r="J124">
        <f t="shared" ca="1" si="32"/>
        <v>250.369</v>
      </c>
      <c r="K124">
        <f t="shared" ca="1" si="33"/>
        <v>11.958977204990134</v>
      </c>
      <c r="L124">
        <f t="shared" ca="1" si="34"/>
        <v>274.28695440998024</v>
      </c>
      <c r="M124">
        <f t="shared" ca="1" si="35"/>
        <v>226.45104559001973</v>
      </c>
      <c r="N124">
        <f t="shared" ca="1" si="24"/>
        <v>1.8300000000000125</v>
      </c>
      <c r="O124">
        <f t="shared" ca="1" si="25"/>
        <v>1.8300000000000125</v>
      </c>
      <c r="P124">
        <f t="shared" ca="1" si="26"/>
        <v>0</v>
      </c>
      <c r="Q124">
        <f t="shared" ca="1" si="30"/>
        <v>1.025625663170352</v>
      </c>
      <c r="R124">
        <f t="shared" ca="1" si="31"/>
        <v>2.0492690713636907</v>
      </c>
      <c r="S124">
        <f t="shared" ca="1" si="28"/>
        <v>0.50048364926907674</v>
      </c>
      <c r="T124">
        <f t="shared" ca="1" si="29"/>
        <v>33.354821927774751</v>
      </c>
      <c r="U124">
        <f>70</f>
        <v>70</v>
      </c>
      <c r="V124">
        <f>30</f>
        <v>30</v>
      </c>
      <c r="W124">
        <f t="shared" ca="1" si="27"/>
        <v>244.27088880501864</v>
      </c>
      <c r="X124">
        <f t="shared" ca="1" si="37"/>
        <v>254.07347362477995</v>
      </c>
      <c r="Y124">
        <f t="shared" ca="1" si="36"/>
        <v>-9.2137463047377537</v>
      </c>
      <c r="Z124">
        <f t="shared" ca="1" si="38"/>
        <v>-9.4748419148360483</v>
      </c>
      <c r="AA124">
        <f t="shared" ca="1" si="39"/>
        <v>0.26109561009829463</v>
      </c>
      <c r="AB124">
        <f t="shared" ca="1" si="40"/>
        <v>260.17509999999993</v>
      </c>
    </row>
    <row r="125" spans="1:28" x14ac:dyDescent="0.25">
      <c r="A125" s="20">
        <f t="shared" ca="1" si="20"/>
        <v>45887</v>
      </c>
      <c r="B125" vm="369">
        <f ca="1"/>
        <v>45889</v>
      </c>
      <c r="C125" vm="370">
        <f ca="1"/>
        <v>242.55</v>
      </c>
      <c r="D125" vm="371">
        <f ca="1"/>
        <v>3240064</v>
      </c>
      <c r="E125">
        <f t="shared" ca="1" si="21"/>
        <v>785877523.20000005</v>
      </c>
      <c r="F125">
        <f ca="1">SUM($E$2:E125)/SUM($D$2:D125)</f>
        <v>255.53078416073222</v>
      </c>
      <c r="G125">
        <f ca="1">_xlfn.STDEV.P($C$2:C125)</f>
        <v>18.302068235159737</v>
      </c>
      <c r="H125">
        <f t="shared" ca="1" si="22"/>
        <v>273.83285239589196</v>
      </c>
      <c r="I125">
        <f t="shared" ca="1" si="23"/>
        <v>237.22871592557249</v>
      </c>
      <c r="J125">
        <f t="shared" ca="1" si="32"/>
        <v>248.39600000000002</v>
      </c>
      <c r="K125">
        <f t="shared" ca="1" si="33"/>
        <v>9.4575363432667015</v>
      </c>
      <c r="L125">
        <f t="shared" ca="1" si="34"/>
        <v>267.31107268653341</v>
      </c>
      <c r="M125">
        <f t="shared" ca="1" si="35"/>
        <v>229.48092731346662</v>
      </c>
      <c r="N125">
        <f t="shared" ca="1" si="24"/>
        <v>1.2700000000000102</v>
      </c>
      <c r="O125">
        <f t="shared" ca="1" si="25"/>
        <v>1.2700000000000102</v>
      </c>
      <c r="P125">
        <f t="shared" ca="1" si="26"/>
        <v>0</v>
      </c>
      <c r="Q125">
        <f t="shared" ca="1" si="30"/>
        <v>1.043080972943899</v>
      </c>
      <c r="R125">
        <f t="shared" ca="1" si="31"/>
        <v>1.9028927091234269</v>
      </c>
      <c r="S125">
        <f t="shared" ca="1" si="28"/>
        <v>0.54815543090939545</v>
      </c>
      <c r="T125">
        <f t="shared" ca="1" si="29"/>
        <v>35.407002421417459</v>
      </c>
      <c r="U125">
        <f>70</f>
        <v>70</v>
      </c>
      <c r="V125">
        <f>30</f>
        <v>30</v>
      </c>
      <c r="W125">
        <f t="shared" ca="1" si="27"/>
        <v>244.00613668116961</v>
      </c>
      <c r="X125">
        <f t="shared" ca="1" si="37"/>
        <v>253.21988298590736</v>
      </c>
      <c r="Y125">
        <f t="shared" ca="1" si="36"/>
        <v>-8.8986876812322748</v>
      </c>
      <c r="Z125">
        <f t="shared" ca="1" si="38"/>
        <v>-9.359611068115294</v>
      </c>
      <c r="AA125">
        <f t="shared" ca="1" si="39"/>
        <v>0.46092338688301915</v>
      </c>
      <c r="AB125">
        <f t="shared" ca="1" si="40"/>
        <v>260.13849999999996</v>
      </c>
    </row>
    <row r="126" spans="1:28" x14ac:dyDescent="0.25">
      <c r="A126" s="20">
        <f t="shared" ca="1" si="20"/>
        <v>45887</v>
      </c>
      <c r="B126" vm="372">
        <f ca="1"/>
        <v>45890</v>
      </c>
      <c r="C126" vm="373">
        <f ca="1"/>
        <v>239.4</v>
      </c>
      <c r="D126" vm="374">
        <f ca="1"/>
        <v>2991902</v>
      </c>
      <c r="E126">
        <f t="shared" ca="1" si="21"/>
        <v>716261338.80000007</v>
      </c>
      <c r="F126">
        <f ca="1">SUM($E$2:E126)/SUM($D$2:D126)</f>
        <v>255.44929143825834</v>
      </c>
      <c r="G126">
        <f ca="1">_xlfn.STDEV.P($C$2:C126)</f>
        <v>18.307278444859026</v>
      </c>
      <c r="H126">
        <f t="shared" ca="1" si="22"/>
        <v>273.75656988311738</v>
      </c>
      <c r="I126">
        <f t="shared" ca="1" si="23"/>
        <v>237.14201299339931</v>
      </c>
      <c r="J126">
        <f t="shared" ca="1" si="32"/>
        <v>247.34050000000002</v>
      </c>
      <c r="K126">
        <f t="shared" ca="1" si="33"/>
        <v>9.2091267515609623</v>
      </c>
      <c r="L126">
        <f t="shared" ca="1" si="34"/>
        <v>265.75875350312197</v>
      </c>
      <c r="M126">
        <f t="shared" ca="1" si="35"/>
        <v>228.9222464968781</v>
      </c>
      <c r="N126">
        <f t="shared" ca="1" si="24"/>
        <v>-3.1500000000000057</v>
      </c>
      <c r="O126">
        <f t="shared" ca="1" si="25"/>
        <v>0</v>
      </c>
      <c r="P126">
        <f t="shared" ca="1" si="26"/>
        <v>3.1500000000000057</v>
      </c>
      <c r="Q126">
        <f t="shared" ca="1" si="30"/>
        <v>0.96857518916219199</v>
      </c>
      <c r="R126">
        <f t="shared" ca="1" si="31"/>
        <v>1.9919718013288967</v>
      </c>
      <c r="S126">
        <f t="shared" ca="1" si="28"/>
        <v>0.48623940786512643</v>
      </c>
      <c r="T126">
        <f t="shared" ca="1" si="29"/>
        <v>32.716089029261681</v>
      </c>
      <c r="U126">
        <f>70</f>
        <v>70</v>
      </c>
      <c r="V126">
        <f>30</f>
        <v>30</v>
      </c>
      <c r="W126">
        <f t="shared" ca="1" si="27"/>
        <v>243.29750026868197</v>
      </c>
      <c r="X126">
        <f t="shared" ca="1" si="37"/>
        <v>252.19618794991425</v>
      </c>
      <c r="Y126">
        <f t="shared" ca="1" si="36"/>
        <v>-8.3358504385286949</v>
      </c>
      <c r="Z126">
        <f t="shared" ca="1" si="38"/>
        <v>-9.1548589421979756</v>
      </c>
      <c r="AA126">
        <f t="shared" ca="1" si="39"/>
        <v>0.81900850366928069</v>
      </c>
      <c r="AB126">
        <f t="shared" ca="1" si="40"/>
        <v>260.09249999999997</v>
      </c>
    </row>
    <row r="127" spans="1:28" x14ac:dyDescent="0.25">
      <c r="A127" s="20">
        <f t="shared" ca="1" si="20"/>
        <v>45887</v>
      </c>
      <c r="B127" vm="375">
        <f ca="1"/>
        <v>45891</v>
      </c>
      <c r="C127" vm="376">
        <f ca="1"/>
        <v>242.09</v>
      </c>
      <c r="D127" vm="377">
        <f ca="1"/>
        <v>3134882</v>
      </c>
      <c r="E127">
        <f t="shared" ca="1" si="21"/>
        <v>758923583.38</v>
      </c>
      <c r="F127">
        <f ca="1">SUM($E$2:E127)/SUM($D$2:D127)</f>
        <v>255.37894732478225</v>
      </c>
      <c r="G127">
        <f ca="1">_xlfn.STDEV.P($C$2:C127)</f>
        <v>18.290892881668384</v>
      </c>
      <c r="H127">
        <f t="shared" ca="1" si="22"/>
        <v>273.66984020645066</v>
      </c>
      <c r="I127">
        <f t="shared" ca="1" si="23"/>
        <v>237.08805444311386</v>
      </c>
      <c r="J127">
        <f t="shared" ca="1" si="32"/>
        <v>246.459</v>
      </c>
      <c r="K127">
        <f t="shared" ca="1" si="33"/>
        <v>8.7963125647535989</v>
      </c>
      <c r="L127">
        <f t="shared" ca="1" si="34"/>
        <v>264.05162512950722</v>
      </c>
      <c r="M127">
        <f t="shared" ca="1" si="35"/>
        <v>228.86637487049279</v>
      </c>
      <c r="N127">
        <f t="shared" ca="1" si="24"/>
        <v>2.6899999999999977</v>
      </c>
      <c r="O127">
        <f t="shared" ca="1" si="25"/>
        <v>2.6899999999999977</v>
      </c>
      <c r="P127">
        <f t="shared" ca="1" si="26"/>
        <v>0</v>
      </c>
      <c r="Q127">
        <f t="shared" ca="1" si="30"/>
        <v>1.0915341042220352</v>
      </c>
      <c r="R127">
        <f t="shared" ca="1" si="31"/>
        <v>1.8496881012339756</v>
      </c>
      <c r="S127">
        <f t="shared" ca="1" si="28"/>
        <v>0.59011792501332738</v>
      </c>
      <c r="T127">
        <f t="shared" ca="1" si="29"/>
        <v>37.111582463821449</v>
      </c>
      <c r="U127">
        <f>70</f>
        <v>70</v>
      </c>
      <c r="V127">
        <f>30</f>
        <v>30</v>
      </c>
      <c r="W127">
        <f t="shared" ca="1" si="27"/>
        <v>243.11173099657708</v>
      </c>
      <c r="X127">
        <f t="shared" ca="1" si="37"/>
        <v>251.44758143510577</v>
      </c>
      <c r="Y127">
        <f t="shared" ca="1" si="36"/>
        <v>-8.0120793744330285</v>
      </c>
      <c r="Z127">
        <f t="shared" ca="1" si="38"/>
        <v>-8.9263030286449876</v>
      </c>
      <c r="AA127">
        <f t="shared" ca="1" si="39"/>
        <v>0.91422365421195906</v>
      </c>
      <c r="AB127">
        <f t="shared" ca="1" si="40"/>
        <v>260.02679999999998</v>
      </c>
    </row>
    <row r="128" spans="1:28" x14ac:dyDescent="0.25">
      <c r="A128" s="20">
        <f t="shared" ca="1" si="20"/>
        <v>45894</v>
      </c>
      <c r="B128" vm="378">
        <f ca="1"/>
        <v>45894</v>
      </c>
      <c r="C128" vm="379">
        <f ca="1"/>
        <v>239.43</v>
      </c>
      <c r="D128" vm="380">
        <f ca="1"/>
        <v>3513327</v>
      </c>
      <c r="E128">
        <f t="shared" ca="1" si="21"/>
        <v>841195883.61000001</v>
      </c>
      <c r="F128">
        <f ca="1">SUM($E$2:E128)/SUM($D$2:D128)</f>
        <v>255.2853812521</v>
      </c>
      <c r="G128">
        <f ca="1">_xlfn.STDEV.P($C$2:C128)</f>
        <v>18.293620752413133</v>
      </c>
      <c r="H128">
        <f t="shared" ca="1" si="22"/>
        <v>273.57900200451314</v>
      </c>
      <c r="I128">
        <f t="shared" ca="1" si="23"/>
        <v>236.99176049968685</v>
      </c>
      <c r="J128">
        <f t="shared" ca="1" si="32"/>
        <v>245.27000000000004</v>
      </c>
      <c r="K128">
        <f t="shared" ca="1" si="33"/>
        <v>7.9824267514400171</v>
      </c>
      <c r="L128">
        <f t="shared" ca="1" si="34"/>
        <v>261.23485350288007</v>
      </c>
      <c r="M128">
        <f t="shared" ca="1" si="35"/>
        <v>229.30514649712001</v>
      </c>
      <c r="N128">
        <f t="shared" ca="1" si="24"/>
        <v>-2.6599999999999966</v>
      </c>
      <c r="O128">
        <f t="shared" ca="1" si="25"/>
        <v>0</v>
      </c>
      <c r="P128">
        <f t="shared" ca="1" si="26"/>
        <v>2.6599999999999966</v>
      </c>
      <c r="Q128">
        <f t="shared" ca="1" si="30"/>
        <v>1.0135673824918898</v>
      </c>
      <c r="R128">
        <f t="shared" ca="1" si="31"/>
        <v>1.9075675225744058</v>
      </c>
      <c r="S128">
        <f t="shared" ca="1" si="28"/>
        <v>0.53134023854841295</v>
      </c>
      <c r="T128">
        <f t="shared" ca="1" si="29"/>
        <v>34.697725898725196</v>
      </c>
      <c r="U128">
        <f>70</f>
        <v>70</v>
      </c>
      <c r="V128">
        <f>30</f>
        <v>30</v>
      </c>
      <c r="W128">
        <f t="shared" ca="1" si="27"/>
        <v>242.54531084325751</v>
      </c>
      <c r="X128">
        <f t="shared" ca="1" si="37"/>
        <v>250.55739021769054</v>
      </c>
      <c r="Y128">
        <f t="shared" ca="1" si="36"/>
        <v>-7.4118361831964421</v>
      </c>
      <c r="Z128">
        <f t="shared" ca="1" si="38"/>
        <v>-8.6234096595552785</v>
      </c>
      <c r="AA128">
        <f t="shared" ca="1" si="39"/>
        <v>1.2115734763588364</v>
      </c>
      <c r="AB128">
        <f t="shared" ca="1" si="40"/>
        <v>259.91769999999991</v>
      </c>
    </row>
    <row r="129" spans="1:28" x14ac:dyDescent="0.25">
      <c r="A129" s="20">
        <f t="shared" ca="1" si="20"/>
        <v>45894</v>
      </c>
      <c r="B129" vm="381">
        <f ca="1"/>
        <v>45895</v>
      </c>
      <c r="C129" vm="382">
        <f ca="1"/>
        <v>242.63</v>
      </c>
      <c r="D129" vm="383">
        <f ca="1"/>
        <v>5386582</v>
      </c>
      <c r="E129">
        <f t="shared" ca="1" si="21"/>
        <v>1306946390.6600001</v>
      </c>
      <c r="F129">
        <f ca="1">SUM($E$2:E129)/SUM($D$2:D129)</f>
        <v>255.17256608850704</v>
      </c>
      <c r="G129">
        <f ca="1">_xlfn.STDEV.P($C$2:C129)</f>
        <v>18.272137419015188</v>
      </c>
      <c r="H129">
        <f t="shared" ca="1" si="22"/>
        <v>273.44470350752221</v>
      </c>
      <c r="I129">
        <f t="shared" ca="1" si="23"/>
        <v>236.90042866949184</v>
      </c>
      <c r="J129">
        <f t="shared" ca="1" si="32"/>
        <v>244.28100000000003</v>
      </c>
      <c r="K129">
        <f t="shared" ca="1" si="33"/>
        <v>6.8988602414876397</v>
      </c>
      <c r="L129">
        <f t="shared" ca="1" si="34"/>
        <v>258.07872048297531</v>
      </c>
      <c r="M129">
        <f t="shared" ca="1" si="35"/>
        <v>230.48327951702476</v>
      </c>
      <c r="N129">
        <f t="shared" ca="1" si="24"/>
        <v>3.1999999999999886</v>
      </c>
      <c r="O129">
        <f t="shared" ca="1" si="25"/>
        <v>3.1999999999999886</v>
      </c>
      <c r="P129">
        <f t="shared" ca="1" si="26"/>
        <v>0</v>
      </c>
      <c r="Q129">
        <f t="shared" ca="1" si="30"/>
        <v>1.1697411408853253</v>
      </c>
      <c r="R129">
        <f t="shared" ca="1" si="31"/>
        <v>1.7713126995333768</v>
      </c>
      <c r="S129">
        <f t="shared" ca="1" si="28"/>
        <v>0.66038093736553372</v>
      </c>
      <c r="T129">
        <f t="shared" ca="1" si="29"/>
        <v>39.772857089851691</v>
      </c>
      <c r="U129">
        <f>70</f>
        <v>70</v>
      </c>
      <c r="V129">
        <f>30</f>
        <v>30</v>
      </c>
      <c r="W129">
        <f t="shared" ca="1" si="27"/>
        <v>242.5583399442948</v>
      </c>
      <c r="X129">
        <f t="shared" ca="1" si="37"/>
        <v>249.97017612749124</v>
      </c>
      <c r="Y129">
        <f t="shared" ca="1" si="36"/>
        <v>-6.6807985127609868</v>
      </c>
      <c r="Z129">
        <f t="shared" ca="1" si="38"/>
        <v>-8.2348874301964212</v>
      </c>
      <c r="AA129">
        <f t="shared" ca="1" si="39"/>
        <v>1.5540889174354344</v>
      </c>
      <c r="AB129">
        <f t="shared" ca="1" si="40"/>
        <v>259.84419999999989</v>
      </c>
    </row>
    <row r="130" spans="1:28" x14ac:dyDescent="0.25">
      <c r="A130" s="20">
        <f t="shared" ca="1" si="20"/>
        <v>45894</v>
      </c>
      <c r="B130" vm="384">
        <f ca="1"/>
        <v>45896</v>
      </c>
      <c r="C130" vm="385">
        <f ca="1"/>
        <v>244.84</v>
      </c>
      <c r="D130" vm="386">
        <f ca="1"/>
        <v>3698372</v>
      </c>
      <c r="E130">
        <f t="shared" ca="1" si="21"/>
        <v>905509400.48000002</v>
      </c>
      <c r="F130">
        <f ca="1">SUM($E$2:E130)/SUM($D$2:D130)</f>
        <v>255.1097099439462</v>
      </c>
      <c r="G130">
        <f ca="1">_xlfn.STDEV.P($C$2:C130)</f>
        <v>18.237020377596487</v>
      </c>
      <c r="H130">
        <f t="shared" ca="1" si="22"/>
        <v>273.34673032154268</v>
      </c>
      <c r="I130">
        <f t="shared" ca="1" si="23"/>
        <v>236.87268956634972</v>
      </c>
      <c r="J130">
        <f t="shared" ca="1" si="32"/>
        <v>243.51000000000005</v>
      </c>
      <c r="K130">
        <f t="shared" ca="1" si="33"/>
        <v>5.791947222789493</v>
      </c>
      <c r="L130">
        <f t="shared" ca="1" si="34"/>
        <v>255.09389444557902</v>
      </c>
      <c r="M130">
        <f t="shared" ca="1" si="35"/>
        <v>231.92610555442107</v>
      </c>
      <c r="N130">
        <f t="shared" ca="1" si="24"/>
        <v>2.210000000000008</v>
      </c>
      <c r="O130">
        <f t="shared" ca="1" si="25"/>
        <v>2.210000000000008</v>
      </c>
      <c r="P130">
        <f t="shared" ca="1" si="26"/>
        <v>0</v>
      </c>
      <c r="Q130">
        <f t="shared" ca="1" si="30"/>
        <v>1.2440453451078024</v>
      </c>
      <c r="R130">
        <f t="shared" ca="1" si="31"/>
        <v>1.6447903638524213</v>
      </c>
      <c r="S130">
        <f t="shared" ca="1" si="28"/>
        <v>0.75635495711076783</v>
      </c>
      <c r="T130">
        <f t="shared" ca="1" si="29"/>
        <v>43.063900838984388</v>
      </c>
      <c r="U130">
        <f>70</f>
        <v>70</v>
      </c>
      <c r="V130">
        <f>30</f>
        <v>30</v>
      </c>
      <c r="W130">
        <f t="shared" ca="1" si="27"/>
        <v>242.90936456824943</v>
      </c>
      <c r="X130">
        <f t="shared" ca="1" si="37"/>
        <v>249.59016308101042</v>
      </c>
      <c r="Y130">
        <f t="shared" ca="1" si="36"/>
        <v>-5.9609165941831748</v>
      </c>
      <c r="Z130">
        <f t="shared" ca="1" si="38"/>
        <v>-7.7800932629937725</v>
      </c>
      <c r="AA130">
        <f t="shared" ca="1" si="39"/>
        <v>1.8191766688105977</v>
      </c>
      <c r="AB130">
        <f t="shared" ca="1" si="40"/>
        <v>259.85769999999991</v>
      </c>
    </row>
    <row r="131" spans="1:28" x14ac:dyDescent="0.25">
      <c r="A131" s="20">
        <f t="shared" ref="A131:A194" ca="1" si="41">B131 - WEEKDAY(B131, 2) + 1</f>
        <v>45894</v>
      </c>
      <c r="B131" vm="387">
        <f ca="1"/>
        <v>45897</v>
      </c>
      <c r="C131" vm="388">
        <f ca="1"/>
        <v>245.73</v>
      </c>
      <c r="D131" vm="389">
        <f ca="1"/>
        <v>2820817</v>
      </c>
      <c r="E131">
        <f t="shared" ref="E131:E194" ca="1" si="42">C131*D131</f>
        <v>693159361.40999997</v>
      </c>
      <c r="F131">
        <f ca="1">SUM($E$2:E131)/SUM($D$2:D131)</f>
        <v>255.06639049982675</v>
      </c>
      <c r="G131">
        <f ca="1">_xlfn.STDEV.P($C$2:C131)</f>
        <v>18.19716946078745</v>
      </c>
      <c r="H131">
        <f t="shared" ref="H131:H194" ca="1" si="43">F131 + G131</f>
        <v>273.2635599606142</v>
      </c>
      <c r="I131">
        <f t="shared" ref="I131:I194" ca="1" si="44">F131 - G131</f>
        <v>236.8692210390393</v>
      </c>
      <c r="J131">
        <f t="shared" ca="1" si="32"/>
        <v>243.13899999999998</v>
      </c>
      <c r="K131">
        <f t="shared" ca="1" si="33"/>
        <v>5.3637790095377573</v>
      </c>
      <c r="L131">
        <f t="shared" ca="1" si="34"/>
        <v>253.86655801907548</v>
      </c>
      <c r="M131">
        <f t="shared" ca="1" si="35"/>
        <v>232.41144198092448</v>
      </c>
      <c r="N131">
        <f t="shared" ca="1" si="24"/>
        <v>0.88999999999998636</v>
      </c>
      <c r="O131">
        <f t="shared" ca="1" si="25"/>
        <v>0.88999999999998636</v>
      </c>
      <c r="P131">
        <f t="shared" ca="1" si="26"/>
        <v>0</v>
      </c>
      <c r="Q131">
        <f t="shared" ca="1" si="30"/>
        <v>1.2187563918858155</v>
      </c>
      <c r="R131">
        <f t="shared" ca="1" si="31"/>
        <v>1.5273053378629626</v>
      </c>
      <c r="S131">
        <f t="shared" ca="1" si="28"/>
        <v>0.79797821802359759</v>
      </c>
      <c r="T131">
        <f t="shared" ca="1" si="29"/>
        <v>44.381973598143134</v>
      </c>
      <c r="U131">
        <f>70</f>
        <v>70</v>
      </c>
      <c r="V131">
        <f>30</f>
        <v>30</v>
      </c>
      <c r="W131">
        <f t="shared" ca="1" si="27"/>
        <v>243.34330848082647</v>
      </c>
      <c r="X131">
        <f t="shared" ca="1" si="37"/>
        <v>249.30422507500964</v>
      </c>
      <c r="Y131">
        <f t="shared" ca="1" si="36"/>
        <v>-5.5076653292668425</v>
      </c>
      <c r="Z131">
        <f t="shared" ca="1" si="38"/>
        <v>-7.3256076762483868</v>
      </c>
      <c r="AA131">
        <f t="shared" ca="1" si="39"/>
        <v>1.8179423469815443</v>
      </c>
      <c r="AB131">
        <f t="shared" ca="1" si="40"/>
        <v>260.04019999999991</v>
      </c>
    </row>
    <row r="132" spans="1:28" x14ac:dyDescent="0.25">
      <c r="A132" s="20">
        <f t="shared" ca="1" si="41"/>
        <v>45894</v>
      </c>
      <c r="B132" vm="390">
        <f ca="1"/>
        <v>45898</v>
      </c>
      <c r="C132" vm="85">
        <f ca="1"/>
        <v>243.49</v>
      </c>
      <c r="D132" vm="391">
        <f ca="1"/>
        <v>2967558</v>
      </c>
      <c r="E132">
        <f t="shared" ca="1" si="42"/>
        <v>722570697.42000008</v>
      </c>
      <c r="F132">
        <f ca="1">SUM($E$2:E132)/SUM($D$2:D132)</f>
        <v>255.01041655021845</v>
      </c>
      <c r="G132">
        <f ca="1">_xlfn.STDEV.P($C$2:C132)</f>
        <v>18.169587348721464</v>
      </c>
      <c r="H132">
        <f t="shared" ca="1" si="43"/>
        <v>273.1800038989399</v>
      </c>
      <c r="I132">
        <f t="shared" ca="1" si="44"/>
        <v>236.840829201497</v>
      </c>
      <c r="J132">
        <f t="shared" ca="1" si="32"/>
        <v>242.81099999999998</v>
      </c>
      <c r="K132">
        <f t="shared" ca="1" si="33"/>
        <v>5.113665798107732</v>
      </c>
      <c r="L132">
        <f t="shared" ca="1" si="34"/>
        <v>253.03833159621544</v>
      </c>
      <c r="M132">
        <f t="shared" ca="1" si="35"/>
        <v>232.58366840378451</v>
      </c>
      <c r="N132">
        <f t="shared" ref="N132:N195" ca="1" si="45">C132-C131</f>
        <v>-2.2399999999999807</v>
      </c>
      <c r="O132">
        <f t="shared" ref="O132:O195" ca="1" si="46">MAX(N132,0)</f>
        <v>0</v>
      </c>
      <c r="P132">
        <f t="shared" ref="P132:P195" ca="1" si="47">MAX(-N132,0)</f>
        <v>2.2399999999999807</v>
      </c>
      <c r="Q132">
        <f t="shared" ca="1" si="30"/>
        <v>1.1317023638939716</v>
      </c>
      <c r="R132">
        <f t="shared" ca="1" si="31"/>
        <v>1.5782120994441782</v>
      </c>
      <c r="S132">
        <f t="shared" ca="1" si="28"/>
        <v>0.7170787527814162</v>
      </c>
      <c r="T132">
        <f t="shared" ca="1" si="29"/>
        <v>41.761552964292036</v>
      </c>
      <c r="U132">
        <f>70</f>
        <v>70</v>
      </c>
      <c r="V132">
        <f>30</f>
        <v>30</v>
      </c>
      <c r="W132">
        <f t="shared" ca="1" si="27"/>
        <v>243.36587640685318</v>
      </c>
      <c r="X132">
        <f t="shared" ca="1" si="37"/>
        <v>248.87354173612002</v>
      </c>
      <c r="Y132">
        <f t="shared" ca="1" si="36"/>
        <v>-5.2485349612638572</v>
      </c>
      <c r="Z132">
        <f t="shared" ca="1" si="38"/>
        <v>-6.9101931332514805</v>
      </c>
      <c r="AA132">
        <f t="shared" ca="1" si="39"/>
        <v>1.6616581719876233</v>
      </c>
      <c r="AB132">
        <f t="shared" ca="1" si="40"/>
        <v>260.21729999999997</v>
      </c>
    </row>
    <row r="133" spans="1:28" x14ac:dyDescent="0.25">
      <c r="A133" s="20">
        <f t="shared" ca="1" si="41"/>
        <v>45901</v>
      </c>
      <c r="B133" vm="392">
        <f ca="1"/>
        <v>45902</v>
      </c>
      <c r="C133" vm="393">
        <f ca="1"/>
        <v>241.5</v>
      </c>
      <c r="D133" vm="394">
        <f ca="1"/>
        <v>3469501</v>
      </c>
      <c r="E133">
        <f t="shared" ca="1" si="42"/>
        <v>837884491.5</v>
      </c>
      <c r="F133">
        <f ca="1">SUM($E$2:E133)/SUM($D$2:D133)</f>
        <v>254.93447120470753</v>
      </c>
      <c r="G133">
        <f ca="1">_xlfn.STDEV.P($C$2:C133)</f>
        <v>18.15417736965183</v>
      </c>
      <c r="H133">
        <f t="shared" ca="1" si="43"/>
        <v>273.08864857435935</v>
      </c>
      <c r="I133">
        <f t="shared" ca="1" si="44"/>
        <v>236.78029383505572</v>
      </c>
      <c r="J133">
        <f t="shared" ca="1" si="32"/>
        <v>242.28699999999998</v>
      </c>
      <c r="K133">
        <f t="shared" ca="1" si="33"/>
        <v>4.6396382572237993</v>
      </c>
      <c r="L133">
        <f t="shared" ca="1" si="34"/>
        <v>251.56627651444757</v>
      </c>
      <c r="M133">
        <f t="shared" ca="1" si="35"/>
        <v>233.00772348555239</v>
      </c>
      <c r="N133">
        <f t="shared" ca="1" si="45"/>
        <v>-1.9900000000000091</v>
      </c>
      <c r="O133">
        <f t="shared" ca="1" si="46"/>
        <v>0</v>
      </c>
      <c r="P133">
        <f t="shared" ca="1" si="47"/>
        <v>1.9900000000000091</v>
      </c>
      <c r="Q133">
        <f t="shared" ca="1" si="30"/>
        <v>1.0508664807586878</v>
      </c>
      <c r="R133">
        <f t="shared" ca="1" si="31"/>
        <v>1.6076255209124517</v>
      </c>
      <c r="S133">
        <f t="shared" ca="1" si="28"/>
        <v>0.65367616219618108</v>
      </c>
      <c r="T133">
        <f t="shared" ca="1" si="29"/>
        <v>39.528668135849522</v>
      </c>
      <c r="U133">
        <f>70</f>
        <v>70</v>
      </c>
      <c r="V133">
        <f>30</f>
        <v>30</v>
      </c>
      <c r="W133">
        <f t="shared" ca="1" si="27"/>
        <v>243.07881849810653</v>
      </c>
      <c r="X133">
        <f t="shared" ca="1" si="37"/>
        <v>248.32735345937039</v>
      </c>
      <c r="Y133">
        <f t="shared" ca="1" si="36"/>
        <v>-4.7782928215320339</v>
      </c>
      <c r="Z133">
        <f t="shared" ca="1" si="38"/>
        <v>-6.4838130709075914</v>
      </c>
      <c r="AA133">
        <f t="shared" ca="1" si="39"/>
        <v>1.7055202493755575</v>
      </c>
      <c r="AB133">
        <f t="shared" ca="1" si="40"/>
        <v>260.42199999999991</v>
      </c>
    </row>
    <row r="134" spans="1:28" x14ac:dyDescent="0.25">
      <c r="A134" s="20">
        <f t="shared" ca="1" si="41"/>
        <v>45901</v>
      </c>
      <c r="B134" vm="395">
        <f ca="1"/>
        <v>45903</v>
      </c>
      <c r="C134" vm="396">
        <f ca="1"/>
        <v>244.1</v>
      </c>
      <c r="D134" vm="397">
        <f ca="1"/>
        <v>3163225</v>
      </c>
      <c r="E134">
        <f t="shared" ca="1" si="42"/>
        <v>772143222.5</v>
      </c>
      <c r="F134">
        <f ca="1">SUM($E$2:E134)/SUM($D$2:D134)</f>
        <v>254.87922745784317</v>
      </c>
      <c r="G134">
        <f ca="1">_xlfn.STDEV.P($C$2:C134)</f>
        <v>18.122513472673852</v>
      </c>
      <c r="H134">
        <f t="shared" ca="1" si="43"/>
        <v>273.00174093051703</v>
      </c>
      <c r="I134">
        <f t="shared" ca="1" si="44"/>
        <v>236.75671398516931</v>
      </c>
      <c r="J134">
        <f t="shared" ca="1" si="32"/>
        <v>241.95850000000004</v>
      </c>
      <c r="K134">
        <f t="shared" ca="1" si="33"/>
        <v>4.2293003962954954</v>
      </c>
      <c r="L134">
        <f t="shared" ca="1" si="34"/>
        <v>250.41710079259104</v>
      </c>
      <c r="M134">
        <f t="shared" ca="1" si="35"/>
        <v>233.49989920740904</v>
      </c>
      <c r="N134">
        <f t="shared" ca="1" si="45"/>
        <v>2.5999999999999943</v>
      </c>
      <c r="O134">
        <f t="shared" ca="1" si="46"/>
        <v>2.5999999999999943</v>
      </c>
      <c r="P134">
        <f t="shared" ca="1" si="47"/>
        <v>0</v>
      </c>
      <c r="Q134">
        <f t="shared" ca="1" si="30"/>
        <v>1.1615188749902097</v>
      </c>
      <c r="R134">
        <f t="shared" ca="1" si="31"/>
        <v>1.4927951265615622</v>
      </c>
      <c r="S134">
        <f t="shared" ca="1" si="28"/>
        <v>0.77808324419279185</v>
      </c>
      <c r="T134">
        <f t="shared" ca="1" si="29"/>
        <v>43.759663487860124</v>
      </c>
      <c r="U134">
        <f>70</f>
        <v>70</v>
      </c>
      <c r="V134">
        <f>30</f>
        <v>30</v>
      </c>
      <c r="W134">
        <f t="shared" ca="1" si="27"/>
        <v>243.23592334455168</v>
      </c>
      <c r="X134">
        <f t="shared" ca="1" si="37"/>
        <v>248.01421616608371</v>
      </c>
      <c r="Y134">
        <f t="shared" ca="1" si="36"/>
        <v>-4.1097180075365998</v>
      </c>
      <c r="Z134">
        <f t="shared" ca="1" si="38"/>
        <v>-6.0089940582333927</v>
      </c>
      <c r="AA134">
        <f t="shared" ca="1" si="39"/>
        <v>1.899276050696793</v>
      </c>
      <c r="AB134">
        <f t="shared" ca="1" si="40"/>
        <v>260.5098999999999</v>
      </c>
    </row>
    <row r="135" spans="1:28" x14ac:dyDescent="0.25">
      <c r="A135" s="20">
        <f t="shared" ca="1" si="41"/>
        <v>45901</v>
      </c>
      <c r="B135" vm="398">
        <f ca="1"/>
        <v>45904</v>
      </c>
      <c r="C135" vm="399">
        <f ca="1"/>
        <v>247.18</v>
      </c>
      <c r="D135" vm="400">
        <f ca="1"/>
        <v>4765087</v>
      </c>
      <c r="E135">
        <f t="shared" ca="1" si="42"/>
        <v>1177834204.6600001</v>
      </c>
      <c r="F135">
        <f ca="1">SUM($E$2:E135)/SUM($D$2:D135)</f>
        <v>254.82054068218682</v>
      </c>
      <c r="G135">
        <f ca="1">_xlfn.STDEV.P($C$2:C135)</f>
        <v>18.075954904561467</v>
      </c>
      <c r="H135">
        <f t="shared" ca="1" si="43"/>
        <v>272.8964955867483</v>
      </c>
      <c r="I135">
        <f t="shared" ca="1" si="44"/>
        <v>236.74458577762536</v>
      </c>
      <c r="J135">
        <f t="shared" ca="1" si="32"/>
        <v>241.70350000000008</v>
      </c>
      <c r="K135">
        <f t="shared" ca="1" si="33"/>
        <v>3.6941123497575918</v>
      </c>
      <c r="L135">
        <f t="shared" ca="1" si="34"/>
        <v>249.09172469951525</v>
      </c>
      <c r="M135">
        <f t="shared" ca="1" si="35"/>
        <v>234.3152753004849</v>
      </c>
      <c r="N135">
        <f t="shared" ca="1" si="45"/>
        <v>3.0800000000000125</v>
      </c>
      <c r="O135">
        <f t="shared" ca="1" si="46"/>
        <v>3.0800000000000125</v>
      </c>
      <c r="P135">
        <f t="shared" ca="1" si="47"/>
        <v>0</v>
      </c>
      <c r="Q135">
        <f t="shared" ca="1" si="30"/>
        <v>1.2985532410623384</v>
      </c>
      <c r="R135">
        <f t="shared" ca="1" si="31"/>
        <v>1.3861669032357362</v>
      </c>
      <c r="S135">
        <f t="shared" ca="1" si="28"/>
        <v>0.93679429081095444</v>
      </c>
      <c r="T135">
        <f t="shared" ca="1" si="29"/>
        <v>48.368290595213885</v>
      </c>
      <c r="U135">
        <f>70</f>
        <v>70</v>
      </c>
      <c r="V135">
        <f>30</f>
        <v>30</v>
      </c>
      <c r="W135">
        <f t="shared" ca="1" si="27"/>
        <v>243.84270436846683</v>
      </c>
      <c r="X135">
        <f t="shared" ca="1" si="37"/>
        <v>247.95242237600343</v>
      </c>
      <c r="Y135">
        <f t="shared" ca="1" si="36"/>
        <v>-3.4313791303887911</v>
      </c>
      <c r="Z135">
        <f t="shared" ca="1" si="38"/>
        <v>-5.4934710726644731</v>
      </c>
      <c r="AA135">
        <f t="shared" ca="1" si="39"/>
        <v>2.062091942275682</v>
      </c>
      <c r="AB135">
        <f t="shared" ca="1" si="40"/>
        <v>260.68619999999993</v>
      </c>
    </row>
    <row r="136" spans="1:28" x14ac:dyDescent="0.25">
      <c r="A136" s="20">
        <f t="shared" ca="1" si="41"/>
        <v>45901</v>
      </c>
      <c r="B136" vm="401">
        <f ca="1"/>
        <v>45905</v>
      </c>
      <c r="C136" vm="402">
        <f ca="1"/>
        <v>248.53</v>
      </c>
      <c r="D136" vm="403">
        <f ca="1"/>
        <v>3147478</v>
      </c>
      <c r="E136">
        <f t="shared" ca="1" si="42"/>
        <v>782242707.34000003</v>
      </c>
      <c r="F136">
        <f ca="1">SUM($E$2:E136)/SUM($D$2:D136)</f>
        <v>254.78902753122387</v>
      </c>
      <c r="G136">
        <f ca="1">_xlfn.STDEV.P($C$2:C136)</f>
        <v>18.024471891374873</v>
      </c>
      <c r="H136">
        <f t="shared" ca="1" si="43"/>
        <v>272.81349942259874</v>
      </c>
      <c r="I136">
        <f t="shared" ca="1" si="44"/>
        <v>236.76455563984899</v>
      </c>
      <c r="J136">
        <f t="shared" ca="1" si="32"/>
        <v>241.62200000000001</v>
      </c>
      <c r="K136">
        <f t="shared" ca="1" si="33"/>
        <v>3.5111755416399379</v>
      </c>
      <c r="L136">
        <f t="shared" ca="1" si="34"/>
        <v>248.6443510832799</v>
      </c>
      <c r="M136">
        <f t="shared" ca="1" si="35"/>
        <v>234.59964891672013</v>
      </c>
      <c r="N136">
        <f t="shared" ca="1" si="45"/>
        <v>1.3499999999999943</v>
      </c>
      <c r="O136">
        <f t="shared" ca="1" si="46"/>
        <v>1.3499999999999943</v>
      </c>
      <c r="P136">
        <f t="shared" ca="1" si="47"/>
        <v>0</v>
      </c>
      <c r="Q136">
        <f t="shared" ca="1" si="30"/>
        <v>1.3022280095578851</v>
      </c>
      <c r="R136">
        <f t="shared" ca="1" si="31"/>
        <v>1.2871549815760408</v>
      </c>
      <c r="S136">
        <f t="shared" ca="1" si="28"/>
        <v>1.0117103442845619</v>
      </c>
      <c r="T136">
        <f t="shared" ca="1" si="29"/>
        <v>50.291054433304268</v>
      </c>
      <c r="U136">
        <f>70</f>
        <v>70</v>
      </c>
      <c r="V136">
        <f>30</f>
        <v>30</v>
      </c>
      <c r="W136">
        <f t="shared" ca="1" si="27"/>
        <v>244.56382677331808</v>
      </c>
      <c r="X136">
        <f t="shared" ca="1" si="37"/>
        <v>247.99520590370688</v>
      </c>
      <c r="Y136">
        <f t="shared" ca="1" si="36"/>
        <v>-2.2577360884024813</v>
      </c>
      <c r="Z136">
        <f t="shared" ca="1" si="38"/>
        <v>-4.8463240758120749</v>
      </c>
      <c r="AA136">
        <f t="shared" ca="1" si="39"/>
        <v>2.5885879874095936</v>
      </c>
      <c r="AB136">
        <f t="shared" ca="1" si="40"/>
        <v>260.81669999999991</v>
      </c>
    </row>
    <row r="137" spans="1:28" x14ac:dyDescent="0.25">
      <c r="A137" s="20">
        <f t="shared" ca="1" si="41"/>
        <v>45908</v>
      </c>
      <c r="B137" vm="404">
        <f ca="1"/>
        <v>45908</v>
      </c>
      <c r="C137" vm="405">
        <f ca="1"/>
        <v>256.08999999999997</v>
      </c>
      <c r="D137" vm="406">
        <f ca="1"/>
        <v>6940270</v>
      </c>
      <c r="E137">
        <f t="shared" ca="1" si="42"/>
        <v>1777333744.2999997</v>
      </c>
      <c r="F137">
        <f ca="1">SUM($E$2:E137)/SUM($D$2:D137)</f>
        <v>254.8032414743092</v>
      </c>
      <c r="G137">
        <f ca="1">_xlfn.STDEV.P($C$2:C137)</f>
        <v>17.958336286886567</v>
      </c>
      <c r="H137">
        <f t="shared" ca="1" si="43"/>
        <v>272.76157776119578</v>
      </c>
      <c r="I137">
        <f t="shared" ca="1" si="44"/>
        <v>236.84490518742263</v>
      </c>
      <c r="J137">
        <f t="shared" ca="1" si="32"/>
        <v>242.31300000000002</v>
      </c>
      <c r="K137">
        <f t="shared" ca="1" si="33"/>
        <v>4.7770956823047497</v>
      </c>
      <c r="L137">
        <f t="shared" ca="1" si="34"/>
        <v>251.86719136460951</v>
      </c>
      <c r="M137">
        <f t="shared" ca="1" si="35"/>
        <v>232.75880863539052</v>
      </c>
      <c r="N137">
        <f t="shared" ca="1" si="45"/>
        <v>7.5599999999999739</v>
      </c>
      <c r="O137">
        <f t="shared" ca="1" si="46"/>
        <v>7.5599999999999739</v>
      </c>
      <c r="P137">
        <f t="shared" ca="1" si="47"/>
        <v>0</v>
      </c>
      <c r="Q137">
        <f t="shared" ca="1" si="30"/>
        <v>1.7492117231608915</v>
      </c>
      <c r="R137">
        <f t="shared" ca="1" si="31"/>
        <v>1.195215340034895</v>
      </c>
      <c r="S137">
        <f t="shared" ca="1" si="28"/>
        <v>1.4635117744638571</v>
      </c>
      <c r="T137">
        <f t="shared" ca="1" si="29"/>
        <v>59.407541284529337</v>
      </c>
      <c r="U137">
        <f>70</f>
        <v>70</v>
      </c>
      <c r="V137">
        <f>30</f>
        <v>30</v>
      </c>
      <c r="W137">
        <f t="shared" ca="1" si="27"/>
        <v>246.33708419280759</v>
      </c>
      <c r="X137">
        <f t="shared" ca="1" si="37"/>
        <v>248.59482028121008</v>
      </c>
      <c r="Y137">
        <f t="shared" ca="1" si="36"/>
        <v>-1.071574319457028</v>
      </c>
      <c r="Z137">
        <f t="shared" ca="1" si="38"/>
        <v>-4.0913741245410655</v>
      </c>
      <c r="AA137">
        <f t="shared" ca="1" si="39"/>
        <v>3.0197998050840376</v>
      </c>
      <c r="AB137">
        <f t="shared" ca="1" si="40"/>
        <v>260.98699999999991</v>
      </c>
    </row>
    <row r="138" spans="1:28" x14ac:dyDescent="0.25">
      <c r="A138" s="20">
        <f t="shared" ca="1" si="41"/>
        <v>45908</v>
      </c>
      <c r="B138" vm="407">
        <f ca="1"/>
        <v>45909</v>
      </c>
      <c r="C138" vm="408">
        <f ca="1"/>
        <v>259.11</v>
      </c>
      <c r="D138" vm="409">
        <f ca="1"/>
        <v>4931105</v>
      </c>
      <c r="E138">
        <f t="shared" ca="1" si="42"/>
        <v>1277698616.55</v>
      </c>
      <c r="F138">
        <f ca="1">SUM($E$2:E138)/SUM($D$2:D138)</f>
        <v>254.83641614192331</v>
      </c>
      <c r="G138">
        <f ca="1">_xlfn.STDEV.P($C$2:C138)</f>
        <v>17.893415250864461</v>
      </c>
      <c r="H138">
        <f t="shared" ca="1" si="43"/>
        <v>272.72983139278779</v>
      </c>
      <c r="I138">
        <f t="shared" ca="1" si="44"/>
        <v>236.94300089105886</v>
      </c>
      <c r="J138">
        <f t="shared" ca="1" si="32"/>
        <v>243.45349999999999</v>
      </c>
      <c r="K138">
        <f t="shared" ca="1" si="33"/>
        <v>5.8649738860638152</v>
      </c>
      <c r="L138">
        <f t="shared" ca="1" si="34"/>
        <v>255.18344777212764</v>
      </c>
      <c r="M138">
        <f t="shared" ca="1" si="35"/>
        <v>231.72355222787235</v>
      </c>
      <c r="N138">
        <f t="shared" ca="1" si="45"/>
        <v>3.0200000000000387</v>
      </c>
      <c r="O138">
        <f t="shared" ca="1" si="46"/>
        <v>3.0200000000000387</v>
      </c>
      <c r="P138">
        <f t="shared" ca="1" si="47"/>
        <v>0</v>
      </c>
      <c r="Q138">
        <f t="shared" ca="1" si="30"/>
        <v>1.8399823143636878</v>
      </c>
      <c r="R138">
        <f t="shared" ca="1" si="31"/>
        <v>1.1098428157466882</v>
      </c>
      <c r="S138">
        <f t="shared" ca="1" si="28"/>
        <v>1.6578764922902807</v>
      </c>
      <c r="T138">
        <f t="shared" ca="1" si="29"/>
        <v>62.375979361693197</v>
      </c>
      <c r="U138">
        <f>70</f>
        <v>70</v>
      </c>
      <c r="V138">
        <f>30</f>
        <v>30</v>
      </c>
      <c r="W138">
        <f t="shared" ca="1" si="27"/>
        <v>248.30214816314489</v>
      </c>
      <c r="X138">
        <f t="shared" ca="1" si="37"/>
        <v>249.37372248260192</v>
      </c>
      <c r="Y138">
        <f t="shared" ca="1" si="36"/>
        <v>-0.30792536293901662</v>
      </c>
      <c r="Z138">
        <f t="shared" ca="1" si="38"/>
        <v>-3.3346843722206558</v>
      </c>
      <c r="AA138">
        <f t="shared" ca="1" si="39"/>
        <v>3.0267590092816392</v>
      </c>
      <c r="AB138">
        <f t="shared" ca="1" si="40"/>
        <v>261.17109999999991</v>
      </c>
    </row>
    <row r="139" spans="1:28" x14ac:dyDescent="0.25">
      <c r="A139" s="20">
        <f t="shared" ca="1" si="41"/>
        <v>45908</v>
      </c>
      <c r="B139" vm="410">
        <f ca="1"/>
        <v>45910</v>
      </c>
      <c r="C139" vm="411">
        <f ca="1"/>
        <v>256.88</v>
      </c>
      <c r="D139" vm="412">
        <f ca="1"/>
        <v>5185420</v>
      </c>
      <c r="E139">
        <f t="shared" ca="1" si="42"/>
        <v>1332030689.5999999</v>
      </c>
      <c r="F139">
        <f ca="1">SUM($E$2:E139)/SUM($D$2:D139)</f>
        <v>254.85283657128849</v>
      </c>
      <c r="G139">
        <f ca="1">_xlfn.STDEV.P($C$2:C139)</f>
        <v>17.828488365555732</v>
      </c>
      <c r="H139">
        <f t="shared" ca="1" si="43"/>
        <v>272.68132493684425</v>
      </c>
      <c r="I139">
        <f t="shared" ca="1" si="44"/>
        <v>237.02434820573276</v>
      </c>
      <c r="J139">
        <f t="shared" ca="1" si="32"/>
        <v>244.55899999999997</v>
      </c>
      <c r="K139">
        <f t="shared" ca="1" si="33"/>
        <v>6.2153696591594594</v>
      </c>
      <c r="L139">
        <f t="shared" ca="1" si="34"/>
        <v>256.98973931831887</v>
      </c>
      <c r="M139">
        <f t="shared" ca="1" si="35"/>
        <v>232.12826068168104</v>
      </c>
      <c r="N139">
        <f t="shared" ca="1" si="45"/>
        <v>-2.2300000000000182</v>
      </c>
      <c r="O139">
        <f t="shared" ca="1" si="46"/>
        <v>0</v>
      </c>
      <c r="P139">
        <f t="shared" ca="1" si="47"/>
        <v>2.2300000000000182</v>
      </c>
      <c r="Q139">
        <f t="shared" ca="1" si="30"/>
        <v>1.7085550061948529</v>
      </c>
      <c r="R139">
        <f t="shared" ca="1" si="31"/>
        <v>1.1898540431933546</v>
      </c>
      <c r="S139">
        <f t="shared" ca="1" si="28"/>
        <v>1.4359366310252626</v>
      </c>
      <c r="T139">
        <f t="shared" ca="1" si="29"/>
        <v>58.948028973187633</v>
      </c>
      <c r="U139">
        <f>70</f>
        <v>70</v>
      </c>
      <c r="V139">
        <f>30</f>
        <v>30</v>
      </c>
      <c r="W139">
        <f t="shared" ca="1" si="27"/>
        <v>249.62181767650722</v>
      </c>
      <c r="X139">
        <f t="shared" ca="1" si="37"/>
        <v>249.92974303944624</v>
      </c>
      <c r="Y139">
        <f t="shared" ca="1" si="36"/>
        <v>0.30425459288494494</v>
      </c>
      <c r="Z139">
        <f t="shared" ca="1" si="38"/>
        <v>-2.6068965791995358</v>
      </c>
      <c r="AA139">
        <f t="shared" ca="1" si="39"/>
        <v>2.9111511720844807</v>
      </c>
      <c r="AB139">
        <f t="shared" ca="1" si="40"/>
        <v>261.35419999999993</v>
      </c>
    </row>
    <row r="140" spans="1:28" x14ac:dyDescent="0.25">
      <c r="A140" s="20">
        <f t="shared" ca="1" si="41"/>
        <v>45908</v>
      </c>
      <c r="B140" vm="413">
        <f ca="1"/>
        <v>45911</v>
      </c>
      <c r="C140" vm="414">
        <f ca="1"/>
        <v>257.01</v>
      </c>
      <c r="D140" vm="415">
        <f ca="1"/>
        <v>3576048</v>
      </c>
      <c r="E140">
        <f t="shared" ca="1" si="42"/>
        <v>919080096.48000002</v>
      </c>
      <c r="F140">
        <f ca="1">SUM($E$2:E140)/SUM($D$2:D140)</f>
        <v>254.8647241822502</v>
      </c>
      <c r="G140">
        <f ca="1">_xlfn.STDEV.P($C$2:C140)</f>
        <v>17.764249340741333</v>
      </c>
      <c r="H140">
        <f t="shared" ca="1" si="43"/>
        <v>272.62897352299154</v>
      </c>
      <c r="I140">
        <f t="shared" ca="1" si="44"/>
        <v>237.10047484150886</v>
      </c>
      <c r="J140">
        <f t="shared" ca="1" si="32"/>
        <v>245.40600000000001</v>
      </c>
      <c r="K140">
        <f t="shared" ca="1" si="33"/>
        <v>6.7062958636289132</v>
      </c>
      <c r="L140">
        <f t="shared" ca="1" si="34"/>
        <v>258.81859172725785</v>
      </c>
      <c r="M140">
        <f t="shared" ca="1" si="35"/>
        <v>231.99340827274219</v>
      </c>
      <c r="N140">
        <f t="shared" ca="1" si="45"/>
        <v>0.12999999999999545</v>
      </c>
      <c r="O140">
        <f t="shared" ca="1" si="46"/>
        <v>0.12999999999999545</v>
      </c>
      <c r="P140">
        <f t="shared" ca="1" si="47"/>
        <v>0</v>
      </c>
      <c r="Q140">
        <f t="shared" ca="1" si="30"/>
        <v>1.5958010771809346</v>
      </c>
      <c r="R140">
        <f t="shared" ca="1" si="31"/>
        <v>1.1048644686795437</v>
      </c>
      <c r="S140">
        <f t="shared" ca="1" si="28"/>
        <v>1.4443410231918525</v>
      </c>
      <c r="T140">
        <f t="shared" ca="1" si="29"/>
        <v>59.089178207458673</v>
      </c>
      <c r="U140">
        <f>70</f>
        <v>70</v>
      </c>
      <c r="V140">
        <f>30</f>
        <v>30</v>
      </c>
      <c r="W140">
        <f t="shared" ca="1" si="27"/>
        <v>250.75846111089072</v>
      </c>
      <c r="X140">
        <f t="shared" ca="1" si="37"/>
        <v>250.45420651800578</v>
      </c>
      <c r="Y140">
        <f t="shared" ca="1" si="36"/>
        <v>0.49562914980813844</v>
      </c>
      <c r="Z140">
        <f t="shared" ca="1" si="38"/>
        <v>-1.9863914333980008</v>
      </c>
      <c r="AA140">
        <f t="shared" ca="1" si="39"/>
        <v>2.4820205832061393</v>
      </c>
      <c r="AB140">
        <f t="shared" ca="1" si="40"/>
        <v>261.53619999999995</v>
      </c>
    </row>
    <row r="141" spans="1:28" x14ac:dyDescent="0.25">
      <c r="A141" s="20">
        <f t="shared" ca="1" si="41"/>
        <v>45908</v>
      </c>
      <c r="B141" vm="416">
        <f ca="1"/>
        <v>45912</v>
      </c>
      <c r="C141" vm="417">
        <f ca="1"/>
        <v>253.44</v>
      </c>
      <c r="D141" vm="418">
        <f ca="1"/>
        <v>3433300</v>
      </c>
      <c r="E141">
        <f t="shared" ca="1" si="42"/>
        <v>870135552</v>
      </c>
      <c r="F141">
        <f ca="1">SUM($E$2:E141)/SUM($D$2:D141)</f>
        <v>254.85722594731121</v>
      </c>
      <c r="G141">
        <f ca="1">_xlfn.STDEV.P($C$2:C141)</f>
        <v>17.703535736440575</v>
      </c>
      <c r="H141">
        <f t="shared" ca="1" si="43"/>
        <v>272.56076168375176</v>
      </c>
      <c r="I141">
        <f t="shared" ca="1" si="44"/>
        <v>237.15369021087062</v>
      </c>
      <c r="J141">
        <f t="shared" ca="1" si="32"/>
        <v>246.22250000000003</v>
      </c>
      <c r="K141">
        <f t="shared" ca="1" si="33"/>
        <v>6.6368261874261281</v>
      </c>
      <c r="L141">
        <f t="shared" ca="1" si="34"/>
        <v>259.49615237485227</v>
      </c>
      <c r="M141">
        <f t="shared" ca="1" si="35"/>
        <v>232.94884762514778</v>
      </c>
      <c r="N141">
        <f t="shared" ca="1" si="45"/>
        <v>-3.5699999999999932</v>
      </c>
      <c r="O141">
        <f t="shared" ca="1" si="46"/>
        <v>0</v>
      </c>
      <c r="P141">
        <f t="shared" ca="1" si="47"/>
        <v>3.5699999999999932</v>
      </c>
      <c r="Q141">
        <f t="shared" ca="1" si="30"/>
        <v>1.481815285953725</v>
      </c>
      <c r="R141">
        <f t="shared" ca="1" si="31"/>
        <v>1.2809455780595758</v>
      </c>
      <c r="S141">
        <f t="shared" ca="1" si="28"/>
        <v>1.1568136159214775</v>
      </c>
      <c r="T141">
        <f t="shared" ca="1" si="29"/>
        <v>53.635307538024797</v>
      </c>
      <c r="U141">
        <f>70</f>
        <v>70</v>
      </c>
      <c r="V141">
        <f>30</f>
        <v>30</v>
      </c>
      <c r="W141">
        <f t="shared" ca="1" si="27"/>
        <v>251.17100555536905</v>
      </c>
      <c r="X141">
        <f t="shared" ca="1" si="37"/>
        <v>250.67537640556091</v>
      </c>
      <c r="Y141">
        <f t="shared" ca="1" si="36"/>
        <v>0.86328010865329929</v>
      </c>
      <c r="Z141">
        <f t="shared" ca="1" si="38"/>
        <v>-1.4164571249877409</v>
      </c>
      <c r="AA141">
        <f t="shared" ca="1" si="39"/>
        <v>2.2797372336410402</v>
      </c>
      <c r="AB141">
        <f t="shared" ca="1" si="40"/>
        <v>261.70839999999987</v>
      </c>
    </row>
    <row r="142" spans="1:28" x14ac:dyDescent="0.25">
      <c r="A142" s="20">
        <f t="shared" ca="1" si="41"/>
        <v>45915</v>
      </c>
      <c r="B142" vm="419">
        <f ca="1"/>
        <v>45915</v>
      </c>
      <c r="C142" vm="420">
        <f ca="1"/>
        <v>256.24</v>
      </c>
      <c r="D142" vm="421">
        <f ca="1"/>
        <v>4028365</v>
      </c>
      <c r="E142">
        <f t="shared" ca="1" si="42"/>
        <v>1032228247.6</v>
      </c>
      <c r="F142">
        <f ca="1">SUM($E$2:E142)/SUM($D$2:D142)</f>
        <v>254.86571233672902</v>
      </c>
      <c r="G142">
        <f ca="1">_xlfn.STDEV.P($C$2:C142)</f>
        <v>17.640822269997845</v>
      </c>
      <c r="H142">
        <f t="shared" ca="1" si="43"/>
        <v>272.50653460672686</v>
      </c>
      <c r="I142">
        <f t="shared" ca="1" si="44"/>
        <v>237.22489006673118</v>
      </c>
      <c r="J142">
        <f t="shared" ca="1" si="32"/>
        <v>247.04849999999996</v>
      </c>
      <c r="K142">
        <f t="shared" ca="1" si="33"/>
        <v>6.8106884071250349</v>
      </c>
      <c r="L142">
        <f t="shared" ca="1" si="34"/>
        <v>260.66987681425002</v>
      </c>
      <c r="M142">
        <f t="shared" ca="1" si="35"/>
        <v>233.42712318574991</v>
      </c>
      <c r="N142">
        <f t="shared" ca="1" si="45"/>
        <v>2.8000000000000114</v>
      </c>
      <c r="O142">
        <f t="shared" ca="1" si="46"/>
        <v>2.8000000000000114</v>
      </c>
      <c r="P142">
        <f t="shared" ca="1" si="47"/>
        <v>0</v>
      </c>
      <c r="Q142">
        <f t="shared" ca="1" si="30"/>
        <v>1.5759713369570314</v>
      </c>
      <c r="R142">
        <f t="shared" ca="1" si="31"/>
        <v>1.1894494653410346</v>
      </c>
      <c r="S142">
        <f t="shared" ca="1" si="28"/>
        <v>1.3249586324419211</v>
      </c>
      <c r="T142">
        <f t="shared" ca="1" si="29"/>
        <v>56.988482029476259</v>
      </c>
      <c r="U142">
        <f>70</f>
        <v>70</v>
      </c>
      <c r="V142">
        <f>30</f>
        <v>30</v>
      </c>
      <c r="W142">
        <f t="shared" ca="1" si="27"/>
        <v>251.95085085454303</v>
      </c>
      <c r="X142">
        <f t="shared" ca="1" si="37"/>
        <v>251.08757074588974</v>
      </c>
      <c r="Y142">
        <f t="shared" ca="1" si="36"/>
        <v>1.2435960438322411</v>
      </c>
      <c r="Z142">
        <f t="shared" ca="1" si="38"/>
        <v>-0.88444649122374441</v>
      </c>
      <c r="AA142">
        <f t="shared" ca="1" si="39"/>
        <v>2.1280425350559855</v>
      </c>
      <c r="AB142">
        <f t="shared" ca="1" si="40"/>
        <v>261.8617999999999</v>
      </c>
    </row>
    <row r="143" spans="1:28" x14ac:dyDescent="0.25">
      <c r="A143" s="20">
        <f t="shared" ca="1" si="41"/>
        <v>45915</v>
      </c>
      <c r="B143" vm="422">
        <f ca="1"/>
        <v>45916</v>
      </c>
      <c r="C143" vm="423">
        <f ca="1"/>
        <v>257.52</v>
      </c>
      <c r="D143" vm="424">
        <f ca="1"/>
        <v>2719918</v>
      </c>
      <c r="E143">
        <f t="shared" ca="1" si="42"/>
        <v>700433283.3599999</v>
      </c>
      <c r="F143">
        <f ca="1">SUM($E$2:E143)/SUM($D$2:D143)</f>
        <v>254.87666578369314</v>
      </c>
      <c r="G143">
        <f ca="1">_xlfn.STDEV.P($C$2:C143)</f>
        <v>17.578620719711168</v>
      </c>
      <c r="H143">
        <f t="shared" ca="1" si="43"/>
        <v>272.4552865034043</v>
      </c>
      <c r="I143">
        <f t="shared" ca="1" si="44"/>
        <v>237.29804506398199</v>
      </c>
      <c r="J143">
        <f t="shared" ca="1" si="32"/>
        <v>247.95199999999994</v>
      </c>
      <c r="K143">
        <f t="shared" ca="1" si="33"/>
        <v>6.9468391903686708</v>
      </c>
      <c r="L143">
        <f t="shared" ca="1" si="34"/>
        <v>261.8456783807373</v>
      </c>
      <c r="M143">
        <f t="shared" ca="1" si="35"/>
        <v>234.05832161926259</v>
      </c>
      <c r="N143">
        <f t="shared" ca="1" si="45"/>
        <v>1.2799999999999727</v>
      </c>
      <c r="O143">
        <f t="shared" ca="1" si="46"/>
        <v>1.2799999999999727</v>
      </c>
      <c r="P143">
        <f t="shared" ca="1" si="47"/>
        <v>0</v>
      </c>
      <c r="Q143">
        <f t="shared" ca="1" si="30"/>
        <v>1.5548305271743845</v>
      </c>
      <c r="R143">
        <f t="shared" ca="1" si="31"/>
        <v>1.1044887892452464</v>
      </c>
      <c r="S143">
        <f t="shared" ca="1" si="28"/>
        <v>1.4077377174981374</v>
      </c>
      <c r="T143">
        <f t="shared" ca="1" si="29"/>
        <v>58.467236994605351</v>
      </c>
      <c r="U143">
        <f>70</f>
        <v>70</v>
      </c>
      <c r="V143">
        <f>30</f>
        <v>30</v>
      </c>
      <c r="W143">
        <f t="shared" ref="W143:W206" ca="1" si="48">C143*(2/(12+1)) + W142*(1-(2/(12+1)))</f>
        <v>252.80764303076717</v>
      </c>
      <c r="X143">
        <f t="shared" ca="1" si="37"/>
        <v>251.56404698693493</v>
      </c>
      <c r="Y143">
        <f t="shared" ca="1" si="36"/>
        <v>1.6518367788717967</v>
      </c>
      <c r="Z143">
        <f t="shared" ca="1" si="38"/>
        <v>-0.37718983720463617</v>
      </c>
      <c r="AA143">
        <f t="shared" ca="1" si="39"/>
        <v>2.029026616076433</v>
      </c>
      <c r="AB143">
        <f t="shared" ca="1" si="40"/>
        <v>261.98219999999992</v>
      </c>
    </row>
    <row r="144" spans="1:28" x14ac:dyDescent="0.25">
      <c r="A144" s="20">
        <f t="shared" ca="1" si="41"/>
        <v>45915</v>
      </c>
      <c r="B144" vm="425">
        <f ca="1"/>
        <v>45917</v>
      </c>
      <c r="C144" vm="426">
        <f ca="1"/>
        <v>259.08</v>
      </c>
      <c r="D144" vm="427">
        <f ca="1"/>
        <v>3974785</v>
      </c>
      <c r="E144">
        <f t="shared" ca="1" si="42"/>
        <v>1029787297.8</v>
      </c>
      <c r="F144">
        <f ca="1">SUM($E$2:E144)/SUM($D$2:D144)</f>
        <v>254.90186246737792</v>
      </c>
      <c r="G144">
        <f ca="1">_xlfn.STDEV.P($C$2:C144)</f>
        <v>17.517767144512899</v>
      </c>
      <c r="H144">
        <f t="shared" ca="1" si="43"/>
        <v>272.4196296118908</v>
      </c>
      <c r="I144">
        <f t="shared" ca="1" si="44"/>
        <v>237.38409532286502</v>
      </c>
      <c r="J144">
        <f t="shared" ca="1" si="32"/>
        <v>248.84200000000001</v>
      </c>
      <c r="K144">
        <f t="shared" ca="1" si="33"/>
        <v>7.1832690109872992</v>
      </c>
      <c r="L144">
        <f t="shared" ca="1" si="34"/>
        <v>263.20853802197462</v>
      </c>
      <c r="M144">
        <f t="shared" ca="1" si="35"/>
        <v>234.47546197802541</v>
      </c>
      <c r="N144">
        <f t="shared" ca="1" si="45"/>
        <v>1.5600000000000023</v>
      </c>
      <c r="O144">
        <f t="shared" ca="1" si="46"/>
        <v>1.5600000000000023</v>
      </c>
      <c r="P144">
        <f t="shared" ca="1" si="47"/>
        <v>0</v>
      </c>
      <c r="Q144">
        <f t="shared" ca="1" si="30"/>
        <v>1.5551997752333571</v>
      </c>
      <c r="R144">
        <f t="shared" ca="1" si="31"/>
        <v>1.0255967328705859</v>
      </c>
      <c r="S144">
        <f t="shared" ref="S144:S207" ca="1" si="49">IF(R144=0,NA(),Q144/R144)</f>
        <v>1.5163852666344235</v>
      </c>
      <c r="T144">
        <f t="shared" ref="T144:T207" ca="1" si="50">100-(100/(1+S144))</f>
        <v>60.26045720187097</v>
      </c>
      <c r="U144">
        <f>70</f>
        <v>70</v>
      </c>
      <c r="V144">
        <f>30</f>
        <v>30</v>
      </c>
      <c r="W144">
        <f t="shared" ca="1" si="48"/>
        <v>253.77262102603376</v>
      </c>
      <c r="X144">
        <f t="shared" ca="1" si="37"/>
        <v>252.12078424716196</v>
      </c>
      <c r="Y144">
        <f t="shared" ca="1" si="36"/>
        <v>2.4251098700979981</v>
      </c>
      <c r="Z144">
        <f t="shared" ca="1" si="38"/>
        <v>0.18327010425589069</v>
      </c>
      <c r="AA144">
        <f t="shared" ca="1" si="39"/>
        <v>2.2418397658421072</v>
      </c>
      <c r="AB144">
        <f t="shared" ca="1" si="40"/>
        <v>262.27969999999999</v>
      </c>
    </row>
    <row r="145" spans="1:28" x14ac:dyDescent="0.25">
      <c r="A145" s="20">
        <f t="shared" ca="1" si="41"/>
        <v>45915</v>
      </c>
      <c r="B145" vm="428">
        <f ca="1"/>
        <v>45918</v>
      </c>
      <c r="C145" vm="429">
        <f ca="1"/>
        <v>265</v>
      </c>
      <c r="D145" vm="430">
        <f ca="1"/>
        <v>4988421</v>
      </c>
      <c r="E145">
        <f t="shared" ca="1" si="42"/>
        <v>1321931565</v>
      </c>
      <c r="F145">
        <f ca="1">SUM($E$2:E145)/SUM($D$2:D145)</f>
        <v>254.97726486766922</v>
      </c>
      <c r="G145">
        <f ca="1">_xlfn.STDEV.P($C$2:C145)</f>
        <v>17.46887929897597</v>
      </c>
      <c r="H145">
        <f t="shared" ca="1" si="43"/>
        <v>272.44614416664518</v>
      </c>
      <c r="I145">
        <f t="shared" ca="1" si="44"/>
        <v>237.50838556869326</v>
      </c>
      <c r="J145">
        <f t="shared" ca="1" si="32"/>
        <v>249.96450000000004</v>
      </c>
      <c r="K145">
        <f t="shared" ca="1" si="33"/>
        <v>7.8695926966092893</v>
      </c>
      <c r="L145">
        <f t="shared" ca="1" si="34"/>
        <v>265.70368539321862</v>
      </c>
      <c r="M145">
        <f t="shared" ca="1" si="35"/>
        <v>234.22531460678147</v>
      </c>
      <c r="N145">
        <f t="shared" ca="1" si="45"/>
        <v>5.9200000000000159</v>
      </c>
      <c r="O145">
        <f t="shared" ca="1" si="46"/>
        <v>5.9200000000000159</v>
      </c>
      <c r="P145">
        <f t="shared" ca="1" si="47"/>
        <v>0</v>
      </c>
      <c r="Q145">
        <f t="shared" ref="Q145:Q208" ca="1" si="51">(Q144*13+O145)/14</f>
        <v>1.8669712198595469</v>
      </c>
      <c r="R145">
        <f t="shared" ref="R145:R208" ca="1" si="52">(R144*13+P145)/14</f>
        <v>0.95233982337982981</v>
      </c>
      <c r="S145">
        <f t="shared" ca="1" si="49"/>
        <v>1.9604044418028364</v>
      </c>
      <c r="T145">
        <f t="shared" ca="1" si="50"/>
        <v>66.220831658021126</v>
      </c>
      <c r="U145">
        <f>70</f>
        <v>70</v>
      </c>
      <c r="V145">
        <f>30</f>
        <v>30</v>
      </c>
      <c r="W145">
        <f t="shared" ca="1" si="48"/>
        <v>255.49991009895166</v>
      </c>
      <c r="X145">
        <f t="shared" ca="1" si="37"/>
        <v>253.07480022885366</v>
      </c>
      <c r="Y145">
        <f t="shared" ca="1" si="36"/>
        <v>3.1149949430518689</v>
      </c>
      <c r="Z145">
        <f t="shared" ca="1" si="38"/>
        <v>0.76961507201508639</v>
      </c>
      <c r="AA145">
        <f t="shared" ca="1" si="39"/>
        <v>2.3453798710367826</v>
      </c>
      <c r="AB145">
        <f t="shared" ca="1" si="40"/>
        <v>262.60559999999998</v>
      </c>
    </row>
    <row r="146" spans="1:28" x14ac:dyDescent="0.25">
      <c r="A146" s="20">
        <f t="shared" ca="1" si="41"/>
        <v>45915</v>
      </c>
      <c r="B146" vm="431">
        <f ca="1"/>
        <v>45919</v>
      </c>
      <c r="C146" vm="432">
        <f ca="1"/>
        <v>266.39999999999998</v>
      </c>
      <c r="D146" vm="433">
        <f ca="1"/>
        <v>9858112</v>
      </c>
      <c r="E146">
        <f t="shared" ca="1" si="42"/>
        <v>2626201036.7999997</v>
      </c>
      <c r="F146">
        <f ca="1">SUM($E$2:E146)/SUM($D$2:D146)</f>
        <v>255.14336995423503</v>
      </c>
      <c r="G146">
        <f ca="1">_xlfn.STDEV.P($C$2:C146)</f>
        <v>17.42501961723767</v>
      </c>
      <c r="H146">
        <f t="shared" ca="1" si="43"/>
        <v>272.56838957147272</v>
      </c>
      <c r="I146">
        <f t="shared" ca="1" si="44"/>
        <v>237.71835033699736</v>
      </c>
      <c r="J146">
        <f t="shared" ca="1" si="32"/>
        <v>251.31450000000004</v>
      </c>
      <c r="K146">
        <f t="shared" ca="1" si="33"/>
        <v>8.2677123896453164</v>
      </c>
      <c r="L146">
        <f t="shared" ca="1" si="34"/>
        <v>267.84992477929069</v>
      </c>
      <c r="M146">
        <f t="shared" ca="1" si="35"/>
        <v>234.77907522070942</v>
      </c>
      <c r="N146">
        <f t="shared" ca="1" si="45"/>
        <v>1.3999999999999773</v>
      </c>
      <c r="O146">
        <f t="shared" ca="1" si="46"/>
        <v>1.3999999999999773</v>
      </c>
      <c r="P146">
        <f t="shared" ca="1" si="47"/>
        <v>0</v>
      </c>
      <c r="Q146">
        <f t="shared" ca="1" si="51"/>
        <v>1.8336161327267206</v>
      </c>
      <c r="R146">
        <f t="shared" ca="1" si="52"/>
        <v>0.88431555028127051</v>
      </c>
      <c r="S146">
        <f t="shared" ca="1" si="49"/>
        <v>2.0734862483685945</v>
      </c>
      <c r="T146">
        <f t="shared" ca="1" si="50"/>
        <v>67.463657905390022</v>
      </c>
      <c r="U146">
        <f>70</f>
        <v>70</v>
      </c>
      <c r="V146">
        <f>30</f>
        <v>30</v>
      </c>
      <c r="W146">
        <f t="shared" ca="1" si="48"/>
        <v>257.17684700680525</v>
      </c>
      <c r="X146">
        <f t="shared" ca="1" si="37"/>
        <v>254.06185206375338</v>
      </c>
      <c r="Y146">
        <f t="shared" ca="1" si="36"/>
        <v>4.0164719096903525</v>
      </c>
      <c r="Z146">
        <f t="shared" ca="1" si="38"/>
        <v>1.4189864395501397</v>
      </c>
      <c r="AA146">
        <f t="shared" ca="1" si="39"/>
        <v>2.5974854701402128</v>
      </c>
      <c r="AB146">
        <f t="shared" ca="1" si="40"/>
        <v>262.90800000000002</v>
      </c>
    </row>
    <row r="147" spans="1:28" x14ac:dyDescent="0.25">
      <c r="A147" s="20">
        <f t="shared" ca="1" si="41"/>
        <v>45922</v>
      </c>
      <c r="B147" vm="434">
        <f ca="1"/>
        <v>45922</v>
      </c>
      <c r="C147" vm="435">
        <f ca="1"/>
        <v>271.37</v>
      </c>
      <c r="D147" vm="436">
        <f ca="1"/>
        <v>5030540</v>
      </c>
      <c r="E147">
        <f t="shared" ca="1" si="42"/>
        <v>1365137639.8</v>
      </c>
      <c r="F147">
        <f ca="1">SUM($E$2:E147)/SUM($D$2:D147)</f>
        <v>255.26289288418874</v>
      </c>
      <c r="G147">
        <f ca="1">_xlfn.STDEV.P($C$2:C147)</f>
        <v>17.403932130900799</v>
      </c>
      <c r="H147">
        <f t="shared" ca="1" si="43"/>
        <v>272.66682501508956</v>
      </c>
      <c r="I147">
        <f t="shared" ca="1" si="44"/>
        <v>237.85896075328793</v>
      </c>
      <c r="J147">
        <f t="shared" ca="1" si="32"/>
        <v>252.77850000000004</v>
      </c>
      <c r="K147">
        <f t="shared" ca="1" si="33"/>
        <v>9.0989069759996273</v>
      </c>
      <c r="L147">
        <f t="shared" ca="1" si="34"/>
        <v>270.97631395199932</v>
      </c>
      <c r="M147">
        <f t="shared" ca="1" si="35"/>
        <v>234.58068604800079</v>
      </c>
      <c r="N147">
        <f t="shared" ca="1" si="45"/>
        <v>4.9700000000000273</v>
      </c>
      <c r="O147">
        <f t="shared" ca="1" si="46"/>
        <v>4.9700000000000273</v>
      </c>
      <c r="P147">
        <f t="shared" ca="1" si="47"/>
        <v>0</v>
      </c>
      <c r="Q147">
        <f t="shared" ca="1" si="51"/>
        <v>2.0576435518176712</v>
      </c>
      <c r="R147">
        <f t="shared" ca="1" si="52"/>
        <v>0.82115015383260836</v>
      </c>
      <c r="S147">
        <f t="shared" ca="1" si="49"/>
        <v>2.5058066934700012</v>
      </c>
      <c r="T147">
        <f t="shared" ca="1" si="50"/>
        <v>71.475894496333069</v>
      </c>
      <c r="U147">
        <f>70</f>
        <v>70</v>
      </c>
      <c r="V147">
        <f>30</f>
        <v>30</v>
      </c>
      <c r="W147">
        <f t="shared" ca="1" si="48"/>
        <v>259.3604090057583</v>
      </c>
      <c r="X147">
        <f t="shared" ca="1" si="37"/>
        <v>255.34393709606795</v>
      </c>
      <c r="Y147">
        <f t="shared" ca="1" si="36"/>
        <v>4.7463872321599183</v>
      </c>
      <c r="Z147">
        <f t="shared" ca="1" si="38"/>
        <v>2.0844665980720958</v>
      </c>
      <c r="AA147">
        <f t="shared" ca="1" si="39"/>
        <v>2.6619206340878225</v>
      </c>
      <c r="AB147">
        <f t="shared" ca="1" si="40"/>
        <v>263.2278</v>
      </c>
    </row>
    <row r="148" spans="1:28" x14ac:dyDescent="0.25">
      <c r="A148" s="20">
        <f t="shared" ca="1" si="41"/>
        <v>45922</v>
      </c>
      <c r="B148" vm="437">
        <f ca="1"/>
        <v>45923</v>
      </c>
      <c r="C148" vm="438">
        <f ca="1"/>
        <v>272.24</v>
      </c>
      <c r="D148" vm="439">
        <f ca="1"/>
        <v>5394121</v>
      </c>
      <c r="E148">
        <f t="shared" ca="1" si="42"/>
        <v>1468495501.04</v>
      </c>
      <c r="F148">
        <f ca="1">SUM($E$2:E148)/SUM($D$2:D148)</f>
        <v>255.39593096962611</v>
      </c>
      <c r="G148">
        <f ca="1">_xlfn.STDEV.P($C$2:C148)</f>
        <v>17.387452873359454</v>
      </c>
      <c r="H148">
        <f t="shared" ca="1" si="43"/>
        <v>272.78338384298559</v>
      </c>
      <c r="I148">
        <f t="shared" ca="1" si="44"/>
        <v>238.00847809626666</v>
      </c>
      <c r="J148">
        <f t="shared" ca="1" si="32"/>
        <v>254.41900000000001</v>
      </c>
      <c r="K148">
        <f t="shared" ca="1" si="33"/>
        <v>9.5138535554045713</v>
      </c>
      <c r="L148">
        <f t="shared" ca="1" si="34"/>
        <v>273.44670711080914</v>
      </c>
      <c r="M148">
        <f t="shared" ca="1" si="35"/>
        <v>235.39129288919088</v>
      </c>
      <c r="N148">
        <f t="shared" ca="1" si="45"/>
        <v>0.87000000000000455</v>
      </c>
      <c r="O148">
        <f t="shared" ca="1" si="46"/>
        <v>0.87000000000000455</v>
      </c>
      <c r="P148">
        <f t="shared" ca="1" si="47"/>
        <v>0</v>
      </c>
      <c r="Q148">
        <f t="shared" ca="1" si="51"/>
        <v>1.9728118695449806</v>
      </c>
      <c r="R148">
        <f t="shared" ca="1" si="52"/>
        <v>0.76249657141599347</v>
      </c>
      <c r="S148">
        <f t="shared" ca="1" si="49"/>
        <v>2.5873058889712413</v>
      </c>
      <c r="T148">
        <f t="shared" ca="1" si="50"/>
        <v>72.123927232567908</v>
      </c>
      <c r="U148">
        <f>70</f>
        <v>70</v>
      </c>
      <c r="V148">
        <f>30</f>
        <v>30</v>
      </c>
      <c r="W148">
        <f t="shared" ca="1" si="48"/>
        <v>261.34188454333395</v>
      </c>
      <c r="X148">
        <f t="shared" ca="1" si="37"/>
        <v>256.59549731117403</v>
      </c>
      <c r="Y148">
        <f t="shared" ca="1" si="36"/>
        <v>4.8884418325886827</v>
      </c>
      <c r="Z148">
        <f t="shared" ca="1" si="38"/>
        <v>2.6452616449754132</v>
      </c>
      <c r="AA148">
        <f t="shared" ca="1" si="39"/>
        <v>2.2431801876132695</v>
      </c>
      <c r="AB148">
        <f t="shared" ca="1" si="40"/>
        <v>263.53199999999998</v>
      </c>
    </row>
    <row r="149" spans="1:28" x14ac:dyDescent="0.25">
      <c r="A149" s="20">
        <f t="shared" ca="1" si="41"/>
        <v>45922</v>
      </c>
      <c r="B149" vm="440">
        <f ca="1"/>
        <v>45924</v>
      </c>
      <c r="C149" vm="441">
        <f ca="1"/>
        <v>267.52999999999997</v>
      </c>
      <c r="D149" vm="442">
        <f ca="1"/>
        <v>3159924</v>
      </c>
      <c r="E149">
        <f t="shared" ca="1" si="42"/>
        <v>845374467.71999991</v>
      </c>
      <c r="F149">
        <f ca="1">SUM($E$2:E149)/SUM($D$2:D149)</f>
        <v>255.4513789340678</v>
      </c>
      <c r="G149">
        <f ca="1">_xlfn.STDEV.P($C$2:C149)</f>
        <v>17.348063355642335</v>
      </c>
      <c r="H149">
        <f t="shared" ca="1" si="43"/>
        <v>272.79944228971016</v>
      </c>
      <c r="I149">
        <f t="shared" ca="1" si="44"/>
        <v>238.10331557842548</v>
      </c>
      <c r="J149">
        <f t="shared" ca="1" si="32"/>
        <v>255.66399999999999</v>
      </c>
      <c r="K149">
        <f t="shared" ca="1" si="33"/>
        <v>9.519155424721248</v>
      </c>
      <c r="L149">
        <f t="shared" ca="1" si="34"/>
        <v>274.70231084944248</v>
      </c>
      <c r="M149">
        <f t="shared" ca="1" si="35"/>
        <v>236.62568915055749</v>
      </c>
      <c r="N149">
        <f t="shared" ca="1" si="45"/>
        <v>-4.7100000000000364</v>
      </c>
      <c r="O149">
        <f t="shared" ca="1" si="46"/>
        <v>0</v>
      </c>
      <c r="P149">
        <f t="shared" ca="1" si="47"/>
        <v>4.7100000000000364</v>
      </c>
      <c r="Q149">
        <f t="shared" ca="1" si="51"/>
        <v>1.8318967360060534</v>
      </c>
      <c r="R149">
        <f t="shared" ca="1" si="52"/>
        <v>1.0444611020291394</v>
      </c>
      <c r="S149">
        <f t="shared" ca="1" si="49"/>
        <v>1.7539157106445744</v>
      </c>
      <c r="T149">
        <f t="shared" ca="1" si="50"/>
        <v>63.688068006774884</v>
      </c>
      <c r="U149">
        <f>70</f>
        <v>70</v>
      </c>
      <c r="V149">
        <f>30</f>
        <v>30</v>
      </c>
      <c r="W149">
        <f t="shared" ca="1" si="48"/>
        <v>262.29390230589797</v>
      </c>
      <c r="X149">
        <f t="shared" ca="1" si="37"/>
        <v>257.40546047330929</v>
      </c>
      <c r="Y149">
        <f t="shared" ca="1" si="36"/>
        <v>6.0536590627526721</v>
      </c>
      <c r="Z149">
        <f t="shared" ca="1" si="38"/>
        <v>3.3269411285308652</v>
      </c>
      <c r="AA149">
        <f t="shared" ca="1" si="39"/>
        <v>2.7267179342218069</v>
      </c>
      <c r="AB149">
        <f t="shared" ca="1" si="40"/>
        <v>263.8107</v>
      </c>
    </row>
    <row r="150" spans="1:28" x14ac:dyDescent="0.25">
      <c r="A150" s="20">
        <f t="shared" ca="1" si="41"/>
        <v>45922</v>
      </c>
      <c r="B150" vm="443">
        <f ca="1"/>
        <v>45925</v>
      </c>
      <c r="C150" vm="444">
        <f ca="1"/>
        <v>281.44</v>
      </c>
      <c r="D150" vm="445">
        <f ca="1"/>
        <v>11506192</v>
      </c>
      <c r="E150">
        <f t="shared" ca="1" si="42"/>
        <v>3238302676.48</v>
      </c>
      <c r="F150">
        <f ca="1">SUM($E$2:E150)/SUM($D$2:D150)</f>
        <v>255.87673289675223</v>
      </c>
      <c r="G150">
        <f ca="1">_xlfn.STDEV.P($C$2:C150)</f>
        <v>17.39922513880536</v>
      </c>
      <c r="H150">
        <f t="shared" ca="1" si="43"/>
        <v>273.27595803555761</v>
      </c>
      <c r="I150">
        <f t="shared" ca="1" si="44"/>
        <v>238.47750775794688</v>
      </c>
      <c r="J150">
        <f t="shared" ref="J150:J213" ca="1" si="53">AVERAGE(C131:C150)</f>
        <v>257.49399999999997</v>
      </c>
      <c r="K150">
        <f t="shared" ref="K150:K213" ca="1" si="54">_xlfn.STDEV.S(C131:C150)</f>
        <v>10.765288467545757</v>
      </c>
      <c r="L150">
        <f t="shared" ref="L150:L213" ca="1" si="55">J150 + 2*K150</f>
        <v>279.02457693509149</v>
      </c>
      <c r="M150">
        <f t="shared" ref="M150:M213" ca="1" si="56">J150-2*K150</f>
        <v>235.96342306490845</v>
      </c>
      <c r="N150">
        <f t="shared" ca="1" si="45"/>
        <v>13.910000000000025</v>
      </c>
      <c r="O150">
        <f t="shared" ca="1" si="46"/>
        <v>13.910000000000025</v>
      </c>
      <c r="P150">
        <f t="shared" ca="1" si="47"/>
        <v>0</v>
      </c>
      <c r="Q150">
        <f t="shared" ca="1" si="51"/>
        <v>2.6946183977199083</v>
      </c>
      <c r="R150">
        <f t="shared" ca="1" si="52"/>
        <v>0.96985673759848656</v>
      </c>
      <c r="S150">
        <f t="shared" ca="1" si="49"/>
        <v>2.7783674570248333</v>
      </c>
      <c r="T150">
        <f t="shared" ca="1" si="50"/>
        <v>73.533542955416493</v>
      </c>
      <c r="U150">
        <f>70</f>
        <v>70</v>
      </c>
      <c r="V150">
        <f>30</f>
        <v>30</v>
      </c>
      <c r="W150">
        <f t="shared" ca="1" si="48"/>
        <v>265.23945579729832</v>
      </c>
      <c r="X150">
        <f t="shared" ca="1" si="37"/>
        <v>259.18579673454565</v>
      </c>
      <c r="Y150">
        <f t="shared" ca="1" si="36"/>
        <v>7.1265368463540426</v>
      </c>
      <c r="Z150">
        <f t="shared" ca="1" si="38"/>
        <v>4.0868602720955014</v>
      </c>
      <c r="AA150">
        <f t="shared" ca="1" si="39"/>
        <v>3.0396765742585412</v>
      </c>
      <c r="AB150">
        <f t="shared" ca="1" si="40"/>
        <v>264.1696</v>
      </c>
    </row>
    <row r="151" spans="1:28" x14ac:dyDescent="0.25">
      <c r="A151" s="20">
        <f t="shared" ca="1" si="41"/>
        <v>45922</v>
      </c>
      <c r="B151" vm="446">
        <f ca="1"/>
        <v>45926</v>
      </c>
      <c r="C151" vm="447">
        <f ca="1"/>
        <v>284.31</v>
      </c>
      <c r="D151" vm="448">
        <f ca="1"/>
        <v>9063938</v>
      </c>
      <c r="E151">
        <f t="shared" ca="1" si="42"/>
        <v>2576968212.7800002</v>
      </c>
      <c r="F151">
        <f ca="1">SUM($E$2:E151)/SUM($D$2:D151)</f>
        <v>256.23865555163854</v>
      </c>
      <c r="G151">
        <f ca="1">_xlfn.STDEV.P($C$2:C151)</f>
        <v>17.475481966458041</v>
      </c>
      <c r="H151">
        <f t="shared" ca="1" si="43"/>
        <v>273.71413751809661</v>
      </c>
      <c r="I151">
        <f t="shared" ca="1" si="44"/>
        <v>238.76317358518051</v>
      </c>
      <c r="J151">
        <f t="shared" ca="1" si="53"/>
        <v>259.423</v>
      </c>
      <c r="K151">
        <f t="shared" ca="1" si="54"/>
        <v>11.938929291673475</v>
      </c>
      <c r="L151">
        <f t="shared" ca="1" si="55"/>
        <v>283.30085858334695</v>
      </c>
      <c r="M151">
        <f t="shared" ca="1" si="56"/>
        <v>235.54514141665305</v>
      </c>
      <c r="N151">
        <f t="shared" ca="1" si="45"/>
        <v>2.8700000000000045</v>
      </c>
      <c r="O151">
        <f t="shared" ca="1" si="46"/>
        <v>2.8700000000000045</v>
      </c>
      <c r="P151">
        <f t="shared" ca="1" si="47"/>
        <v>0</v>
      </c>
      <c r="Q151">
        <f t="shared" ca="1" si="51"/>
        <v>2.7071456550256294</v>
      </c>
      <c r="R151">
        <f t="shared" ca="1" si="52"/>
        <v>0.90058125634145181</v>
      </c>
      <c r="S151">
        <f t="shared" ca="1" si="49"/>
        <v>3.0059982216632166</v>
      </c>
      <c r="T151">
        <f t="shared" ca="1" si="50"/>
        <v>75.037432752907748</v>
      </c>
      <c r="U151">
        <f>70</f>
        <v>70</v>
      </c>
      <c r="V151">
        <f>30</f>
        <v>30</v>
      </c>
      <c r="W151">
        <f t="shared" ca="1" si="48"/>
        <v>268.17338567463702</v>
      </c>
      <c r="X151">
        <f t="shared" ca="1" si="37"/>
        <v>261.04684882828298</v>
      </c>
      <c r="Y151">
        <f t="shared" ca="1" si="36"/>
        <v>7.5261244335476931</v>
      </c>
      <c r="Z151">
        <f t="shared" ca="1" si="38"/>
        <v>4.7747131043859401</v>
      </c>
      <c r="AA151">
        <f t="shared" ca="1" si="39"/>
        <v>2.751411329161753</v>
      </c>
      <c r="AB151">
        <f t="shared" ca="1" si="40"/>
        <v>264.52089999999998</v>
      </c>
    </row>
    <row r="152" spans="1:28" x14ac:dyDescent="0.25">
      <c r="A152" s="20">
        <f t="shared" ca="1" si="41"/>
        <v>45929</v>
      </c>
      <c r="B152" vm="449">
        <f ca="1"/>
        <v>45929</v>
      </c>
      <c r="C152" vm="450">
        <f ca="1"/>
        <v>279.8</v>
      </c>
      <c r="D152" vm="451">
        <f ca="1"/>
        <v>6022125</v>
      </c>
      <c r="E152">
        <f t="shared" ca="1" si="42"/>
        <v>1684990575</v>
      </c>
      <c r="F152">
        <f ca="1">SUM($E$2:E152)/SUM($D$2:D152)</f>
        <v>256.43624533319445</v>
      </c>
      <c r="G152">
        <f ca="1">_xlfn.STDEV.P($C$2:C152)</f>
        <v>17.507780288821266</v>
      </c>
      <c r="H152">
        <f t="shared" ca="1" si="43"/>
        <v>273.94402562201572</v>
      </c>
      <c r="I152">
        <f t="shared" ca="1" si="44"/>
        <v>238.92846504437318</v>
      </c>
      <c r="J152">
        <f t="shared" ca="1" si="53"/>
        <v>261.23849999999999</v>
      </c>
      <c r="K152">
        <f t="shared" ca="1" si="54"/>
        <v>12.147478523285574</v>
      </c>
      <c r="L152">
        <f t="shared" ca="1" si="55"/>
        <v>285.53345704657113</v>
      </c>
      <c r="M152">
        <f t="shared" ca="1" si="56"/>
        <v>236.94354295342885</v>
      </c>
      <c r="N152">
        <f t="shared" ca="1" si="45"/>
        <v>-4.5099999999999909</v>
      </c>
      <c r="O152">
        <f t="shared" ca="1" si="46"/>
        <v>0</v>
      </c>
      <c r="P152">
        <f t="shared" ca="1" si="47"/>
        <v>4.5099999999999909</v>
      </c>
      <c r="Q152">
        <f t="shared" ca="1" si="51"/>
        <v>2.5137781082380846</v>
      </c>
      <c r="R152">
        <f t="shared" ca="1" si="52"/>
        <v>1.1583968808884904</v>
      </c>
      <c r="S152">
        <f t="shared" ca="1" si="49"/>
        <v>2.1700490995020782</v>
      </c>
      <c r="T152">
        <f t="shared" ca="1" si="50"/>
        <v>68.454747273249779</v>
      </c>
      <c r="U152">
        <f>70</f>
        <v>70</v>
      </c>
      <c r="V152">
        <f>30</f>
        <v>30</v>
      </c>
      <c r="W152">
        <f t="shared" ca="1" si="48"/>
        <v>269.96209557084671</v>
      </c>
      <c r="X152">
        <f t="shared" ca="1" si="37"/>
        <v>262.43597113729902</v>
      </c>
      <c r="Y152">
        <f t="shared" ca="1" si="36"/>
        <v>7.94168593994101</v>
      </c>
      <c r="Z152">
        <f t="shared" ca="1" si="38"/>
        <v>5.4081076714969543</v>
      </c>
      <c r="AA152">
        <f t="shared" ca="1" si="39"/>
        <v>2.5335782684440558</v>
      </c>
      <c r="AB152">
        <f t="shared" ca="1" si="40"/>
        <v>264.82769999999999</v>
      </c>
    </row>
    <row r="153" spans="1:28" x14ac:dyDescent="0.25">
      <c r="A153" s="20">
        <f t="shared" ca="1" si="41"/>
        <v>45929</v>
      </c>
      <c r="B153" vm="452">
        <f ca="1"/>
        <v>45930</v>
      </c>
      <c r="C153" vm="453">
        <f ca="1"/>
        <v>282.16000000000003</v>
      </c>
      <c r="D153" vm="454">
        <f ca="1"/>
        <v>5926924</v>
      </c>
      <c r="E153">
        <f t="shared" ca="1" si="42"/>
        <v>1672340875.8400002</v>
      </c>
      <c r="F153">
        <f ca="1">SUM($E$2:E153)/SUM($D$2:D153)</f>
        <v>256.64682119079725</v>
      </c>
      <c r="G153">
        <f ca="1">_xlfn.STDEV.P($C$2:C153)</f>
        <v>17.558570667163888</v>
      </c>
      <c r="H153">
        <f t="shared" ca="1" si="43"/>
        <v>274.20539185796116</v>
      </c>
      <c r="I153">
        <f t="shared" ca="1" si="44"/>
        <v>239.08825052363338</v>
      </c>
      <c r="J153">
        <f t="shared" ca="1" si="53"/>
        <v>263.27149999999995</v>
      </c>
      <c r="K153">
        <f t="shared" ca="1" si="54"/>
        <v>12.072374848126788</v>
      </c>
      <c r="L153">
        <f t="shared" ca="1" si="55"/>
        <v>287.41624969625354</v>
      </c>
      <c r="M153">
        <f t="shared" ca="1" si="56"/>
        <v>239.12675030374638</v>
      </c>
      <c r="N153">
        <f t="shared" ca="1" si="45"/>
        <v>2.3600000000000136</v>
      </c>
      <c r="O153">
        <f t="shared" ca="1" si="46"/>
        <v>2.3600000000000136</v>
      </c>
      <c r="P153">
        <f t="shared" ca="1" si="47"/>
        <v>0</v>
      </c>
      <c r="Q153">
        <f t="shared" ca="1" si="51"/>
        <v>2.5027939576496507</v>
      </c>
      <c r="R153">
        <f t="shared" ca="1" si="52"/>
        <v>1.0756542465393124</v>
      </c>
      <c r="S153">
        <f t="shared" ca="1" si="49"/>
        <v>2.3267643536032656</v>
      </c>
      <c r="T153">
        <f t="shared" ca="1" si="50"/>
        <v>69.940762443336695</v>
      </c>
      <c r="U153">
        <f>70</f>
        <v>70</v>
      </c>
      <c r="V153">
        <f>30</f>
        <v>30</v>
      </c>
      <c r="W153">
        <f t="shared" ca="1" si="48"/>
        <v>271.83869625225492</v>
      </c>
      <c r="X153">
        <f t="shared" ca="1" si="37"/>
        <v>263.89701031231391</v>
      </c>
      <c r="Y153">
        <f t="shared" ca="1" si="36"/>
        <v>8.5221778786828395</v>
      </c>
      <c r="Z153">
        <f t="shared" ca="1" si="38"/>
        <v>6.0309217129341315</v>
      </c>
      <c r="AA153">
        <f t="shared" ca="1" si="39"/>
        <v>2.491256165748708</v>
      </c>
      <c r="AB153">
        <f t="shared" ca="1" si="40"/>
        <v>265.11560000000003</v>
      </c>
    </row>
    <row r="154" spans="1:28" x14ac:dyDescent="0.25">
      <c r="A154" s="20">
        <f t="shared" ca="1" si="41"/>
        <v>45929</v>
      </c>
      <c r="B154" vm="455">
        <f ca="1"/>
        <v>45931</v>
      </c>
      <c r="C154" vm="456">
        <f ca="1"/>
        <v>286.49</v>
      </c>
      <c r="D154" vm="457">
        <f ca="1"/>
        <v>4381338</v>
      </c>
      <c r="E154">
        <f t="shared" ca="1" si="42"/>
        <v>1255209523.6200001</v>
      </c>
      <c r="F154">
        <f ca="1">SUM($E$2:E154)/SUM($D$2:D154)</f>
        <v>256.82632619318082</v>
      </c>
      <c r="G154">
        <f ca="1">_xlfn.STDEV.P($C$2:C154)</f>
        <v>17.648799712484234</v>
      </c>
      <c r="H154">
        <f t="shared" ca="1" si="43"/>
        <v>274.47512590566504</v>
      </c>
      <c r="I154">
        <f t="shared" ca="1" si="44"/>
        <v>239.1775264806966</v>
      </c>
      <c r="J154">
        <f t="shared" ca="1" si="53"/>
        <v>265.39099999999996</v>
      </c>
      <c r="K154">
        <f t="shared" ca="1" si="54"/>
        <v>12.249187255530577</v>
      </c>
      <c r="L154">
        <f t="shared" ca="1" si="55"/>
        <v>289.88937451106113</v>
      </c>
      <c r="M154">
        <f t="shared" ca="1" si="56"/>
        <v>240.89262548893882</v>
      </c>
      <c r="N154">
        <f t="shared" ca="1" si="45"/>
        <v>4.3299999999999841</v>
      </c>
      <c r="O154">
        <f t="shared" ca="1" si="46"/>
        <v>4.3299999999999841</v>
      </c>
      <c r="P154">
        <f t="shared" ca="1" si="47"/>
        <v>0</v>
      </c>
      <c r="Q154">
        <f t="shared" ca="1" si="51"/>
        <v>2.6333086749603889</v>
      </c>
      <c r="R154">
        <f t="shared" ca="1" si="52"/>
        <v>0.998821800357933</v>
      </c>
      <c r="S154">
        <f t="shared" ca="1" si="49"/>
        <v>2.6364148980496109</v>
      </c>
      <c r="T154">
        <f t="shared" ca="1" si="50"/>
        <v>72.500387661035347</v>
      </c>
      <c r="U154">
        <f>70</f>
        <v>70</v>
      </c>
      <c r="V154">
        <f>30</f>
        <v>30</v>
      </c>
      <c r="W154">
        <f t="shared" ca="1" si="48"/>
        <v>274.09274298267724</v>
      </c>
      <c r="X154">
        <f t="shared" ca="1" si="37"/>
        <v>265.5705651039944</v>
      </c>
      <c r="Y154">
        <f t="shared" ca="1" si="36"/>
        <v>8.8982079973133068</v>
      </c>
      <c r="Z154">
        <f t="shared" ca="1" si="38"/>
        <v>6.6043789698099671</v>
      </c>
      <c r="AA154">
        <f t="shared" ca="1" si="39"/>
        <v>2.2938290275033397</v>
      </c>
      <c r="AB154">
        <f t="shared" ca="1" si="40"/>
        <v>265.43910000000005</v>
      </c>
    </row>
    <row r="155" spans="1:28" x14ac:dyDescent="0.25">
      <c r="A155" s="20">
        <f t="shared" ca="1" si="41"/>
        <v>45929</v>
      </c>
      <c r="B155" vm="458">
        <f ca="1"/>
        <v>45932</v>
      </c>
      <c r="C155" vm="459">
        <f ca="1"/>
        <v>286.72000000000003</v>
      </c>
      <c r="D155" vm="460">
        <f ca="1"/>
        <v>3814232</v>
      </c>
      <c r="E155">
        <f t="shared" ca="1" si="42"/>
        <v>1093616599.0400002</v>
      </c>
      <c r="F155">
        <f ca="1">SUM($E$2:E155)/SUM($D$2:D155)</f>
        <v>256.98204566148945</v>
      </c>
      <c r="G155">
        <f ca="1">_xlfn.STDEV.P($C$2:C155)</f>
        <v>17.737878161050318</v>
      </c>
      <c r="H155">
        <f t="shared" ca="1" si="43"/>
        <v>274.71992382253978</v>
      </c>
      <c r="I155">
        <f t="shared" ca="1" si="44"/>
        <v>239.24416750043912</v>
      </c>
      <c r="J155">
        <f t="shared" ca="1" si="53"/>
        <v>267.36799999999999</v>
      </c>
      <c r="K155">
        <f t="shared" ca="1" si="54"/>
        <v>12.345730819748356</v>
      </c>
      <c r="L155">
        <f t="shared" ca="1" si="55"/>
        <v>292.0594616394967</v>
      </c>
      <c r="M155">
        <f t="shared" ca="1" si="56"/>
        <v>242.67653836050329</v>
      </c>
      <c r="N155">
        <f t="shared" ca="1" si="45"/>
        <v>0.23000000000001819</v>
      </c>
      <c r="O155">
        <f t="shared" ca="1" si="46"/>
        <v>0.23000000000001819</v>
      </c>
      <c r="P155">
        <f t="shared" ca="1" si="47"/>
        <v>0</v>
      </c>
      <c r="Q155">
        <f t="shared" ca="1" si="51"/>
        <v>2.4616437696060767</v>
      </c>
      <c r="R155">
        <f t="shared" ca="1" si="52"/>
        <v>0.92747738604665209</v>
      </c>
      <c r="S155">
        <f t="shared" ca="1" si="49"/>
        <v>2.6541280754011356</v>
      </c>
      <c r="T155">
        <f t="shared" ca="1" si="50"/>
        <v>72.633690462800104</v>
      </c>
      <c r="U155">
        <f>70</f>
        <v>70</v>
      </c>
      <c r="V155">
        <f>30</f>
        <v>30</v>
      </c>
      <c r="W155">
        <f t="shared" ca="1" si="48"/>
        <v>276.03539790841921</v>
      </c>
      <c r="X155">
        <f t="shared" ca="1" si="37"/>
        <v>267.13718991110591</v>
      </c>
      <c r="Y155">
        <f t="shared" ca="1" si="36"/>
        <v>9.2230383410002332</v>
      </c>
      <c r="Z155">
        <f t="shared" ca="1" si="38"/>
        <v>7.1281108440480203</v>
      </c>
      <c r="AA155">
        <f t="shared" ca="1" si="39"/>
        <v>2.0949274969522129</v>
      </c>
      <c r="AB155">
        <f t="shared" ca="1" si="40"/>
        <v>265.81430000000006</v>
      </c>
    </row>
    <row r="156" spans="1:28" x14ac:dyDescent="0.25">
      <c r="A156" s="20">
        <f t="shared" ca="1" si="41"/>
        <v>45929</v>
      </c>
      <c r="B156" vm="461">
        <f ca="1"/>
        <v>45933</v>
      </c>
      <c r="C156" vm="462">
        <f ca="1"/>
        <v>288.37</v>
      </c>
      <c r="D156" vm="463">
        <f ca="1"/>
        <v>4375082</v>
      </c>
      <c r="E156">
        <f t="shared" ca="1" si="42"/>
        <v>1261642396.3399999</v>
      </c>
      <c r="F156">
        <f ca="1">SUM($E$2:E156)/SUM($D$2:D156)</f>
        <v>257.16847682428937</v>
      </c>
      <c r="G156">
        <f ca="1">_xlfn.STDEV.P($C$2:C156)</f>
        <v>17.840688036362895</v>
      </c>
      <c r="H156">
        <f t="shared" ca="1" si="43"/>
        <v>275.00916486065228</v>
      </c>
      <c r="I156">
        <f t="shared" ca="1" si="44"/>
        <v>239.32778878792647</v>
      </c>
      <c r="J156">
        <f t="shared" ca="1" si="53"/>
        <v>269.36</v>
      </c>
      <c r="K156">
        <f t="shared" ca="1" si="54"/>
        <v>12.360328730086012</v>
      </c>
      <c r="L156">
        <f t="shared" ca="1" si="55"/>
        <v>294.08065746017206</v>
      </c>
      <c r="M156">
        <f t="shared" ca="1" si="56"/>
        <v>244.63934253982799</v>
      </c>
      <c r="N156">
        <f t="shared" ca="1" si="45"/>
        <v>1.6499999999999773</v>
      </c>
      <c r="O156">
        <f t="shared" ca="1" si="46"/>
        <v>1.6499999999999773</v>
      </c>
      <c r="P156">
        <f t="shared" ca="1" si="47"/>
        <v>0</v>
      </c>
      <c r="Q156">
        <f t="shared" ca="1" si="51"/>
        <v>2.4036692146342125</v>
      </c>
      <c r="R156">
        <f t="shared" ca="1" si="52"/>
        <v>0.86122900132903413</v>
      </c>
      <c r="S156">
        <f t="shared" ca="1" si="49"/>
        <v>2.7909756997557102</v>
      </c>
      <c r="T156">
        <f t="shared" ca="1" si="50"/>
        <v>73.621566604490766</v>
      </c>
      <c r="U156">
        <f>70</f>
        <v>70</v>
      </c>
      <c r="V156">
        <f>30</f>
        <v>30</v>
      </c>
      <c r="W156">
        <f t="shared" ca="1" si="48"/>
        <v>277.93302899943166</v>
      </c>
      <c r="X156">
        <f t="shared" ca="1" si="37"/>
        <v>268.70999065843142</v>
      </c>
      <c r="Y156">
        <f t="shared" ref="Y156:Y219" ca="1" si="57">W157-X157</f>
        <v>9.4561898827378741</v>
      </c>
      <c r="Z156">
        <f t="shared" ca="1" si="38"/>
        <v>7.5937266517859916</v>
      </c>
      <c r="AA156">
        <f t="shared" ca="1" si="39"/>
        <v>1.8624632309518825</v>
      </c>
      <c r="AB156">
        <f t="shared" ca="1" si="40"/>
        <v>266.16110000000009</v>
      </c>
    </row>
    <row r="157" spans="1:28" x14ac:dyDescent="0.25">
      <c r="A157" s="20">
        <f t="shared" ca="1" si="41"/>
        <v>45936</v>
      </c>
      <c r="B157" vm="464">
        <f ca="1"/>
        <v>45936</v>
      </c>
      <c r="C157" vm="465">
        <f ca="1"/>
        <v>289.42</v>
      </c>
      <c r="D157" vm="466">
        <f ca="1"/>
        <v>2881947</v>
      </c>
      <c r="E157">
        <f t="shared" ca="1" si="42"/>
        <v>834093100.74000001</v>
      </c>
      <c r="F157">
        <f ca="1">SUM($E$2:E157)/SUM($D$2:D157)</f>
        <v>257.29416940800189</v>
      </c>
      <c r="G157">
        <f ca="1">_xlfn.STDEV.P($C$2:C157)</f>
        <v>17.950807856693313</v>
      </c>
      <c r="H157">
        <f t="shared" ca="1" si="43"/>
        <v>275.24497726469519</v>
      </c>
      <c r="I157">
        <f t="shared" ca="1" si="44"/>
        <v>239.34336155130859</v>
      </c>
      <c r="J157">
        <f t="shared" ca="1" si="53"/>
        <v>271.0265</v>
      </c>
      <c r="K157">
        <f t="shared" ca="1" si="54"/>
        <v>12.718703705463408</v>
      </c>
      <c r="L157">
        <f t="shared" ca="1" si="55"/>
        <v>296.46390741092682</v>
      </c>
      <c r="M157">
        <f t="shared" ca="1" si="56"/>
        <v>245.58909258907318</v>
      </c>
      <c r="N157">
        <f t="shared" ca="1" si="45"/>
        <v>1.0500000000000114</v>
      </c>
      <c r="O157">
        <f t="shared" ca="1" si="46"/>
        <v>1.0500000000000114</v>
      </c>
      <c r="P157">
        <f t="shared" ca="1" si="47"/>
        <v>0</v>
      </c>
      <c r="Q157">
        <f t="shared" ca="1" si="51"/>
        <v>2.3069785564460554</v>
      </c>
      <c r="R157">
        <f t="shared" ca="1" si="52"/>
        <v>0.79971264409124598</v>
      </c>
      <c r="S157">
        <f t="shared" ca="1" si="49"/>
        <v>2.8847593863763303</v>
      </c>
      <c r="T157">
        <f t="shared" ca="1" si="50"/>
        <v>74.258379978256741</v>
      </c>
      <c r="U157">
        <f>70</f>
        <v>70</v>
      </c>
      <c r="V157">
        <f>30</f>
        <v>30</v>
      </c>
      <c r="W157">
        <f t="shared" ca="1" si="48"/>
        <v>279.70025530721142</v>
      </c>
      <c r="X157">
        <f t="shared" ref="X157:X220" ca="1" si="58">C157*(2/(26+1)) + X156*(1-(2/(26+1)))</f>
        <v>270.24406542447355</v>
      </c>
      <c r="Y157">
        <f t="shared" ca="1" si="57"/>
        <v>9.8860813768885691</v>
      </c>
      <c r="Z157">
        <f t="shared" ca="1" si="38"/>
        <v>8.0521975968065078</v>
      </c>
      <c r="AA157">
        <f t="shared" ca="1" si="39"/>
        <v>1.8338837800820613</v>
      </c>
      <c r="AB157">
        <f t="shared" ca="1" si="40"/>
        <v>266.46940000000006</v>
      </c>
    </row>
    <row r="158" spans="1:28" x14ac:dyDescent="0.25">
      <c r="A158" s="20">
        <f t="shared" ca="1" si="41"/>
        <v>45936</v>
      </c>
      <c r="B158" vm="467">
        <f ca="1"/>
        <v>45937</v>
      </c>
      <c r="C158" vm="468">
        <f ca="1"/>
        <v>293.87</v>
      </c>
      <c r="D158" vm="469">
        <f ca="1"/>
        <v>7190126</v>
      </c>
      <c r="E158">
        <f t="shared" ca="1" si="42"/>
        <v>2112962327.6200001</v>
      </c>
      <c r="F158">
        <f ca="1">SUM($E$2:E158)/SUM($D$2:D158)</f>
        <v>257.64637949522751</v>
      </c>
      <c r="G158">
        <f ca="1">_xlfn.STDEV.P($C$2:C158)</f>
        <v>18.107660604474514</v>
      </c>
      <c r="H158">
        <f t="shared" ca="1" si="43"/>
        <v>275.75404009970202</v>
      </c>
      <c r="I158">
        <f t="shared" ca="1" si="44"/>
        <v>239.53871889075299</v>
      </c>
      <c r="J158">
        <f t="shared" ca="1" si="53"/>
        <v>272.76449999999994</v>
      </c>
      <c r="K158">
        <f t="shared" ca="1" si="54"/>
        <v>13.363250264497001</v>
      </c>
      <c r="L158">
        <f t="shared" ca="1" si="55"/>
        <v>299.49100052899394</v>
      </c>
      <c r="M158">
        <f t="shared" ca="1" si="56"/>
        <v>246.03799947100595</v>
      </c>
      <c r="N158">
        <f t="shared" ca="1" si="45"/>
        <v>4.4499999999999886</v>
      </c>
      <c r="O158">
        <f t="shared" ca="1" si="46"/>
        <v>4.4499999999999886</v>
      </c>
      <c r="P158">
        <f t="shared" ca="1" si="47"/>
        <v>0</v>
      </c>
      <c r="Q158">
        <f t="shared" ca="1" si="51"/>
        <v>2.4600515166999082</v>
      </c>
      <c r="R158">
        <f t="shared" ca="1" si="52"/>
        <v>0.7425903123704426</v>
      </c>
      <c r="S158">
        <f t="shared" ca="1" si="49"/>
        <v>3.3127977509524884</v>
      </c>
      <c r="T158">
        <f t="shared" ca="1" si="50"/>
        <v>76.813195105679412</v>
      </c>
      <c r="U158">
        <f>70</f>
        <v>70</v>
      </c>
      <c r="V158">
        <f>30</f>
        <v>30</v>
      </c>
      <c r="W158">
        <f t="shared" ca="1" si="48"/>
        <v>281.88021602917888</v>
      </c>
      <c r="X158">
        <f t="shared" ca="1" si="58"/>
        <v>271.99413465229031</v>
      </c>
      <c r="Y158">
        <f t="shared" ca="1" si="57"/>
        <v>9.7584341842500635</v>
      </c>
      <c r="Z158">
        <f t="shared" ca="1" si="38"/>
        <v>8.3934449142952197</v>
      </c>
      <c r="AA158">
        <f t="shared" ca="1" si="39"/>
        <v>1.3649892699548438</v>
      </c>
      <c r="AB158">
        <f t="shared" ca="1" si="40"/>
        <v>266.82990000000001</v>
      </c>
    </row>
    <row r="159" spans="1:28" x14ac:dyDescent="0.25">
      <c r="A159" s="20">
        <f t="shared" ca="1" si="41"/>
        <v>45936</v>
      </c>
      <c r="B159" vm="470">
        <f ca="1"/>
        <v>45938</v>
      </c>
      <c r="C159" vm="471">
        <f ca="1"/>
        <v>289.45999999999998</v>
      </c>
      <c r="D159" vm="472">
        <f ca="1"/>
        <v>5297030</v>
      </c>
      <c r="E159">
        <f t="shared" ca="1" si="42"/>
        <v>1533278303.8</v>
      </c>
      <c r="F159">
        <f ca="1">SUM($E$2:E159)/SUM($D$2:D159)</f>
        <v>257.87048190419898</v>
      </c>
      <c r="G159">
        <f ca="1">_xlfn.STDEV.P($C$2:C159)</f>
        <v>18.209159456022583</v>
      </c>
      <c r="H159">
        <f t="shared" ca="1" si="43"/>
        <v>276.07964136022156</v>
      </c>
      <c r="I159">
        <f t="shared" ca="1" si="44"/>
        <v>239.66132244817641</v>
      </c>
      <c r="J159">
        <f t="shared" ca="1" si="53"/>
        <v>274.39350000000002</v>
      </c>
      <c r="K159">
        <f t="shared" ca="1" si="54"/>
        <v>13.310665005728941</v>
      </c>
      <c r="L159">
        <f t="shared" ca="1" si="55"/>
        <v>301.01483001145789</v>
      </c>
      <c r="M159">
        <f t="shared" ca="1" si="56"/>
        <v>247.77216998854215</v>
      </c>
      <c r="N159">
        <f t="shared" ca="1" si="45"/>
        <v>-4.410000000000025</v>
      </c>
      <c r="O159">
        <f t="shared" ca="1" si="46"/>
        <v>0</v>
      </c>
      <c r="P159">
        <f t="shared" ca="1" si="47"/>
        <v>4.410000000000025</v>
      </c>
      <c r="Q159">
        <f t="shared" ca="1" si="51"/>
        <v>2.2843335512213434</v>
      </c>
      <c r="R159">
        <f t="shared" ca="1" si="52"/>
        <v>1.0045481472011271</v>
      </c>
      <c r="S159">
        <f t="shared" ca="1" si="49"/>
        <v>2.2739911049420134</v>
      </c>
      <c r="T159">
        <f t="shared" ca="1" si="50"/>
        <v>69.456239557568637</v>
      </c>
      <c r="U159">
        <f>70</f>
        <v>70</v>
      </c>
      <c r="V159">
        <f>30</f>
        <v>30</v>
      </c>
      <c r="W159">
        <f t="shared" ca="1" si="48"/>
        <v>283.04633664007446</v>
      </c>
      <c r="X159">
        <f t="shared" ca="1" si="58"/>
        <v>273.28790245582439</v>
      </c>
      <c r="Y159">
        <f t="shared" ca="1" si="57"/>
        <v>9.4490988146985728</v>
      </c>
      <c r="Z159">
        <f t="shared" ca="1" si="38"/>
        <v>8.6045756943758906</v>
      </c>
      <c r="AA159">
        <f t="shared" ca="1" si="39"/>
        <v>0.84452312032268217</v>
      </c>
      <c r="AB159">
        <f t="shared" ca="1" si="40"/>
        <v>267.05770000000007</v>
      </c>
    </row>
    <row r="160" spans="1:28" x14ac:dyDescent="0.25">
      <c r="A160" s="20">
        <f t="shared" ca="1" si="41"/>
        <v>45936</v>
      </c>
      <c r="B160" vm="473">
        <f ca="1"/>
        <v>45939</v>
      </c>
      <c r="C160" vm="474">
        <f ca="1"/>
        <v>288.23</v>
      </c>
      <c r="D160" vm="475">
        <f ca="1"/>
        <v>4912375</v>
      </c>
      <c r="E160">
        <f t="shared" ca="1" si="42"/>
        <v>1415893846.25</v>
      </c>
      <c r="F160">
        <f ca="1">SUM($E$2:E160)/SUM($D$2:D160)</f>
        <v>258.0675242163133</v>
      </c>
      <c r="G160">
        <f ca="1">_xlfn.STDEV.P($C$2:C160)</f>
        <v>18.294487884135027</v>
      </c>
      <c r="H160">
        <f t="shared" ca="1" si="43"/>
        <v>276.36201210044834</v>
      </c>
      <c r="I160">
        <f t="shared" ca="1" si="44"/>
        <v>239.77303633217826</v>
      </c>
      <c r="J160">
        <f t="shared" ca="1" si="53"/>
        <v>275.9545</v>
      </c>
      <c r="K160">
        <f t="shared" ca="1" si="54"/>
        <v>12.991556964752963</v>
      </c>
      <c r="L160">
        <f t="shared" ca="1" si="55"/>
        <v>301.93761392950591</v>
      </c>
      <c r="M160">
        <f t="shared" ca="1" si="56"/>
        <v>249.97138607049408</v>
      </c>
      <c r="N160">
        <f t="shared" ca="1" si="45"/>
        <v>-1.2299999999999613</v>
      </c>
      <c r="O160">
        <f t="shared" ca="1" si="46"/>
        <v>0</v>
      </c>
      <c r="P160">
        <f t="shared" ca="1" si="47"/>
        <v>1.2299999999999613</v>
      </c>
      <c r="Q160">
        <f t="shared" ca="1" si="51"/>
        <v>2.1211668689912475</v>
      </c>
      <c r="R160">
        <f t="shared" ca="1" si="52"/>
        <v>1.0206518509724725</v>
      </c>
      <c r="S160">
        <f t="shared" ca="1" si="49"/>
        <v>2.078247217178129</v>
      </c>
      <c r="T160">
        <f t="shared" ca="1" si="50"/>
        <v>67.513980215120171</v>
      </c>
      <c r="U160">
        <f>70</f>
        <v>70</v>
      </c>
      <c r="V160">
        <f>30</f>
        <v>30</v>
      </c>
      <c r="W160">
        <f t="shared" ca="1" si="48"/>
        <v>283.84382331083225</v>
      </c>
      <c r="X160">
        <f t="shared" ca="1" si="58"/>
        <v>274.39472449613368</v>
      </c>
      <c r="Y160">
        <f t="shared" ca="1" si="57"/>
        <v>8.268632655480701</v>
      </c>
      <c r="Z160">
        <f t="shared" ca="1" si="38"/>
        <v>8.5373870865968531</v>
      </c>
      <c r="AA160">
        <f t="shared" ca="1" si="39"/>
        <v>-0.26875443111615205</v>
      </c>
      <c r="AB160">
        <f t="shared" ca="1" si="40"/>
        <v>267.2724</v>
      </c>
    </row>
    <row r="161" spans="1:28" x14ac:dyDescent="0.25">
      <c r="A161" s="20">
        <f t="shared" ca="1" si="41"/>
        <v>45936</v>
      </c>
      <c r="B161" vm="476">
        <f ca="1"/>
        <v>45940</v>
      </c>
      <c r="C161" vm="477">
        <f ca="1"/>
        <v>277.82</v>
      </c>
      <c r="D161" vm="478">
        <f ca="1"/>
        <v>4508506</v>
      </c>
      <c r="E161">
        <f t="shared" ca="1" si="42"/>
        <v>1252553136.9200001</v>
      </c>
      <c r="F161">
        <f ca="1">SUM($E$2:E161)/SUM($D$2:D161)</f>
        <v>258.18448708490388</v>
      </c>
      <c r="G161">
        <f ca="1">_xlfn.STDEV.P($C$2:C161)</f>
        <v>18.29387952625396</v>
      </c>
      <c r="H161">
        <f t="shared" ca="1" si="43"/>
        <v>276.47836661115787</v>
      </c>
      <c r="I161">
        <f t="shared" ca="1" si="44"/>
        <v>239.89060755864992</v>
      </c>
      <c r="J161">
        <f t="shared" ca="1" si="53"/>
        <v>277.17349999999999</v>
      </c>
      <c r="K161">
        <f t="shared" ca="1" si="54"/>
        <v>11.862565301245594</v>
      </c>
      <c r="L161">
        <f t="shared" ca="1" si="55"/>
        <v>300.89863060249115</v>
      </c>
      <c r="M161">
        <f t="shared" ca="1" si="56"/>
        <v>253.4483693975088</v>
      </c>
      <c r="N161">
        <f t="shared" ca="1" si="45"/>
        <v>-10.410000000000025</v>
      </c>
      <c r="O161">
        <f t="shared" ca="1" si="46"/>
        <v>0</v>
      </c>
      <c r="P161">
        <f t="shared" ca="1" si="47"/>
        <v>10.410000000000025</v>
      </c>
      <c r="Q161">
        <f t="shared" ca="1" si="51"/>
        <v>1.9696549497775868</v>
      </c>
      <c r="R161">
        <f t="shared" ca="1" si="52"/>
        <v>1.691319575903012</v>
      </c>
      <c r="S161">
        <f t="shared" ca="1" si="49"/>
        <v>1.1645669912653669</v>
      </c>
      <c r="T161">
        <f t="shared" ca="1" si="50"/>
        <v>53.801383646924322</v>
      </c>
      <c r="U161">
        <f>70</f>
        <v>70</v>
      </c>
      <c r="V161">
        <f>30</f>
        <v>30</v>
      </c>
      <c r="W161">
        <f t="shared" ca="1" si="48"/>
        <v>282.91708126301188</v>
      </c>
      <c r="X161">
        <f t="shared" ca="1" si="58"/>
        <v>274.64844860753118</v>
      </c>
      <c r="Y161">
        <f t="shared" ca="1" si="57"/>
        <v>7.2016733266863184</v>
      </c>
      <c r="Z161">
        <f t="shared" ca="1" si="38"/>
        <v>8.2702443346147465</v>
      </c>
      <c r="AA161">
        <f t="shared" ca="1" si="39"/>
        <v>-1.0685710079284281</v>
      </c>
      <c r="AB161">
        <f t="shared" ca="1" si="40"/>
        <v>267.36649999999997</v>
      </c>
    </row>
    <row r="162" spans="1:28" x14ac:dyDescent="0.25">
      <c r="A162" s="20">
        <f t="shared" ca="1" si="41"/>
        <v>45943</v>
      </c>
      <c r="B162" vm="479">
        <f ca="1"/>
        <v>45943</v>
      </c>
      <c r="C162" vm="232">
        <f ca="1"/>
        <v>277.22000000000003</v>
      </c>
      <c r="D162" vm="480">
        <f ca="1"/>
        <v>4333836</v>
      </c>
      <c r="E162">
        <f t="shared" ca="1" si="42"/>
        <v>1201426015.9200001</v>
      </c>
      <c r="F162">
        <f ca="1">SUM($E$2:E162)/SUM($D$2:D162)</f>
        <v>258.29222433193144</v>
      </c>
      <c r="G162">
        <f ca="1">_xlfn.STDEV.P($C$2:C162)</f>
        <v>18.288968103528614</v>
      </c>
      <c r="H162">
        <f t="shared" ca="1" si="43"/>
        <v>276.58119243546003</v>
      </c>
      <c r="I162">
        <f t="shared" ca="1" si="44"/>
        <v>240.00325622840282</v>
      </c>
      <c r="J162">
        <f t="shared" ca="1" si="53"/>
        <v>278.22249999999997</v>
      </c>
      <c r="K162">
        <f t="shared" ca="1" si="54"/>
        <v>10.793446781313781</v>
      </c>
      <c r="L162">
        <f t="shared" ca="1" si="55"/>
        <v>299.80939356262752</v>
      </c>
      <c r="M162">
        <f t="shared" ca="1" si="56"/>
        <v>256.63560643737242</v>
      </c>
      <c r="N162">
        <f t="shared" ca="1" si="45"/>
        <v>-0.59999999999996589</v>
      </c>
      <c r="O162">
        <f t="shared" ca="1" si="46"/>
        <v>0</v>
      </c>
      <c r="P162">
        <f t="shared" ca="1" si="47"/>
        <v>0.59999999999996589</v>
      </c>
      <c r="Q162">
        <f t="shared" ca="1" si="51"/>
        <v>1.828965310507759</v>
      </c>
      <c r="R162">
        <f t="shared" ca="1" si="52"/>
        <v>1.6133681776242228</v>
      </c>
      <c r="S162">
        <f t="shared" ca="1" si="49"/>
        <v>1.1336317003605558</v>
      </c>
      <c r="T162">
        <f t="shared" ca="1" si="50"/>
        <v>53.131554999346271</v>
      </c>
      <c r="U162">
        <f>70</f>
        <v>70</v>
      </c>
      <c r="V162">
        <f>30</f>
        <v>30</v>
      </c>
      <c r="W162">
        <f t="shared" ca="1" si="48"/>
        <v>282.04060722254854</v>
      </c>
      <c r="X162">
        <f t="shared" ca="1" si="58"/>
        <v>274.83893389586223</v>
      </c>
      <c r="Y162">
        <f t="shared" ca="1" si="57"/>
        <v>6.1983100539649172</v>
      </c>
      <c r="Z162">
        <f t="shared" ca="1" si="38"/>
        <v>7.855857478484781</v>
      </c>
      <c r="AA162">
        <f t="shared" ca="1" si="39"/>
        <v>-1.6575474245198638</v>
      </c>
      <c r="AB162">
        <f t="shared" ca="1" si="40"/>
        <v>267.4692</v>
      </c>
    </row>
    <row r="163" spans="1:28" x14ac:dyDescent="0.25">
      <c r="A163" s="20">
        <f t="shared" ca="1" si="41"/>
        <v>45943</v>
      </c>
      <c r="B163" vm="481">
        <f ca="1"/>
        <v>45944</v>
      </c>
      <c r="C163" vm="482">
        <f ca="1"/>
        <v>276.14999999999998</v>
      </c>
      <c r="D163" vm="483">
        <f ca="1"/>
        <v>3058149</v>
      </c>
      <c r="E163">
        <f t="shared" ca="1" si="42"/>
        <v>844507846.3499999</v>
      </c>
      <c r="F163">
        <f ca="1">SUM($E$2:E163)/SUM($D$2:D163)</f>
        <v>258.36326119688937</v>
      </c>
      <c r="G163">
        <f ca="1">_xlfn.STDEV.P($C$2:C163)</f>
        <v>18.277411816667296</v>
      </c>
      <c r="H163">
        <f t="shared" ca="1" si="43"/>
        <v>276.64067301355669</v>
      </c>
      <c r="I163">
        <f t="shared" ca="1" si="44"/>
        <v>240.08584938022207</v>
      </c>
      <c r="J163">
        <f t="shared" ca="1" si="53"/>
        <v>279.15399999999994</v>
      </c>
      <c r="K163">
        <f t="shared" ca="1" si="54"/>
        <v>9.6567927551433783</v>
      </c>
      <c r="L163">
        <f t="shared" ca="1" si="55"/>
        <v>298.46758551028671</v>
      </c>
      <c r="M163">
        <f t="shared" ca="1" si="56"/>
        <v>259.84041448971317</v>
      </c>
      <c r="N163">
        <f t="shared" ca="1" si="45"/>
        <v>-1.07000000000005</v>
      </c>
      <c r="O163">
        <f t="shared" ca="1" si="46"/>
        <v>0</v>
      </c>
      <c r="P163">
        <f t="shared" ca="1" si="47"/>
        <v>1.07000000000005</v>
      </c>
      <c r="Q163">
        <f t="shared" ca="1" si="51"/>
        <v>1.6983249311857762</v>
      </c>
      <c r="R163">
        <f t="shared" ca="1" si="52"/>
        <v>1.5745561649367819</v>
      </c>
      <c r="S163">
        <f t="shared" ca="1" si="49"/>
        <v>1.0786054946817116</v>
      </c>
      <c r="T163">
        <f t="shared" ca="1" si="50"/>
        <v>51.890822834896532</v>
      </c>
      <c r="U163">
        <f>70</f>
        <v>70</v>
      </c>
      <c r="V163">
        <f>30</f>
        <v>30</v>
      </c>
      <c r="W163">
        <f t="shared" ca="1" si="48"/>
        <v>281.13435995754105</v>
      </c>
      <c r="X163">
        <f t="shared" ca="1" si="58"/>
        <v>274.93604990357613</v>
      </c>
      <c r="Y163">
        <f t="shared" ca="1" si="57"/>
        <v>5.7085147826992966</v>
      </c>
      <c r="Z163">
        <f t="shared" ca="1" si="38"/>
        <v>7.4263889393276843</v>
      </c>
      <c r="AA163">
        <f t="shared" ca="1" si="39"/>
        <v>-1.7178741566283877</v>
      </c>
      <c r="AB163">
        <f t="shared" ca="1" si="40"/>
        <v>267.62200000000007</v>
      </c>
    </row>
    <row r="164" spans="1:28" x14ac:dyDescent="0.25">
      <c r="A164" s="20">
        <f t="shared" ca="1" si="41"/>
        <v>45943</v>
      </c>
      <c r="B164" vm="484">
        <f ca="1"/>
        <v>45945</v>
      </c>
      <c r="C164" vm="485">
        <f ca="1"/>
        <v>280.75</v>
      </c>
      <c r="D164" vm="486">
        <f ca="1"/>
        <v>3346753</v>
      </c>
      <c r="E164">
        <f t="shared" ca="1" si="42"/>
        <v>939600904.75</v>
      </c>
      <c r="F164">
        <f ca="1">SUM($E$2:E164)/SUM($D$2:D164)</f>
        <v>258.4602956030925</v>
      </c>
      <c r="G164">
        <f ca="1">_xlfn.STDEV.P($C$2:C164)</f>
        <v>18.293919810587553</v>
      </c>
      <c r="H164">
        <f t="shared" ca="1" si="43"/>
        <v>276.75421541368007</v>
      </c>
      <c r="I164">
        <f t="shared" ca="1" si="44"/>
        <v>240.16637579250494</v>
      </c>
      <c r="J164">
        <f t="shared" ca="1" si="53"/>
        <v>280.23749999999995</v>
      </c>
      <c r="K164">
        <f t="shared" ca="1" si="54"/>
        <v>8.4227810602836986</v>
      </c>
      <c r="L164">
        <f t="shared" ca="1" si="55"/>
        <v>297.08306212056738</v>
      </c>
      <c r="M164">
        <f t="shared" ca="1" si="56"/>
        <v>263.39193787943253</v>
      </c>
      <c r="N164">
        <f t="shared" ca="1" si="45"/>
        <v>4.6000000000000227</v>
      </c>
      <c r="O164">
        <f t="shared" ca="1" si="46"/>
        <v>4.6000000000000227</v>
      </c>
      <c r="P164">
        <f t="shared" ca="1" si="47"/>
        <v>0</v>
      </c>
      <c r="Q164">
        <f t="shared" ca="1" si="51"/>
        <v>1.9055874361010796</v>
      </c>
      <c r="R164">
        <f t="shared" ca="1" si="52"/>
        <v>1.4620878674412974</v>
      </c>
      <c r="S164">
        <f t="shared" ca="1" si="49"/>
        <v>1.3033330475793643</v>
      </c>
      <c r="T164">
        <f t="shared" ca="1" si="50"/>
        <v>56.584654527015651</v>
      </c>
      <c r="U164">
        <f>70</f>
        <v>70</v>
      </c>
      <c r="V164">
        <f>30</f>
        <v>30</v>
      </c>
      <c r="W164">
        <f t="shared" ca="1" si="48"/>
        <v>281.07522765638089</v>
      </c>
      <c r="X164">
        <f t="shared" ca="1" si="58"/>
        <v>275.36671287368159</v>
      </c>
      <c r="Y164">
        <f t="shared" ca="1" si="57"/>
        <v>4.8784072079732823</v>
      </c>
      <c r="Z164">
        <f t="shared" ca="1" si="38"/>
        <v>6.9167925930568046</v>
      </c>
      <c r="AA164">
        <f t="shared" ca="1" si="39"/>
        <v>-2.0383853850835223</v>
      </c>
      <c r="AB164">
        <f t="shared" ca="1" si="40"/>
        <v>267.84580000000005</v>
      </c>
    </row>
    <row r="165" spans="1:28" x14ac:dyDescent="0.25">
      <c r="A165" s="20">
        <f t="shared" ca="1" si="41"/>
        <v>45943</v>
      </c>
      <c r="B165" vm="487">
        <f ca="1"/>
        <v>45946</v>
      </c>
      <c r="C165" vm="488">
        <f ca="1"/>
        <v>275.97000000000003</v>
      </c>
      <c r="D165" vm="489">
        <f ca="1"/>
        <v>2956923</v>
      </c>
      <c r="E165">
        <f t="shared" ca="1" si="42"/>
        <v>816022040.31000006</v>
      </c>
      <c r="F165">
        <f ca="1">SUM($E$2:E165)/SUM($D$2:D165)</f>
        <v>258.52709462435672</v>
      </c>
      <c r="G165">
        <f ca="1">_xlfn.STDEV.P($C$2:C165)</f>
        <v>18.280290314021325</v>
      </c>
      <c r="H165">
        <f t="shared" ca="1" si="43"/>
        <v>276.80738493837805</v>
      </c>
      <c r="I165">
        <f t="shared" ca="1" si="44"/>
        <v>240.24680431033539</v>
      </c>
      <c r="J165">
        <f t="shared" ca="1" si="53"/>
        <v>280.78599999999994</v>
      </c>
      <c r="K165">
        <f t="shared" ca="1" si="54"/>
        <v>7.704867497750679</v>
      </c>
      <c r="L165">
        <f t="shared" ca="1" si="55"/>
        <v>296.19573499550131</v>
      </c>
      <c r="M165">
        <f t="shared" ca="1" si="56"/>
        <v>265.37626500449858</v>
      </c>
      <c r="N165">
        <f t="shared" ca="1" si="45"/>
        <v>-4.7799999999999727</v>
      </c>
      <c r="O165">
        <f t="shared" ca="1" si="46"/>
        <v>0</v>
      </c>
      <c r="P165">
        <f t="shared" ca="1" si="47"/>
        <v>4.7799999999999727</v>
      </c>
      <c r="Q165">
        <f t="shared" ca="1" si="51"/>
        <v>1.7694740478081454</v>
      </c>
      <c r="R165">
        <f t="shared" ca="1" si="52"/>
        <v>1.6990815911954884</v>
      </c>
      <c r="S165">
        <f t="shared" ca="1" si="49"/>
        <v>1.041429709425036</v>
      </c>
      <c r="T165">
        <f t="shared" ca="1" si="50"/>
        <v>51.014722898215894</v>
      </c>
      <c r="U165">
        <f>70</f>
        <v>70</v>
      </c>
      <c r="V165">
        <f>30</f>
        <v>30</v>
      </c>
      <c r="W165">
        <f t="shared" ca="1" si="48"/>
        <v>280.28980801693768</v>
      </c>
      <c r="X165">
        <f t="shared" ca="1" si="58"/>
        <v>275.4114008089644</v>
      </c>
      <c r="Y165">
        <f t="shared" ca="1" si="57"/>
        <v>4.5960333849488961</v>
      </c>
      <c r="Z165">
        <f t="shared" ca="1" si="38"/>
        <v>6.452640751435224</v>
      </c>
      <c r="AA165">
        <f t="shared" ca="1" si="39"/>
        <v>-1.8566073664863278</v>
      </c>
      <c r="AB165">
        <f t="shared" ca="1" si="40"/>
        <v>268.01920000000007</v>
      </c>
    </row>
    <row r="166" spans="1:28" x14ac:dyDescent="0.25">
      <c r="A166" s="20">
        <f t="shared" ca="1" si="41"/>
        <v>45943</v>
      </c>
      <c r="B166" vm="490">
        <f ca="1"/>
        <v>45947</v>
      </c>
      <c r="C166" vm="491">
        <f ca="1"/>
        <v>281.27999999999997</v>
      </c>
      <c r="D166" vm="492">
        <f ca="1"/>
        <v>5309565</v>
      </c>
      <c r="E166">
        <f t="shared" ca="1" si="42"/>
        <v>1493474443.1999998</v>
      </c>
      <c r="F166">
        <f ca="1">SUM($E$2:E166)/SUM($D$2:D166)</f>
        <v>258.68189861929523</v>
      </c>
      <c r="G166">
        <f ca="1">_xlfn.STDEV.P($C$2:C166)</f>
        <v>18.298691849454308</v>
      </c>
      <c r="H166">
        <f t="shared" ca="1" si="43"/>
        <v>276.98059046874954</v>
      </c>
      <c r="I166">
        <f t="shared" ca="1" si="44"/>
        <v>240.38320676984091</v>
      </c>
      <c r="J166">
        <f t="shared" ca="1" si="53"/>
        <v>281.53000000000003</v>
      </c>
      <c r="K166">
        <f t="shared" ca="1" si="54"/>
        <v>6.9211765047950022</v>
      </c>
      <c r="L166">
        <f t="shared" ca="1" si="55"/>
        <v>295.37235300959003</v>
      </c>
      <c r="M166">
        <f t="shared" ca="1" si="56"/>
        <v>267.68764699041003</v>
      </c>
      <c r="N166">
        <f t="shared" ca="1" si="45"/>
        <v>5.3099999999999454</v>
      </c>
      <c r="O166">
        <f t="shared" ca="1" si="46"/>
        <v>5.3099999999999454</v>
      </c>
      <c r="P166">
        <f t="shared" ca="1" si="47"/>
        <v>0</v>
      </c>
      <c r="Q166">
        <f t="shared" ca="1" si="51"/>
        <v>2.0223687586789882</v>
      </c>
      <c r="R166">
        <f t="shared" ca="1" si="52"/>
        <v>1.5777186203958107</v>
      </c>
      <c r="S166">
        <f t="shared" ca="1" si="49"/>
        <v>1.2818310771863908</v>
      </c>
      <c r="T166">
        <f t="shared" ca="1" si="50"/>
        <v>56.175546472394934</v>
      </c>
      <c r="U166">
        <f>70</f>
        <v>70</v>
      </c>
      <c r="V166">
        <f>30</f>
        <v>30</v>
      </c>
      <c r="W166">
        <f t="shared" ca="1" si="48"/>
        <v>280.44214524510113</v>
      </c>
      <c r="X166">
        <f t="shared" ca="1" si="58"/>
        <v>275.84611186015223</v>
      </c>
      <c r="Y166">
        <f t="shared" ca="1" si="57"/>
        <v>4.5114837129502803</v>
      </c>
      <c r="Z166">
        <f t="shared" ref="Z166:Z229" ca="1" si="59">Y166*(2/(9+1)) + Z165*(1-(2/(9+1)))</f>
        <v>6.0644093437382356</v>
      </c>
      <c r="AA166">
        <f t="shared" ref="AA166:AA229" ca="1" si="60">Y166-Z166</f>
        <v>-1.5529256307879553</v>
      </c>
      <c r="AB166">
        <f t="shared" ref="AB166:AB229" ca="1" si="61">AVERAGE(C67:C166)</f>
        <v>268.19970000000001</v>
      </c>
    </row>
    <row r="167" spans="1:28" x14ac:dyDescent="0.25">
      <c r="A167" s="20">
        <f t="shared" ca="1" si="41"/>
        <v>45950</v>
      </c>
      <c r="B167" vm="493">
        <f ca="1"/>
        <v>45950</v>
      </c>
      <c r="C167" vm="494">
        <f ca="1"/>
        <v>283.64999999999998</v>
      </c>
      <c r="D167" vm="495">
        <f ca="1"/>
        <v>3494336</v>
      </c>
      <c r="E167">
        <f t="shared" ca="1" si="42"/>
        <v>991168406.39999998</v>
      </c>
      <c r="F167">
        <f ca="1">SUM($E$2:E167)/SUM($D$2:D167)</f>
        <v>258.79319890040836</v>
      </c>
      <c r="G167">
        <f ca="1">_xlfn.STDEV.P($C$2:C167)</f>
        <v>18.333180386419553</v>
      </c>
      <c r="H167">
        <f t="shared" ca="1" si="43"/>
        <v>277.1263792868279</v>
      </c>
      <c r="I167">
        <f t="shared" ca="1" si="44"/>
        <v>240.46001851398881</v>
      </c>
      <c r="J167">
        <f t="shared" ca="1" si="53"/>
        <v>282.14399999999995</v>
      </c>
      <c r="K167">
        <f t="shared" ca="1" si="54"/>
        <v>6.5045728044523488</v>
      </c>
      <c r="L167">
        <f t="shared" ca="1" si="55"/>
        <v>295.15314560890465</v>
      </c>
      <c r="M167">
        <f t="shared" ca="1" si="56"/>
        <v>269.13485439109525</v>
      </c>
      <c r="N167">
        <f t="shared" ca="1" si="45"/>
        <v>2.3700000000000045</v>
      </c>
      <c r="O167">
        <f t="shared" ca="1" si="46"/>
        <v>2.3700000000000045</v>
      </c>
      <c r="P167">
        <f t="shared" ca="1" si="47"/>
        <v>0</v>
      </c>
      <c r="Q167">
        <f t="shared" ca="1" si="51"/>
        <v>2.0471995616304892</v>
      </c>
      <c r="R167">
        <f t="shared" ca="1" si="52"/>
        <v>1.4650244332246813</v>
      </c>
      <c r="S167">
        <f t="shared" ca="1" si="49"/>
        <v>1.3973825386136229</v>
      </c>
      <c r="T167">
        <f t="shared" ca="1" si="50"/>
        <v>58.287841681774836</v>
      </c>
      <c r="U167">
        <f>70</f>
        <v>70</v>
      </c>
      <c r="V167">
        <f>30</f>
        <v>30</v>
      </c>
      <c r="W167">
        <f t="shared" ca="1" si="48"/>
        <v>280.9356613612394</v>
      </c>
      <c r="X167">
        <f t="shared" ca="1" si="58"/>
        <v>276.42417764828912</v>
      </c>
      <c r="Y167">
        <f t="shared" ca="1" si="57"/>
        <v>4.2661928449975903</v>
      </c>
      <c r="Z167">
        <f t="shared" ca="1" si="59"/>
        <v>5.7047660439901069</v>
      </c>
      <c r="AA167">
        <f t="shared" ca="1" si="60"/>
        <v>-1.4385731989925166</v>
      </c>
      <c r="AB167">
        <f t="shared" ca="1" si="61"/>
        <v>268.43380000000002</v>
      </c>
    </row>
    <row r="168" spans="1:28" x14ac:dyDescent="0.25">
      <c r="A168" s="20">
        <f t="shared" ca="1" si="41"/>
        <v>45950</v>
      </c>
      <c r="B168" vm="496">
        <f ca="1"/>
        <v>45951</v>
      </c>
      <c r="C168" vm="497">
        <f ca="1"/>
        <v>282.05</v>
      </c>
      <c r="D168" vm="498">
        <f ca="1"/>
        <v>4080981</v>
      </c>
      <c r="E168">
        <f t="shared" ca="1" si="42"/>
        <v>1151040691.05</v>
      </c>
      <c r="F168">
        <f ca="1">SUM($E$2:E168)/SUM($D$2:D168)</f>
        <v>258.91364854567934</v>
      </c>
      <c r="G168">
        <f ca="1">_xlfn.STDEV.P($C$2:C168)</f>
        <v>18.354476339172752</v>
      </c>
      <c r="H168">
        <f t="shared" ca="1" si="43"/>
        <v>277.26812488485211</v>
      </c>
      <c r="I168">
        <f t="shared" ca="1" si="44"/>
        <v>240.55917220650659</v>
      </c>
      <c r="J168">
        <f t="shared" ca="1" si="53"/>
        <v>282.6345</v>
      </c>
      <c r="K168">
        <f t="shared" ca="1" si="54"/>
        <v>6.0740504781016078</v>
      </c>
      <c r="L168">
        <f t="shared" ca="1" si="55"/>
        <v>294.78260095620323</v>
      </c>
      <c r="M168">
        <f t="shared" ca="1" si="56"/>
        <v>270.48639904379678</v>
      </c>
      <c r="N168">
        <f t="shared" ca="1" si="45"/>
        <v>-1.5999999999999659</v>
      </c>
      <c r="O168">
        <f t="shared" ca="1" si="46"/>
        <v>0</v>
      </c>
      <c r="P168">
        <f t="shared" ca="1" si="47"/>
        <v>1.5999999999999659</v>
      </c>
      <c r="Q168">
        <f t="shared" ca="1" si="51"/>
        <v>1.9009710215140259</v>
      </c>
      <c r="R168">
        <f t="shared" ca="1" si="52"/>
        <v>1.4746655451372015</v>
      </c>
      <c r="S168">
        <f t="shared" ca="1" si="49"/>
        <v>1.2890862119770767</v>
      </c>
      <c r="T168">
        <f t="shared" ca="1" si="50"/>
        <v>56.314445704676935</v>
      </c>
      <c r="U168">
        <f>70</f>
        <v>70</v>
      </c>
      <c r="V168">
        <f>30</f>
        <v>30</v>
      </c>
      <c r="W168">
        <f t="shared" ca="1" si="48"/>
        <v>281.10709807489491</v>
      </c>
      <c r="X168">
        <f t="shared" ca="1" si="58"/>
        <v>276.84090522989732</v>
      </c>
      <c r="Y168">
        <f t="shared" ca="1" si="57"/>
        <v>4.4609513633251936</v>
      </c>
      <c r="Z168">
        <f t="shared" ca="1" si="59"/>
        <v>5.4560031078571249</v>
      </c>
      <c r="AA168">
        <f t="shared" ca="1" si="60"/>
        <v>-0.99505174453193135</v>
      </c>
      <c r="AB168">
        <f t="shared" ca="1" si="61"/>
        <v>268.66740000000004</v>
      </c>
    </row>
    <row r="169" spans="1:28" x14ac:dyDescent="0.25">
      <c r="A169" s="20">
        <f t="shared" ca="1" si="41"/>
        <v>45950</v>
      </c>
      <c r="B169" vm="499">
        <f ca="1"/>
        <v>45952</v>
      </c>
      <c r="C169" vm="500">
        <f ca="1"/>
        <v>287.51</v>
      </c>
      <c r="D169" vm="501">
        <f ca="1"/>
        <v>10538480</v>
      </c>
      <c r="E169">
        <f t="shared" ca="1" si="42"/>
        <v>3029918384.7999997</v>
      </c>
      <c r="F169">
        <f ca="1">SUM($E$2:E169)/SUM($D$2:D169)</f>
        <v>259.29105534259054</v>
      </c>
      <c r="G169">
        <f ca="1">_xlfn.STDEV.P($C$2:C169)</f>
        <v>18.417209925095289</v>
      </c>
      <c r="H169">
        <f t="shared" ca="1" si="43"/>
        <v>277.70826526768582</v>
      </c>
      <c r="I169">
        <f t="shared" ca="1" si="44"/>
        <v>240.87384541749526</v>
      </c>
      <c r="J169">
        <f t="shared" ca="1" si="53"/>
        <v>283.63350000000003</v>
      </c>
      <c r="K169">
        <f t="shared" ca="1" si="54"/>
        <v>5.0086885298921997</v>
      </c>
      <c r="L169">
        <f t="shared" ca="1" si="55"/>
        <v>293.65087705978442</v>
      </c>
      <c r="M169">
        <f t="shared" ca="1" si="56"/>
        <v>273.61612294021563</v>
      </c>
      <c r="N169">
        <f t="shared" ca="1" si="45"/>
        <v>5.4599999999999795</v>
      </c>
      <c r="O169">
        <f t="shared" ca="1" si="46"/>
        <v>5.4599999999999795</v>
      </c>
      <c r="P169">
        <f t="shared" ca="1" si="47"/>
        <v>0</v>
      </c>
      <c r="Q169">
        <f t="shared" ca="1" si="51"/>
        <v>2.1551873771201655</v>
      </c>
      <c r="R169">
        <f t="shared" ca="1" si="52"/>
        <v>1.3693322919131157</v>
      </c>
      <c r="S169">
        <f t="shared" ca="1" si="49"/>
        <v>1.573896555166401</v>
      </c>
      <c r="T169">
        <f t="shared" ca="1" si="50"/>
        <v>61.148399767940539</v>
      </c>
      <c r="U169">
        <f>70</f>
        <v>70</v>
      </c>
      <c r="V169">
        <f>30</f>
        <v>30</v>
      </c>
      <c r="W169">
        <f t="shared" ca="1" si="48"/>
        <v>282.09215990952646</v>
      </c>
      <c r="X169">
        <f t="shared" ca="1" si="58"/>
        <v>277.63120854620126</v>
      </c>
      <c r="Y169">
        <f t="shared" ca="1" si="57"/>
        <v>4.3624749732591681</v>
      </c>
      <c r="Z169">
        <f t="shared" ca="1" si="59"/>
        <v>5.2372974809375332</v>
      </c>
      <c r="AA169">
        <f t="shared" ca="1" si="60"/>
        <v>-0.87482250767836511</v>
      </c>
      <c r="AB169">
        <f t="shared" ca="1" si="61"/>
        <v>268.95190000000002</v>
      </c>
    </row>
    <row r="170" spans="1:28" x14ac:dyDescent="0.25">
      <c r="A170" s="20">
        <f t="shared" ca="1" si="41"/>
        <v>45950</v>
      </c>
      <c r="B170" vm="502">
        <f ca="1"/>
        <v>45953</v>
      </c>
      <c r="C170" vm="503">
        <f ca="1"/>
        <v>285</v>
      </c>
      <c r="D170" vm="504">
        <f ca="1"/>
        <v>16676394</v>
      </c>
      <c r="E170">
        <f t="shared" ca="1" si="42"/>
        <v>4752772290</v>
      </c>
      <c r="F170">
        <f ca="1">SUM($E$2:E170)/SUM($D$2:D170)</f>
        <v>259.81698894491592</v>
      </c>
      <c r="G170">
        <f ca="1">_xlfn.STDEV.P($C$2:C170)</f>
        <v>18.457168663351364</v>
      </c>
      <c r="H170">
        <f t="shared" ca="1" si="43"/>
        <v>278.27415760826727</v>
      </c>
      <c r="I170">
        <f t="shared" ca="1" si="44"/>
        <v>241.35982028156457</v>
      </c>
      <c r="J170">
        <f t="shared" ca="1" si="53"/>
        <v>283.81149999999997</v>
      </c>
      <c r="K170">
        <f t="shared" ca="1" si="54"/>
        <v>4.9898552610587599</v>
      </c>
      <c r="L170">
        <f t="shared" ca="1" si="55"/>
        <v>293.79121052211747</v>
      </c>
      <c r="M170">
        <f t="shared" ca="1" si="56"/>
        <v>273.83178947788247</v>
      </c>
      <c r="N170">
        <f t="shared" ca="1" si="45"/>
        <v>-2.5099999999999909</v>
      </c>
      <c r="O170">
        <f t="shared" ca="1" si="46"/>
        <v>0</v>
      </c>
      <c r="P170">
        <f t="shared" ca="1" si="47"/>
        <v>2.5099999999999909</v>
      </c>
      <c r="Q170">
        <f t="shared" ca="1" si="51"/>
        <v>2.0012454216115825</v>
      </c>
      <c r="R170">
        <f t="shared" ca="1" si="52"/>
        <v>1.4508085567764639</v>
      </c>
      <c r="S170">
        <f t="shared" ca="1" si="49"/>
        <v>1.3794000678202012</v>
      </c>
      <c r="T170">
        <f t="shared" ca="1" si="50"/>
        <v>57.972599331893242</v>
      </c>
      <c r="U170">
        <f>70</f>
        <v>70</v>
      </c>
      <c r="V170">
        <f>30</f>
        <v>30</v>
      </c>
      <c r="W170">
        <f t="shared" ca="1" si="48"/>
        <v>282.53951992344548</v>
      </c>
      <c r="X170">
        <f t="shared" ca="1" si="58"/>
        <v>278.17704495018631</v>
      </c>
      <c r="Y170">
        <f t="shared" ca="1" si="57"/>
        <v>6.0272872035691307</v>
      </c>
      <c r="Z170">
        <f t="shared" ca="1" si="59"/>
        <v>5.3952954254638534</v>
      </c>
      <c r="AA170">
        <f t="shared" ca="1" si="60"/>
        <v>0.63199177810527729</v>
      </c>
      <c r="AB170">
        <f t="shared" ca="1" si="61"/>
        <v>269.16289999999998</v>
      </c>
    </row>
    <row r="171" spans="1:28" x14ac:dyDescent="0.25">
      <c r="A171" s="20">
        <f t="shared" ca="1" si="41"/>
        <v>45950</v>
      </c>
      <c r="B171" vm="505">
        <f ca="1"/>
        <v>45954</v>
      </c>
      <c r="C171" vm="506">
        <f ca="1"/>
        <v>307.45999999999998</v>
      </c>
      <c r="D171" vm="507">
        <f ca="1"/>
        <v>16914243</v>
      </c>
      <c r="E171">
        <f t="shared" ca="1" si="42"/>
        <v>5200453152.7799997</v>
      </c>
      <c r="F171">
        <f ca="1">SUM($E$2:E171)/SUM($D$2:D171)</f>
        <v>260.78543922225242</v>
      </c>
      <c r="G171">
        <f ca="1">_xlfn.STDEV.P($C$2:C171)</f>
        <v>18.745247824541028</v>
      </c>
      <c r="H171">
        <f t="shared" ca="1" si="43"/>
        <v>279.53068704679345</v>
      </c>
      <c r="I171">
        <f t="shared" ca="1" si="44"/>
        <v>242.0401913977114</v>
      </c>
      <c r="J171">
        <f t="shared" ca="1" si="53"/>
        <v>284.96899999999999</v>
      </c>
      <c r="K171">
        <f t="shared" ca="1" si="54"/>
        <v>7.2738948518513391</v>
      </c>
      <c r="L171">
        <f t="shared" ca="1" si="55"/>
        <v>299.51678970370267</v>
      </c>
      <c r="M171">
        <f t="shared" ca="1" si="56"/>
        <v>270.42121029629732</v>
      </c>
      <c r="N171">
        <f t="shared" ca="1" si="45"/>
        <v>22.45999999999998</v>
      </c>
      <c r="O171">
        <f t="shared" ca="1" si="46"/>
        <v>22.45999999999998</v>
      </c>
      <c r="P171">
        <f t="shared" ca="1" si="47"/>
        <v>0</v>
      </c>
      <c r="Q171">
        <f t="shared" ca="1" si="51"/>
        <v>3.4625850343536109</v>
      </c>
      <c r="R171">
        <f t="shared" ca="1" si="52"/>
        <v>1.3471793741495737</v>
      </c>
      <c r="S171">
        <f t="shared" ca="1" si="49"/>
        <v>2.5702479571730508</v>
      </c>
      <c r="T171">
        <f t="shared" ca="1" si="50"/>
        <v>71.990740923445344</v>
      </c>
      <c r="U171">
        <f>70</f>
        <v>70</v>
      </c>
      <c r="V171">
        <f>30</f>
        <v>30</v>
      </c>
      <c r="W171">
        <f t="shared" ca="1" si="48"/>
        <v>286.37343993522313</v>
      </c>
      <c r="X171">
        <f t="shared" ca="1" si="58"/>
        <v>280.346152731654</v>
      </c>
      <c r="Y171">
        <f t="shared" ca="1" si="57"/>
        <v>7.7120570455091979</v>
      </c>
      <c r="Z171">
        <f t="shared" ca="1" si="59"/>
        <v>5.8586477494729232</v>
      </c>
      <c r="AA171">
        <f t="shared" ca="1" si="60"/>
        <v>1.8534092960362747</v>
      </c>
      <c r="AB171">
        <f t="shared" ca="1" si="61"/>
        <v>269.58549999999997</v>
      </c>
    </row>
    <row r="172" spans="1:28" x14ac:dyDescent="0.25">
      <c r="A172" s="20">
        <f t="shared" ca="1" si="41"/>
        <v>45957</v>
      </c>
      <c r="B172" vm="508">
        <f ca="1"/>
        <v>45957</v>
      </c>
      <c r="C172" vm="509">
        <f ca="1"/>
        <v>313.08999999999997</v>
      </c>
      <c r="D172" vm="510">
        <f ca="1"/>
        <v>9868151</v>
      </c>
      <c r="E172">
        <f t="shared" ca="1" si="42"/>
        <v>3089619396.5899997</v>
      </c>
      <c r="F172">
        <f ca="1">SUM($E$2:E172)/SUM($D$2:D172)</f>
        <v>261.39846784473042</v>
      </c>
      <c r="G172">
        <f ca="1">_xlfn.STDEV.P($C$2:C172)</f>
        <v>19.106226039313459</v>
      </c>
      <c r="H172">
        <f t="shared" ca="1" si="43"/>
        <v>280.50469388404389</v>
      </c>
      <c r="I172">
        <f t="shared" ca="1" si="44"/>
        <v>242.29224180541695</v>
      </c>
      <c r="J172">
        <f t="shared" ca="1" si="53"/>
        <v>286.63350000000003</v>
      </c>
      <c r="K172">
        <f t="shared" ca="1" si="54"/>
        <v>9.4977622156623323</v>
      </c>
      <c r="L172">
        <f t="shared" ca="1" si="55"/>
        <v>305.62902443132469</v>
      </c>
      <c r="M172">
        <f t="shared" ca="1" si="56"/>
        <v>267.63797556867536</v>
      </c>
      <c r="N172">
        <f t="shared" ca="1" si="45"/>
        <v>5.6299999999999955</v>
      </c>
      <c r="O172">
        <f t="shared" ca="1" si="46"/>
        <v>5.6299999999999955</v>
      </c>
      <c r="P172">
        <f t="shared" ca="1" si="47"/>
        <v>0</v>
      </c>
      <c r="Q172">
        <f t="shared" ca="1" si="51"/>
        <v>3.6174003890426385</v>
      </c>
      <c r="R172">
        <f t="shared" ca="1" si="52"/>
        <v>1.2509522759960328</v>
      </c>
      <c r="S172">
        <f t="shared" ca="1" si="49"/>
        <v>2.8917173408253269</v>
      </c>
      <c r="T172">
        <f t="shared" ca="1" si="50"/>
        <v>74.304403109915285</v>
      </c>
      <c r="U172">
        <f>70</f>
        <v>70</v>
      </c>
      <c r="V172">
        <f>30</f>
        <v>30</v>
      </c>
      <c r="W172">
        <f t="shared" ca="1" si="48"/>
        <v>290.48367994518878</v>
      </c>
      <c r="X172">
        <f t="shared" ca="1" si="58"/>
        <v>282.77162289967958</v>
      </c>
      <c r="Y172">
        <f t="shared" ca="1" si="57"/>
        <v>8.9026652459407387</v>
      </c>
      <c r="Z172">
        <f t="shared" ca="1" si="59"/>
        <v>6.467451248766487</v>
      </c>
      <c r="AA172">
        <f t="shared" ca="1" si="60"/>
        <v>2.4352139971742517</v>
      </c>
      <c r="AB172">
        <f t="shared" ca="1" si="61"/>
        <v>270.06119999999993</v>
      </c>
    </row>
    <row r="173" spans="1:28" x14ac:dyDescent="0.25">
      <c r="A173" s="20">
        <f t="shared" ca="1" si="41"/>
        <v>45957</v>
      </c>
      <c r="B173" vm="511">
        <f ca="1"/>
        <v>45958</v>
      </c>
      <c r="C173" vm="512">
        <f ca="1"/>
        <v>312.57</v>
      </c>
      <c r="D173" vm="513">
        <f ca="1"/>
        <v>6044770</v>
      </c>
      <c r="E173">
        <f t="shared" ca="1" si="42"/>
        <v>1889413758.8999999</v>
      </c>
      <c r="F173">
        <f ca="1">SUM($E$2:E173)/SUM($D$2:D173)</f>
        <v>261.76322749831888</v>
      </c>
      <c r="G173">
        <f ca="1">_xlfn.STDEV.P($C$2:C173)</f>
        <v>19.443807810685652</v>
      </c>
      <c r="H173">
        <f t="shared" ca="1" si="43"/>
        <v>281.20703530900454</v>
      </c>
      <c r="I173">
        <f t="shared" ca="1" si="44"/>
        <v>242.31941968763323</v>
      </c>
      <c r="J173">
        <f t="shared" ca="1" si="53"/>
        <v>288.154</v>
      </c>
      <c r="K173">
        <f t="shared" ca="1" si="54"/>
        <v>11.051062535244952</v>
      </c>
      <c r="L173">
        <f t="shared" ca="1" si="55"/>
        <v>310.25612507048993</v>
      </c>
      <c r="M173">
        <f t="shared" ca="1" si="56"/>
        <v>266.05187492951006</v>
      </c>
      <c r="N173">
        <f t="shared" ca="1" si="45"/>
        <v>-0.51999999999998181</v>
      </c>
      <c r="O173">
        <f t="shared" ca="1" si="46"/>
        <v>0</v>
      </c>
      <c r="P173">
        <f t="shared" ca="1" si="47"/>
        <v>0.51999999999998181</v>
      </c>
      <c r="Q173">
        <f t="shared" ca="1" si="51"/>
        <v>3.3590146469681641</v>
      </c>
      <c r="R173">
        <f t="shared" ca="1" si="52"/>
        <v>1.198741399139172</v>
      </c>
      <c r="S173">
        <f t="shared" ca="1" si="49"/>
        <v>2.8021178290666406</v>
      </c>
      <c r="T173">
        <f t="shared" ca="1" si="50"/>
        <v>73.698868763215472</v>
      </c>
      <c r="U173">
        <f>70</f>
        <v>70</v>
      </c>
      <c r="V173">
        <f>30</f>
        <v>30</v>
      </c>
      <c r="W173">
        <f t="shared" ca="1" si="48"/>
        <v>293.88157533823664</v>
      </c>
      <c r="X173">
        <f t="shared" ca="1" si="58"/>
        <v>284.97891009229591</v>
      </c>
      <c r="Y173">
        <f t="shared" ca="1" si="57"/>
        <v>9.3862167961826231</v>
      </c>
      <c r="Z173">
        <f t="shared" ca="1" si="59"/>
        <v>7.0512043582497146</v>
      </c>
      <c r="AA173">
        <f t="shared" ca="1" si="60"/>
        <v>2.3350124379329085</v>
      </c>
      <c r="AB173">
        <f t="shared" ca="1" si="61"/>
        <v>270.51829999999995</v>
      </c>
    </row>
    <row r="174" spans="1:28" x14ac:dyDescent="0.25">
      <c r="A174" s="20">
        <f t="shared" ca="1" si="41"/>
        <v>45957</v>
      </c>
      <c r="B174" vm="514">
        <f ca="1"/>
        <v>45959</v>
      </c>
      <c r="C174" vm="515">
        <f ca="1"/>
        <v>308.20999999999998</v>
      </c>
      <c r="D174" vm="516">
        <f ca="1"/>
        <v>4135948</v>
      </c>
      <c r="E174">
        <f t="shared" ca="1" si="42"/>
        <v>1274740533.0799999</v>
      </c>
      <c r="F174">
        <f ca="1">SUM($E$2:E174)/SUM($D$2:D174)</f>
        <v>261.98865982663057</v>
      </c>
      <c r="G174">
        <f ca="1">_xlfn.STDEV.P($C$2:C174)</f>
        <v>19.705602124786854</v>
      </c>
      <c r="H174">
        <f t="shared" ca="1" si="43"/>
        <v>281.69426195141745</v>
      </c>
      <c r="I174">
        <f t="shared" ca="1" si="44"/>
        <v>242.28305770184372</v>
      </c>
      <c r="J174">
        <f t="shared" ca="1" si="53"/>
        <v>289.24</v>
      </c>
      <c r="K174">
        <f t="shared" ca="1" si="54"/>
        <v>11.912576282408871</v>
      </c>
      <c r="L174">
        <f t="shared" ca="1" si="55"/>
        <v>313.06515256481777</v>
      </c>
      <c r="M174">
        <f t="shared" ca="1" si="56"/>
        <v>265.41484743518225</v>
      </c>
      <c r="N174">
        <f t="shared" ca="1" si="45"/>
        <v>-4.3600000000000136</v>
      </c>
      <c r="O174">
        <f t="shared" ca="1" si="46"/>
        <v>0</v>
      </c>
      <c r="P174">
        <f t="shared" ca="1" si="47"/>
        <v>4.3600000000000136</v>
      </c>
      <c r="Q174">
        <f t="shared" ca="1" si="51"/>
        <v>3.1190850293275809</v>
      </c>
      <c r="R174">
        <f t="shared" ca="1" si="52"/>
        <v>1.4245455849149464</v>
      </c>
      <c r="S174">
        <f t="shared" ca="1" si="49"/>
        <v>2.1895298138274799</v>
      </c>
      <c r="T174">
        <f t="shared" ca="1" si="50"/>
        <v>68.647416441610687</v>
      </c>
      <c r="U174">
        <f>70</f>
        <v>70</v>
      </c>
      <c r="V174">
        <f>30</f>
        <v>30</v>
      </c>
      <c r="W174">
        <f t="shared" ca="1" si="48"/>
        <v>296.08594836312329</v>
      </c>
      <c r="X174">
        <f t="shared" ca="1" si="58"/>
        <v>286.69973156694067</v>
      </c>
      <c r="Y174">
        <f t="shared" ca="1" si="57"/>
        <v>9.8056806398629419</v>
      </c>
      <c r="Z174">
        <f t="shared" ca="1" si="59"/>
        <v>7.6020996145723609</v>
      </c>
      <c r="AA174">
        <f t="shared" ca="1" si="60"/>
        <v>2.203581025290581</v>
      </c>
      <c r="AB174">
        <f t="shared" ca="1" si="61"/>
        <v>270.91169999999994</v>
      </c>
    </row>
    <row r="175" spans="1:28" x14ac:dyDescent="0.25">
      <c r="A175" s="20">
        <f t="shared" ca="1" si="41"/>
        <v>45957</v>
      </c>
      <c r="B175" vm="517">
        <f ca="1"/>
        <v>45960</v>
      </c>
      <c r="C175" vm="518">
        <f ca="1"/>
        <v>310.06</v>
      </c>
      <c r="D175" vm="519">
        <f ca="1"/>
        <v>4694275</v>
      </c>
      <c r="E175">
        <f t="shared" ca="1" si="42"/>
        <v>1455506906.5</v>
      </c>
      <c r="F175">
        <f ca="1">SUM($E$2:E175)/SUM($D$2:D175)</f>
        <v>262.25202265849822</v>
      </c>
      <c r="G175">
        <f ca="1">_xlfn.STDEV.P($C$2:C175)</f>
        <v>19.98242333941316</v>
      </c>
      <c r="H175">
        <f t="shared" ca="1" si="43"/>
        <v>282.23444599791139</v>
      </c>
      <c r="I175">
        <f t="shared" ca="1" si="44"/>
        <v>242.26959931908505</v>
      </c>
      <c r="J175">
        <f t="shared" ca="1" si="53"/>
        <v>290.40700000000004</v>
      </c>
      <c r="K175">
        <f t="shared" ca="1" si="54"/>
        <v>12.765422499038063</v>
      </c>
      <c r="L175">
        <f t="shared" ca="1" si="55"/>
        <v>315.93784499807617</v>
      </c>
      <c r="M175">
        <f t="shared" ca="1" si="56"/>
        <v>264.87615500192391</v>
      </c>
      <c r="N175">
        <f t="shared" ca="1" si="45"/>
        <v>1.8500000000000227</v>
      </c>
      <c r="O175">
        <f t="shared" ca="1" si="46"/>
        <v>1.8500000000000227</v>
      </c>
      <c r="P175">
        <f t="shared" ca="1" si="47"/>
        <v>0</v>
      </c>
      <c r="Q175">
        <f t="shared" ca="1" si="51"/>
        <v>3.0284360986613268</v>
      </c>
      <c r="R175">
        <f t="shared" ca="1" si="52"/>
        <v>1.3227923288495931</v>
      </c>
      <c r="S175">
        <f t="shared" ca="1" si="49"/>
        <v>2.2894267169625175</v>
      </c>
      <c r="T175">
        <f t="shared" ca="1" si="50"/>
        <v>69.599565941283288</v>
      </c>
      <c r="U175">
        <f>70</f>
        <v>70</v>
      </c>
      <c r="V175">
        <f>30</f>
        <v>30</v>
      </c>
      <c r="W175">
        <f t="shared" ca="1" si="48"/>
        <v>298.2358024611043</v>
      </c>
      <c r="X175">
        <f t="shared" ca="1" si="58"/>
        <v>288.43012182124136</v>
      </c>
      <c r="Y175">
        <f t="shared" ca="1" si="57"/>
        <v>9.8111787437165958</v>
      </c>
      <c r="Z175">
        <f t="shared" ca="1" si="59"/>
        <v>8.043915440401209</v>
      </c>
      <c r="AA175">
        <f t="shared" ca="1" si="60"/>
        <v>1.7672633033153868</v>
      </c>
      <c r="AB175">
        <f t="shared" ca="1" si="61"/>
        <v>271.29149999999998</v>
      </c>
    </row>
    <row r="176" spans="1:28" x14ac:dyDescent="0.25">
      <c r="A176" s="20">
        <f t="shared" ca="1" si="41"/>
        <v>45957</v>
      </c>
      <c r="B176" vm="520">
        <f ca="1"/>
        <v>45961</v>
      </c>
      <c r="C176" vm="521">
        <f ca="1"/>
        <v>307.41000000000003</v>
      </c>
      <c r="D176" vm="522">
        <f ca="1"/>
        <v>7697499</v>
      </c>
      <c r="E176">
        <f t="shared" ca="1" si="42"/>
        <v>2366288167.5900002</v>
      </c>
      <c r="F176">
        <f ca="1">SUM($E$2:E176)/SUM($D$2:D176)</f>
        <v>262.65409088112523</v>
      </c>
      <c r="G176">
        <f ca="1">_xlfn.STDEV.P($C$2:C176)</f>
        <v>20.214051654495496</v>
      </c>
      <c r="H176">
        <f t="shared" ca="1" si="43"/>
        <v>282.86814253562073</v>
      </c>
      <c r="I176">
        <f t="shared" ca="1" si="44"/>
        <v>242.44003922662972</v>
      </c>
      <c r="J176">
        <f t="shared" ca="1" si="53"/>
        <v>291.35900000000004</v>
      </c>
      <c r="K176">
        <f t="shared" ca="1" si="54"/>
        <v>13.304116458331309</v>
      </c>
      <c r="L176">
        <f t="shared" ca="1" si="55"/>
        <v>317.96723291666268</v>
      </c>
      <c r="M176">
        <f t="shared" ca="1" si="56"/>
        <v>264.75076708333739</v>
      </c>
      <c r="N176">
        <f t="shared" ca="1" si="45"/>
        <v>-2.6499999999999773</v>
      </c>
      <c r="O176">
        <f t="shared" ca="1" si="46"/>
        <v>0</v>
      </c>
      <c r="P176">
        <f t="shared" ca="1" si="47"/>
        <v>2.6499999999999773</v>
      </c>
      <c r="Q176">
        <f t="shared" ca="1" si="51"/>
        <v>2.8121192344712322</v>
      </c>
      <c r="R176">
        <f t="shared" ca="1" si="52"/>
        <v>1.4175928767889061</v>
      </c>
      <c r="S176">
        <f t="shared" ca="1" si="49"/>
        <v>1.9837283895226465</v>
      </c>
      <c r="T176">
        <f t="shared" ca="1" si="50"/>
        <v>66.484885034727114</v>
      </c>
      <c r="U176">
        <f>70</f>
        <v>70</v>
      </c>
      <c r="V176">
        <f>30</f>
        <v>30</v>
      </c>
      <c r="W176">
        <f t="shared" ca="1" si="48"/>
        <v>299.64721746708824</v>
      </c>
      <c r="X176">
        <f t="shared" ca="1" si="58"/>
        <v>289.83603872337164</v>
      </c>
      <c r="Y176">
        <f t="shared" ca="1" si="57"/>
        <v>9.4898888963801369</v>
      </c>
      <c r="Z176">
        <f t="shared" ca="1" si="59"/>
        <v>8.3331101315969942</v>
      </c>
      <c r="AA176">
        <f t="shared" ca="1" si="60"/>
        <v>1.1567787647831427</v>
      </c>
      <c r="AB176">
        <f t="shared" ca="1" si="61"/>
        <v>271.60320000000002</v>
      </c>
    </row>
    <row r="177" spans="1:28" x14ac:dyDescent="0.25">
      <c r="A177" s="20">
        <f t="shared" ca="1" si="41"/>
        <v>45964</v>
      </c>
      <c r="B177" vm="523">
        <f ca="1"/>
        <v>45964</v>
      </c>
      <c r="C177" vm="524">
        <f ca="1"/>
        <v>304.73</v>
      </c>
      <c r="D177" vm="525">
        <f ca="1"/>
        <v>4957958</v>
      </c>
      <c r="E177">
        <f t="shared" ca="1" si="42"/>
        <v>1510838541.3400002</v>
      </c>
      <c r="F177">
        <f ca="1">SUM($E$2:E177)/SUM($D$2:D177)</f>
        <v>262.89401201247563</v>
      </c>
      <c r="G177">
        <f ca="1">_xlfn.STDEV.P($C$2:C177)</f>
        <v>20.404958262496276</v>
      </c>
      <c r="H177">
        <f t="shared" ca="1" si="43"/>
        <v>283.29897027497191</v>
      </c>
      <c r="I177">
        <f t="shared" ca="1" si="44"/>
        <v>242.48905374997935</v>
      </c>
      <c r="J177">
        <f t="shared" ca="1" si="53"/>
        <v>292.12450000000001</v>
      </c>
      <c r="K177">
        <f t="shared" ca="1" si="54"/>
        <v>13.623306065632331</v>
      </c>
      <c r="L177">
        <f t="shared" ca="1" si="55"/>
        <v>319.37111213126468</v>
      </c>
      <c r="M177">
        <f t="shared" ca="1" si="56"/>
        <v>264.87788786873534</v>
      </c>
      <c r="N177">
        <f t="shared" ca="1" si="45"/>
        <v>-2.6800000000000068</v>
      </c>
      <c r="O177">
        <f t="shared" ca="1" si="46"/>
        <v>0</v>
      </c>
      <c r="P177">
        <f t="shared" ca="1" si="47"/>
        <v>2.6800000000000068</v>
      </c>
      <c r="Q177">
        <f t="shared" ca="1" si="51"/>
        <v>2.6112535748661441</v>
      </c>
      <c r="R177">
        <f t="shared" ca="1" si="52"/>
        <v>1.5077648141611275</v>
      </c>
      <c r="S177">
        <f t="shared" ca="1" si="49"/>
        <v>1.7318706142635134</v>
      </c>
      <c r="T177">
        <f t="shared" ca="1" si="50"/>
        <v>63.395045329788047</v>
      </c>
      <c r="U177">
        <f>70</f>
        <v>70</v>
      </c>
      <c r="V177">
        <f>30</f>
        <v>30</v>
      </c>
      <c r="W177">
        <f t="shared" ca="1" si="48"/>
        <v>300.42918401061314</v>
      </c>
      <c r="X177">
        <f t="shared" ca="1" si="58"/>
        <v>290.939295114233</v>
      </c>
      <c r="Y177">
        <f t="shared" ca="1" si="57"/>
        <v>8.8205035299896508</v>
      </c>
      <c r="Z177">
        <f t="shared" ca="1" si="59"/>
        <v>8.430588811275527</v>
      </c>
      <c r="AA177">
        <f t="shared" ca="1" si="60"/>
        <v>0.38991471871412386</v>
      </c>
      <c r="AB177">
        <f t="shared" ca="1" si="61"/>
        <v>271.83529999999996</v>
      </c>
    </row>
    <row r="178" spans="1:28" x14ac:dyDescent="0.25">
      <c r="A178" s="20">
        <f t="shared" ca="1" si="41"/>
        <v>45964</v>
      </c>
      <c r="B178" vm="526">
        <f ca="1"/>
        <v>45965</v>
      </c>
      <c r="C178" vm="527">
        <f ca="1"/>
        <v>300.85000000000002</v>
      </c>
      <c r="D178" vm="528">
        <f ca="1"/>
        <v>5677330</v>
      </c>
      <c r="E178">
        <f t="shared" ca="1" si="42"/>
        <v>1708024730.5000002</v>
      </c>
      <c r="F178">
        <f ca="1">SUM($E$2:E178)/SUM($D$2:D178)</f>
        <v>263.14023585452014</v>
      </c>
      <c r="G178">
        <f ca="1">_xlfn.STDEV.P($C$2:C178)</f>
        <v>20.546773569453652</v>
      </c>
      <c r="H178">
        <f t="shared" ca="1" si="43"/>
        <v>283.68700942397379</v>
      </c>
      <c r="I178">
        <f t="shared" ca="1" si="44"/>
        <v>242.59346228506649</v>
      </c>
      <c r="J178">
        <f t="shared" ca="1" si="53"/>
        <v>292.47350000000006</v>
      </c>
      <c r="K178">
        <f t="shared" ca="1" si="54"/>
        <v>13.759105033242147</v>
      </c>
      <c r="L178">
        <f t="shared" ca="1" si="55"/>
        <v>319.99171006648436</v>
      </c>
      <c r="M178">
        <f t="shared" ca="1" si="56"/>
        <v>264.95528993351576</v>
      </c>
      <c r="N178">
        <f t="shared" ca="1" si="45"/>
        <v>-3.8799999999999955</v>
      </c>
      <c r="O178">
        <f t="shared" ca="1" si="46"/>
        <v>0</v>
      </c>
      <c r="P178">
        <f t="shared" ca="1" si="47"/>
        <v>3.8799999999999955</v>
      </c>
      <c r="Q178">
        <f t="shared" ca="1" si="51"/>
        <v>2.4247354623757049</v>
      </c>
      <c r="R178">
        <f t="shared" ca="1" si="52"/>
        <v>1.6772101845781895</v>
      </c>
      <c r="S178">
        <f t="shared" ca="1" si="49"/>
        <v>1.4456956466583313</v>
      </c>
      <c r="T178">
        <f t="shared" ca="1" si="50"/>
        <v>59.111837919556876</v>
      </c>
      <c r="U178">
        <f>70</f>
        <v>70</v>
      </c>
      <c r="V178">
        <f>30</f>
        <v>30</v>
      </c>
      <c r="W178">
        <f t="shared" ca="1" si="48"/>
        <v>300.49392493205727</v>
      </c>
      <c r="X178">
        <f t="shared" ca="1" si="58"/>
        <v>291.67342140206762</v>
      </c>
      <c r="Y178">
        <f t="shared" ca="1" si="57"/>
        <v>8.6677884591140923</v>
      </c>
      <c r="Z178">
        <f t="shared" ca="1" si="59"/>
        <v>8.4780287408432411</v>
      </c>
      <c r="AA178">
        <f t="shared" ca="1" si="60"/>
        <v>0.18975971827085125</v>
      </c>
      <c r="AB178">
        <f t="shared" ca="1" si="61"/>
        <v>272.0335</v>
      </c>
    </row>
    <row r="179" spans="1:28" x14ac:dyDescent="0.25">
      <c r="A179" s="20">
        <f t="shared" ca="1" si="41"/>
        <v>45964</v>
      </c>
      <c r="B179" vm="529">
        <f ca="1"/>
        <v>45966</v>
      </c>
      <c r="C179" vm="530">
        <f ca="1"/>
        <v>306.77</v>
      </c>
      <c r="D179" vm="531">
        <f ca="1"/>
        <v>4650368</v>
      </c>
      <c r="E179">
        <f t="shared" ca="1" si="42"/>
        <v>1426593391.3599999</v>
      </c>
      <c r="F179">
        <f ca="1">SUM($E$2:E179)/SUM($D$2:D179)</f>
        <v>263.37084380267055</v>
      </c>
      <c r="G179">
        <f ca="1">_xlfn.STDEV.P($C$2:C179)</f>
        <v>20.749058809001717</v>
      </c>
      <c r="H179">
        <f t="shared" ca="1" si="43"/>
        <v>284.11990261167227</v>
      </c>
      <c r="I179">
        <f t="shared" ca="1" si="44"/>
        <v>242.62178499366883</v>
      </c>
      <c r="J179">
        <f t="shared" ca="1" si="53"/>
        <v>293.33900000000006</v>
      </c>
      <c r="K179">
        <f t="shared" ca="1" si="54"/>
        <v>14.099782342478308</v>
      </c>
      <c r="L179">
        <f t="shared" ca="1" si="55"/>
        <v>321.53856468495667</v>
      </c>
      <c r="M179">
        <f t="shared" ca="1" si="56"/>
        <v>265.13943531504344</v>
      </c>
      <c r="N179">
        <f t="shared" ca="1" si="45"/>
        <v>5.9199999999999591</v>
      </c>
      <c r="O179">
        <f t="shared" ca="1" si="46"/>
        <v>5.9199999999999591</v>
      </c>
      <c r="P179">
        <f t="shared" ca="1" si="47"/>
        <v>0</v>
      </c>
      <c r="Q179">
        <f t="shared" ca="1" si="51"/>
        <v>2.6743972150631516</v>
      </c>
      <c r="R179">
        <f t="shared" ca="1" si="52"/>
        <v>1.5574094571083188</v>
      </c>
      <c r="S179">
        <f t="shared" ca="1" si="49"/>
        <v>1.7172087936519738</v>
      </c>
      <c r="T179">
        <f t="shared" ca="1" si="50"/>
        <v>63.197528201136748</v>
      </c>
      <c r="U179">
        <f>70</f>
        <v>70</v>
      </c>
      <c r="V179">
        <f>30</f>
        <v>30</v>
      </c>
      <c r="W179">
        <f t="shared" ca="1" si="48"/>
        <v>301.45947494250998</v>
      </c>
      <c r="X179">
        <f t="shared" ca="1" si="58"/>
        <v>292.79168648339589</v>
      </c>
      <c r="Y179">
        <f t="shared" ca="1" si="57"/>
        <v>8.9000739339651886</v>
      </c>
      <c r="Z179">
        <f t="shared" ca="1" si="59"/>
        <v>8.562437779467631</v>
      </c>
      <c r="AA179">
        <f t="shared" ca="1" si="60"/>
        <v>0.33763615449755768</v>
      </c>
      <c r="AB179">
        <f t="shared" ca="1" si="61"/>
        <v>272.32900000000001</v>
      </c>
    </row>
    <row r="180" spans="1:28" x14ac:dyDescent="0.25">
      <c r="A180" s="20">
        <f t="shared" ca="1" si="41"/>
        <v>45964</v>
      </c>
      <c r="B180" vm="532">
        <f ca="1"/>
        <v>45967</v>
      </c>
      <c r="C180" vm="533">
        <f ca="1"/>
        <v>312.42</v>
      </c>
      <c r="D180" vm="534">
        <f ca="1"/>
        <v>6818521</v>
      </c>
      <c r="E180">
        <f t="shared" ca="1" si="42"/>
        <v>2130242330.8200002</v>
      </c>
      <c r="F180">
        <f ca="1">SUM($E$2:E180)/SUM($D$2:D180)</f>
        <v>263.74804499610474</v>
      </c>
      <c r="G180">
        <f ca="1">_xlfn.STDEV.P($C$2:C180)</f>
        <v>21.013733185943831</v>
      </c>
      <c r="H180">
        <f t="shared" ca="1" si="43"/>
        <v>284.76177818204854</v>
      </c>
      <c r="I180">
        <f t="shared" ca="1" si="44"/>
        <v>242.7343118101609</v>
      </c>
      <c r="J180">
        <f t="shared" ca="1" si="53"/>
        <v>294.54850000000005</v>
      </c>
      <c r="K180">
        <f t="shared" ca="1" si="54"/>
        <v>14.66466977933162</v>
      </c>
      <c r="L180">
        <f t="shared" ca="1" si="55"/>
        <v>323.87783955866331</v>
      </c>
      <c r="M180">
        <f t="shared" ca="1" si="56"/>
        <v>265.21916044133678</v>
      </c>
      <c r="N180">
        <f t="shared" ca="1" si="45"/>
        <v>5.6500000000000341</v>
      </c>
      <c r="O180">
        <f t="shared" ca="1" si="46"/>
        <v>5.6500000000000341</v>
      </c>
      <c r="P180">
        <f t="shared" ca="1" si="47"/>
        <v>0</v>
      </c>
      <c r="Q180">
        <f t="shared" ca="1" si="51"/>
        <v>2.8869402711300718</v>
      </c>
      <c r="R180">
        <f t="shared" ca="1" si="52"/>
        <v>1.4461659244577247</v>
      </c>
      <c r="S180">
        <f t="shared" ca="1" si="49"/>
        <v>1.9962718124565138</v>
      </c>
      <c r="T180">
        <f t="shared" ca="1" si="50"/>
        <v>66.625190817379718</v>
      </c>
      <c r="U180">
        <f>70</f>
        <v>70</v>
      </c>
      <c r="V180">
        <f>30</f>
        <v>30</v>
      </c>
      <c r="W180">
        <f t="shared" ca="1" si="48"/>
        <v>303.14570956673919</v>
      </c>
      <c r="X180">
        <f t="shared" ca="1" si="58"/>
        <v>294.245635632774</v>
      </c>
      <c r="Y180">
        <f t="shared" ca="1" si="57"/>
        <v>8.4988152725640589</v>
      </c>
      <c r="Z180">
        <f t="shared" ca="1" si="59"/>
        <v>8.5497132780869158</v>
      </c>
      <c r="AA180">
        <f t="shared" ca="1" si="60"/>
        <v>-5.0898005522856948E-2</v>
      </c>
      <c r="AB180">
        <f t="shared" ca="1" si="61"/>
        <v>272.63489999999996</v>
      </c>
    </row>
    <row r="181" spans="1:28" x14ac:dyDescent="0.25">
      <c r="A181" s="20">
        <f t="shared" ca="1" si="41"/>
        <v>45964</v>
      </c>
      <c r="B181" vm="535">
        <f ca="1"/>
        <v>45968</v>
      </c>
      <c r="C181" vm="536">
        <f ca="1"/>
        <v>306.38</v>
      </c>
      <c r="D181" vm="537">
        <f ca="1"/>
        <v>5070773</v>
      </c>
      <c r="E181">
        <f t="shared" ca="1" si="42"/>
        <v>1553583431.74</v>
      </c>
      <c r="F181">
        <f ca="1">SUM($E$2:E181)/SUM($D$2:D181)</f>
        <v>263.99047371565115</v>
      </c>
      <c r="G181">
        <f ca="1">_xlfn.STDEV.P($C$2:C181)</f>
        <v>21.196556714607109</v>
      </c>
      <c r="H181">
        <f t="shared" ca="1" si="43"/>
        <v>285.18703043025823</v>
      </c>
      <c r="I181">
        <f t="shared" ca="1" si="44"/>
        <v>242.79391700104404</v>
      </c>
      <c r="J181">
        <f t="shared" ca="1" si="53"/>
        <v>295.9765000000001</v>
      </c>
      <c r="K181">
        <f t="shared" ca="1" si="54"/>
        <v>14.336842959753433</v>
      </c>
      <c r="L181">
        <f t="shared" ca="1" si="55"/>
        <v>324.65018591950695</v>
      </c>
      <c r="M181">
        <f t="shared" ca="1" si="56"/>
        <v>267.30281408049325</v>
      </c>
      <c r="N181">
        <f t="shared" ca="1" si="45"/>
        <v>-6.0400000000000205</v>
      </c>
      <c r="O181">
        <f t="shared" ca="1" si="46"/>
        <v>0</v>
      </c>
      <c r="P181">
        <f t="shared" ca="1" si="47"/>
        <v>6.0400000000000205</v>
      </c>
      <c r="Q181">
        <f t="shared" ca="1" si="51"/>
        <v>2.680730251763638</v>
      </c>
      <c r="R181">
        <f t="shared" ca="1" si="52"/>
        <v>1.7742969298536031</v>
      </c>
      <c r="S181">
        <f t="shared" ca="1" si="49"/>
        <v>1.5108690133307194</v>
      </c>
      <c r="T181">
        <f t="shared" ca="1" si="50"/>
        <v>60.173151419257849</v>
      </c>
      <c r="U181">
        <f>70</f>
        <v>70</v>
      </c>
      <c r="V181">
        <f>30</f>
        <v>30</v>
      </c>
      <c r="W181">
        <f t="shared" ca="1" si="48"/>
        <v>303.64329271031778</v>
      </c>
      <c r="X181">
        <f t="shared" ca="1" si="58"/>
        <v>295.14447743775372</v>
      </c>
      <c r="Y181">
        <f t="shared" ca="1" si="57"/>
        <v>8.3069594521208501</v>
      </c>
      <c r="Z181">
        <f t="shared" ca="1" si="59"/>
        <v>8.5011625128937034</v>
      </c>
      <c r="AA181">
        <f t="shared" ca="1" si="60"/>
        <v>-0.19420306077285332</v>
      </c>
      <c r="AB181">
        <f t="shared" ca="1" si="61"/>
        <v>272.86819999999994</v>
      </c>
    </row>
    <row r="182" spans="1:28" x14ac:dyDescent="0.25">
      <c r="A182" s="20">
        <f t="shared" ca="1" si="41"/>
        <v>45971</v>
      </c>
      <c r="B182" vm="538">
        <f ca="1"/>
        <v>45971</v>
      </c>
      <c r="C182" vm="539">
        <f ca="1"/>
        <v>309.13</v>
      </c>
      <c r="D182" vm="540">
        <f ca="1"/>
        <v>2975188</v>
      </c>
      <c r="E182">
        <f t="shared" ca="1" si="42"/>
        <v>919719866.43999994</v>
      </c>
      <c r="F182">
        <f ca="1">SUM($E$2:E182)/SUM($D$2:D182)</f>
        <v>264.14058020076294</v>
      </c>
      <c r="G182">
        <f ca="1">_xlfn.STDEV.P($C$2:C182)</f>
        <v>21.404320149841013</v>
      </c>
      <c r="H182">
        <f t="shared" ca="1" si="43"/>
        <v>285.54490035060394</v>
      </c>
      <c r="I182">
        <f t="shared" ca="1" si="44"/>
        <v>242.73626005092194</v>
      </c>
      <c r="J182">
        <f t="shared" ca="1" si="53"/>
        <v>297.57200000000012</v>
      </c>
      <c r="K182">
        <f t="shared" ca="1" si="54"/>
        <v>13.908823628791982</v>
      </c>
      <c r="L182">
        <f t="shared" ca="1" si="55"/>
        <v>325.3896472575841</v>
      </c>
      <c r="M182">
        <f t="shared" ca="1" si="56"/>
        <v>269.75435274241613</v>
      </c>
      <c r="N182">
        <f t="shared" ca="1" si="45"/>
        <v>2.75</v>
      </c>
      <c r="O182">
        <f t="shared" ca="1" si="46"/>
        <v>2.75</v>
      </c>
      <c r="P182">
        <f t="shared" ca="1" si="47"/>
        <v>0</v>
      </c>
      <c r="Q182">
        <f t="shared" ca="1" si="51"/>
        <v>2.6856780909233779</v>
      </c>
      <c r="R182">
        <f t="shared" ca="1" si="52"/>
        <v>1.6475614348640601</v>
      </c>
      <c r="S182">
        <f t="shared" ca="1" si="49"/>
        <v>1.6300928354425657</v>
      </c>
      <c r="T182">
        <f t="shared" ca="1" si="50"/>
        <v>61.97852841830467</v>
      </c>
      <c r="U182">
        <f>70</f>
        <v>70</v>
      </c>
      <c r="V182">
        <f>30</f>
        <v>30</v>
      </c>
      <c r="W182">
        <f t="shared" ca="1" si="48"/>
        <v>304.48740152411506</v>
      </c>
      <c r="X182">
        <f t="shared" ca="1" si="58"/>
        <v>296.18044207199421</v>
      </c>
      <c r="Y182">
        <f t="shared" ca="1" si="57"/>
        <v>8.4281327044560044</v>
      </c>
      <c r="Z182">
        <f t="shared" ca="1" si="59"/>
        <v>8.4865565512061636</v>
      </c>
      <c r="AA182">
        <f t="shared" ca="1" si="60"/>
        <v>-5.8423846750159214E-2</v>
      </c>
      <c r="AB182">
        <f t="shared" ca="1" si="61"/>
        <v>273.12740000000002</v>
      </c>
    </row>
    <row r="183" spans="1:28" x14ac:dyDescent="0.25">
      <c r="A183" s="20">
        <f t="shared" ca="1" si="41"/>
        <v>45971</v>
      </c>
      <c r="B183" vm="541">
        <f ca="1"/>
        <v>45972</v>
      </c>
      <c r="C183" vm="542">
        <f ca="1"/>
        <v>313.72000000000003</v>
      </c>
      <c r="D183" vm="543">
        <f ca="1"/>
        <v>4381913</v>
      </c>
      <c r="E183">
        <f t="shared" ca="1" si="42"/>
        <v>1374693746.3600001</v>
      </c>
      <c r="F183">
        <f ca="1">SUM($E$2:E183)/SUM($D$2:D183)</f>
        <v>264.38222162420573</v>
      </c>
      <c r="G183">
        <f ca="1">_xlfn.STDEV.P($C$2:C183)</f>
        <v>21.65999697888034</v>
      </c>
      <c r="H183">
        <f t="shared" ca="1" si="43"/>
        <v>286.04221860308604</v>
      </c>
      <c r="I183">
        <f t="shared" ca="1" si="44"/>
        <v>242.72222464532538</v>
      </c>
      <c r="J183">
        <f t="shared" ca="1" si="53"/>
        <v>299.45050000000003</v>
      </c>
      <c r="K183">
        <f t="shared" ca="1" si="54"/>
        <v>13.390752297957841</v>
      </c>
      <c r="L183">
        <f t="shared" ca="1" si="55"/>
        <v>326.23200459591573</v>
      </c>
      <c r="M183">
        <f t="shared" ca="1" si="56"/>
        <v>272.66899540408434</v>
      </c>
      <c r="N183">
        <f t="shared" ca="1" si="45"/>
        <v>4.5900000000000318</v>
      </c>
      <c r="O183">
        <f t="shared" ca="1" si="46"/>
        <v>4.5900000000000318</v>
      </c>
      <c r="P183">
        <f t="shared" ca="1" si="47"/>
        <v>0</v>
      </c>
      <c r="Q183">
        <f t="shared" ca="1" si="51"/>
        <v>2.8217010844288533</v>
      </c>
      <c r="R183">
        <f t="shared" ca="1" si="52"/>
        <v>1.5298784752309129</v>
      </c>
      <c r="S183">
        <f t="shared" ca="1" si="49"/>
        <v>1.8443955713560571</v>
      </c>
      <c r="T183">
        <f t="shared" ca="1" si="50"/>
        <v>64.843145936862328</v>
      </c>
      <c r="U183">
        <f>70</f>
        <v>70</v>
      </c>
      <c r="V183">
        <f>30</f>
        <v>30</v>
      </c>
      <c r="W183">
        <f t="shared" ca="1" si="48"/>
        <v>305.90780128963581</v>
      </c>
      <c r="X183">
        <f t="shared" ca="1" si="58"/>
        <v>297.47966858517981</v>
      </c>
      <c r="Y183">
        <f t="shared" ca="1" si="57"/>
        <v>8.5275347374313242</v>
      </c>
      <c r="Z183">
        <f t="shared" ca="1" si="59"/>
        <v>8.4947521884511961</v>
      </c>
      <c r="AA183">
        <f t="shared" ca="1" si="60"/>
        <v>3.2782548980128112E-2</v>
      </c>
      <c r="AB183">
        <f t="shared" ca="1" si="61"/>
        <v>273.45490000000001</v>
      </c>
    </row>
    <row r="184" spans="1:28" x14ac:dyDescent="0.25">
      <c r="A184" s="20">
        <f t="shared" ca="1" si="41"/>
        <v>45971</v>
      </c>
      <c r="B184" vm="544">
        <f ca="1"/>
        <v>45973</v>
      </c>
      <c r="C184" vm="545">
        <f ca="1"/>
        <v>314.98</v>
      </c>
      <c r="D184" vm="546">
        <f ca="1"/>
        <v>6042686</v>
      </c>
      <c r="E184">
        <f t="shared" ca="1" si="42"/>
        <v>1903325236.2800002</v>
      </c>
      <c r="F184">
        <f ca="1">SUM($E$2:E184)/SUM($D$2:D184)</f>
        <v>264.72002075425218</v>
      </c>
      <c r="G184">
        <f ca="1">_xlfn.STDEV.P($C$2:C184)</f>
        <v>21.922247868500861</v>
      </c>
      <c r="H184">
        <f t="shared" ca="1" si="43"/>
        <v>286.64226862275302</v>
      </c>
      <c r="I184">
        <f t="shared" ca="1" si="44"/>
        <v>242.79777288575133</v>
      </c>
      <c r="J184">
        <f t="shared" ca="1" si="53"/>
        <v>301.16200000000009</v>
      </c>
      <c r="K184">
        <f t="shared" ca="1" si="54"/>
        <v>13.058178965488905</v>
      </c>
      <c r="L184">
        <f t="shared" ca="1" si="55"/>
        <v>327.2783579309779</v>
      </c>
      <c r="M184">
        <f t="shared" ca="1" si="56"/>
        <v>275.04564206902228</v>
      </c>
      <c r="N184">
        <f t="shared" ca="1" si="45"/>
        <v>1.2599999999999909</v>
      </c>
      <c r="O184">
        <f t="shared" ca="1" si="46"/>
        <v>1.2599999999999909</v>
      </c>
      <c r="P184">
        <f t="shared" ca="1" si="47"/>
        <v>0</v>
      </c>
      <c r="Q184">
        <f t="shared" ca="1" si="51"/>
        <v>2.7101510069696491</v>
      </c>
      <c r="R184">
        <f t="shared" ca="1" si="52"/>
        <v>1.4206014412858479</v>
      </c>
      <c r="S184">
        <f t="shared" ca="1" si="49"/>
        <v>1.9077490196804068</v>
      </c>
      <c r="T184">
        <f t="shared" ca="1" si="50"/>
        <v>65.609136372096145</v>
      </c>
      <c r="U184">
        <f>70</f>
        <v>70</v>
      </c>
      <c r="V184">
        <f>30</f>
        <v>30</v>
      </c>
      <c r="W184">
        <f t="shared" ca="1" si="48"/>
        <v>307.30352416815339</v>
      </c>
      <c r="X184">
        <f t="shared" ca="1" si="58"/>
        <v>298.77598943072206</v>
      </c>
      <c r="Y184">
        <f t="shared" ca="1" si="57"/>
        <v>7.7009404927546257</v>
      </c>
      <c r="Z184">
        <f t="shared" ca="1" si="59"/>
        <v>8.3359898493118827</v>
      </c>
      <c r="AA184">
        <f t="shared" ca="1" si="60"/>
        <v>-0.63504935655725703</v>
      </c>
      <c r="AB184">
        <f t="shared" ca="1" si="61"/>
        <v>273.71289999999999</v>
      </c>
    </row>
    <row r="185" spans="1:28" x14ac:dyDescent="0.25">
      <c r="A185" s="20">
        <f t="shared" ca="1" si="41"/>
        <v>45971</v>
      </c>
      <c r="B185" vm="547">
        <f ca="1"/>
        <v>45974</v>
      </c>
      <c r="C185" vm="548">
        <f ca="1"/>
        <v>304.86</v>
      </c>
      <c r="D185" vm="549">
        <f ca="1"/>
        <v>5310150</v>
      </c>
      <c r="E185">
        <f t="shared" ca="1" si="42"/>
        <v>1618852329</v>
      </c>
      <c r="F185">
        <f ca="1">SUM($E$2:E185)/SUM($D$2:D185)</f>
        <v>264.95414182134601</v>
      </c>
      <c r="G185">
        <f ca="1">_xlfn.STDEV.P($C$2:C185)</f>
        <v>22.062898199427341</v>
      </c>
      <c r="H185">
        <f t="shared" ca="1" si="43"/>
        <v>287.01704002077338</v>
      </c>
      <c r="I185">
        <f t="shared" ca="1" si="44"/>
        <v>242.89124362191868</v>
      </c>
      <c r="J185">
        <f t="shared" ca="1" si="53"/>
        <v>302.60649999999998</v>
      </c>
      <c r="K185">
        <f t="shared" ca="1" si="54"/>
        <v>11.646348998720589</v>
      </c>
      <c r="L185">
        <f t="shared" ca="1" si="55"/>
        <v>325.89919799744115</v>
      </c>
      <c r="M185">
        <f t="shared" ca="1" si="56"/>
        <v>279.31380200255882</v>
      </c>
      <c r="N185">
        <f t="shared" ca="1" si="45"/>
        <v>-10.120000000000005</v>
      </c>
      <c r="O185">
        <f t="shared" ca="1" si="46"/>
        <v>0</v>
      </c>
      <c r="P185">
        <f t="shared" ca="1" si="47"/>
        <v>10.120000000000005</v>
      </c>
      <c r="Q185">
        <f t="shared" ca="1" si="51"/>
        <v>2.5165687921861029</v>
      </c>
      <c r="R185">
        <f t="shared" ca="1" si="52"/>
        <v>2.0419870526225732</v>
      </c>
      <c r="S185">
        <f t="shared" ca="1" si="49"/>
        <v>1.2324117280538154</v>
      </c>
      <c r="T185">
        <f t="shared" ca="1" si="50"/>
        <v>55.205395696797126</v>
      </c>
      <c r="U185">
        <f>70</f>
        <v>70</v>
      </c>
      <c r="V185">
        <f>30</f>
        <v>30</v>
      </c>
      <c r="W185">
        <f t="shared" ca="1" si="48"/>
        <v>306.92759737305283</v>
      </c>
      <c r="X185">
        <f t="shared" ca="1" si="58"/>
        <v>299.22665688029821</v>
      </c>
      <c r="Y185">
        <f t="shared" ca="1" si="57"/>
        <v>7.0317747398854067</v>
      </c>
      <c r="Z185">
        <f t="shared" ca="1" si="59"/>
        <v>8.0751468274265878</v>
      </c>
      <c r="AA185">
        <f t="shared" ca="1" si="60"/>
        <v>-1.0433720875411812</v>
      </c>
      <c r="AB185">
        <f t="shared" ca="1" si="61"/>
        <v>273.8236</v>
      </c>
    </row>
    <row r="186" spans="1:28" x14ac:dyDescent="0.25">
      <c r="A186" s="20">
        <f t="shared" ca="1" si="41"/>
        <v>45971</v>
      </c>
      <c r="B186" vm="550">
        <f ca="1"/>
        <v>45975</v>
      </c>
      <c r="C186" vm="551">
        <f ca="1"/>
        <v>305.69</v>
      </c>
      <c r="D186" vm="552">
        <f ca="1"/>
        <v>3592455</v>
      </c>
      <c r="E186">
        <f t="shared" ca="1" si="42"/>
        <v>1098177568.95</v>
      </c>
      <c r="F186">
        <f ca="1">SUM($E$2:E186)/SUM($D$2:D186)</f>
        <v>265.1142503443948</v>
      </c>
      <c r="G186">
        <f ca="1">_xlfn.STDEV.P($C$2:C186)</f>
        <v>22.207168335503134</v>
      </c>
      <c r="H186">
        <f t="shared" ca="1" si="43"/>
        <v>287.32141867989793</v>
      </c>
      <c r="I186">
        <f t="shared" ca="1" si="44"/>
        <v>242.90708200889168</v>
      </c>
      <c r="J186">
        <f t="shared" ca="1" si="53"/>
        <v>303.82699999999994</v>
      </c>
      <c r="K186">
        <f t="shared" ca="1" si="54"/>
        <v>10.518173295476942</v>
      </c>
      <c r="L186">
        <f t="shared" ca="1" si="55"/>
        <v>324.86334659095382</v>
      </c>
      <c r="M186">
        <f t="shared" ca="1" si="56"/>
        <v>282.79065340904606</v>
      </c>
      <c r="N186">
        <f t="shared" ca="1" si="45"/>
        <v>0.82999999999998408</v>
      </c>
      <c r="O186">
        <f t="shared" ca="1" si="46"/>
        <v>0.82999999999998408</v>
      </c>
      <c r="P186">
        <f t="shared" ca="1" si="47"/>
        <v>0</v>
      </c>
      <c r="Q186">
        <f t="shared" ca="1" si="51"/>
        <v>2.3960995927442377</v>
      </c>
      <c r="R186">
        <f t="shared" ca="1" si="52"/>
        <v>1.8961308345781036</v>
      </c>
      <c r="S186">
        <f t="shared" ca="1" si="49"/>
        <v>1.2636784071271006</v>
      </c>
      <c r="T186">
        <f t="shared" ca="1" si="50"/>
        <v>55.824113670407414</v>
      </c>
      <c r="U186">
        <f>70</f>
        <v>70</v>
      </c>
      <c r="V186">
        <f>30</f>
        <v>30</v>
      </c>
      <c r="W186">
        <f t="shared" ca="1" si="48"/>
        <v>306.73719777719856</v>
      </c>
      <c r="X186">
        <f t="shared" ca="1" si="58"/>
        <v>299.70542303731315</v>
      </c>
      <c r="Y186">
        <f t="shared" ca="1" si="57"/>
        <v>5.7477072726530309</v>
      </c>
      <c r="Z186">
        <f t="shared" ca="1" si="59"/>
        <v>7.6096589164718766</v>
      </c>
      <c r="AA186">
        <f t="shared" ca="1" si="60"/>
        <v>-1.8619516438188457</v>
      </c>
      <c r="AB186">
        <f t="shared" ca="1" si="61"/>
        <v>273.9699</v>
      </c>
    </row>
    <row r="187" spans="1:28" x14ac:dyDescent="0.25">
      <c r="A187" s="20">
        <f t="shared" ca="1" si="41"/>
        <v>45978</v>
      </c>
      <c r="B187" vm="553">
        <f ca="1"/>
        <v>45978</v>
      </c>
      <c r="C187" vm="554">
        <f ca="1"/>
        <v>297.17</v>
      </c>
      <c r="D187" vm="555">
        <f ca="1"/>
        <v>3909741</v>
      </c>
      <c r="E187">
        <f t="shared" ca="1" si="42"/>
        <v>1161857732.97</v>
      </c>
      <c r="F187">
        <f ca="1">SUM($E$2:E187)/SUM($D$2:D187)</f>
        <v>265.25078610693475</v>
      </c>
      <c r="G187">
        <f ca="1">_xlfn.STDEV.P($C$2:C187)</f>
        <v>22.272324941994079</v>
      </c>
      <c r="H187">
        <f t="shared" ca="1" si="43"/>
        <v>287.52311104892885</v>
      </c>
      <c r="I187">
        <f t="shared" ca="1" si="44"/>
        <v>242.97846116494068</v>
      </c>
      <c r="J187">
        <f t="shared" ca="1" si="53"/>
        <v>304.50299999999999</v>
      </c>
      <c r="K187">
        <f t="shared" ca="1" si="54"/>
        <v>9.5423494293375661</v>
      </c>
      <c r="L187">
        <f t="shared" ca="1" si="55"/>
        <v>323.58769885867514</v>
      </c>
      <c r="M187">
        <f t="shared" ca="1" si="56"/>
        <v>285.41830114132483</v>
      </c>
      <c r="N187">
        <f t="shared" ca="1" si="45"/>
        <v>-8.5199999999999818</v>
      </c>
      <c r="O187">
        <f t="shared" ca="1" si="46"/>
        <v>0</v>
      </c>
      <c r="P187">
        <f t="shared" ca="1" si="47"/>
        <v>8.5199999999999818</v>
      </c>
      <c r="Q187">
        <f t="shared" ca="1" si="51"/>
        <v>2.2249496218339351</v>
      </c>
      <c r="R187">
        <f t="shared" ca="1" si="52"/>
        <v>2.369264346393952</v>
      </c>
      <c r="S187">
        <f t="shared" ca="1" si="49"/>
        <v>0.93908880417684681</v>
      </c>
      <c r="T187">
        <f t="shared" ca="1" si="50"/>
        <v>48.429386119605539</v>
      </c>
      <c r="U187">
        <f>70</f>
        <v>70</v>
      </c>
      <c r="V187">
        <f>30</f>
        <v>30</v>
      </c>
      <c r="W187">
        <f t="shared" ca="1" si="48"/>
        <v>305.26532119609112</v>
      </c>
      <c r="X187">
        <f t="shared" ca="1" si="58"/>
        <v>299.51761392343809</v>
      </c>
      <c r="Y187">
        <f t="shared" ca="1" si="57"/>
        <v>4.1002161541928217</v>
      </c>
      <c r="Z187">
        <f t="shared" ca="1" si="59"/>
        <v>6.9077703640160664</v>
      </c>
      <c r="AA187">
        <f t="shared" ca="1" si="60"/>
        <v>-2.8075542098232447</v>
      </c>
      <c r="AB187">
        <f t="shared" ca="1" si="61"/>
        <v>274.02229999999997</v>
      </c>
    </row>
    <row r="188" spans="1:28" x14ac:dyDescent="0.25">
      <c r="A188" s="20">
        <f t="shared" ca="1" si="41"/>
        <v>45978</v>
      </c>
      <c r="B188" vm="556">
        <f ca="1"/>
        <v>45979</v>
      </c>
      <c r="C188" vm="557">
        <f ca="1"/>
        <v>289.95</v>
      </c>
      <c r="D188" vm="558">
        <f ca="1"/>
        <v>4861928</v>
      </c>
      <c r="E188">
        <f t="shared" ca="1" si="42"/>
        <v>1409716023.5999999</v>
      </c>
      <c r="F188">
        <f ca="1">SUM($E$2:E188)/SUM($D$2:D188)</f>
        <v>265.38091984771916</v>
      </c>
      <c r="G188">
        <f ca="1">_xlfn.STDEV.P($C$2:C188)</f>
        <v>22.28633743011785</v>
      </c>
      <c r="H188">
        <f t="shared" ca="1" si="43"/>
        <v>287.667257277837</v>
      </c>
      <c r="I188">
        <f t="shared" ca="1" si="44"/>
        <v>243.09458241760132</v>
      </c>
      <c r="J188">
        <f t="shared" ca="1" si="53"/>
        <v>304.89800000000002</v>
      </c>
      <c r="K188">
        <f t="shared" ca="1" si="54"/>
        <v>8.6893895370339926</v>
      </c>
      <c r="L188">
        <f t="shared" ca="1" si="55"/>
        <v>322.27677907406803</v>
      </c>
      <c r="M188">
        <f t="shared" ca="1" si="56"/>
        <v>287.51922092593202</v>
      </c>
      <c r="N188">
        <f t="shared" ca="1" si="45"/>
        <v>-7.2200000000000273</v>
      </c>
      <c r="O188">
        <f t="shared" ca="1" si="46"/>
        <v>0</v>
      </c>
      <c r="P188">
        <f t="shared" ca="1" si="47"/>
        <v>7.2200000000000273</v>
      </c>
      <c r="Q188">
        <f t="shared" ca="1" si="51"/>
        <v>2.0660246488457967</v>
      </c>
      <c r="R188">
        <f t="shared" ca="1" si="52"/>
        <v>2.7157454645086716</v>
      </c>
      <c r="S188">
        <f t="shared" ca="1" si="49"/>
        <v>0.76075783826065546</v>
      </c>
      <c r="T188">
        <f t="shared" ca="1" si="50"/>
        <v>43.206272988235646</v>
      </c>
      <c r="U188">
        <f>70</f>
        <v>70</v>
      </c>
      <c r="V188">
        <f>30</f>
        <v>30</v>
      </c>
      <c r="W188">
        <f t="shared" ca="1" si="48"/>
        <v>302.90911793515403</v>
      </c>
      <c r="X188">
        <f t="shared" ca="1" si="58"/>
        <v>298.80890178096121</v>
      </c>
      <c r="Y188">
        <f t="shared" ca="1" si="57"/>
        <v>2.649444296092156</v>
      </c>
      <c r="Z188">
        <f t="shared" ca="1" si="59"/>
        <v>6.0561051504312848</v>
      </c>
      <c r="AA188">
        <f t="shared" ca="1" si="60"/>
        <v>-3.4066608543391288</v>
      </c>
      <c r="AB188">
        <f t="shared" ca="1" si="61"/>
        <v>274.02479999999997</v>
      </c>
    </row>
    <row r="189" spans="1:28" x14ac:dyDescent="0.25">
      <c r="A189" s="20">
        <f t="shared" ca="1" si="41"/>
        <v>45978</v>
      </c>
      <c r="B189" vm="559">
        <f ca="1"/>
        <v>45980</v>
      </c>
      <c r="C189" vm="560">
        <f ca="1"/>
        <v>288.52999999999997</v>
      </c>
      <c r="D189" vm="561">
        <f ca="1"/>
        <v>3595912</v>
      </c>
      <c r="E189">
        <f t="shared" ca="1" si="42"/>
        <v>1037528489.3599999</v>
      </c>
      <c r="F189">
        <f ca="1">SUM($E$2:E189)/SUM($D$2:D189)</f>
        <v>265.47077686257018</v>
      </c>
      <c r="G189">
        <f ca="1">_xlfn.STDEV.P($C$2:C189)</f>
        <v>22.291334364795841</v>
      </c>
      <c r="H189">
        <f t="shared" ca="1" si="43"/>
        <v>287.76211122736601</v>
      </c>
      <c r="I189">
        <f t="shared" ca="1" si="44"/>
        <v>243.17944249777435</v>
      </c>
      <c r="J189">
        <f t="shared" ca="1" si="53"/>
        <v>304.94899999999996</v>
      </c>
      <c r="K189">
        <f t="shared" ca="1" si="54"/>
        <v>8.5843222458766473</v>
      </c>
      <c r="L189">
        <f t="shared" ca="1" si="55"/>
        <v>322.11764449175325</v>
      </c>
      <c r="M189">
        <f t="shared" ca="1" si="56"/>
        <v>287.78035550824666</v>
      </c>
      <c r="N189">
        <f t="shared" ca="1" si="45"/>
        <v>-1.4200000000000159</v>
      </c>
      <c r="O189">
        <f t="shared" ca="1" si="46"/>
        <v>0</v>
      </c>
      <c r="P189">
        <f t="shared" ca="1" si="47"/>
        <v>1.4200000000000159</v>
      </c>
      <c r="Q189">
        <f t="shared" ca="1" si="51"/>
        <v>1.9184514596425255</v>
      </c>
      <c r="R189">
        <f t="shared" ca="1" si="52"/>
        <v>2.6231922170437678</v>
      </c>
      <c r="S189">
        <f t="shared" ca="1" si="49"/>
        <v>0.73134231154609908</v>
      </c>
      <c r="T189">
        <f t="shared" ca="1" si="50"/>
        <v>42.241346882639633</v>
      </c>
      <c r="U189">
        <f>70</f>
        <v>70</v>
      </c>
      <c r="V189">
        <f>30</f>
        <v>30</v>
      </c>
      <c r="W189">
        <f t="shared" ca="1" si="48"/>
        <v>300.69694594513032</v>
      </c>
      <c r="X189">
        <f t="shared" ca="1" si="58"/>
        <v>298.04750164903817</v>
      </c>
      <c r="Y189">
        <f t="shared" ca="1" si="57"/>
        <v>1.6317803697045292</v>
      </c>
      <c r="Z189">
        <f t="shared" ca="1" si="59"/>
        <v>5.1712401942859341</v>
      </c>
      <c r="AA189">
        <f t="shared" ca="1" si="60"/>
        <v>-3.5394598245814048</v>
      </c>
      <c r="AB189">
        <f t="shared" ca="1" si="61"/>
        <v>273.96229999999997</v>
      </c>
    </row>
    <row r="190" spans="1:28" x14ac:dyDescent="0.25">
      <c r="A190" s="20">
        <f t="shared" ca="1" si="41"/>
        <v>45978</v>
      </c>
      <c r="B190" vm="562">
        <f ca="1"/>
        <v>45981</v>
      </c>
      <c r="C190" vm="563">
        <f ca="1"/>
        <v>290.39999999999998</v>
      </c>
      <c r="D190" vm="564">
        <f ca="1"/>
        <v>5597028</v>
      </c>
      <c r="E190">
        <f t="shared" ca="1" si="42"/>
        <v>1625376931.1999998</v>
      </c>
      <c r="F190">
        <f ca="1">SUM($E$2:E190)/SUM($D$2:D190)</f>
        <v>265.62048982016307</v>
      </c>
      <c r="G190">
        <f ca="1">_xlfn.STDEV.P($C$2:C190)</f>
        <v>22.306228105515476</v>
      </c>
      <c r="H190">
        <f t="shared" ca="1" si="43"/>
        <v>287.92671792567853</v>
      </c>
      <c r="I190">
        <f t="shared" ca="1" si="44"/>
        <v>243.31426171464759</v>
      </c>
      <c r="J190">
        <f t="shared" ca="1" si="53"/>
        <v>305.21899999999994</v>
      </c>
      <c r="K190">
        <f t="shared" ca="1" si="54"/>
        <v>7.9880633974765969</v>
      </c>
      <c r="L190">
        <f t="shared" ca="1" si="55"/>
        <v>321.19512679495313</v>
      </c>
      <c r="M190">
        <f t="shared" ca="1" si="56"/>
        <v>289.24287320504675</v>
      </c>
      <c r="N190">
        <f t="shared" ca="1" si="45"/>
        <v>1.8700000000000045</v>
      </c>
      <c r="O190">
        <f t="shared" ca="1" si="46"/>
        <v>1.8700000000000045</v>
      </c>
      <c r="P190">
        <f t="shared" ca="1" si="47"/>
        <v>0</v>
      </c>
      <c r="Q190">
        <f t="shared" ca="1" si="51"/>
        <v>1.9149906410966311</v>
      </c>
      <c r="R190">
        <f t="shared" ca="1" si="52"/>
        <v>2.4358213443977843</v>
      </c>
      <c r="S190">
        <f t="shared" ca="1" si="49"/>
        <v>0.78617861096462316</v>
      </c>
      <c r="T190">
        <f t="shared" ca="1" si="50"/>
        <v>44.014557454590083</v>
      </c>
      <c r="U190">
        <f>70</f>
        <v>70</v>
      </c>
      <c r="V190">
        <f>30</f>
        <v>30</v>
      </c>
      <c r="W190">
        <f t="shared" ca="1" si="48"/>
        <v>299.11280041511026</v>
      </c>
      <c r="X190">
        <f t="shared" ca="1" si="58"/>
        <v>297.48102004540573</v>
      </c>
      <c r="Y190">
        <f t="shared" ca="1" si="57"/>
        <v>1.3774649815694602</v>
      </c>
      <c r="Z190">
        <f t="shared" ca="1" si="59"/>
        <v>4.4124851517426391</v>
      </c>
      <c r="AA190">
        <f t="shared" ca="1" si="60"/>
        <v>-3.0350201701731789</v>
      </c>
      <c r="AB190">
        <f t="shared" ca="1" si="61"/>
        <v>273.95429999999999</v>
      </c>
    </row>
    <row r="191" spans="1:28" x14ac:dyDescent="0.25">
      <c r="A191" s="20">
        <f t="shared" ca="1" si="41"/>
        <v>45978</v>
      </c>
      <c r="B191" vm="565">
        <f ca="1"/>
        <v>45982</v>
      </c>
      <c r="C191" vm="566">
        <f ca="1"/>
        <v>297.44</v>
      </c>
      <c r="D191" vm="567">
        <f ca="1"/>
        <v>5710903</v>
      </c>
      <c r="E191">
        <f t="shared" ca="1" si="42"/>
        <v>1698650988.3199999</v>
      </c>
      <c r="F191">
        <f ca="1">SUM($E$2:E191)/SUM($D$2:D191)</f>
        <v>265.81428292936846</v>
      </c>
      <c r="G191">
        <f ca="1">_xlfn.STDEV.P($C$2:C191)</f>
        <v>22.367035392932568</v>
      </c>
      <c r="H191">
        <f t="shared" ca="1" si="43"/>
        <v>288.18131832230102</v>
      </c>
      <c r="I191">
        <f t="shared" ca="1" si="44"/>
        <v>243.4472475364359</v>
      </c>
      <c r="J191">
        <f t="shared" ca="1" si="53"/>
        <v>304.71799999999996</v>
      </c>
      <c r="K191">
        <f t="shared" ca="1" si="54"/>
        <v>8.1526383201358499</v>
      </c>
      <c r="L191">
        <f t="shared" ca="1" si="55"/>
        <v>321.02327664027166</v>
      </c>
      <c r="M191">
        <f t="shared" ca="1" si="56"/>
        <v>288.41272335972826</v>
      </c>
      <c r="N191">
        <f t="shared" ca="1" si="45"/>
        <v>7.0400000000000205</v>
      </c>
      <c r="O191">
        <f t="shared" ca="1" si="46"/>
        <v>7.0400000000000205</v>
      </c>
      <c r="P191">
        <f t="shared" ca="1" si="47"/>
        <v>0</v>
      </c>
      <c r="Q191">
        <f t="shared" ca="1" si="51"/>
        <v>2.2810627381611588</v>
      </c>
      <c r="R191">
        <f t="shared" ca="1" si="52"/>
        <v>2.2618341055122282</v>
      </c>
      <c r="S191">
        <f t="shared" ca="1" si="49"/>
        <v>1.0085013452587301</v>
      </c>
      <c r="T191">
        <f t="shared" ca="1" si="50"/>
        <v>50.211634044428152</v>
      </c>
      <c r="U191">
        <f>70</f>
        <v>70</v>
      </c>
      <c r="V191">
        <f>30</f>
        <v>30</v>
      </c>
      <c r="W191">
        <f t="shared" ca="1" si="48"/>
        <v>298.85544650509331</v>
      </c>
      <c r="X191">
        <f t="shared" ca="1" si="58"/>
        <v>297.47798152352385</v>
      </c>
      <c r="Y191">
        <f t="shared" ca="1" si="57"/>
        <v>1.6953949198503437</v>
      </c>
      <c r="Z191">
        <f t="shared" ca="1" si="59"/>
        <v>3.8690671053641803</v>
      </c>
      <c r="AA191">
        <f t="shared" ca="1" si="60"/>
        <v>-2.1736721855138366</v>
      </c>
      <c r="AB191">
        <f t="shared" ca="1" si="61"/>
        <v>274.05219999999991</v>
      </c>
    </row>
    <row r="192" spans="1:28" x14ac:dyDescent="0.25">
      <c r="A192" s="20">
        <f t="shared" ca="1" si="41"/>
        <v>45985</v>
      </c>
      <c r="B192" vm="568">
        <f ca="1"/>
        <v>45985</v>
      </c>
      <c r="C192" vm="569">
        <f ca="1"/>
        <v>304.12</v>
      </c>
      <c r="D192" vm="570">
        <f ca="1"/>
        <v>6050640</v>
      </c>
      <c r="E192">
        <f t="shared" ca="1" si="42"/>
        <v>1840120636.8</v>
      </c>
      <c r="F192">
        <f ca="1">SUM($E$2:E192)/SUM($D$2:D192)</f>
        <v>266.05987344956321</v>
      </c>
      <c r="G192">
        <f ca="1">_xlfn.STDEV.P($C$2:C192)</f>
        <v>22.48018353870545</v>
      </c>
      <c r="H192">
        <f t="shared" ca="1" si="43"/>
        <v>288.54005698826865</v>
      </c>
      <c r="I192">
        <f t="shared" ca="1" si="44"/>
        <v>243.57968991085775</v>
      </c>
      <c r="J192">
        <f t="shared" ca="1" si="53"/>
        <v>304.26949999999994</v>
      </c>
      <c r="K192">
        <f t="shared" ca="1" si="54"/>
        <v>7.9109813583797362</v>
      </c>
      <c r="L192">
        <f t="shared" ca="1" si="55"/>
        <v>320.09146271675939</v>
      </c>
      <c r="M192">
        <f t="shared" ca="1" si="56"/>
        <v>288.44753728324048</v>
      </c>
      <c r="N192">
        <f t="shared" ca="1" si="45"/>
        <v>6.6800000000000068</v>
      </c>
      <c r="O192">
        <f t="shared" ca="1" si="46"/>
        <v>6.6800000000000068</v>
      </c>
      <c r="P192">
        <f t="shared" ca="1" si="47"/>
        <v>0</v>
      </c>
      <c r="Q192">
        <f t="shared" ca="1" si="51"/>
        <v>2.5952725425782193</v>
      </c>
      <c r="R192">
        <f t="shared" ca="1" si="52"/>
        <v>2.1002745265470688</v>
      </c>
      <c r="S192">
        <f t="shared" ca="1" si="49"/>
        <v>1.235682530914159</v>
      </c>
      <c r="T192">
        <f t="shared" ca="1" si="50"/>
        <v>55.27093018922033</v>
      </c>
      <c r="U192">
        <f>70</f>
        <v>70</v>
      </c>
      <c r="V192">
        <f>30</f>
        <v>30</v>
      </c>
      <c r="W192">
        <f t="shared" ca="1" si="48"/>
        <v>299.66537781200202</v>
      </c>
      <c r="X192">
        <f t="shared" ca="1" si="58"/>
        <v>297.96998289215168</v>
      </c>
      <c r="Y192">
        <f t="shared" ca="1" si="57"/>
        <v>1.9538825362259331</v>
      </c>
      <c r="Z192">
        <f t="shared" ca="1" si="59"/>
        <v>3.486030191536531</v>
      </c>
      <c r="AA192">
        <f t="shared" ca="1" si="60"/>
        <v>-1.5321476553105979</v>
      </c>
      <c r="AB192">
        <f t="shared" ca="1" si="61"/>
        <v>274.17369999999994</v>
      </c>
    </row>
    <row r="193" spans="1:28" x14ac:dyDescent="0.25">
      <c r="A193" s="20">
        <f t="shared" ca="1" si="41"/>
        <v>45985</v>
      </c>
      <c r="B193" vm="571">
        <f ca="1"/>
        <v>45986</v>
      </c>
      <c r="C193" vm="572">
        <f ca="1"/>
        <v>304.48</v>
      </c>
      <c r="D193" vm="573">
        <f ca="1"/>
        <v>2825322</v>
      </c>
      <c r="E193">
        <f t="shared" ca="1" si="42"/>
        <v>860254042.56000006</v>
      </c>
      <c r="F193">
        <f ca="1">SUM($E$2:E193)/SUM($D$2:D193)</f>
        <v>266.17455015469858</v>
      </c>
      <c r="G193">
        <f ca="1">_xlfn.STDEV.P($C$2:C193)</f>
        <v>22.593002206329366</v>
      </c>
      <c r="H193">
        <f t="shared" ca="1" si="43"/>
        <v>288.76755236102792</v>
      </c>
      <c r="I193">
        <f t="shared" ca="1" si="44"/>
        <v>243.58154794836921</v>
      </c>
      <c r="J193">
        <f t="shared" ca="1" si="53"/>
        <v>303.86499999999995</v>
      </c>
      <c r="K193">
        <f t="shared" ca="1" si="54"/>
        <v>7.6673006984205436</v>
      </c>
      <c r="L193">
        <f t="shared" ca="1" si="55"/>
        <v>319.19960139684105</v>
      </c>
      <c r="M193">
        <f t="shared" ca="1" si="56"/>
        <v>288.53039860315886</v>
      </c>
      <c r="N193">
        <f t="shared" ca="1" si="45"/>
        <v>0.36000000000001364</v>
      </c>
      <c r="O193">
        <f t="shared" ca="1" si="46"/>
        <v>0.36000000000001364</v>
      </c>
      <c r="P193">
        <f t="shared" ca="1" si="47"/>
        <v>0</v>
      </c>
      <c r="Q193">
        <f t="shared" ca="1" si="51"/>
        <v>2.4356102181083474</v>
      </c>
      <c r="R193">
        <f t="shared" ca="1" si="52"/>
        <v>1.9502549175079924</v>
      </c>
      <c r="S193">
        <f t="shared" ca="1" si="49"/>
        <v>1.2488676204547327</v>
      </c>
      <c r="T193">
        <f t="shared" ca="1" si="50"/>
        <v>55.533176301511475</v>
      </c>
      <c r="U193">
        <f>70</f>
        <v>70</v>
      </c>
      <c r="V193">
        <f>30</f>
        <v>30</v>
      </c>
      <c r="W193">
        <f t="shared" ca="1" si="48"/>
        <v>300.40608891784785</v>
      </c>
      <c r="X193">
        <f t="shared" ca="1" si="58"/>
        <v>298.45220638162192</v>
      </c>
      <c r="Y193">
        <f t="shared" ca="1" si="57"/>
        <v>2.0328243150248113</v>
      </c>
      <c r="Z193">
        <f t="shared" ca="1" si="59"/>
        <v>3.1953890162341869</v>
      </c>
      <c r="AA193">
        <f t="shared" ca="1" si="60"/>
        <v>-1.1625647012093756</v>
      </c>
      <c r="AB193">
        <f t="shared" ca="1" si="61"/>
        <v>274.29379999999992</v>
      </c>
    </row>
    <row r="194" spans="1:28" x14ac:dyDescent="0.25">
      <c r="A194" s="20">
        <f t="shared" ca="1" si="41"/>
        <v>45985</v>
      </c>
      <c r="B194" vm="574">
        <f ca="1"/>
        <v>45987</v>
      </c>
      <c r="C194" vm="575">
        <f ca="1"/>
        <v>303.20999999999998</v>
      </c>
      <c r="D194" vm="576">
        <f ca="1"/>
        <v>2196446</v>
      </c>
      <c r="E194">
        <f t="shared" ca="1" si="42"/>
        <v>665984391.65999997</v>
      </c>
      <c r="F194">
        <f ca="1">SUM($E$2:E194)/SUM($D$2:D194)</f>
        <v>266.2602894747472</v>
      </c>
      <c r="G194">
        <f ca="1">_xlfn.STDEV.P($C$2:C194)</f>
        <v>22.691457797684134</v>
      </c>
      <c r="H194">
        <f t="shared" ca="1" si="43"/>
        <v>288.95174727243131</v>
      </c>
      <c r="I194">
        <f t="shared" ca="1" si="44"/>
        <v>243.56883167706306</v>
      </c>
      <c r="J194">
        <f t="shared" ca="1" si="53"/>
        <v>303.61500000000001</v>
      </c>
      <c r="K194">
        <f t="shared" ca="1" si="54"/>
        <v>7.5993853629577837</v>
      </c>
      <c r="L194">
        <f t="shared" ca="1" si="55"/>
        <v>318.81377072591556</v>
      </c>
      <c r="M194">
        <f t="shared" ca="1" si="56"/>
        <v>288.41622927408446</v>
      </c>
      <c r="N194">
        <f t="shared" ca="1" si="45"/>
        <v>-1.2700000000000387</v>
      </c>
      <c r="O194">
        <f t="shared" ca="1" si="46"/>
        <v>0</v>
      </c>
      <c r="P194">
        <f t="shared" ca="1" si="47"/>
        <v>1.2700000000000387</v>
      </c>
      <c r="Q194">
        <f t="shared" ca="1" si="51"/>
        <v>2.2616380596720367</v>
      </c>
      <c r="R194">
        <f t="shared" ca="1" si="52"/>
        <v>1.9016652805431384</v>
      </c>
      <c r="S194">
        <f t="shared" ca="1" si="49"/>
        <v>1.1892934486483793</v>
      </c>
      <c r="T194">
        <f t="shared" ca="1" si="50"/>
        <v>54.323162999579715</v>
      </c>
      <c r="U194">
        <f>70</f>
        <v>70</v>
      </c>
      <c r="V194">
        <f>30</f>
        <v>30</v>
      </c>
      <c r="W194">
        <f t="shared" ca="1" si="48"/>
        <v>300.83745985356359</v>
      </c>
      <c r="X194">
        <f t="shared" ca="1" si="58"/>
        <v>298.80463553853878</v>
      </c>
      <c r="Y194">
        <f t="shared" ca="1" si="57"/>
        <v>2.4998832663341659</v>
      </c>
      <c r="Z194">
        <f t="shared" ca="1" si="59"/>
        <v>3.0562878662541828</v>
      </c>
      <c r="AA194">
        <f t="shared" ca="1" si="60"/>
        <v>-0.5564045999200169</v>
      </c>
      <c r="AB194">
        <f t="shared" ca="1" si="61"/>
        <v>274.42169999999993</v>
      </c>
    </row>
    <row r="195" spans="1:28" x14ac:dyDescent="0.25">
      <c r="A195" s="20">
        <f t="shared" ref="A195:A252" ca="1" si="62">B195 - WEEKDAY(B195, 2) + 1</f>
        <v>45985</v>
      </c>
      <c r="B195" vm="577">
        <f ca="1"/>
        <v>45989</v>
      </c>
      <c r="C195" vm="578">
        <f ca="1"/>
        <v>308.58</v>
      </c>
      <c r="D195" vm="579">
        <f ca="1"/>
        <v>1689031</v>
      </c>
      <c r="E195">
        <f t="shared" ref="E195:E251" ca="1" si="63">C195*D195</f>
        <v>521201185.97999996</v>
      </c>
      <c r="F195">
        <f ca="1">SUM($E$2:E195)/SUM($D$2:D195)</f>
        <v>266.33549499615827</v>
      </c>
      <c r="G195">
        <f ca="1">_xlfn.STDEV.P($C$2:C195)</f>
        <v>22.834705361458635</v>
      </c>
      <c r="H195">
        <f t="shared" ref="H195:H251" ca="1" si="64">F195 + G195</f>
        <v>289.17020035761692</v>
      </c>
      <c r="I195">
        <f t="shared" ref="I195:I251" ca="1" si="65">F195 - G195</f>
        <v>243.50078963469963</v>
      </c>
      <c r="J195">
        <f t="shared" ca="1" si="53"/>
        <v>303.54100000000005</v>
      </c>
      <c r="K195">
        <f t="shared" ca="1" si="54"/>
        <v>7.5402993797887268</v>
      </c>
      <c r="L195">
        <f t="shared" ca="1" si="55"/>
        <v>318.62159875957752</v>
      </c>
      <c r="M195">
        <f t="shared" ca="1" si="56"/>
        <v>288.46040124042258</v>
      </c>
      <c r="N195">
        <f t="shared" ca="1" si="45"/>
        <v>5.3700000000000045</v>
      </c>
      <c r="O195">
        <f t="shared" ca="1" si="46"/>
        <v>5.3700000000000045</v>
      </c>
      <c r="P195">
        <f t="shared" ca="1" si="47"/>
        <v>0</v>
      </c>
      <c r="Q195">
        <f t="shared" ca="1" si="51"/>
        <v>2.4836639125526054</v>
      </c>
      <c r="R195">
        <f t="shared" ca="1" si="52"/>
        <v>1.7658320462186285</v>
      </c>
      <c r="S195">
        <f t="shared" ca="1" si="49"/>
        <v>1.4065119714364396</v>
      </c>
      <c r="T195">
        <f t="shared" ca="1" si="50"/>
        <v>58.446082468349282</v>
      </c>
      <c r="U195">
        <f>70</f>
        <v>70</v>
      </c>
      <c r="V195">
        <f>30</f>
        <v>30</v>
      </c>
      <c r="W195">
        <f t="shared" ca="1" si="48"/>
        <v>302.02861987609225</v>
      </c>
      <c r="X195">
        <f t="shared" ca="1" si="58"/>
        <v>299.52873660975808</v>
      </c>
      <c r="Y195">
        <f t="shared" ca="1" si="57"/>
        <v>2.6051871938120144</v>
      </c>
      <c r="Z195">
        <f t="shared" ca="1" si="59"/>
        <v>2.9660677317657496</v>
      </c>
      <c r="AA195">
        <f t="shared" ca="1" si="60"/>
        <v>-0.3608805379537352</v>
      </c>
      <c r="AB195">
        <f t="shared" ca="1" si="61"/>
        <v>274.60609999999997</v>
      </c>
    </row>
    <row r="196" spans="1:28" x14ac:dyDescent="0.25">
      <c r="A196" s="20">
        <f t="shared" ca="1" si="62"/>
        <v>45992</v>
      </c>
      <c r="B196" vm="580">
        <f ca="1"/>
        <v>45992</v>
      </c>
      <c r="C196" vm="581">
        <f ca="1"/>
        <v>305.67</v>
      </c>
      <c r="D196" vm="582">
        <f ca="1"/>
        <v>3166555</v>
      </c>
      <c r="E196">
        <f t="shared" ca="1" si="63"/>
        <v>967920866.85000002</v>
      </c>
      <c r="F196">
        <f ca="1">SUM($E$2:E196)/SUM($D$2:D196)</f>
        <v>266.46610776620327</v>
      </c>
      <c r="G196">
        <f ca="1">_xlfn.STDEV.P($C$2:C196)</f>
        <v>22.947296654225205</v>
      </c>
      <c r="H196">
        <f t="shared" ca="1" si="64"/>
        <v>289.41340442042849</v>
      </c>
      <c r="I196">
        <f t="shared" ca="1" si="65"/>
        <v>243.51881111197807</v>
      </c>
      <c r="J196">
        <f t="shared" ca="1" si="53"/>
        <v>303.45399999999995</v>
      </c>
      <c r="K196">
        <f t="shared" ca="1" si="54"/>
        <v>7.5032564158574111</v>
      </c>
      <c r="L196">
        <f t="shared" ca="1" si="55"/>
        <v>318.46051283171477</v>
      </c>
      <c r="M196">
        <f t="shared" ca="1" si="56"/>
        <v>288.44748716828514</v>
      </c>
      <c r="N196">
        <f t="shared" ref="N196:N251" ca="1" si="66">C196-C195</f>
        <v>-2.9099999999999682</v>
      </c>
      <c r="O196">
        <f t="shared" ref="O196:O251" ca="1" si="67">MAX(N196,0)</f>
        <v>0</v>
      </c>
      <c r="P196">
        <f t="shared" ref="P196:P251" ca="1" si="68">MAX(-N196,0)</f>
        <v>2.9099999999999682</v>
      </c>
      <c r="Q196">
        <f t="shared" ca="1" si="51"/>
        <v>2.3062593473702764</v>
      </c>
      <c r="R196">
        <f t="shared" ca="1" si="52"/>
        <v>1.8475583286315813</v>
      </c>
      <c r="S196">
        <f t="shared" ca="1" si="49"/>
        <v>1.2482741744226491</v>
      </c>
      <c r="T196">
        <f t="shared" ca="1" si="50"/>
        <v>55.521439005240659</v>
      </c>
      <c r="U196">
        <f>70</f>
        <v>70</v>
      </c>
      <c r="V196">
        <f>30</f>
        <v>30</v>
      </c>
      <c r="W196">
        <f t="shared" ca="1" si="48"/>
        <v>302.5888322028473</v>
      </c>
      <c r="X196">
        <f t="shared" ca="1" si="58"/>
        <v>299.98364500903529</v>
      </c>
      <c r="Y196">
        <f t="shared" ca="1" si="57"/>
        <v>2.3476881376329857</v>
      </c>
      <c r="Z196">
        <f t="shared" ca="1" si="59"/>
        <v>2.842391812939197</v>
      </c>
      <c r="AA196">
        <f t="shared" ca="1" si="60"/>
        <v>-0.49470367530621129</v>
      </c>
      <c r="AB196">
        <f t="shared" ca="1" si="61"/>
        <v>274.78849999999994</v>
      </c>
    </row>
    <row r="197" spans="1:28" x14ac:dyDescent="0.25">
      <c r="A197" s="20">
        <f t="shared" ca="1" si="62"/>
        <v>45992</v>
      </c>
      <c r="B197" vm="583">
        <f ca="1"/>
        <v>45993</v>
      </c>
      <c r="C197" vm="584">
        <f ca="1"/>
        <v>301.77999999999997</v>
      </c>
      <c r="D197" vm="585">
        <f ca="1"/>
        <v>4261100</v>
      </c>
      <c r="E197">
        <f t="shared" ca="1" si="63"/>
        <v>1285914758</v>
      </c>
      <c r="F197">
        <f ca="1">SUM($E$2:E197)/SUM($D$2:D197)</f>
        <v>266.62320045541026</v>
      </c>
      <c r="G197">
        <f ca="1">_xlfn.STDEV.P($C$2:C197)</f>
        <v>23.024742986071658</v>
      </c>
      <c r="H197">
        <f t="shared" ca="1" si="64"/>
        <v>289.64794344148191</v>
      </c>
      <c r="I197">
        <f t="shared" ca="1" si="65"/>
        <v>243.5984574693386</v>
      </c>
      <c r="J197">
        <f t="shared" ca="1" si="53"/>
        <v>303.30649999999997</v>
      </c>
      <c r="K197">
        <f t="shared" ca="1" si="54"/>
        <v>7.505847737808037</v>
      </c>
      <c r="L197">
        <f t="shared" ca="1" si="55"/>
        <v>318.31819547561605</v>
      </c>
      <c r="M197">
        <f t="shared" ca="1" si="56"/>
        <v>288.29480452438389</v>
      </c>
      <c r="N197">
        <f t="shared" ca="1" si="66"/>
        <v>-3.8900000000000432</v>
      </c>
      <c r="O197">
        <f t="shared" ca="1" si="67"/>
        <v>0</v>
      </c>
      <c r="P197">
        <f t="shared" ca="1" si="68"/>
        <v>3.8900000000000432</v>
      </c>
      <c r="Q197">
        <f t="shared" ca="1" si="51"/>
        <v>2.1415265368438279</v>
      </c>
      <c r="R197">
        <f t="shared" ca="1" si="52"/>
        <v>1.9934470194436142</v>
      </c>
      <c r="S197">
        <f t="shared" ca="1" si="49"/>
        <v>1.0742831467081295</v>
      </c>
      <c r="T197">
        <f t="shared" ca="1" si="50"/>
        <v>51.790573934566652</v>
      </c>
      <c r="U197">
        <f>70</f>
        <v>70</v>
      </c>
      <c r="V197">
        <f>30</f>
        <v>30</v>
      </c>
      <c r="W197">
        <f t="shared" ca="1" si="48"/>
        <v>302.46439647933232</v>
      </c>
      <c r="X197">
        <f t="shared" ca="1" si="58"/>
        <v>300.11670834169934</v>
      </c>
      <c r="Y197">
        <f t="shared" ca="1" si="57"/>
        <v>2.1861981290866197</v>
      </c>
      <c r="Z197">
        <f t="shared" ca="1" si="59"/>
        <v>2.711153076168682</v>
      </c>
      <c r="AA197">
        <f t="shared" ca="1" si="60"/>
        <v>-0.52495494708206225</v>
      </c>
      <c r="AB197">
        <f t="shared" ca="1" si="61"/>
        <v>274.97039999999998</v>
      </c>
    </row>
    <row r="198" spans="1:28" x14ac:dyDescent="0.25">
      <c r="A198" s="20">
        <f t="shared" ca="1" si="62"/>
        <v>45992</v>
      </c>
      <c r="B198" vm="586">
        <f ca="1"/>
        <v>45994</v>
      </c>
      <c r="C198" vm="587">
        <f ca="1"/>
        <v>302.62</v>
      </c>
      <c r="D198" vm="588">
        <f ca="1"/>
        <v>3953390</v>
      </c>
      <c r="E198">
        <f t="shared" ca="1" si="63"/>
        <v>1196374881.8</v>
      </c>
      <c r="F198">
        <f ca="1">SUM($E$2:E198)/SUM($D$2:D198)</f>
        <v>266.77115675687133</v>
      </c>
      <c r="G198">
        <f ca="1">_xlfn.STDEV.P($C$2:C198)</f>
        <v>23.106267678256092</v>
      </c>
      <c r="H198">
        <f t="shared" ca="1" si="64"/>
        <v>289.87742443512741</v>
      </c>
      <c r="I198">
        <f t="shared" ca="1" si="65"/>
        <v>243.66488907861523</v>
      </c>
      <c r="J198">
        <f t="shared" ca="1" si="53"/>
        <v>303.39500000000004</v>
      </c>
      <c r="K198">
        <f t="shared" ca="1" si="54"/>
        <v>7.4857671969088058</v>
      </c>
      <c r="L198">
        <f t="shared" ca="1" si="55"/>
        <v>318.36653439381763</v>
      </c>
      <c r="M198">
        <f t="shared" ca="1" si="56"/>
        <v>288.42346560618245</v>
      </c>
      <c r="N198">
        <f t="shared" ca="1" si="66"/>
        <v>0.84000000000003183</v>
      </c>
      <c r="O198">
        <f t="shared" ca="1" si="67"/>
        <v>0.84000000000003183</v>
      </c>
      <c r="P198">
        <f t="shared" ca="1" si="68"/>
        <v>0</v>
      </c>
      <c r="Q198">
        <f t="shared" ca="1" si="51"/>
        <v>2.0485603556406997</v>
      </c>
      <c r="R198">
        <f t="shared" ca="1" si="52"/>
        <v>1.8510579466262131</v>
      </c>
      <c r="S198">
        <f t="shared" ca="1" si="49"/>
        <v>1.1066970428313494</v>
      </c>
      <c r="T198">
        <f t="shared" ca="1" si="50"/>
        <v>52.532330009063649</v>
      </c>
      <c r="U198">
        <f>70</f>
        <v>70</v>
      </c>
      <c r="V198">
        <f>30</f>
        <v>30</v>
      </c>
      <c r="W198">
        <f t="shared" ca="1" si="48"/>
        <v>302.48833548251196</v>
      </c>
      <c r="X198">
        <f t="shared" ca="1" si="58"/>
        <v>300.30213735342534</v>
      </c>
      <c r="Y198">
        <f t="shared" ca="1" si="57"/>
        <v>2.4631367477002755</v>
      </c>
      <c r="Z198">
        <f t="shared" ca="1" si="59"/>
        <v>2.6615498104750008</v>
      </c>
      <c r="AA198">
        <f t="shared" ca="1" si="60"/>
        <v>-0.19841306277472537</v>
      </c>
      <c r="AB198">
        <f t="shared" ca="1" si="61"/>
        <v>275.15869999999995</v>
      </c>
    </row>
    <row r="199" spans="1:28" x14ac:dyDescent="0.25">
      <c r="A199" s="20">
        <f t="shared" ca="1" si="62"/>
        <v>45992</v>
      </c>
      <c r="B199" vm="589">
        <f ca="1"/>
        <v>45995</v>
      </c>
      <c r="C199" vm="590">
        <f ca="1"/>
        <v>307.99</v>
      </c>
      <c r="D199" vm="591">
        <f ca="1"/>
        <v>2962463</v>
      </c>
      <c r="E199">
        <f t="shared" ca="1" si="63"/>
        <v>912408979.37</v>
      </c>
      <c r="F199">
        <f ca="1">SUM($E$2:E199)/SUM($D$2:D199)</f>
        <v>266.89772159680444</v>
      </c>
      <c r="G199">
        <f ca="1">_xlfn.STDEV.P($C$2:C199)</f>
        <v>23.229758036247595</v>
      </c>
      <c r="H199">
        <f t="shared" ca="1" si="64"/>
        <v>290.12747963305202</v>
      </c>
      <c r="I199">
        <f t="shared" ca="1" si="65"/>
        <v>243.66796356055684</v>
      </c>
      <c r="J199">
        <f t="shared" ca="1" si="53"/>
        <v>303.45600000000002</v>
      </c>
      <c r="K199">
        <f t="shared" ca="1" si="54"/>
        <v>7.5196111321628551</v>
      </c>
      <c r="L199">
        <f t="shared" ca="1" si="55"/>
        <v>318.49522226432572</v>
      </c>
      <c r="M199">
        <f t="shared" ca="1" si="56"/>
        <v>288.41677773567432</v>
      </c>
      <c r="N199">
        <f t="shared" ca="1" si="66"/>
        <v>5.3700000000000045</v>
      </c>
      <c r="O199">
        <f t="shared" ca="1" si="67"/>
        <v>5.3700000000000045</v>
      </c>
      <c r="P199">
        <f t="shared" ca="1" si="68"/>
        <v>0</v>
      </c>
      <c r="Q199">
        <f t="shared" ca="1" si="51"/>
        <v>2.2858060445235071</v>
      </c>
      <c r="R199">
        <f t="shared" ca="1" si="52"/>
        <v>1.7188395218671979</v>
      </c>
      <c r="S199">
        <f t="shared" ca="1" si="49"/>
        <v>1.3298542507565838</v>
      </c>
      <c r="T199">
        <f t="shared" ca="1" si="50"/>
        <v>57.078860204441298</v>
      </c>
      <c r="U199">
        <f>70</f>
        <v>70</v>
      </c>
      <c r="V199">
        <f>30</f>
        <v>30</v>
      </c>
      <c r="W199">
        <f t="shared" ca="1" si="48"/>
        <v>303.33474540827933</v>
      </c>
      <c r="X199">
        <f t="shared" ca="1" si="58"/>
        <v>300.87160866057906</v>
      </c>
      <c r="Y199">
        <f t="shared" ca="1" si="57"/>
        <v>2.6480529104580341</v>
      </c>
      <c r="Z199">
        <f t="shared" ca="1" si="59"/>
        <v>2.6588504304716074</v>
      </c>
      <c r="AA199">
        <f t="shared" ca="1" si="60"/>
        <v>-1.0797520013573259E-2</v>
      </c>
      <c r="AB199">
        <f t="shared" ca="1" si="61"/>
        <v>275.41159999999996</v>
      </c>
    </row>
    <row r="200" spans="1:28" x14ac:dyDescent="0.25">
      <c r="A200" s="20">
        <f t="shared" ca="1" si="62"/>
        <v>45992</v>
      </c>
      <c r="B200" vm="592">
        <f ca="1"/>
        <v>45996</v>
      </c>
      <c r="C200" vm="593">
        <f ca="1"/>
        <v>307.94</v>
      </c>
      <c r="D200" vm="594">
        <f ca="1"/>
        <v>2344667</v>
      </c>
      <c r="E200">
        <f t="shared" ca="1" si="63"/>
        <v>722016755.98000002</v>
      </c>
      <c r="F200">
        <f ca="1">SUM($E$2:E200)/SUM($D$2:D200)</f>
        <v>266.99722153755226</v>
      </c>
      <c r="G200">
        <f ca="1">_xlfn.STDEV.P($C$2:C200)</f>
        <v>23.349125695206173</v>
      </c>
      <c r="H200">
        <f t="shared" ca="1" si="64"/>
        <v>290.34634723275843</v>
      </c>
      <c r="I200">
        <f t="shared" ca="1" si="65"/>
        <v>243.64809584234609</v>
      </c>
      <c r="J200">
        <f t="shared" ca="1" si="53"/>
        <v>303.23199999999991</v>
      </c>
      <c r="K200">
        <f t="shared" ca="1" si="54"/>
        <v>7.3021118790892938</v>
      </c>
      <c r="L200">
        <f t="shared" ca="1" si="55"/>
        <v>317.83622375817851</v>
      </c>
      <c r="M200">
        <f t="shared" ca="1" si="56"/>
        <v>288.62777624182132</v>
      </c>
      <c r="N200">
        <f t="shared" ca="1" si="66"/>
        <v>-5.0000000000011369E-2</v>
      </c>
      <c r="O200">
        <f t="shared" ca="1" si="67"/>
        <v>0</v>
      </c>
      <c r="P200">
        <f t="shared" ca="1" si="68"/>
        <v>5.0000000000011369E-2</v>
      </c>
      <c r="Q200">
        <f t="shared" ca="1" si="51"/>
        <v>2.1225341842003993</v>
      </c>
      <c r="R200">
        <f t="shared" ca="1" si="52"/>
        <v>1.5996366988766846</v>
      </c>
      <c r="S200">
        <f t="shared" ca="1" si="49"/>
        <v>1.3268851519166258</v>
      </c>
      <c r="T200">
        <f t="shared" ca="1" si="50"/>
        <v>57.024092952060279</v>
      </c>
      <c r="U200">
        <f>70</f>
        <v>70</v>
      </c>
      <c r="V200">
        <f>30</f>
        <v>30</v>
      </c>
      <c r="W200">
        <f t="shared" ca="1" si="48"/>
        <v>304.04324611469792</v>
      </c>
      <c r="X200">
        <f t="shared" ca="1" si="58"/>
        <v>301.39519320423989</v>
      </c>
      <c r="Y200">
        <f t="shared" ca="1" si="57"/>
        <v>2.8616703837245154</v>
      </c>
      <c r="Z200">
        <f t="shared" ca="1" si="59"/>
        <v>2.6994144211221891</v>
      </c>
      <c r="AA200">
        <f t="shared" ca="1" si="60"/>
        <v>0.16225596260232633</v>
      </c>
      <c r="AB200">
        <f t="shared" ca="1" si="61"/>
        <v>275.67179999999991</v>
      </c>
    </row>
    <row r="201" spans="1:28" x14ac:dyDescent="0.25">
      <c r="A201" s="20">
        <f t="shared" ca="1" si="62"/>
        <v>45999</v>
      </c>
      <c r="B201" vm="595">
        <f ca="1"/>
        <v>45999</v>
      </c>
      <c r="C201" vm="596">
        <f ca="1"/>
        <v>309.18</v>
      </c>
      <c r="D201" vm="597">
        <f ca="1"/>
        <v>3630157</v>
      </c>
      <c r="E201">
        <f t="shared" ca="1" si="63"/>
        <v>1122371941.26</v>
      </c>
      <c r="F201">
        <f ca="1">SUM($E$2:E201)/SUM($D$2:D201)</f>
        <v>267.15496221797122</v>
      </c>
      <c r="G201">
        <f ca="1">_xlfn.STDEV.P($C$2:C201)</f>
        <v>23.475747992130085</v>
      </c>
      <c r="H201">
        <f t="shared" ca="1" si="64"/>
        <v>290.63071021010131</v>
      </c>
      <c r="I201">
        <f t="shared" ca="1" si="65"/>
        <v>243.67921422584112</v>
      </c>
      <c r="J201">
        <f t="shared" ca="1" si="53"/>
        <v>303.37199999999996</v>
      </c>
      <c r="K201">
        <f t="shared" ca="1" si="54"/>
        <v>7.3919327292450623</v>
      </c>
      <c r="L201">
        <f t="shared" ca="1" si="55"/>
        <v>318.1558654584901</v>
      </c>
      <c r="M201">
        <f t="shared" ca="1" si="56"/>
        <v>288.58813454150982</v>
      </c>
      <c r="N201">
        <f t="shared" ca="1" si="66"/>
        <v>1.2400000000000091</v>
      </c>
      <c r="O201">
        <f t="shared" ca="1" si="67"/>
        <v>1.2400000000000091</v>
      </c>
      <c r="P201">
        <f t="shared" ca="1" si="68"/>
        <v>0</v>
      </c>
      <c r="Q201">
        <f t="shared" ca="1" si="51"/>
        <v>2.0594960281860857</v>
      </c>
      <c r="R201">
        <f t="shared" ca="1" si="52"/>
        <v>1.4853769346712071</v>
      </c>
      <c r="S201">
        <f t="shared" ca="1" si="49"/>
        <v>1.3865140760664643</v>
      </c>
      <c r="T201">
        <f t="shared" ca="1" si="50"/>
        <v>58.097879663536915</v>
      </c>
      <c r="U201">
        <f>70</f>
        <v>70</v>
      </c>
      <c r="V201">
        <f>30</f>
        <v>30</v>
      </c>
      <c r="W201">
        <f t="shared" ca="1" si="48"/>
        <v>304.8335159432059</v>
      </c>
      <c r="X201">
        <f t="shared" ca="1" si="58"/>
        <v>301.97184555948138</v>
      </c>
      <c r="Y201">
        <f t="shared" ca="1" si="57"/>
        <v>3.1001265763553079</v>
      </c>
      <c r="Z201">
        <f t="shared" ca="1" si="59"/>
        <v>2.7795568521688132</v>
      </c>
      <c r="AA201">
        <f t="shared" ca="1" si="60"/>
        <v>0.32056972418649465</v>
      </c>
      <c r="AB201">
        <f t="shared" ca="1" si="61"/>
        <v>275.94359999999995</v>
      </c>
    </row>
    <row r="202" spans="1:28" x14ac:dyDescent="0.25">
      <c r="A202" s="20">
        <f t="shared" ca="1" si="62"/>
        <v>45999</v>
      </c>
      <c r="B202" vm="598">
        <f ca="1"/>
        <v>46000</v>
      </c>
      <c r="C202" vm="599">
        <f ca="1"/>
        <v>310.48</v>
      </c>
      <c r="D202" vm="600">
        <f ca="1"/>
        <v>2935669</v>
      </c>
      <c r="E202">
        <f t="shared" ca="1" si="63"/>
        <v>911466511.12</v>
      </c>
      <c r="F202">
        <f ca="1">SUM($E$2:E202)/SUM($D$2:D202)</f>
        <v>267.28558466226548</v>
      </c>
      <c r="G202">
        <f ca="1">_xlfn.STDEV.P($C$2:C202)</f>
        <v>23.61011765780616</v>
      </c>
      <c r="H202">
        <f t="shared" ca="1" si="64"/>
        <v>290.89570232007162</v>
      </c>
      <c r="I202">
        <f t="shared" ca="1" si="65"/>
        <v>243.67546700445931</v>
      </c>
      <c r="J202">
        <f t="shared" ca="1" si="53"/>
        <v>303.43949999999995</v>
      </c>
      <c r="K202">
        <f t="shared" ca="1" si="54"/>
        <v>7.4531896915983245</v>
      </c>
      <c r="L202">
        <f t="shared" ca="1" si="55"/>
        <v>318.34587938319657</v>
      </c>
      <c r="M202">
        <f t="shared" ca="1" si="56"/>
        <v>288.53312061680333</v>
      </c>
      <c r="N202">
        <f t="shared" ca="1" si="66"/>
        <v>1.3000000000000114</v>
      </c>
      <c r="O202">
        <f t="shared" ca="1" si="67"/>
        <v>1.3000000000000114</v>
      </c>
      <c r="P202">
        <f t="shared" ca="1" si="68"/>
        <v>0</v>
      </c>
      <c r="Q202">
        <f t="shared" ca="1" si="51"/>
        <v>2.0052463118870802</v>
      </c>
      <c r="R202">
        <f t="shared" ca="1" si="52"/>
        <v>1.3792785821946922</v>
      </c>
      <c r="S202">
        <f t="shared" ca="1" si="49"/>
        <v>1.4538370549453146</v>
      </c>
      <c r="T202">
        <f t="shared" ca="1" si="50"/>
        <v>59.247497791890439</v>
      </c>
      <c r="U202">
        <f>70</f>
        <v>70</v>
      </c>
      <c r="V202">
        <f>30</f>
        <v>30</v>
      </c>
      <c r="W202">
        <f t="shared" ca="1" si="48"/>
        <v>305.70220579809728</v>
      </c>
      <c r="X202">
        <f t="shared" ca="1" si="58"/>
        <v>302.60207922174197</v>
      </c>
      <c r="Y202">
        <f t="shared" ca="1" si="57"/>
        <v>3.4263230056089355</v>
      </c>
      <c r="Z202">
        <f t="shared" ca="1" si="59"/>
        <v>2.9089100828568379</v>
      </c>
      <c r="AA202">
        <f t="shared" ca="1" si="60"/>
        <v>0.5174129227520976</v>
      </c>
      <c r="AB202">
        <f t="shared" ca="1" si="61"/>
        <v>276.1896999999999</v>
      </c>
    </row>
    <row r="203" spans="1:28" x14ac:dyDescent="0.25">
      <c r="A203" s="20">
        <f t="shared" ca="1" si="62"/>
        <v>45999</v>
      </c>
      <c r="B203" vm="601">
        <f ca="1"/>
        <v>46001</v>
      </c>
      <c r="C203" vm="602">
        <f ca="1"/>
        <v>312.67</v>
      </c>
      <c r="D203" vm="603">
        <f ca="1"/>
        <v>3411524</v>
      </c>
      <c r="E203">
        <f t="shared" ca="1" si="63"/>
        <v>1066681209.08</v>
      </c>
      <c r="F203">
        <f ca="1">SUM($E$2:E203)/SUM($D$2:D203)</f>
        <v>267.44404040761731</v>
      </c>
      <c r="G203">
        <f ca="1">_xlfn.STDEV.P($C$2:C203)</f>
        <v>23.76036784690163</v>
      </c>
      <c r="H203">
        <f t="shared" ca="1" si="64"/>
        <v>291.20440825451897</v>
      </c>
      <c r="I203">
        <f t="shared" ca="1" si="65"/>
        <v>243.68367256071568</v>
      </c>
      <c r="J203">
        <f t="shared" ca="1" si="53"/>
        <v>303.387</v>
      </c>
      <c r="K203">
        <f t="shared" ca="1" si="54"/>
        <v>7.3803045864973509</v>
      </c>
      <c r="L203">
        <f t="shared" ca="1" si="55"/>
        <v>318.14760917299469</v>
      </c>
      <c r="M203">
        <f t="shared" ca="1" si="56"/>
        <v>288.62639082700531</v>
      </c>
      <c r="N203">
        <f t="shared" ca="1" si="66"/>
        <v>2.1899999999999977</v>
      </c>
      <c r="O203">
        <f t="shared" ca="1" si="67"/>
        <v>2.1899999999999977</v>
      </c>
      <c r="P203">
        <f t="shared" ca="1" si="68"/>
        <v>0</v>
      </c>
      <c r="Q203">
        <f t="shared" ca="1" si="51"/>
        <v>2.018443003895146</v>
      </c>
      <c r="R203">
        <f t="shared" ca="1" si="52"/>
        <v>1.2807586834664999</v>
      </c>
      <c r="S203">
        <f t="shared" ca="1" si="49"/>
        <v>1.5759744828994877</v>
      </c>
      <c r="T203">
        <f t="shared" ca="1" si="50"/>
        <v>61.179739681488954</v>
      </c>
      <c r="U203">
        <f>70</f>
        <v>70</v>
      </c>
      <c r="V203">
        <f>30</f>
        <v>30</v>
      </c>
      <c r="W203">
        <f t="shared" ca="1" si="48"/>
        <v>306.77417413685151</v>
      </c>
      <c r="X203">
        <f t="shared" ca="1" si="58"/>
        <v>303.34785113124258</v>
      </c>
      <c r="Y203">
        <f t="shared" ca="1" si="57"/>
        <v>3.488883478607022</v>
      </c>
      <c r="Z203">
        <f t="shared" ca="1" si="59"/>
        <v>3.0249047620068747</v>
      </c>
      <c r="AA203">
        <f t="shared" ca="1" si="60"/>
        <v>0.46397871660014722</v>
      </c>
      <c r="AB203">
        <f t="shared" ca="1" si="61"/>
        <v>276.46929999999992</v>
      </c>
    </row>
    <row r="204" spans="1:28" x14ac:dyDescent="0.25">
      <c r="A204" s="20">
        <f t="shared" ca="1" si="62"/>
        <v>45999</v>
      </c>
      <c r="B204" vm="604">
        <f ca="1"/>
        <v>46002</v>
      </c>
      <c r="C204" vm="605">
        <f ca="1"/>
        <v>310.74</v>
      </c>
      <c r="D204" vm="606">
        <f ca="1"/>
        <v>2755749</v>
      </c>
      <c r="E204">
        <f t="shared" ca="1" si="63"/>
        <v>856321444.25999999</v>
      </c>
      <c r="F204">
        <f ca="1">SUM($E$2:E204)/SUM($D$2:D204)</f>
        <v>267.56580379853563</v>
      </c>
      <c r="G204">
        <f ca="1">_xlfn.STDEV.P($C$2:C204)</f>
        <v>23.888925296183668</v>
      </c>
      <c r="H204">
        <f t="shared" ca="1" si="64"/>
        <v>291.45472909471931</v>
      </c>
      <c r="I204">
        <f t="shared" ca="1" si="65"/>
        <v>243.67687850235197</v>
      </c>
      <c r="J204">
        <f t="shared" ca="1" si="53"/>
        <v>303.17500000000001</v>
      </c>
      <c r="K204">
        <f t="shared" ca="1" si="54"/>
        <v>7.0847467733226281</v>
      </c>
      <c r="L204">
        <f t="shared" ca="1" si="55"/>
        <v>317.34449354664525</v>
      </c>
      <c r="M204">
        <f t="shared" ca="1" si="56"/>
        <v>289.00550645335477</v>
      </c>
      <c r="N204">
        <f t="shared" ca="1" si="66"/>
        <v>-1.9300000000000068</v>
      </c>
      <c r="O204">
        <f t="shared" ca="1" si="67"/>
        <v>0</v>
      </c>
      <c r="P204">
        <f t="shared" ca="1" si="68"/>
        <v>1.9300000000000068</v>
      </c>
      <c r="Q204">
        <f t="shared" ca="1" si="51"/>
        <v>1.8742685036169213</v>
      </c>
      <c r="R204">
        <f t="shared" ca="1" si="52"/>
        <v>1.3271330632188933</v>
      </c>
      <c r="S204">
        <f t="shared" ca="1" si="49"/>
        <v>1.4122687133353298</v>
      </c>
      <c r="T204">
        <f t="shared" ca="1" si="50"/>
        <v>58.545248525926141</v>
      </c>
      <c r="U204">
        <f>70</f>
        <v>70</v>
      </c>
      <c r="V204">
        <f>30</f>
        <v>30</v>
      </c>
      <c r="W204">
        <f t="shared" ca="1" si="48"/>
        <v>307.3843011927205</v>
      </c>
      <c r="X204">
        <f t="shared" ca="1" si="58"/>
        <v>303.89541771411348</v>
      </c>
      <c r="Y204">
        <f t="shared" ca="1" si="57"/>
        <v>3.3784806186640708</v>
      </c>
      <c r="Z204">
        <f t="shared" ca="1" si="59"/>
        <v>3.0956199333383139</v>
      </c>
      <c r="AA204">
        <f t="shared" ca="1" si="60"/>
        <v>0.28286068532575692</v>
      </c>
      <c r="AB204">
        <f t="shared" ca="1" si="61"/>
        <v>276.75709999999987</v>
      </c>
    </row>
    <row r="205" spans="1:28" x14ac:dyDescent="0.25">
      <c r="A205" s="20">
        <f t="shared" ca="1" si="62"/>
        <v>45999</v>
      </c>
      <c r="B205" vm="607">
        <f ca="1"/>
        <v>46003</v>
      </c>
      <c r="C205" vm="608">
        <f ca="1"/>
        <v>309.24</v>
      </c>
      <c r="D205" vm="609">
        <f ca="1"/>
        <v>2953374</v>
      </c>
      <c r="E205">
        <f t="shared" ca="1" si="63"/>
        <v>913301375.75999999</v>
      </c>
      <c r="F205">
        <f ca="1">SUM($E$2:E205)/SUM($D$2:D205)</f>
        <v>267.69103379709111</v>
      </c>
      <c r="G205">
        <f ca="1">_xlfn.STDEV.P($C$2:C205)</f>
        <v>24.001036142159592</v>
      </c>
      <c r="H205">
        <f t="shared" ca="1" si="64"/>
        <v>291.6920699392507</v>
      </c>
      <c r="I205">
        <f t="shared" ca="1" si="65"/>
        <v>243.68999765493152</v>
      </c>
      <c r="J205">
        <f t="shared" ca="1" si="53"/>
        <v>303.39399999999995</v>
      </c>
      <c r="K205">
        <f t="shared" ca="1" si="54"/>
        <v>7.2062285924272427</v>
      </c>
      <c r="L205">
        <f t="shared" ca="1" si="55"/>
        <v>317.80645718485442</v>
      </c>
      <c r="M205">
        <f t="shared" ca="1" si="56"/>
        <v>288.98154281514547</v>
      </c>
      <c r="N205">
        <f t="shared" ca="1" si="66"/>
        <v>-1.5</v>
      </c>
      <c r="O205">
        <f t="shared" ca="1" si="67"/>
        <v>0</v>
      </c>
      <c r="P205">
        <f t="shared" ca="1" si="68"/>
        <v>1.5</v>
      </c>
      <c r="Q205">
        <f t="shared" ca="1" si="51"/>
        <v>1.7403921819299983</v>
      </c>
      <c r="R205">
        <f t="shared" ca="1" si="52"/>
        <v>1.3394807015604009</v>
      </c>
      <c r="S205">
        <f t="shared" ca="1" si="49"/>
        <v>1.2993036629065009</v>
      </c>
      <c r="T205">
        <f t="shared" ca="1" si="50"/>
        <v>56.508571871889195</v>
      </c>
      <c r="U205">
        <f>70</f>
        <v>70</v>
      </c>
      <c r="V205">
        <f>30</f>
        <v>30</v>
      </c>
      <c r="W205">
        <f t="shared" ca="1" si="48"/>
        <v>307.66979331691732</v>
      </c>
      <c r="X205">
        <f t="shared" ca="1" si="58"/>
        <v>304.29131269825325</v>
      </c>
      <c r="Y205">
        <f t="shared" ca="1" si="57"/>
        <v>3.2072136415729915</v>
      </c>
      <c r="Z205">
        <f t="shared" ca="1" si="59"/>
        <v>3.1179386749852496</v>
      </c>
      <c r="AA205">
        <f t="shared" ca="1" si="60"/>
        <v>8.9274966587741922E-2</v>
      </c>
      <c r="AB205">
        <f t="shared" ca="1" si="61"/>
        <v>277.0293999999999</v>
      </c>
    </row>
    <row r="206" spans="1:28" x14ac:dyDescent="0.25">
      <c r="A206" s="20">
        <f t="shared" ca="1" si="62"/>
        <v>46006</v>
      </c>
      <c r="B206" vm="610">
        <f ca="1"/>
        <v>46006</v>
      </c>
      <c r="C206" vm="611">
        <f ca="1"/>
        <v>308.66000000000003</v>
      </c>
      <c r="D206" vm="612">
        <f ca="1"/>
        <v>3566732</v>
      </c>
      <c r="E206">
        <f t="shared" ca="1" si="63"/>
        <v>1100907499.1200001</v>
      </c>
      <c r="F206">
        <f ca="1">SUM($E$2:E206)/SUM($D$2:D206)</f>
        <v>267.83917468912904</v>
      </c>
      <c r="G206">
        <f ca="1">_xlfn.STDEV.P($C$2:C206)</f>
        <v>24.105174132923921</v>
      </c>
      <c r="H206">
        <f t="shared" ca="1" si="64"/>
        <v>291.94434882205297</v>
      </c>
      <c r="I206">
        <f t="shared" ca="1" si="65"/>
        <v>243.7340005562051</v>
      </c>
      <c r="J206">
        <f t="shared" ca="1" si="53"/>
        <v>303.5424999999999</v>
      </c>
      <c r="K206">
        <f t="shared" ca="1" si="54"/>
        <v>7.2861908862984848</v>
      </c>
      <c r="L206">
        <f t="shared" ca="1" si="55"/>
        <v>318.11488177259685</v>
      </c>
      <c r="M206">
        <f t="shared" ca="1" si="56"/>
        <v>288.97011822740296</v>
      </c>
      <c r="N206">
        <f t="shared" ca="1" si="66"/>
        <v>-0.57999999999998408</v>
      </c>
      <c r="O206">
        <f t="shared" ca="1" si="67"/>
        <v>0</v>
      </c>
      <c r="P206">
        <f t="shared" ca="1" si="68"/>
        <v>0.57999999999998408</v>
      </c>
      <c r="Q206">
        <f t="shared" ca="1" si="51"/>
        <v>1.6160784546492841</v>
      </c>
      <c r="R206">
        <f t="shared" ca="1" si="52"/>
        <v>1.2852320800203711</v>
      </c>
      <c r="S206">
        <f t="shared" ca="1" si="49"/>
        <v>1.2574215036895664</v>
      </c>
      <c r="T206">
        <f t="shared" ca="1" si="50"/>
        <v>55.701671204709278</v>
      </c>
      <c r="U206">
        <f>70</f>
        <v>70</v>
      </c>
      <c r="V206">
        <f>30</f>
        <v>30</v>
      </c>
      <c r="W206">
        <f t="shared" ca="1" si="48"/>
        <v>307.82213280662234</v>
      </c>
      <c r="X206">
        <f t="shared" ca="1" si="58"/>
        <v>304.61491916504934</v>
      </c>
      <c r="Y206">
        <f t="shared" ca="1" si="57"/>
        <v>2.5993296721532602</v>
      </c>
      <c r="Z206">
        <f t="shared" ca="1" si="59"/>
        <v>3.0142168744188522</v>
      </c>
      <c r="AA206">
        <f t="shared" ca="1" si="60"/>
        <v>-0.41488720226559206</v>
      </c>
      <c r="AB206">
        <f t="shared" ca="1" si="61"/>
        <v>277.51089999999988</v>
      </c>
    </row>
    <row r="207" spans="1:28" x14ac:dyDescent="0.25">
      <c r="A207" s="20">
        <f t="shared" ca="1" si="62"/>
        <v>46006</v>
      </c>
      <c r="B207" vm="613">
        <f ca="1"/>
        <v>46007</v>
      </c>
      <c r="C207" vm="614">
        <f ca="1"/>
        <v>303.18</v>
      </c>
      <c r="D207" vm="615">
        <f ca="1"/>
        <v>3366878</v>
      </c>
      <c r="E207">
        <f t="shared" ca="1" si="63"/>
        <v>1020770072.0400001</v>
      </c>
      <c r="F207">
        <f ca="1">SUM($E$2:E207)/SUM($D$2:D207)</f>
        <v>267.95939384601127</v>
      </c>
      <c r="G207">
        <f ca="1">_xlfn.STDEV.P($C$2:C207)</f>
        <v>24.165581538987382</v>
      </c>
      <c r="H207">
        <f t="shared" ca="1" si="64"/>
        <v>292.12497538499866</v>
      </c>
      <c r="I207">
        <f t="shared" ca="1" si="65"/>
        <v>243.79381230702387</v>
      </c>
      <c r="J207">
        <f t="shared" ca="1" si="53"/>
        <v>303.84299999999996</v>
      </c>
      <c r="K207">
        <f t="shared" ca="1" si="54"/>
        <v>7.1318397272188454</v>
      </c>
      <c r="L207">
        <f t="shared" ca="1" si="55"/>
        <v>318.10667945443765</v>
      </c>
      <c r="M207">
        <f t="shared" ca="1" si="56"/>
        <v>289.57932054556227</v>
      </c>
      <c r="N207">
        <f t="shared" ca="1" si="66"/>
        <v>-5.4800000000000182</v>
      </c>
      <c r="O207">
        <f t="shared" ca="1" si="67"/>
        <v>0</v>
      </c>
      <c r="P207">
        <f t="shared" ca="1" si="68"/>
        <v>5.4800000000000182</v>
      </c>
      <c r="Q207">
        <f t="shared" ca="1" si="51"/>
        <v>1.5006442793171924</v>
      </c>
      <c r="R207">
        <f t="shared" ca="1" si="52"/>
        <v>1.5848583600189172</v>
      </c>
      <c r="S207">
        <f t="shared" ca="1" si="49"/>
        <v>0.94686333944648549</v>
      </c>
      <c r="T207">
        <f t="shared" ca="1" si="50"/>
        <v>48.635326386889034</v>
      </c>
      <c r="U207">
        <f>70</f>
        <v>70</v>
      </c>
      <c r="V207">
        <f>30</f>
        <v>30</v>
      </c>
      <c r="W207">
        <f t="shared" ref="W207:W251" ca="1" si="69">C207*(2/(12+1)) + W206*(1-(2/(12+1)))</f>
        <v>307.10795852868046</v>
      </c>
      <c r="X207">
        <f t="shared" ca="1" si="58"/>
        <v>304.5086288565272</v>
      </c>
      <c r="Y207">
        <f t="shared" ca="1" si="57"/>
        <v>2.1046134035520367</v>
      </c>
      <c r="Z207">
        <f t="shared" ca="1" si="59"/>
        <v>2.8322961802454891</v>
      </c>
      <c r="AA207">
        <f t="shared" ca="1" si="60"/>
        <v>-0.72768277669345238</v>
      </c>
      <c r="AB207">
        <f t="shared" ca="1" si="61"/>
        <v>277.94549999999992</v>
      </c>
    </row>
    <row r="208" spans="1:28" x14ac:dyDescent="0.25">
      <c r="A208" s="20">
        <f t="shared" ca="1" si="62"/>
        <v>46006</v>
      </c>
      <c r="B208" vm="616">
        <f ca="1"/>
        <v>46008</v>
      </c>
      <c r="C208" vm="617">
        <f ca="1"/>
        <v>303.32</v>
      </c>
      <c r="D208" vm="618">
        <f ca="1"/>
        <v>3130954</v>
      </c>
      <c r="E208">
        <f t="shared" ca="1" si="63"/>
        <v>949680967.27999997</v>
      </c>
      <c r="F208">
        <f ca="1">SUM($E$2:E208)/SUM($D$2:D208)</f>
        <v>268.07089884669654</v>
      </c>
      <c r="G208">
        <f ca="1">_xlfn.STDEV.P($C$2:C208)</f>
        <v>24.225073118813214</v>
      </c>
      <c r="H208">
        <f t="shared" ca="1" si="64"/>
        <v>292.29597196550975</v>
      </c>
      <c r="I208">
        <f t="shared" ca="1" si="65"/>
        <v>243.84582572788332</v>
      </c>
      <c r="J208">
        <f t="shared" ca="1" si="53"/>
        <v>304.51149999999996</v>
      </c>
      <c r="K208">
        <f t="shared" ca="1" si="54"/>
        <v>6.344163729054662</v>
      </c>
      <c r="L208">
        <f t="shared" ca="1" si="55"/>
        <v>317.19982745810927</v>
      </c>
      <c r="M208">
        <f t="shared" ca="1" si="56"/>
        <v>291.82317254189064</v>
      </c>
      <c r="N208">
        <f t="shared" ca="1" si="66"/>
        <v>0.13999999999998636</v>
      </c>
      <c r="O208">
        <f t="shared" ca="1" si="67"/>
        <v>0.13999999999998636</v>
      </c>
      <c r="P208">
        <f t="shared" ca="1" si="68"/>
        <v>0</v>
      </c>
      <c r="Q208">
        <f t="shared" ca="1" si="51"/>
        <v>1.4034554022231061</v>
      </c>
      <c r="R208">
        <f t="shared" ca="1" si="52"/>
        <v>1.4716541914461374</v>
      </c>
      <c r="S208">
        <f t="shared" ref="S208:S251" ca="1" si="70">IF(R208=0,NA(),Q208/R208)</f>
        <v>0.95365841403542295</v>
      </c>
      <c r="T208">
        <f t="shared" ref="T208:T251" ca="1" si="71">100-(100/(1+S208))</f>
        <v>48.81397931102871</v>
      </c>
      <c r="U208">
        <f>70</f>
        <v>70</v>
      </c>
      <c r="V208">
        <f>30</f>
        <v>30</v>
      </c>
      <c r="W208">
        <f t="shared" ca="1" si="69"/>
        <v>306.52519567811424</v>
      </c>
      <c r="X208">
        <f t="shared" ca="1" si="58"/>
        <v>304.42058227456221</v>
      </c>
      <c r="Y208">
        <f t="shared" ca="1" si="57"/>
        <v>1.4640851201345413</v>
      </c>
      <c r="Z208">
        <f t="shared" ca="1" si="59"/>
        <v>2.5586539682232998</v>
      </c>
      <c r="AA208">
        <f t="shared" ca="1" si="60"/>
        <v>-1.0945688480887585</v>
      </c>
      <c r="AB208">
        <f t="shared" ca="1" si="61"/>
        <v>278.34659999999991</v>
      </c>
    </row>
    <row r="209" spans="1:28" x14ac:dyDescent="0.25">
      <c r="A209" s="20">
        <f t="shared" ca="1" si="62"/>
        <v>46006</v>
      </c>
      <c r="B209" vm="619">
        <f ca="1"/>
        <v>46009</v>
      </c>
      <c r="C209" vm="620">
        <f ca="1"/>
        <v>300.45</v>
      </c>
      <c r="D209" vm="621">
        <f ca="1"/>
        <v>5411669</v>
      </c>
      <c r="E209">
        <f t="shared" ca="1" si="63"/>
        <v>1625935951.05</v>
      </c>
      <c r="F209">
        <f ca="1">SUM($E$2:E209)/SUM($D$2:D209)</f>
        <v>268.24642155645637</v>
      </c>
      <c r="G209">
        <f ca="1">_xlfn.STDEV.P($C$2:C209)</f>
        <v>24.264152802140472</v>
      </c>
      <c r="H209">
        <f t="shared" ca="1" si="64"/>
        <v>292.51057435859684</v>
      </c>
      <c r="I209">
        <f t="shared" ca="1" si="65"/>
        <v>243.9822687543159</v>
      </c>
      <c r="J209">
        <f t="shared" ca="1" si="53"/>
        <v>305.10749999999996</v>
      </c>
      <c r="K209">
        <f t="shared" ca="1" si="54"/>
        <v>5.2249551748266176</v>
      </c>
      <c r="L209">
        <f t="shared" ca="1" si="55"/>
        <v>315.5574103496532</v>
      </c>
      <c r="M209">
        <f t="shared" ca="1" si="56"/>
        <v>294.65758965034672</v>
      </c>
      <c r="N209">
        <f t="shared" ca="1" si="66"/>
        <v>-2.8700000000000045</v>
      </c>
      <c r="O209">
        <f t="shared" ca="1" si="67"/>
        <v>0</v>
      </c>
      <c r="P209">
        <f t="shared" ca="1" si="68"/>
        <v>2.8700000000000045</v>
      </c>
      <c r="Q209">
        <f t="shared" ref="Q209:Q251" ca="1" si="72">(Q208*13+O209)/14</f>
        <v>1.3032085877785986</v>
      </c>
      <c r="R209">
        <f t="shared" ref="R209:R251" ca="1" si="73">(R208*13+P209)/14</f>
        <v>1.5715360349142709</v>
      </c>
      <c r="S209">
        <f t="shared" ca="1" si="70"/>
        <v>0.82925784635265465</v>
      </c>
      <c r="T209">
        <f t="shared" ca="1" si="71"/>
        <v>45.333021148773888</v>
      </c>
      <c r="U209">
        <f>70</f>
        <v>70</v>
      </c>
      <c r="V209">
        <f>30</f>
        <v>30</v>
      </c>
      <c r="W209">
        <f t="shared" ca="1" si="69"/>
        <v>305.5905501891736</v>
      </c>
      <c r="X209">
        <f t="shared" ca="1" si="58"/>
        <v>304.12646506903906</v>
      </c>
      <c r="Y209">
        <f t="shared" ca="1" si="57"/>
        <v>0.98784119301103601</v>
      </c>
      <c r="Z209">
        <f t="shared" ca="1" si="59"/>
        <v>2.2444914131808473</v>
      </c>
      <c r="AA209">
        <f t="shared" ca="1" si="60"/>
        <v>-1.2566502201698113</v>
      </c>
      <c r="AB209">
        <f t="shared" ca="1" si="61"/>
        <v>278.72699999999992</v>
      </c>
    </row>
    <row r="210" spans="1:28" x14ac:dyDescent="0.25">
      <c r="A210" s="20">
        <f t="shared" ca="1" si="62"/>
        <v>46006</v>
      </c>
      <c r="B210" vm="622">
        <f ca="1"/>
        <v>46010</v>
      </c>
      <c r="C210" vm="623">
        <f ca="1"/>
        <v>300.98</v>
      </c>
      <c r="D210" vm="624">
        <f ca="1"/>
        <v>11031341</v>
      </c>
      <c r="E210">
        <f t="shared" ca="1" si="63"/>
        <v>3320213014.1800003</v>
      </c>
      <c r="F210">
        <f ca="1">SUM($E$2:E210)/SUM($D$2:D210)</f>
        <v>268.604177144311</v>
      </c>
      <c r="G210">
        <f ca="1">_xlfn.STDEV.P($C$2:C210)</f>
        <v>24.305144608689393</v>
      </c>
      <c r="H210">
        <f t="shared" ca="1" si="64"/>
        <v>292.90932175300037</v>
      </c>
      <c r="I210">
        <f t="shared" ca="1" si="65"/>
        <v>244.29903253562159</v>
      </c>
      <c r="J210">
        <f t="shared" ca="1" si="53"/>
        <v>305.63649999999996</v>
      </c>
      <c r="K210">
        <f t="shared" ca="1" si="54"/>
        <v>4.0641685561294851</v>
      </c>
      <c r="L210">
        <f t="shared" ca="1" si="55"/>
        <v>313.76483711225893</v>
      </c>
      <c r="M210">
        <f t="shared" ca="1" si="56"/>
        <v>297.50816288774098</v>
      </c>
      <c r="N210">
        <f t="shared" ca="1" si="66"/>
        <v>0.53000000000002956</v>
      </c>
      <c r="O210">
        <f t="shared" ca="1" si="67"/>
        <v>0.53000000000002956</v>
      </c>
      <c r="P210">
        <f t="shared" ca="1" si="68"/>
        <v>0</v>
      </c>
      <c r="Q210">
        <f t="shared" ca="1" si="72"/>
        <v>1.2479794029372722</v>
      </c>
      <c r="R210">
        <f t="shared" ca="1" si="73"/>
        <v>1.459283460991823</v>
      </c>
      <c r="S210">
        <f t="shared" ca="1" si="70"/>
        <v>0.85520012821159841</v>
      </c>
      <c r="T210">
        <f t="shared" ca="1" si="71"/>
        <v>46.097459525081327</v>
      </c>
      <c r="U210">
        <f>70</f>
        <v>70</v>
      </c>
      <c r="V210">
        <f>30</f>
        <v>30</v>
      </c>
      <c r="W210">
        <f t="shared" ca="1" si="69"/>
        <v>304.88123477545457</v>
      </c>
      <c r="X210">
        <f t="shared" ca="1" si="58"/>
        <v>303.89339358244354</v>
      </c>
      <c r="Y210">
        <f t="shared" ca="1" si="57"/>
        <v>0.7478456239768434</v>
      </c>
      <c r="Z210">
        <f t="shared" ca="1" si="59"/>
        <v>1.9451622553400467</v>
      </c>
      <c r="AA210">
        <f t="shared" ca="1" si="60"/>
        <v>-1.1973166313632033</v>
      </c>
      <c r="AB210">
        <f t="shared" ca="1" si="61"/>
        <v>279.13419999999991</v>
      </c>
    </row>
    <row r="211" spans="1:28" x14ac:dyDescent="0.25">
      <c r="A211" s="20">
        <f t="shared" ca="1" si="62"/>
        <v>46013</v>
      </c>
      <c r="B211" vm="625">
        <f ca="1"/>
        <v>46013</v>
      </c>
      <c r="C211" vm="626">
        <f ca="1"/>
        <v>302.79000000000002</v>
      </c>
      <c r="D211" vm="627">
        <f ca="1"/>
        <v>2612100</v>
      </c>
      <c r="E211">
        <f t="shared" ca="1" si="63"/>
        <v>790917759</v>
      </c>
      <c r="F211">
        <f ca="1">SUM($E$2:E211)/SUM($D$2:D211)</f>
        <v>268.69241968244091</v>
      </c>
      <c r="G211">
        <f ca="1">_xlfn.STDEV.P($C$2:C211)</f>
        <v>24.356200946690254</v>
      </c>
      <c r="H211">
        <f t="shared" ca="1" si="64"/>
        <v>293.04862062913116</v>
      </c>
      <c r="I211">
        <f t="shared" ca="1" si="65"/>
        <v>244.33621873575066</v>
      </c>
      <c r="J211">
        <f t="shared" ca="1" si="53"/>
        <v>305.90399999999994</v>
      </c>
      <c r="K211">
        <f t="shared" ca="1" si="54"/>
        <v>3.6513925245611554</v>
      </c>
      <c r="L211">
        <f t="shared" ca="1" si="55"/>
        <v>313.20678504912223</v>
      </c>
      <c r="M211">
        <f t="shared" ca="1" si="56"/>
        <v>298.60121495087765</v>
      </c>
      <c r="N211">
        <f t="shared" ca="1" si="66"/>
        <v>1.8100000000000023</v>
      </c>
      <c r="O211">
        <f t="shared" ca="1" si="67"/>
        <v>1.8100000000000023</v>
      </c>
      <c r="P211">
        <f t="shared" ca="1" si="68"/>
        <v>0</v>
      </c>
      <c r="Q211">
        <f t="shared" ca="1" si="72"/>
        <v>1.2881237312988958</v>
      </c>
      <c r="R211">
        <f t="shared" ca="1" si="73"/>
        <v>1.3550489280638356</v>
      </c>
      <c r="S211">
        <f t="shared" ca="1" si="70"/>
        <v>0.95061049429368871</v>
      </c>
      <c r="T211">
        <f t="shared" ca="1" si="71"/>
        <v>48.733998769851922</v>
      </c>
      <c r="U211">
        <f>70</f>
        <v>70</v>
      </c>
      <c r="V211">
        <f>30</f>
        <v>30</v>
      </c>
      <c r="W211">
        <f t="shared" ca="1" si="69"/>
        <v>304.55950634846158</v>
      </c>
      <c r="X211">
        <f t="shared" ca="1" si="58"/>
        <v>303.81166072448474</v>
      </c>
      <c r="Y211">
        <f t="shared" ca="1" si="57"/>
        <v>0.6302668092180852</v>
      </c>
      <c r="Z211">
        <f t="shared" ca="1" si="59"/>
        <v>1.6821831661156545</v>
      </c>
      <c r="AA211">
        <f t="shared" ca="1" si="60"/>
        <v>-1.0519163568975693</v>
      </c>
      <c r="AB211">
        <f t="shared" ca="1" si="61"/>
        <v>279.6305999999999</v>
      </c>
    </row>
    <row r="212" spans="1:28" x14ac:dyDescent="0.25">
      <c r="A212" s="20">
        <f t="shared" ca="1" si="62"/>
        <v>46013</v>
      </c>
      <c r="B212" vm="628">
        <f ca="1"/>
        <v>46014</v>
      </c>
      <c r="C212" vm="629">
        <f ca="1"/>
        <v>303.77999999999997</v>
      </c>
      <c r="D212" vm="630">
        <f ca="1"/>
        <v>2923037</v>
      </c>
      <c r="E212">
        <f t="shared" ca="1" si="63"/>
        <v>887960179.8599999</v>
      </c>
      <c r="F212">
        <f ca="1">SUM($E$2:E212)/SUM($D$2:D212)</f>
        <v>268.79347920068028</v>
      </c>
      <c r="G212">
        <f ca="1">_xlfn.STDEV.P($C$2:C212)</f>
        <v>24.412104691442728</v>
      </c>
      <c r="H212">
        <f t="shared" ca="1" si="64"/>
        <v>293.205583892123</v>
      </c>
      <c r="I212">
        <f t="shared" ca="1" si="65"/>
        <v>244.38137450923756</v>
      </c>
      <c r="J212">
        <f t="shared" ca="1" si="53"/>
        <v>305.887</v>
      </c>
      <c r="K212">
        <f t="shared" ca="1" si="54"/>
        <v>3.6609146110601554</v>
      </c>
      <c r="L212">
        <f t="shared" ca="1" si="55"/>
        <v>313.2088292221203</v>
      </c>
      <c r="M212">
        <f t="shared" ca="1" si="56"/>
        <v>298.5651707778797</v>
      </c>
      <c r="N212">
        <f t="shared" ca="1" si="66"/>
        <v>0.98999999999995225</v>
      </c>
      <c r="O212">
        <f t="shared" ca="1" si="67"/>
        <v>0.98999999999995225</v>
      </c>
      <c r="P212">
        <f t="shared" ca="1" si="68"/>
        <v>0</v>
      </c>
      <c r="Q212">
        <f t="shared" ca="1" si="72"/>
        <v>1.2668291790632569</v>
      </c>
      <c r="R212">
        <f t="shared" ca="1" si="73"/>
        <v>1.2582597189164189</v>
      </c>
      <c r="S212">
        <f t="shared" ca="1" si="70"/>
        <v>1.0068105654325625</v>
      </c>
      <c r="T212">
        <f t="shared" ca="1" si="71"/>
        <v>50.169686305969165</v>
      </c>
      <c r="U212">
        <f>70</f>
        <v>70</v>
      </c>
      <c r="V212">
        <f>30</f>
        <v>30</v>
      </c>
      <c r="W212">
        <f t="shared" ca="1" si="69"/>
        <v>304.43958229485207</v>
      </c>
      <c r="X212">
        <f t="shared" ca="1" si="58"/>
        <v>303.80931548563399</v>
      </c>
      <c r="Y212">
        <f t="shared" ca="1" si="57"/>
        <v>0.59318634968661854</v>
      </c>
      <c r="Z212">
        <f t="shared" ca="1" si="59"/>
        <v>1.4643838028298475</v>
      </c>
      <c r="AA212">
        <f t="shared" ca="1" si="60"/>
        <v>-0.87119745314322894</v>
      </c>
      <c r="AB212">
        <f t="shared" ca="1" si="61"/>
        <v>280.16789999999992</v>
      </c>
    </row>
    <row r="213" spans="1:28" x14ac:dyDescent="0.25">
      <c r="A213" s="20">
        <f t="shared" ca="1" si="62"/>
        <v>46013</v>
      </c>
      <c r="B213" vm="631">
        <f ca="1"/>
        <v>46015</v>
      </c>
      <c r="C213" vm="632">
        <f ca="1"/>
        <v>304.56</v>
      </c>
      <c r="D213" vm="633">
        <f ca="1"/>
        <v>1210642</v>
      </c>
      <c r="E213">
        <f t="shared" ca="1" si="63"/>
        <v>368713127.51999998</v>
      </c>
      <c r="F213">
        <f ca="1">SUM($E$2:E213)/SUM($D$2:D213)</f>
        <v>268.83609436438712</v>
      </c>
      <c r="G213">
        <f ca="1">_xlfn.STDEV.P($C$2:C213)</f>
        <v>24.471454401681012</v>
      </c>
      <c r="H213">
        <f t="shared" ca="1" si="64"/>
        <v>293.30754876606812</v>
      </c>
      <c r="I213">
        <f t="shared" ca="1" si="65"/>
        <v>244.36463996270612</v>
      </c>
      <c r="J213">
        <f t="shared" ca="1" si="53"/>
        <v>305.89099999999996</v>
      </c>
      <c r="K213">
        <f t="shared" ca="1" si="54"/>
        <v>3.6593397448749001</v>
      </c>
      <c r="L213">
        <f t="shared" ca="1" si="55"/>
        <v>313.20967948974976</v>
      </c>
      <c r="M213">
        <f t="shared" ca="1" si="56"/>
        <v>298.57232051025017</v>
      </c>
      <c r="N213">
        <f t="shared" ca="1" si="66"/>
        <v>0.78000000000002956</v>
      </c>
      <c r="O213">
        <f t="shared" ca="1" si="67"/>
        <v>0.78000000000002956</v>
      </c>
      <c r="P213">
        <f t="shared" ca="1" si="68"/>
        <v>0</v>
      </c>
      <c r="Q213">
        <f t="shared" ca="1" si="72"/>
        <v>1.2320556662730264</v>
      </c>
      <c r="R213">
        <f t="shared" ca="1" si="73"/>
        <v>1.1683840247081032</v>
      </c>
      <c r="S213">
        <f t="shared" ca="1" si="70"/>
        <v>1.054495474277672</v>
      </c>
      <c r="T213">
        <f t="shared" ca="1" si="71"/>
        <v>51.326249557615398</v>
      </c>
      <c r="U213">
        <f>70</f>
        <v>70</v>
      </c>
      <c r="V213">
        <f>30</f>
        <v>30</v>
      </c>
      <c r="W213">
        <f t="shared" ca="1" si="69"/>
        <v>304.45810809564404</v>
      </c>
      <c r="X213">
        <f t="shared" ca="1" si="58"/>
        <v>303.86492174595742</v>
      </c>
      <c r="Y213">
        <f t="shared" ca="1" si="57"/>
        <v>0.59965395148179823</v>
      </c>
      <c r="Z213">
        <f t="shared" ca="1" si="59"/>
        <v>1.2914378325602376</v>
      </c>
      <c r="AA213">
        <f t="shared" ca="1" si="60"/>
        <v>-0.69178388107843936</v>
      </c>
      <c r="AB213">
        <f t="shared" ca="1" si="61"/>
        <v>280.69369999999992</v>
      </c>
    </row>
    <row r="214" spans="1:28" x14ac:dyDescent="0.25">
      <c r="A214" s="20">
        <f t="shared" ca="1" si="62"/>
        <v>46013</v>
      </c>
      <c r="B214" vm="634">
        <f ca="1"/>
        <v>46017</v>
      </c>
      <c r="C214" vm="635">
        <f ca="1"/>
        <v>305.08999999999997</v>
      </c>
      <c r="D214" vm="636">
        <f ca="1"/>
        <v>2814732</v>
      </c>
      <c r="E214">
        <f t="shared" ca="1" si="63"/>
        <v>858746585.87999988</v>
      </c>
      <c r="F214">
        <f ca="1">SUM($E$2:E214)/SUM($D$2:D214)</f>
        <v>268.93624695010686</v>
      </c>
      <c r="G214">
        <f ca="1">_xlfn.STDEV.P($C$2:C214)</f>
        <v>24.532548840934876</v>
      </c>
      <c r="H214">
        <f t="shared" ca="1" si="64"/>
        <v>293.46879579104171</v>
      </c>
      <c r="I214">
        <f t="shared" ca="1" si="65"/>
        <v>244.40369810917198</v>
      </c>
      <c r="J214">
        <f t="shared" ref="J214:J251" ca="1" si="74">AVERAGE(C195:C214)</f>
        <v>305.98500000000001</v>
      </c>
      <c r="K214">
        <f t="shared" ref="K214:K251" ca="1" si="75">_xlfn.STDEV.S(C195:C214)</f>
        <v>3.6106691317465538</v>
      </c>
      <c r="L214">
        <f t="shared" ref="L214:L251" ca="1" si="76">J214 + 2*K214</f>
        <v>313.20633826349314</v>
      </c>
      <c r="M214">
        <f t="shared" ref="M214:M251" ca="1" si="77">J214-2*K214</f>
        <v>298.76366173650689</v>
      </c>
      <c r="N214">
        <f t="shared" ca="1" si="66"/>
        <v>0.52999999999997272</v>
      </c>
      <c r="O214">
        <f t="shared" ca="1" si="67"/>
        <v>0.52999999999997272</v>
      </c>
      <c r="P214">
        <f t="shared" ca="1" si="68"/>
        <v>0</v>
      </c>
      <c r="Q214">
        <f t="shared" ca="1" si="72"/>
        <v>1.1819088329678082</v>
      </c>
      <c r="R214">
        <f t="shared" ca="1" si="73"/>
        <v>1.0849280229432388</v>
      </c>
      <c r="S214">
        <f t="shared" ca="1" si="70"/>
        <v>1.0893891649710328</v>
      </c>
      <c r="T214">
        <f t="shared" ca="1" si="71"/>
        <v>52.139121961328641</v>
      </c>
      <c r="U214">
        <f>70</f>
        <v>70</v>
      </c>
      <c r="V214">
        <f>30</f>
        <v>30</v>
      </c>
      <c r="W214">
        <f t="shared" ca="1" si="69"/>
        <v>304.5553222347757</v>
      </c>
      <c r="X214">
        <f t="shared" ca="1" si="58"/>
        <v>303.9556682832939</v>
      </c>
      <c r="Y214">
        <f t="shared" ca="1" si="57"/>
        <v>0.64973934945260226</v>
      </c>
      <c r="Z214">
        <f t="shared" ca="1" si="59"/>
        <v>1.1630981359387107</v>
      </c>
      <c r="AA214">
        <f t="shared" ca="1" si="60"/>
        <v>-0.51335878648610844</v>
      </c>
      <c r="AB214">
        <f t="shared" ca="1" si="61"/>
        <v>281.23789999999991</v>
      </c>
    </row>
    <row r="215" spans="1:28" x14ac:dyDescent="0.25">
      <c r="A215" s="20">
        <f t="shared" ca="1" si="62"/>
        <v>46020</v>
      </c>
      <c r="B215" vm="637">
        <f ca="1"/>
        <v>46020</v>
      </c>
      <c r="C215" vm="638">
        <f ca="1"/>
        <v>305.74</v>
      </c>
      <c r="D215" vm="639">
        <f ca="1"/>
        <v>4664711</v>
      </c>
      <c r="E215">
        <f t="shared" ca="1" si="63"/>
        <v>1426188741.1400001</v>
      </c>
      <c r="F215">
        <f ca="1">SUM($E$2:E215)/SUM($D$2:D215)</f>
        <v>269.10397411855456</v>
      </c>
      <c r="G215">
        <f ca="1">_xlfn.STDEV.P($C$2:C215)</f>
        <v>24.596177059299198</v>
      </c>
      <c r="H215">
        <f t="shared" ca="1" si="64"/>
        <v>293.70015117785374</v>
      </c>
      <c r="I215">
        <f t="shared" ca="1" si="65"/>
        <v>244.50779705925535</v>
      </c>
      <c r="J215">
        <f t="shared" ca="1" si="74"/>
        <v>305.84299999999996</v>
      </c>
      <c r="K215">
        <f t="shared" ca="1" si="75"/>
        <v>3.5587136942854487</v>
      </c>
      <c r="L215">
        <f t="shared" ca="1" si="76"/>
        <v>312.96042738857085</v>
      </c>
      <c r="M215">
        <f t="shared" ca="1" si="77"/>
        <v>298.72557261142907</v>
      </c>
      <c r="N215">
        <f t="shared" ca="1" si="66"/>
        <v>0.65000000000003411</v>
      </c>
      <c r="O215">
        <f t="shared" ca="1" si="67"/>
        <v>0.65000000000003411</v>
      </c>
      <c r="P215">
        <f t="shared" ca="1" si="68"/>
        <v>0</v>
      </c>
      <c r="Q215">
        <f t="shared" ca="1" si="72"/>
        <v>1.1439153448986816</v>
      </c>
      <c r="R215">
        <f t="shared" ca="1" si="73"/>
        <v>1.0074331641615788</v>
      </c>
      <c r="S215">
        <f t="shared" ca="1" si="70"/>
        <v>1.1354751715471747</v>
      </c>
      <c r="T215">
        <f t="shared" ca="1" si="71"/>
        <v>53.172014672711498</v>
      </c>
      <c r="U215">
        <f>70</f>
        <v>70</v>
      </c>
      <c r="V215">
        <f>30</f>
        <v>30</v>
      </c>
      <c r="W215">
        <f t="shared" ca="1" si="69"/>
        <v>304.7375803525025</v>
      </c>
      <c r="X215">
        <f t="shared" ca="1" si="58"/>
        <v>304.0878410030499</v>
      </c>
      <c r="Y215">
        <f t="shared" ca="1" si="57"/>
        <v>0.38721663447870469</v>
      </c>
      <c r="Z215">
        <f t="shared" ca="1" si="59"/>
        <v>1.0079218356467095</v>
      </c>
      <c r="AA215">
        <f t="shared" ca="1" si="60"/>
        <v>-0.62070520116800476</v>
      </c>
      <c r="AB215">
        <f t="shared" ca="1" si="61"/>
        <v>281.77249999999992</v>
      </c>
    </row>
    <row r="216" spans="1:28" x14ac:dyDescent="0.25">
      <c r="A216" s="20">
        <f t="shared" ca="1" si="62"/>
        <v>46020</v>
      </c>
      <c r="B216" vm="640">
        <f ca="1"/>
        <v>46021</v>
      </c>
      <c r="C216" vm="641">
        <f ca="1"/>
        <v>302.05</v>
      </c>
      <c r="D216" vm="642">
        <f ca="1"/>
        <v>1883651</v>
      </c>
      <c r="E216">
        <f t="shared" ca="1" si="63"/>
        <v>568956784.55000007</v>
      </c>
      <c r="F216">
        <f ca="1">SUM($E$2:E216)/SUM($D$2:D216)</f>
        <v>269.1644930910781</v>
      </c>
      <c r="G216">
        <f ca="1">_xlfn.STDEV.P($C$2:C216)</f>
        <v>24.634564406809602</v>
      </c>
      <c r="H216">
        <f t="shared" ca="1" si="64"/>
        <v>293.7990574978877</v>
      </c>
      <c r="I216">
        <f t="shared" ca="1" si="65"/>
        <v>244.5299286842685</v>
      </c>
      <c r="J216">
        <f t="shared" ca="1" si="74"/>
        <v>305.66199999999998</v>
      </c>
      <c r="K216">
        <f t="shared" ca="1" si="75"/>
        <v>3.6586316107471029</v>
      </c>
      <c r="L216">
        <f t="shared" ca="1" si="76"/>
        <v>312.97926322149419</v>
      </c>
      <c r="M216">
        <f t="shared" ca="1" si="77"/>
        <v>298.34473677850576</v>
      </c>
      <c r="N216">
        <f t="shared" ca="1" si="66"/>
        <v>-3.6899999999999977</v>
      </c>
      <c r="O216">
        <f t="shared" ca="1" si="67"/>
        <v>0</v>
      </c>
      <c r="P216">
        <f t="shared" ca="1" si="68"/>
        <v>3.6899999999999977</v>
      </c>
      <c r="Q216">
        <f t="shared" ca="1" si="72"/>
        <v>1.0622071059773472</v>
      </c>
      <c r="R216">
        <f t="shared" ca="1" si="73"/>
        <v>1.1990450810071802</v>
      </c>
      <c r="S216">
        <f t="shared" ca="1" si="70"/>
        <v>0.88587753938751734</v>
      </c>
      <c r="T216">
        <f t="shared" ca="1" si="71"/>
        <v>46.97428761335302</v>
      </c>
      <c r="U216">
        <f>70</f>
        <v>70</v>
      </c>
      <c r="V216">
        <f>30</f>
        <v>30</v>
      </c>
      <c r="W216">
        <f t="shared" ca="1" si="69"/>
        <v>304.32410645211752</v>
      </c>
      <c r="X216">
        <f t="shared" ca="1" si="58"/>
        <v>303.93688981763881</v>
      </c>
      <c r="Y216">
        <f t="shared" ca="1" si="57"/>
        <v>-0.28874522636385791</v>
      </c>
      <c r="Z216">
        <f t="shared" ca="1" si="59"/>
        <v>0.74858842324459607</v>
      </c>
      <c r="AA216">
        <f t="shared" ca="1" si="60"/>
        <v>-1.037333649608454</v>
      </c>
      <c r="AB216">
        <f t="shared" ca="1" si="61"/>
        <v>282.2913999999999</v>
      </c>
    </row>
    <row r="217" spans="1:28" x14ac:dyDescent="0.25">
      <c r="A217" s="20">
        <f t="shared" ca="1" si="62"/>
        <v>46020</v>
      </c>
      <c r="B217" vm="643">
        <f ca="1"/>
        <v>46022</v>
      </c>
      <c r="C217" vm="644">
        <f ca="1"/>
        <v>296.20999999999998</v>
      </c>
      <c r="D217" vm="645">
        <f ca="1"/>
        <v>3430133</v>
      </c>
      <c r="E217">
        <f t="shared" ca="1" si="63"/>
        <v>1016039695.9299999</v>
      </c>
      <c r="F217">
        <f ca="1">SUM($E$2:E217)/SUM($D$2:D217)</f>
        <v>269.25465930941505</v>
      </c>
      <c r="G217">
        <f ca="1">_xlfn.STDEV.P($C$2:C217)</f>
        <v>24.640216473621756</v>
      </c>
      <c r="H217">
        <f t="shared" ca="1" si="64"/>
        <v>293.89487578303681</v>
      </c>
      <c r="I217">
        <f t="shared" ca="1" si="65"/>
        <v>244.61444283579328</v>
      </c>
      <c r="J217">
        <f t="shared" ca="1" si="74"/>
        <v>305.38350000000003</v>
      </c>
      <c r="K217">
        <f t="shared" ca="1" si="75"/>
        <v>4.14884419542296</v>
      </c>
      <c r="L217">
        <f t="shared" ca="1" si="76"/>
        <v>313.68118839084593</v>
      </c>
      <c r="M217">
        <f t="shared" ca="1" si="77"/>
        <v>297.08581160915412</v>
      </c>
      <c r="N217">
        <f t="shared" ca="1" si="66"/>
        <v>-5.8400000000000318</v>
      </c>
      <c r="O217">
        <f t="shared" ca="1" si="67"/>
        <v>0</v>
      </c>
      <c r="P217">
        <f t="shared" ca="1" si="68"/>
        <v>5.8400000000000318</v>
      </c>
      <c r="Q217">
        <f t="shared" ca="1" si="72"/>
        <v>0.98633516983610814</v>
      </c>
      <c r="R217">
        <f t="shared" ca="1" si="73"/>
        <v>1.530541860935241</v>
      </c>
      <c r="S217">
        <f t="shared" ca="1" si="70"/>
        <v>0.64443527812653612</v>
      </c>
      <c r="T217">
        <f t="shared" ca="1" si="71"/>
        <v>39.188850221014782</v>
      </c>
      <c r="U217">
        <f>70</f>
        <v>70</v>
      </c>
      <c r="V217">
        <f>30</f>
        <v>30</v>
      </c>
      <c r="W217">
        <f t="shared" ca="1" si="69"/>
        <v>303.07578238256099</v>
      </c>
      <c r="X217">
        <f t="shared" ca="1" si="58"/>
        <v>303.36452760892485</v>
      </c>
      <c r="Y217">
        <f t="shared" ca="1" si="57"/>
        <v>-1.1907809267235621</v>
      </c>
      <c r="Z217">
        <f t="shared" ca="1" si="59"/>
        <v>0.36071455325096446</v>
      </c>
      <c r="AA217">
        <f t="shared" ca="1" si="60"/>
        <v>-1.5514954799745264</v>
      </c>
      <c r="AB217">
        <f t="shared" ca="1" si="61"/>
        <v>282.8307999999999</v>
      </c>
    </row>
    <row r="218" spans="1:28" x14ac:dyDescent="0.25">
      <c r="A218" s="20">
        <f t="shared" ca="1" si="62"/>
        <v>46020</v>
      </c>
      <c r="B218" vm="646">
        <f ca="1"/>
        <v>46024</v>
      </c>
      <c r="C218" vm="647">
        <f ca="1"/>
        <v>291.5</v>
      </c>
      <c r="D218" vm="648">
        <f ca="1"/>
        <v>4662804</v>
      </c>
      <c r="E218">
        <f t="shared" ca="1" si="63"/>
        <v>1359207366</v>
      </c>
      <c r="F218">
        <f ca="1">SUM($E$2:E218)/SUM($D$2:D218)</f>
        <v>269.35501921360031</v>
      </c>
      <c r="G218">
        <f ca="1">_xlfn.STDEV.P($C$2:C218)</f>
        <v>24.624708058586805</v>
      </c>
      <c r="H218">
        <f t="shared" ca="1" si="64"/>
        <v>293.97972727218712</v>
      </c>
      <c r="I218">
        <f t="shared" ca="1" si="65"/>
        <v>244.73031115501351</v>
      </c>
      <c r="J218">
        <f t="shared" ca="1" si="74"/>
        <v>304.82749999999999</v>
      </c>
      <c r="K218">
        <f t="shared" ca="1" si="75"/>
        <v>5.1604629280306824</v>
      </c>
      <c r="L218">
        <f t="shared" ca="1" si="76"/>
        <v>315.14842585606135</v>
      </c>
      <c r="M218">
        <f t="shared" ca="1" si="77"/>
        <v>294.50657414393862</v>
      </c>
      <c r="N218">
        <f t="shared" ca="1" si="66"/>
        <v>-4.7099999999999795</v>
      </c>
      <c r="O218">
        <f t="shared" ca="1" si="67"/>
        <v>0</v>
      </c>
      <c r="P218">
        <f t="shared" ca="1" si="68"/>
        <v>4.7099999999999795</v>
      </c>
      <c r="Q218">
        <f t="shared" ca="1" si="72"/>
        <v>0.91588265770495758</v>
      </c>
      <c r="R218">
        <f t="shared" ca="1" si="73"/>
        <v>1.7576460137255796</v>
      </c>
      <c r="S218">
        <f t="shared" ca="1" si="70"/>
        <v>0.52108482057977912</v>
      </c>
      <c r="T218">
        <f t="shared" ca="1" si="71"/>
        <v>34.257446628200626</v>
      </c>
      <c r="U218">
        <f>70</f>
        <v>70</v>
      </c>
      <c r="V218">
        <f>30</f>
        <v>30</v>
      </c>
      <c r="W218">
        <f t="shared" ca="1" si="69"/>
        <v>301.29489278524392</v>
      </c>
      <c r="X218">
        <f t="shared" ca="1" si="58"/>
        <v>302.48567371196748</v>
      </c>
      <c r="Y218">
        <f t="shared" ca="1" si="57"/>
        <v>-1.6071247839657872</v>
      </c>
      <c r="Z218">
        <f t="shared" ca="1" si="59"/>
        <v>-3.2853314192385907E-2</v>
      </c>
      <c r="AA218">
        <f t="shared" ca="1" si="60"/>
        <v>-1.5742714697734013</v>
      </c>
      <c r="AB218">
        <f t="shared" ca="1" si="61"/>
        <v>283.38279999999986</v>
      </c>
    </row>
    <row r="219" spans="1:28" x14ac:dyDescent="0.25">
      <c r="A219" s="20">
        <f t="shared" ca="1" si="62"/>
        <v>46027</v>
      </c>
      <c r="B219" vm="649">
        <f ca="1"/>
        <v>46027</v>
      </c>
      <c r="C219" vm="650">
        <f ca="1"/>
        <v>294.97000000000003</v>
      </c>
      <c r="D219" vm="651">
        <f ca="1"/>
        <v>4189960</v>
      </c>
      <c r="E219">
        <f t="shared" ca="1" si="63"/>
        <v>1235912501.2</v>
      </c>
      <c r="F219">
        <f ca="1">SUM($E$2:E219)/SUM($D$2:D219)</f>
        <v>269.45844310071044</v>
      </c>
      <c r="G219">
        <f ca="1">_xlfn.STDEV.P($C$2:C219)</f>
        <v>24.623562576090436</v>
      </c>
      <c r="H219">
        <f t="shared" ca="1" si="64"/>
        <v>294.08200567680086</v>
      </c>
      <c r="I219">
        <f t="shared" ca="1" si="65"/>
        <v>244.83488052462002</v>
      </c>
      <c r="J219">
        <f t="shared" ca="1" si="74"/>
        <v>304.17650000000003</v>
      </c>
      <c r="K219">
        <f t="shared" ca="1" si="75"/>
        <v>5.5472613204981398</v>
      </c>
      <c r="L219">
        <f t="shared" ca="1" si="76"/>
        <v>315.27102264099631</v>
      </c>
      <c r="M219">
        <f t="shared" ca="1" si="77"/>
        <v>293.08197735900376</v>
      </c>
      <c r="N219">
        <f t="shared" ca="1" si="66"/>
        <v>3.4700000000000273</v>
      </c>
      <c r="O219">
        <f t="shared" ca="1" si="67"/>
        <v>3.4700000000000273</v>
      </c>
      <c r="P219">
        <f t="shared" ca="1" si="68"/>
        <v>0</v>
      </c>
      <c r="Q219">
        <f t="shared" ca="1" si="72"/>
        <v>1.098319610726034</v>
      </c>
      <c r="R219">
        <f t="shared" ca="1" si="73"/>
        <v>1.632099869888038</v>
      </c>
      <c r="S219">
        <f t="shared" ca="1" si="70"/>
        <v>0.67294877659746322</v>
      </c>
      <c r="T219">
        <f t="shared" ca="1" si="71"/>
        <v>40.22530671657168</v>
      </c>
      <c r="U219">
        <f>70</f>
        <v>70</v>
      </c>
      <c r="V219">
        <f>30</f>
        <v>30</v>
      </c>
      <c r="W219">
        <f t="shared" ca="1" si="69"/>
        <v>300.32183235674484</v>
      </c>
      <c r="X219">
        <f t="shared" ca="1" si="58"/>
        <v>301.92895714071062</v>
      </c>
      <c r="Y219">
        <f t="shared" ca="1" si="57"/>
        <v>-1.3167147030704882</v>
      </c>
      <c r="Z219">
        <f t="shared" ca="1" si="59"/>
        <v>-0.28962559196800636</v>
      </c>
      <c r="AA219">
        <f t="shared" ca="1" si="60"/>
        <v>-1.0270891111024818</v>
      </c>
      <c r="AB219">
        <f t="shared" ca="1" si="61"/>
        <v>283.98479999999995</v>
      </c>
    </row>
    <row r="220" spans="1:28" x14ac:dyDescent="0.25">
      <c r="A220" s="20">
        <f t="shared" ca="1" si="62"/>
        <v>46027</v>
      </c>
      <c r="B220" vm="652">
        <f ca="1"/>
        <v>46028</v>
      </c>
      <c r="C220" vm="653">
        <f ca="1"/>
        <v>302.47000000000003</v>
      </c>
      <c r="D220" vm="654">
        <f ca="1"/>
        <v>4147315</v>
      </c>
      <c r="E220">
        <f t="shared" ca="1" si="63"/>
        <v>1254438368.0500002</v>
      </c>
      <c r="F220">
        <f ca="1">SUM($E$2:E220)/SUM($D$2:D220)</f>
        <v>269.5898498764102</v>
      </c>
      <c r="G220">
        <f ca="1">_xlfn.STDEV.P($C$2:C220)</f>
        <v>24.660754919293669</v>
      </c>
      <c r="H220">
        <f t="shared" ca="1" si="64"/>
        <v>294.25060479570385</v>
      </c>
      <c r="I220">
        <f t="shared" ca="1" si="65"/>
        <v>244.92909495711652</v>
      </c>
      <c r="J220">
        <f t="shared" ca="1" si="74"/>
        <v>303.90300000000002</v>
      </c>
      <c r="K220">
        <f t="shared" ca="1" si="75"/>
        <v>5.4864532690695773</v>
      </c>
      <c r="L220">
        <f t="shared" ca="1" si="76"/>
        <v>314.87590653813919</v>
      </c>
      <c r="M220">
        <f t="shared" ca="1" si="77"/>
        <v>292.93009346186085</v>
      </c>
      <c r="N220">
        <f t="shared" ca="1" si="66"/>
        <v>7.5</v>
      </c>
      <c r="O220">
        <f t="shared" ca="1" si="67"/>
        <v>7.5</v>
      </c>
      <c r="P220">
        <f t="shared" ca="1" si="68"/>
        <v>0</v>
      </c>
      <c r="Q220">
        <f t="shared" ca="1" si="72"/>
        <v>1.5555824956741746</v>
      </c>
      <c r="R220">
        <f t="shared" ca="1" si="73"/>
        <v>1.5155213077531779</v>
      </c>
      <c r="S220">
        <f t="shared" ca="1" si="70"/>
        <v>1.0264339324798997</v>
      </c>
      <c r="T220">
        <f t="shared" ca="1" si="71"/>
        <v>50.652227838672992</v>
      </c>
      <c r="U220">
        <f>70</f>
        <v>70</v>
      </c>
      <c r="V220">
        <f>30</f>
        <v>30</v>
      </c>
      <c r="W220">
        <f t="shared" ca="1" si="69"/>
        <v>300.6523196864764</v>
      </c>
      <c r="X220">
        <f t="shared" ca="1" si="58"/>
        <v>301.96903438954689</v>
      </c>
      <c r="Y220">
        <f t="shared" ref="Y220:Y250" ca="1" si="78">W221-X221</f>
        <v>-1.5320718795420589</v>
      </c>
      <c r="Z220">
        <f t="shared" ca="1" si="59"/>
        <v>-0.53811484948281696</v>
      </c>
      <c r="AA220">
        <f t="shared" ca="1" si="60"/>
        <v>-0.99395703005924196</v>
      </c>
      <c r="AB220">
        <f t="shared" ca="1" si="61"/>
        <v>284.60879999999992</v>
      </c>
    </row>
    <row r="221" spans="1:28" x14ac:dyDescent="0.25">
      <c r="A221" s="20">
        <f t="shared" ca="1" si="62"/>
        <v>46027</v>
      </c>
      <c r="B221" vm="655">
        <f ca="1"/>
        <v>46029</v>
      </c>
      <c r="C221" vm="656">
        <f ca="1"/>
        <v>296.73</v>
      </c>
      <c r="D221" vm="657">
        <f ca="1"/>
        <v>2833274</v>
      </c>
      <c r="E221">
        <f t="shared" ca="1" si="63"/>
        <v>840717394.0200001</v>
      </c>
      <c r="F221">
        <f ca="1">SUM($E$2:E221)/SUM($D$2:D221)</f>
        <v>269.66345467581135</v>
      </c>
      <c r="G221">
        <f ca="1">_xlfn.STDEV.P($C$2:C221)</f>
        <v>24.666402109234799</v>
      </c>
      <c r="H221">
        <f t="shared" ca="1" si="64"/>
        <v>294.32985678504616</v>
      </c>
      <c r="I221">
        <f t="shared" ca="1" si="65"/>
        <v>244.99705256657654</v>
      </c>
      <c r="J221">
        <f t="shared" ca="1" si="74"/>
        <v>303.28050000000002</v>
      </c>
      <c r="K221">
        <f t="shared" ca="1" si="75"/>
        <v>5.5619822999775161</v>
      </c>
      <c r="L221">
        <f t="shared" ca="1" si="76"/>
        <v>314.40446459995508</v>
      </c>
      <c r="M221">
        <f t="shared" ca="1" si="77"/>
        <v>292.15653540004496</v>
      </c>
      <c r="N221">
        <f t="shared" ca="1" si="66"/>
        <v>-5.7400000000000091</v>
      </c>
      <c r="O221">
        <f t="shared" ca="1" si="67"/>
        <v>0</v>
      </c>
      <c r="P221">
        <f t="shared" ca="1" si="68"/>
        <v>5.7400000000000091</v>
      </c>
      <c r="Q221">
        <f t="shared" ca="1" si="72"/>
        <v>1.4444694602688766</v>
      </c>
      <c r="R221">
        <f t="shared" ca="1" si="73"/>
        <v>1.8172697857708087</v>
      </c>
      <c r="S221">
        <f t="shared" ca="1" si="70"/>
        <v>0.79485691754688692</v>
      </c>
      <c r="T221">
        <f t="shared" ca="1" si="71"/>
        <v>44.285252477576556</v>
      </c>
      <c r="U221">
        <f>70</f>
        <v>70</v>
      </c>
      <c r="V221">
        <f>30</f>
        <v>30</v>
      </c>
      <c r="W221">
        <f t="shared" ca="1" si="69"/>
        <v>300.04888588855692</v>
      </c>
      <c r="X221">
        <f t="shared" ref="X221:X251" ca="1" si="79">C221*(2/(26+1)) + X220*(1-(2/(26+1)))</f>
        <v>301.58095776809898</v>
      </c>
      <c r="Y221">
        <f t="shared" ca="1" si="78"/>
        <v>-1.2055047456717602</v>
      </c>
      <c r="Z221">
        <f t="shared" ca="1" si="59"/>
        <v>-0.67159282872060566</v>
      </c>
      <c r="AA221">
        <f t="shared" ca="1" si="60"/>
        <v>-0.53391191695115459</v>
      </c>
      <c r="AB221">
        <f t="shared" ca="1" si="61"/>
        <v>285.20499999999998</v>
      </c>
    </row>
    <row r="222" spans="1:28" x14ac:dyDescent="0.25">
      <c r="A222" s="20">
        <f t="shared" ca="1" si="62"/>
        <v>46027</v>
      </c>
      <c r="B222" vm="658">
        <f ca="1"/>
        <v>46030</v>
      </c>
      <c r="C222" vm="659">
        <f ca="1"/>
        <v>302.72000000000003</v>
      </c>
      <c r="D222" vm="660">
        <f ca="1"/>
        <v>3343273</v>
      </c>
      <c r="E222">
        <f t="shared" ca="1" si="63"/>
        <v>1012075602.5600001</v>
      </c>
      <c r="F222">
        <f ca="1">SUM($E$2:E222)/SUM($D$2:D222)</f>
        <v>269.76890477843892</v>
      </c>
      <c r="G222">
        <f ca="1">_xlfn.STDEV.P($C$2:C222)</f>
        <v>24.702928307391741</v>
      </c>
      <c r="H222">
        <f t="shared" ca="1" si="64"/>
        <v>294.47183308583067</v>
      </c>
      <c r="I222">
        <f t="shared" ca="1" si="65"/>
        <v>245.06597647104718</v>
      </c>
      <c r="J222">
        <f t="shared" ca="1" si="74"/>
        <v>302.89250000000004</v>
      </c>
      <c r="K222">
        <f t="shared" ca="1" si="75"/>
        <v>5.2977044432868343</v>
      </c>
      <c r="L222">
        <f t="shared" ca="1" si="76"/>
        <v>313.48790888657373</v>
      </c>
      <c r="M222">
        <f t="shared" ca="1" si="77"/>
        <v>292.29709111342635</v>
      </c>
      <c r="N222">
        <f t="shared" ca="1" si="66"/>
        <v>5.9900000000000091</v>
      </c>
      <c r="O222">
        <f t="shared" ca="1" si="67"/>
        <v>5.9900000000000091</v>
      </c>
      <c r="P222">
        <f t="shared" ca="1" si="68"/>
        <v>0</v>
      </c>
      <c r="Q222">
        <f t="shared" ca="1" si="72"/>
        <v>1.7691502131068144</v>
      </c>
      <c r="R222">
        <f t="shared" ca="1" si="73"/>
        <v>1.6874648010728936</v>
      </c>
      <c r="S222">
        <f t="shared" ca="1" si="70"/>
        <v>1.0484071798013119</v>
      </c>
      <c r="T222">
        <f t="shared" ca="1" si="71"/>
        <v>51.18158099323805</v>
      </c>
      <c r="U222">
        <f>70</f>
        <v>70</v>
      </c>
      <c r="V222">
        <f>30</f>
        <v>30</v>
      </c>
      <c r="W222">
        <f t="shared" ca="1" si="69"/>
        <v>300.4598265210866</v>
      </c>
      <c r="X222">
        <f t="shared" ca="1" si="79"/>
        <v>301.66533126675836</v>
      </c>
      <c r="Y222">
        <f t="shared" ca="1" si="78"/>
        <v>-0.81625123912743902</v>
      </c>
      <c r="Z222">
        <f t="shared" ca="1" si="59"/>
        <v>-0.70052451080197231</v>
      </c>
      <c r="AA222">
        <f t="shared" ca="1" si="60"/>
        <v>-0.11572672832546671</v>
      </c>
      <c r="AB222">
        <f t="shared" ca="1" si="61"/>
        <v>285.83499999999992</v>
      </c>
    </row>
    <row r="223" spans="1:28" x14ac:dyDescent="0.25">
      <c r="A223" s="20">
        <f t="shared" ca="1" si="62"/>
        <v>46027</v>
      </c>
      <c r="B223" vm="661">
        <f ca="1"/>
        <v>46031</v>
      </c>
      <c r="C223" vm="662">
        <f ca="1"/>
        <v>304.22000000000003</v>
      </c>
      <c r="D223" vm="663">
        <f ca="1"/>
        <v>2718828</v>
      </c>
      <c r="E223">
        <f t="shared" ca="1" si="63"/>
        <v>827121854.16000009</v>
      </c>
      <c r="F223">
        <f ca="1">SUM($E$2:E223)/SUM($D$2:D223)</f>
        <v>269.85804573512445</v>
      </c>
      <c r="G223">
        <f ca="1">_xlfn.STDEV.P($C$2:C223)</f>
        <v>24.747057220735492</v>
      </c>
      <c r="H223">
        <f t="shared" ca="1" si="64"/>
        <v>294.60510295585993</v>
      </c>
      <c r="I223">
        <f t="shared" ca="1" si="65"/>
        <v>245.11098851438896</v>
      </c>
      <c r="J223">
        <f t="shared" ca="1" si="74"/>
        <v>302.47000000000008</v>
      </c>
      <c r="K223">
        <f t="shared" ca="1" si="75"/>
        <v>4.7894643146235714</v>
      </c>
      <c r="L223">
        <f t="shared" ca="1" si="76"/>
        <v>312.0489286292472</v>
      </c>
      <c r="M223">
        <f t="shared" ca="1" si="77"/>
        <v>292.89107137075297</v>
      </c>
      <c r="N223">
        <f t="shared" ca="1" si="66"/>
        <v>1.5</v>
      </c>
      <c r="O223">
        <f t="shared" ca="1" si="67"/>
        <v>1.5</v>
      </c>
      <c r="P223">
        <f t="shared" ca="1" si="68"/>
        <v>0</v>
      </c>
      <c r="Q223">
        <f t="shared" ca="1" si="72"/>
        <v>1.7499251978848991</v>
      </c>
      <c r="R223">
        <f t="shared" ca="1" si="73"/>
        <v>1.5669316009962582</v>
      </c>
      <c r="S223">
        <f t="shared" ca="1" si="70"/>
        <v>1.1167846744377949</v>
      </c>
      <c r="T223">
        <f t="shared" ca="1" si="71"/>
        <v>52.758539303692103</v>
      </c>
      <c r="U223">
        <f>70</f>
        <v>70</v>
      </c>
      <c r="V223">
        <f>30</f>
        <v>30</v>
      </c>
      <c r="W223">
        <f t="shared" ca="1" si="69"/>
        <v>301.03831474861175</v>
      </c>
      <c r="X223">
        <f t="shared" ca="1" si="79"/>
        <v>301.85456598773919</v>
      </c>
      <c r="Y223">
        <f t="shared" ca="1" si="78"/>
        <v>0.13300722029185863</v>
      </c>
      <c r="Z223">
        <f t="shared" ca="1" si="59"/>
        <v>-0.53381816458320619</v>
      </c>
      <c r="AA223">
        <f t="shared" ca="1" si="60"/>
        <v>0.66682538487506482</v>
      </c>
      <c r="AB223">
        <f t="shared" ca="1" si="61"/>
        <v>286.48269999999991</v>
      </c>
    </row>
    <row r="224" spans="1:28" x14ac:dyDescent="0.25">
      <c r="A224" s="20">
        <f t="shared" ca="1" si="62"/>
        <v>46034</v>
      </c>
      <c r="B224" vm="664">
        <f ca="1"/>
        <v>46034</v>
      </c>
      <c r="C224" vm="665">
        <f ca="1"/>
        <v>312.18</v>
      </c>
      <c r="D224" vm="666">
        <f ca="1"/>
        <v>3895197</v>
      </c>
      <c r="E224">
        <f t="shared" ca="1" si="63"/>
        <v>1216002599.46</v>
      </c>
      <c r="F224">
        <f ca="1">SUM($E$2:E224)/SUM($D$2:D224)</f>
        <v>270.01435355791813</v>
      </c>
      <c r="G224">
        <f ca="1">_xlfn.STDEV.P($C$2:C224)</f>
        <v>24.842793533513387</v>
      </c>
      <c r="H224">
        <f t="shared" ca="1" si="64"/>
        <v>294.8571470914315</v>
      </c>
      <c r="I224">
        <f t="shared" ca="1" si="65"/>
        <v>245.17156002440476</v>
      </c>
      <c r="J224">
        <f t="shared" ca="1" si="74"/>
        <v>302.54200000000009</v>
      </c>
      <c r="K224">
        <f t="shared" ca="1" si="75"/>
        <v>4.9291182087458081</v>
      </c>
      <c r="L224">
        <f t="shared" ca="1" si="76"/>
        <v>312.40023641749173</v>
      </c>
      <c r="M224">
        <f t="shared" ca="1" si="77"/>
        <v>292.68376358250845</v>
      </c>
      <c r="N224">
        <f t="shared" ca="1" si="66"/>
        <v>7.9599999999999795</v>
      </c>
      <c r="O224">
        <f t="shared" ca="1" si="67"/>
        <v>7.9599999999999795</v>
      </c>
      <c r="P224">
        <f t="shared" ca="1" si="68"/>
        <v>0</v>
      </c>
      <c r="Q224">
        <f t="shared" ca="1" si="72"/>
        <v>2.1935019694645477</v>
      </c>
      <c r="R224">
        <f t="shared" ca="1" si="73"/>
        <v>1.4550079152108111</v>
      </c>
      <c r="S224">
        <f t="shared" ca="1" si="70"/>
        <v>1.5075532899398274</v>
      </c>
      <c r="T224">
        <f t="shared" ca="1" si="71"/>
        <v>60.120488604890369</v>
      </c>
      <c r="U224">
        <f>70</f>
        <v>70</v>
      </c>
      <c r="V224">
        <f>30</f>
        <v>30</v>
      </c>
      <c r="W224">
        <f t="shared" ca="1" si="69"/>
        <v>302.75242017190226</v>
      </c>
      <c r="X224">
        <f t="shared" ca="1" si="79"/>
        <v>302.6194129516104</v>
      </c>
      <c r="Y224">
        <f t="shared" ca="1" si="78"/>
        <v>0.15566832416408261</v>
      </c>
      <c r="Z224">
        <f t="shared" ca="1" si="59"/>
        <v>-0.39592086683374844</v>
      </c>
      <c r="AA224">
        <f t="shared" ca="1" si="60"/>
        <v>0.55158919099783099</v>
      </c>
      <c r="AB224">
        <f t="shared" ca="1" si="61"/>
        <v>287.19169999999997</v>
      </c>
    </row>
    <row r="225" spans="1:28" x14ac:dyDescent="0.25">
      <c r="A225" s="20">
        <f t="shared" ca="1" si="62"/>
        <v>46034</v>
      </c>
      <c r="B225" vm="667">
        <f ca="1"/>
        <v>46035</v>
      </c>
      <c r="C225" vm="668">
        <f ca="1"/>
        <v>303.16000000000003</v>
      </c>
      <c r="D225" vm="669">
        <f ca="1"/>
        <v>4507760</v>
      </c>
      <c r="E225">
        <f t="shared" ca="1" si="63"/>
        <v>1366572521.6000001</v>
      </c>
      <c r="F225">
        <f ca="1">SUM($E$2:E225)/SUM($D$2:D225)</f>
        <v>270.15541898324381</v>
      </c>
      <c r="G225">
        <f ca="1">_xlfn.STDEV.P($C$2:C225)</f>
        <v>24.877587165439252</v>
      </c>
      <c r="H225">
        <f t="shared" ca="1" si="64"/>
        <v>295.03300614868306</v>
      </c>
      <c r="I225">
        <f t="shared" ca="1" si="65"/>
        <v>245.27783181780455</v>
      </c>
      <c r="J225">
        <f t="shared" ca="1" si="74"/>
        <v>302.23800000000011</v>
      </c>
      <c r="K225">
        <f t="shared" ca="1" si="75"/>
        <v>4.6752332899855897</v>
      </c>
      <c r="L225">
        <f t="shared" ca="1" si="76"/>
        <v>311.58846657997128</v>
      </c>
      <c r="M225">
        <f t="shared" ca="1" si="77"/>
        <v>292.88753342002894</v>
      </c>
      <c r="N225">
        <f t="shared" ca="1" si="66"/>
        <v>-9.0199999999999818</v>
      </c>
      <c r="O225">
        <f t="shared" ca="1" si="67"/>
        <v>0</v>
      </c>
      <c r="P225">
        <f t="shared" ca="1" si="68"/>
        <v>9.0199999999999818</v>
      </c>
      <c r="Q225">
        <f t="shared" ca="1" si="72"/>
        <v>2.036823257359937</v>
      </c>
      <c r="R225">
        <f t="shared" ca="1" si="73"/>
        <v>1.9953644926957517</v>
      </c>
      <c r="S225">
        <f t="shared" ca="1" si="70"/>
        <v>1.0207775395502674</v>
      </c>
      <c r="T225">
        <f t="shared" ca="1" si="71"/>
        <v>50.514097646663558</v>
      </c>
      <c r="U225">
        <f>70</f>
        <v>70</v>
      </c>
      <c r="V225">
        <f>30</f>
        <v>30</v>
      </c>
      <c r="W225">
        <f t="shared" ca="1" si="69"/>
        <v>302.81512476084038</v>
      </c>
      <c r="X225">
        <f t="shared" ca="1" si="79"/>
        <v>302.65945643667629</v>
      </c>
      <c r="Y225">
        <f t="shared" ca="1" si="78"/>
        <v>0.63991086054068091</v>
      </c>
      <c r="Z225">
        <f t="shared" ca="1" si="59"/>
        <v>-0.18875452135886259</v>
      </c>
      <c r="AA225">
        <f t="shared" ca="1" si="60"/>
        <v>0.82866538189954353</v>
      </c>
      <c r="AB225">
        <f t="shared" ca="1" si="61"/>
        <v>287.79779999999994</v>
      </c>
    </row>
    <row r="226" spans="1:28" x14ac:dyDescent="0.25">
      <c r="A226" s="20">
        <f t="shared" ca="1" si="62"/>
        <v>46034</v>
      </c>
      <c r="B226" vm="670">
        <f ca="1"/>
        <v>46036</v>
      </c>
      <c r="C226" vm="671">
        <f ca="1"/>
        <v>309.02999999999997</v>
      </c>
      <c r="D226" vm="672">
        <f ca="1"/>
        <v>3779045</v>
      </c>
      <c r="E226">
        <f t="shared" ca="1" si="63"/>
        <v>1167838276.3499999</v>
      </c>
      <c r="F226">
        <f ca="1">SUM($E$2:E226)/SUM($D$2:D226)</f>
        <v>270.29362734439582</v>
      </c>
      <c r="G226">
        <f ca="1">_xlfn.STDEV.P($C$2:C226)</f>
        <v>24.947234647215112</v>
      </c>
      <c r="H226">
        <f t="shared" ca="1" si="64"/>
        <v>295.24086199161093</v>
      </c>
      <c r="I226">
        <f t="shared" ca="1" si="65"/>
        <v>245.3463926971807</v>
      </c>
      <c r="J226">
        <f t="shared" ca="1" si="74"/>
        <v>302.25650000000007</v>
      </c>
      <c r="K226">
        <f t="shared" ca="1" si="75"/>
        <v>4.7026345079954321</v>
      </c>
      <c r="L226">
        <f t="shared" ca="1" si="76"/>
        <v>311.66176901599096</v>
      </c>
      <c r="M226">
        <f t="shared" ca="1" si="77"/>
        <v>292.85123098400919</v>
      </c>
      <c r="N226">
        <f t="shared" ca="1" si="66"/>
        <v>5.8699999999999477</v>
      </c>
      <c r="O226">
        <f t="shared" ca="1" si="67"/>
        <v>5.8699999999999477</v>
      </c>
      <c r="P226">
        <f t="shared" ca="1" si="68"/>
        <v>0</v>
      </c>
      <c r="Q226">
        <f t="shared" ca="1" si="72"/>
        <v>2.3106215961199377</v>
      </c>
      <c r="R226">
        <f t="shared" ca="1" si="73"/>
        <v>1.852838457503198</v>
      </c>
      <c r="S226">
        <f t="shared" ca="1" si="70"/>
        <v>1.2470712634244583</v>
      </c>
      <c r="T226">
        <f t="shared" ca="1" si="71"/>
        <v>55.497628567594475</v>
      </c>
      <c r="U226">
        <f>70</f>
        <v>70</v>
      </c>
      <c r="V226">
        <f>30</f>
        <v>30</v>
      </c>
      <c r="W226">
        <f t="shared" ca="1" si="69"/>
        <v>303.77125941301875</v>
      </c>
      <c r="X226">
        <f t="shared" ca="1" si="79"/>
        <v>303.13134855247807</v>
      </c>
      <c r="Y226">
        <f t="shared" ca="1" si="78"/>
        <v>0.12813608578693447</v>
      </c>
      <c r="Z226">
        <f t="shared" ca="1" si="59"/>
        <v>-0.1253763999297032</v>
      </c>
      <c r="AA226">
        <f t="shared" ca="1" si="60"/>
        <v>0.25351248571663765</v>
      </c>
      <c r="AB226">
        <f t="shared" ca="1" si="61"/>
        <v>288.49409999999989</v>
      </c>
    </row>
    <row r="227" spans="1:28" x14ac:dyDescent="0.25">
      <c r="A227" s="20">
        <f t="shared" ca="1" si="62"/>
        <v>46034</v>
      </c>
      <c r="B227" vm="673">
        <f ca="1"/>
        <v>46037</v>
      </c>
      <c r="C227" vm="674">
        <f ca="1"/>
        <v>297.95</v>
      </c>
      <c r="D227" vm="675">
        <f ca="1"/>
        <v>4932480</v>
      </c>
      <c r="E227">
        <f t="shared" ca="1" si="63"/>
        <v>1469632416</v>
      </c>
      <c r="F227">
        <f ca="1">SUM($E$2:E227)/SUM($D$2:D227)</f>
        <v>270.42137015335516</v>
      </c>
      <c r="G227">
        <f ca="1">_xlfn.STDEV.P($C$2:C227)</f>
        <v>24.952874460991538</v>
      </c>
      <c r="H227">
        <f t="shared" ca="1" si="64"/>
        <v>295.37424461434671</v>
      </c>
      <c r="I227">
        <f t="shared" ca="1" si="65"/>
        <v>245.4684956923636</v>
      </c>
      <c r="J227">
        <f t="shared" ca="1" si="74"/>
        <v>301.99500000000006</v>
      </c>
      <c r="K227">
        <f t="shared" ca="1" si="75"/>
        <v>4.7931206184653723</v>
      </c>
      <c r="L227">
        <f t="shared" ca="1" si="76"/>
        <v>311.58124123693079</v>
      </c>
      <c r="M227">
        <f t="shared" ca="1" si="77"/>
        <v>292.40875876306933</v>
      </c>
      <c r="N227">
        <f t="shared" ca="1" si="66"/>
        <v>-11.079999999999984</v>
      </c>
      <c r="O227">
        <f t="shared" ca="1" si="67"/>
        <v>0</v>
      </c>
      <c r="P227">
        <f t="shared" ca="1" si="68"/>
        <v>11.079999999999984</v>
      </c>
      <c r="Q227">
        <f t="shared" ca="1" si="72"/>
        <v>2.1455771963970851</v>
      </c>
      <c r="R227">
        <f t="shared" ca="1" si="73"/>
        <v>2.5119214248243971</v>
      </c>
      <c r="S227">
        <f t="shared" ca="1" si="70"/>
        <v>0.85415776751339967</v>
      </c>
      <c r="T227">
        <f t="shared" ca="1" si="71"/>
        <v>46.067156877319334</v>
      </c>
      <c r="U227">
        <f>70</f>
        <v>70</v>
      </c>
      <c r="V227">
        <f>30</f>
        <v>30</v>
      </c>
      <c r="W227">
        <f t="shared" ca="1" si="69"/>
        <v>302.87568104178513</v>
      </c>
      <c r="X227">
        <f t="shared" ca="1" si="79"/>
        <v>302.74754495599819</v>
      </c>
      <c r="Y227">
        <f t="shared" ca="1" si="78"/>
        <v>0.3415531587201599</v>
      </c>
      <c r="Z227">
        <f t="shared" ca="1" si="59"/>
        <v>-3.1990488199730577E-2</v>
      </c>
      <c r="AA227">
        <f t="shared" ca="1" si="60"/>
        <v>0.3735436469198905</v>
      </c>
      <c r="AB227">
        <f t="shared" ca="1" si="61"/>
        <v>289.05269999999996</v>
      </c>
    </row>
    <row r="228" spans="1:28" x14ac:dyDescent="0.25">
      <c r="A228" s="20">
        <f t="shared" ca="1" si="62"/>
        <v>46034</v>
      </c>
      <c r="B228" vm="676">
        <f ca="1"/>
        <v>46038</v>
      </c>
      <c r="C228" vm="581">
        <f ca="1"/>
        <v>305.67</v>
      </c>
      <c r="D228" vm="677">
        <f ca="1"/>
        <v>6199635</v>
      </c>
      <c r="E228">
        <f t="shared" ca="1" si="63"/>
        <v>1895042430.45</v>
      </c>
      <c r="F228">
        <f ca="1">SUM($E$2:E228)/SUM($D$2:D228)</f>
        <v>270.62482603620447</v>
      </c>
      <c r="G228">
        <f ca="1">_xlfn.STDEV.P($C$2:C228)</f>
        <v>24.998586564946123</v>
      </c>
      <c r="H228">
        <f t="shared" ca="1" si="64"/>
        <v>295.62341260115056</v>
      </c>
      <c r="I228">
        <f t="shared" ca="1" si="65"/>
        <v>245.62623947125834</v>
      </c>
      <c r="J228">
        <f t="shared" ca="1" si="74"/>
        <v>302.11250000000001</v>
      </c>
      <c r="K228">
        <f t="shared" ca="1" si="75"/>
        <v>4.855707303890199</v>
      </c>
      <c r="L228">
        <f t="shared" ca="1" si="76"/>
        <v>311.82391460778041</v>
      </c>
      <c r="M228">
        <f t="shared" ca="1" si="77"/>
        <v>292.40108539221961</v>
      </c>
      <c r="N228">
        <f t="shared" ca="1" si="66"/>
        <v>7.7200000000000273</v>
      </c>
      <c r="O228">
        <f t="shared" ca="1" si="67"/>
        <v>7.7200000000000273</v>
      </c>
      <c r="P228">
        <f t="shared" ca="1" si="68"/>
        <v>0</v>
      </c>
      <c r="Q228">
        <f t="shared" ca="1" si="72"/>
        <v>2.5437502537972954</v>
      </c>
      <c r="R228">
        <f t="shared" ca="1" si="73"/>
        <v>2.3324984659083685</v>
      </c>
      <c r="S228">
        <f t="shared" ca="1" si="70"/>
        <v>1.0905688861007061</v>
      </c>
      <c r="T228">
        <f t="shared" ca="1" si="71"/>
        <v>52.166130154879362</v>
      </c>
      <c r="U228">
        <f>70</f>
        <v>70</v>
      </c>
      <c r="V228">
        <f>30</f>
        <v>30</v>
      </c>
      <c r="W228">
        <f t="shared" ca="1" si="69"/>
        <v>303.30557626612591</v>
      </c>
      <c r="X228">
        <f t="shared" ca="1" si="79"/>
        <v>302.96402310740575</v>
      </c>
      <c r="Y228">
        <f t="shared" ca="1" si="78"/>
        <v>-0.63746825888171088</v>
      </c>
      <c r="Z228">
        <f t="shared" ca="1" si="59"/>
        <v>-0.15308604233612663</v>
      </c>
      <c r="AA228">
        <f t="shared" ca="1" si="60"/>
        <v>-0.48438221654558422</v>
      </c>
      <c r="AB228">
        <f t="shared" ca="1" si="61"/>
        <v>289.71509999999989</v>
      </c>
    </row>
    <row r="229" spans="1:28" x14ac:dyDescent="0.25">
      <c r="A229" s="20">
        <f t="shared" ca="1" si="62"/>
        <v>46041</v>
      </c>
      <c r="B229" vm="678">
        <f ca="1"/>
        <v>46042</v>
      </c>
      <c r="C229" vm="679">
        <f ca="1"/>
        <v>291.35000000000002</v>
      </c>
      <c r="D229" vm="680">
        <f ca="1"/>
        <v>7275490</v>
      </c>
      <c r="E229">
        <f t="shared" ca="1" si="63"/>
        <v>2119714011.5000002</v>
      </c>
      <c r="F229">
        <f ca="1">SUM($E$2:E229)/SUM($D$2:D229)</f>
        <v>270.7642670312909</v>
      </c>
      <c r="G229">
        <f ca="1">_xlfn.STDEV.P($C$2:C229)</f>
        <v>24.976571739899516</v>
      </c>
      <c r="H229">
        <f t="shared" ca="1" si="64"/>
        <v>295.7408387711904</v>
      </c>
      <c r="I229">
        <f t="shared" ca="1" si="65"/>
        <v>245.78769529139137</v>
      </c>
      <c r="J229">
        <f t="shared" ca="1" si="74"/>
        <v>301.65750000000003</v>
      </c>
      <c r="K229">
        <f t="shared" ca="1" si="75"/>
        <v>5.4139535850478619</v>
      </c>
      <c r="L229">
        <f t="shared" ca="1" si="76"/>
        <v>312.48540717009575</v>
      </c>
      <c r="M229">
        <f t="shared" ca="1" si="77"/>
        <v>290.8295928299043</v>
      </c>
      <c r="N229">
        <f t="shared" ca="1" si="66"/>
        <v>-14.319999999999993</v>
      </c>
      <c r="O229">
        <f t="shared" ca="1" si="67"/>
        <v>0</v>
      </c>
      <c r="P229">
        <f t="shared" ca="1" si="68"/>
        <v>14.319999999999993</v>
      </c>
      <c r="Q229">
        <f t="shared" ca="1" si="72"/>
        <v>2.3620538070974888</v>
      </c>
      <c r="R229">
        <f t="shared" ca="1" si="73"/>
        <v>3.1887485754863412</v>
      </c>
      <c r="S229">
        <f t="shared" ca="1" si="70"/>
        <v>0.74074633078816299</v>
      </c>
      <c r="T229">
        <f t="shared" ca="1" si="71"/>
        <v>42.553375967925952</v>
      </c>
      <c r="U229">
        <f>70</f>
        <v>70</v>
      </c>
      <c r="V229">
        <f>30</f>
        <v>30</v>
      </c>
      <c r="W229">
        <f t="shared" ca="1" si="69"/>
        <v>301.46625684056806</v>
      </c>
      <c r="X229">
        <f t="shared" ca="1" si="79"/>
        <v>302.10372509944978</v>
      </c>
      <c r="Y229">
        <f t="shared" ca="1" si="78"/>
        <v>-0.90345406174486698</v>
      </c>
      <c r="Z229">
        <f t="shared" ca="1" si="59"/>
        <v>-0.30315964621787472</v>
      </c>
      <c r="AA229">
        <f t="shared" ca="1" si="60"/>
        <v>-0.60029441552699225</v>
      </c>
      <c r="AB229">
        <f t="shared" ca="1" si="61"/>
        <v>290.20229999999992</v>
      </c>
    </row>
    <row r="230" spans="1:28" x14ac:dyDescent="0.25">
      <c r="A230" s="20">
        <f t="shared" ca="1" si="62"/>
        <v>46041</v>
      </c>
      <c r="B230" vm="681">
        <f ca="1"/>
        <v>46043</v>
      </c>
      <c r="C230" vm="682">
        <f ca="1"/>
        <v>297.54000000000002</v>
      </c>
      <c r="D230" vm="683">
        <f ca="1"/>
        <v>5185023</v>
      </c>
      <c r="E230">
        <f t="shared" ca="1" si="63"/>
        <v>1542751743.4200001</v>
      </c>
      <c r="F230">
        <f ca="1">SUM($E$2:E230)/SUM($D$2:D230)</f>
        <v>270.89204167196777</v>
      </c>
      <c r="G230">
        <f ca="1">_xlfn.STDEV.P($C$2:C230)</f>
        <v>24.978583462553129</v>
      </c>
      <c r="H230">
        <f t="shared" ca="1" si="64"/>
        <v>295.87062513452088</v>
      </c>
      <c r="I230">
        <f t="shared" ca="1" si="65"/>
        <v>245.91345820941464</v>
      </c>
      <c r="J230">
        <f t="shared" ca="1" si="74"/>
        <v>301.4855</v>
      </c>
      <c r="K230">
        <f t="shared" ca="1" si="75"/>
        <v>5.4907103125954535</v>
      </c>
      <c r="L230">
        <f t="shared" ca="1" si="76"/>
        <v>312.46692062519094</v>
      </c>
      <c r="M230">
        <f t="shared" ca="1" si="77"/>
        <v>290.50407937480907</v>
      </c>
      <c r="N230">
        <f t="shared" ca="1" si="66"/>
        <v>6.1899999999999977</v>
      </c>
      <c r="O230">
        <f t="shared" ca="1" si="67"/>
        <v>6.1899999999999977</v>
      </c>
      <c r="P230">
        <f t="shared" ca="1" si="68"/>
        <v>0</v>
      </c>
      <c r="Q230">
        <f t="shared" ca="1" si="72"/>
        <v>2.6354785351619539</v>
      </c>
      <c r="R230">
        <f t="shared" ca="1" si="73"/>
        <v>2.9609808200944596</v>
      </c>
      <c r="S230">
        <f t="shared" ca="1" si="70"/>
        <v>0.89006943823360474</v>
      </c>
      <c r="T230">
        <f t="shared" ca="1" si="71"/>
        <v>47.091890923617797</v>
      </c>
      <c r="U230">
        <f>70</f>
        <v>70</v>
      </c>
      <c r="V230">
        <f>30</f>
        <v>30</v>
      </c>
      <c r="W230">
        <f t="shared" ca="1" si="69"/>
        <v>300.86221732663455</v>
      </c>
      <c r="X230">
        <f t="shared" ca="1" si="79"/>
        <v>301.76567138837942</v>
      </c>
      <c r="Y230">
        <f t="shared" ca="1" si="78"/>
        <v>-1.3304975931990271</v>
      </c>
      <c r="Z230">
        <f t="shared" ref="Z230:Z251" ca="1" si="80">Y230*(2/(9+1)) + Z229*(1-(2/(9+1)))</f>
        <v>-0.50862723561410517</v>
      </c>
      <c r="AA230">
        <f t="shared" ref="AA230:AA251" ca="1" si="81">Y230-Z230</f>
        <v>-0.82187035758492188</v>
      </c>
      <c r="AB230">
        <f t="shared" ref="AB230:AB251" ca="1" si="82">AVERAGE(C131:C230)</f>
        <v>290.72929999999991</v>
      </c>
    </row>
    <row r="231" spans="1:28" x14ac:dyDescent="0.25">
      <c r="A231" s="20">
        <f t="shared" ca="1" si="62"/>
        <v>46041</v>
      </c>
      <c r="B231" vm="684">
        <f ca="1"/>
        <v>46044</v>
      </c>
      <c r="C231" vm="685">
        <f ca="1"/>
        <v>294.67</v>
      </c>
      <c r="D231" vm="686">
        <f ca="1"/>
        <v>3670152</v>
      </c>
      <c r="E231">
        <f t="shared" ca="1" si="63"/>
        <v>1081483689.8400002</v>
      </c>
      <c r="F231">
        <f ca="1">SUM($E$2:E231)/SUM($D$2:D231)</f>
        <v>270.97208897946723</v>
      </c>
      <c r="G231">
        <f ca="1">_xlfn.STDEV.P($C$2:C231)</f>
        <v>24.968177239470766</v>
      </c>
      <c r="H231">
        <f t="shared" ca="1" si="64"/>
        <v>295.94026621893801</v>
      </c>
      <c r="I231">
        <f t="shared" ca="1" si="65"/>
        <v>246.00391173999645</v>
      </c>
      <c r="J231">
        <f t="shared" ca="1" si="74"/>
        <v>301.0795</v>
      </c>
      <c r="K231">
        <f t="shared" ca="1" si="75"/>
        <v>5.6859137811187157</v>
      </c>
      <c r="L231">
        <f t="shared" ca="1" si="76"/>
        <v>312.45132756223745</v>
      </c>
      <c r="M231">
        <f t="shared" ca="1" si="77"/>
        <v>289.70767243776254</v>
      </c>
      <c r="N231">
        <f t="shared" ca="1" si="66"/>
        <v>-2.8700000000000045</v>
      </c>
      <c r="O231">
        <f t="shared" ca="1" si="67"/>
        <v>0</v>
      </c>
      <c r="P231">
        <f t="shared" ca="1" si="68"/>
        <v>2.8700000000000045</v>
      </c>
      <c r="Q231">
        <f t="shared" ca="1" si="72"/>
        <v>2.4472300683646715</v>
      </c>
      <c r="R231">
        <f t="shared" ca="1" si="73"/>
        <v>2.9544821900877127</v>
      </c>
      <c r="S231">
        <f t="shared" ca="1" si="70"/>
        <v>0.82831099018810406</v>
      </c>
      <c r="T231">
        <f t="shared" ca="1" si="71"/>
        <v>45.304709900741997</v>
      </c>
      <c r="U231">
        <f>70</f>
        <v>70</v>
      </c>
      <c r="V231">
        <f>30</f>
        <v>30</v>
      </c>
      <c r="W231">
        <f t="shared" ca="1" si="69"/>
        <v>299.9095685071523</v>
      </c>
      <c r="X231">
        <f t="shared" ca="1" si="79"/>
        <v>301.24006610035133</v>
      </c>
      <c r="Y231">
        <f t="shared" ca="1" si="78"/>
        <v>-1.8278052307405801</v>
      </c>
      <c r="Z231">
        <f t="shared" ca="1" si="80"/>
        <v>-0.77246283463940024</v>
      </c>
      <c r="AA231">
        <f t="shared" ca="1" si="81"/>
        <v>-1.0553423961011799</v>
      </c>
      <c r="AB231">
        <f t="shared" ca="1" si="82"/>
        <v>291.2186999999999</v>
      </c>
    </row>
    <row r="232" spans="1:28" x14ac:dyDescent="0.25">
      <c r="A232" s="20">
        <f t="shared" ca="1" si="62"/>
        <v>46041</v>
      </c>
      <c r="B232" vm="687">
        <f ca="1"/>
        <v>46045</v>
      </c>
      <c r="C232" vm="688">
        <f ca="1"/>
        <v>292.44</v>
      </c>
      <c r="D232" vm="689">
        <f ca="1"/>
        <v>3298424</v>
      </c>
      <c r="E232">
        <f t="shared" ca="1" si="63"/>
        <v>964591114.55999994</v>
      </c>
      <c r="F232">
        <f ca="1">SUM($E$2:E232)/SUM($D$2:D232)</f>
        <v>271.03684384675591</v>
      </c>
      <c r="G232">
        <f ca="1">_xlfn.STDEV.P($C$2:C232)</f>
        <v>24.949275526181321</v>
      </c>
      <c r="H232">
        <f t="shared" ca="1" si="64"/>
        <v>295.98611937293725</v>
      </c>
      <c r="I232">
        <f t="shared" ca="1" si="65"/>
        <v>246.0875683205746</v>
      </c>
      <c r="J232">
        <f t="shared" ca="1" si="74"/>
        <v>300.51249999999999</v>
      </c>
      <c r="K232">
        <f t="shared" ca="1" si="75"/>
        <v>5.9611954602906154</v>
      </c>
      <c r="L232">
        <f t="shared" ca="1" si="76"/>
        <v>312.43489092058121</v>
      </c>
      <c r="M232">
        <f t="shared" ca="1" si="77"/>
        <v>288.59010907941877</v>
      </c>
      <c r="N232">
        <f t="shared" ca="1" si="66"/>
        <v>-2.2300000000000182</v>
      </c>
      <c r="O232">
        <f t="shared" ca="1" si="67"/>
        <v>0</v>
      </c>
      <c r="P232">
        <f t="shared" ca="1" si="68"/>
        <v>2.2300000000000182</v>
      </c>
      <c r="Q232">
        <f t="shared" ca="1" si="72"/>
        <v>2.2724279206243376</v>
      </c>
      <c r="R232">
        <f t="shared" ca="1" si="73"/>
        <v>2.9027334622243059</v>
      </c>
      <c r="S232">
        <f t="shared" ca="1" si="70"/>
        <v>0.78285793380526991</v>
      </c>
      <c r="T232">
        <f t="shared" ca="1" si="71"/>
        <v>43.910281293942766</v>
      </c>
      <c r="U232">
        <f>70</f>
        <v>70</v>
      </c>
      <c r="V232">
        <f>30</f>
        <v>30</v>
      </c>
      <c r="W232">
        <f t="shared" ca="1" si="69"/>
        <v>298.76040412143658</v>
      </c>
      <c r="X232">
        <f t="shared" ca="1" si="79"/>
        <v>300.58820935217716</v>
      </c>
      <c r="Y232">
        <f t="shared" ca="1" si="78"/>
        <v>-1.8862906421393859</v>
      </c>
      <c r="Z232">
        <f t="shared" ca="1" si="80"/>
        <v>-0.9952283961393974</v>
      </c>
      <c r="AA232">
        <f t="shared" ca="1" si="81"/>
        <v>-0.89106224599998851</v>
      </c>
      <c r="AB232">
        <f t="shared" ca="1" si="82"/>
        <v>291.70819999999992</v>
      </c>
    </row>
    <row r="233" spans="1:28" x14ac:dyDescent="0.25">
      <c r="A233" s="20">
        <f t="shared" ca="1" si="62"/>
        <v>46048</v>
      </c>
      <c r="B233" vm="690">
        <f ca="1"/>
        <v>46048</v>
      </c>
      <c r="C233" vm="691">
        <f ca="1"/>
        <v>296.33</v>
      </c>
      <c r="D233" vm="692">
        <f ca="1"/>
        <v>3726890</v>
      </c>
      <c r="E233">
        <f t="shared" ca="1" si="63"/>
        <v>1104389313.7</v>
      </c>
      <c r="F233">
        <f ca="1">SUM($E$2:E233)/SUM($D$2:D233)</f>
        <v>271.12275471561759</v>
      </c>
      <c r="G233">
        <f ca="1">_xlfn.STDEV.P($C$2:C233)</f>
        <v>24.944973755230791</v>
      </c>
      <c r="H233">
        <f t="shared" ca="1" si="64"/>
        <v>296.06772847084835</v>
      </c>
      <c r="I233">
        <f t="shared" ca="1" si="65"/>
        <v>246.1777809603868</v>
      </c>
      <c r="J233">
        <f t="shared" ca="1" si="74"/>
        <v>300.101</v>
      </c>
      <c r="K233">
        <f t="shared" ca="1" si="75"/>
        <v>5.9511413323743803</v>
      </c>
      <c r="L233">
        <f t="shared" ca="1" si="76"/>
        <v>312.00328266474878</v>
      </c>
      <c r="M233">
        <f t="shared" ca="1" si="77"/>
        <v>288.19871733525122</v>
      </c>
      <c r="N233">
        <f t="shared" ca="1" si="66"/>
        <v>3.8899999999999864</v>
      </c>
      <c r="O233">
        <f t="shared" ca="1" si="67"/>
        <v>3.8899999999999864</v>
      </c>
      <c r="P233">
        <f t="shared" ca="1" si="68"/>
        <v>0</v>
      </c>
      <c r="Q233">
        <f t="shared" ca="1" si="72"/>
        <v>2.3879687834368837</v>
      </c>
      <c r="R233">
        <f t="shared" ca="1" si="73"/>
        <v>2.6953953577797125</v>
      </c>
      <c r="S233">
        <f t="shared" ca="1" si="70"/>
        <v>0.88594379171296544</v>
      </c>
      <c r="T233">
        <f t="shared" ca="1" si="71"/>
        <v>46.976150381888118</v>
      </c>
      <c r="U233">
        <f>70</f>
        <v>70</v>
      </c>
      <c r="V233">
        <f>30</f>
        <v>30</v>
      </c>
      <c r="W233">
        <f t="shared" ca="1" si="69"/>
        <v>298.38649579506171</v>
      </c>
      <c r="X233">
        <f t="shared" ca="1" si="79"/>
        <v>300.27278643720109</v>
      </c>
      <c r="Y233">
        <f t="shared" ca="1" si="78"/>
        <v>-2.1076533930399819</v>
      </c>
      <c r="Z233">
        <f t="shared" ca="1" si="80"/>
        <v>-1.2177133955195143</v>
      </c>
      <c r="AA233">
        <f t="shared" ca="1" si="81"/>
        <v>-0.8899399975204676</v>
      </c>
      <c r="AB233">
        <f t="shared" ca="1" si="82"/>
        <v>292.25649999999996</v>
      </c>
    </row>
    <row r="234" spans="1:28" x14ac:dyDescent="0.25">
      <c r="A234" s="20">
        <f t="shared" ca="1" si="62"/>
        <v>46048</v>
      </c>
      <c r="B234" vm="693">
        <f ca="1"/>
        <v>46049</v>
      </c>
      <c r="C234" vm="694">
        <f ca="1"/>
        <v>293.86</v>
      </c>
      <c r="D234" vm="695">
        <f ca="1"/>
        <v>2954936</v>
      </c>
      <c r="E234">
        <f t="shared" ca="1" si="63"/>
        <v>868337492.96000004</v>
      </c>
      <c r="F234">
        <f ca="1">SUM($E$2:E234)/SUM($D$2:D234)</f>
        <v>271.18382309948203</v>
      </c>
      <c r="G234">
        <f ca="1">_xlfn.STDEV.P($C$2:C234)</f>
        <v>24.930699903292652</v>
      </c>
      <c r="H234">
        <f t="shared" ca="1" si="64"/>
        <v>296.11452300277466</v>
      </c>
      <c r="I234">
        <f t="shared" ca="1" si="65"/>
        <v>246.25312319618936</v>
      </c>
      <c r="J234">
        <f t="shared" ca="1" si="74"/>
        <v>299.53949999999998</v>
      </c>
      <c r="K234">
        <f t="shared" ca="1" si="75"/>
        <v>5.9853324886759642</v>
      </c>
      <c r="L234">
        <f t="shared" ca="1" si="76"/>
        <v>311.51016497735191</v>
      </c>
      <c r="M234">
        <f t="shared" ca="1" si="77"/>
        <v>287.56883502264805</v>
      </c>
      <c r="N234">
        <f t="shared" ca="1" si="66"/>
        <v>-2.4699999999999704</v>
      </c>
      <c r="O234">
        <f t="shared" ca="1" si="67"/>
        <v>0</v>
      </c>
      <c r="P234">
        <f t="shared" ca="1" si="68"/>
        <v>2.4699999999999704</v>
      </c>
      <c r="Q234">
        <f t="shared" ca="1" si="72"/>
        <v>2.2173995846199634</v>
      </c>
      <c r="R234">
        <f t="shared" ca="1" si="73"/>
        <v>2.679295689366874</v>
      </c>
      <c r="S234">
        <f t="shared" ca="1" si="70"/>
        <v>0.82760540145680672</v>
      </c>
      <c r="T234">
        <f t="shared" ca="1" si="71"/>
        <v>45.283593537046464</v>
      </c>
      <c r="U234">
        <f>70</f>
        <v>70</v>
      </c>
      <c r="V234">
        <f>30</f>
        <v>30</v>
      </c>
      <c r="W234">
        <f t="shared" ca="1" si="69"/>
        <v>297.69011182659068</v>
      </c>
      <c r="X234">
        <f t="shared" ca="1" si="79"/>
        <v>299.79776521963066</v>
      </c>
      <c r="Y234">
        <f t="shared" ca="1" si="78"/>
        <v>-2.2331352817166703</v>
      </c>
      <c r="Z234">
        <f t="shared" ca="1" si="80"/>
        <v>-1.4207977727589456</v>
      </c>
      <c r="AA234">
        <f t="shared" ca="1" si="81"/>
        <v>-0.81233750895772472</v>
      </c>
      <c r="AB234">
        <f t="shared" ca="1" si="82"/>
        <v>292.75409999999994</v>
      </c>
    </row>
    <row r="235" spans="1:28" x14ac:dyDescent="0.25">
      <c r="A235" s="20">
        <f t="shared" ca="1" si="62"/>
        <v>46048</v>
      </c>
      <c r="B235" vm="696">
        <f ca="1"/>
        <v>46050</v>
      </c>
      <c r="C235" vm="697">
        <f ca="1"/>
        <v>294.16000000000003</v>
      </c>
      <c r="D235" vm="698">
        <f ca="1"/>
        <v>5790347</v>
      </c>
      <c r="E235">
        <f t="shared" ca="1" si="63"/>
        <v>1703288473.5200002</v>
      </c>
      <c r="F235">
        <f ca="1">SUM($E$2:E235)/SUM($D$2:D235)</f>
        <v>271.30411410376337</v>
      </c>
      <c r="G235">
        <f ca="1">_xlfn.STDEV.P($C$2:C235)</f>
        <v>24.917305302050551</v>
      </c>
      <c r="H235">
        <f t="shared" ca="1" si="64"/>
        <v>296.22141940581389</v>
      </c>
      <c r="I235">
        <f t="shared" ca="1" si="65"/>
        <v>246.38680880171282</v>
      </c>
      <c r="J235">
        <f t="shared" ca="1" si="74"/>
        <v>298.96049999999997</v>
      </c>
      <c r="K235">
        <f t="shared" ca="1" si="75"/>
        <v>5.9136234105753855</v>
      </c>
      <c r="L235">
        <f t="shared" ca="1" si="76"/>
        <v>310.78774682115073</v>
      </c>
      <c r="M235">
        <f t="shared" ca="1" si="77"/>
        <v>287.1332531788492</v>
      </c>
      <c r="N235">
        <f t="shared" ca="1" si="66"/>
        <v>0.30000000000001137</v>
      </c>
      <c r="O235">
        <f t="shared" ca="1" si="67"/>
        <v>0.30000000000001137</v>
      </c>
      <c r="P235">
        <f t="shared" ca="1" si="68"/>
        <v>0</v>
      </c>
      <c r="Q235">
        <f t="shared" ca="1" si="72"/>
        <v>2.080442471432824</v>
      </c>
      <c r="R235">
        <f t="shared" ca="1" si="73"/>
        <v>2.4879174258406684</v>
      </c>
      <c r="S235">
        <f t="shared" ca="1" si="70"/>
        <v>0.83621845718205123</v>
      </c>
      <c r="T235">
        <f t="shared" ca="1" si="71"/>
        <v>45.540248978073784</v>
      </c>
      <c r="U235">
        <f>70</f>
        <v>70</v>
      </c>
      <c r="V235">
        <f>30</f>
        <v>30</v>
      </c>
      <c r="W235">
        <f t="shared" ca="1" si="69"/>
        <v>297.14701769942286</v>
      </c>
      <c r="X235">
        <f t="shared" ca="1" si="79"/>
        <v>299.38015298113953</v>
      </c>
      <c r="Y235">
        <f t="shared" ca="1" si="78"/>
        <v>-1.1030355046773934</v>
      </c>
      <c r="Z235">
        <f t="shared" ca="1" si="80"/>
        <v>-1.3572453191426352</v>
      </c>
      <c r="AA235">
        <f t="shared" ca="1" si="81"/>
        <v>0.25420981446524182</v>
      </c>
      <c r="AB235">
        <f t="shared" ca="1" si="82"/>
        <v>293.22390000000001</v>
      </c>
    </row>
    <row r="236" spans="1:28" x14ac:dyDescent="0.25">
      <c r="A236" s="20">
        <f t="shared" ca="1" si="62"/>
        <v>46048</v>
      </c>
      <c r="B236" vm="699">
        <f ca="1"/>
        <v>46051</v>
      </c>
      <c r="C236" vm="608">
        <f ca="1"/>
        <v>309.24</v>
      </c>
      <c r="D236" vm="700">
        <f ca="1"/>
        <v>10124929</v>
      </c>
      <c r="E236">
        <f t="shared" ca="1" si="63"/>
        <v>3131033043.96</v>
      </c>
      <c r="F236">
        <f ca="1">SUM($E$2:E236)/SUM($D$2:D236)</f>
        <v>271.6482541997471</v>
      </c>
      <c r="G236">
        <f ca="1">_xlfn.STDEV.P($C$2:C236)</f>
        <v>24.978141210874462</v>
      </c>
      <c r="H236">
        <f t="shared" ca="1" si="64"/>
        <v>296.62639541062157</v>
      </c>
      <c r="I236">
        <f t="shared" ca="1" si="65"/>
        <v>246.67011298887263</v>
      </c>
      <c r="J236">
        <f t="shared" ca="1" si="74"/>
        <v>299.31999999999994</v>
      </c>
      <c r="K236">
        <f t="shared" ca="1" si="75"/>
        <v>6.3161705586783974</v>
      </c>
      <c r="L236">
        <f t="shared" ca="1" si="76"/>
        <v>311.95234111735675</v>
      </c>
      <c r="M236">
        <f t="shared" ca="1" si="77"/>
        <v>286.68765888264312</v>
      </c>
      <c r="N236">
        <f t="shared" ca="1" si="66"/>
        <v>15.079999999999984</v>
      </c>
      <c r="O236">
        <f t="shared" ca="1" si="67"/>
        <v>15.079999999999984</v>
      </c>
      <c r="P236">
        <f t="shared" ca="1" si="68"/>
        <v>0</v>
      </c>
      <c r="Q236">
        <f t="shared" ca="1" si="72"/>
        <v>3.0089822949019074</v>
      </c>
      <c r="R236">
        <f t="shared" ca="1" si="73"/>
        <v>2.3102090382806209</v>
      </c>
      <c r="S236">
        <f t="shared" ca="1" si="70"/>
        <v>1.3024718737752625</v>
      </c>
      <c r="T236">
        <f t="shared" ca="1" si="71"/>
        <v>56.568416257769798</v>
      </c>
      <c r="U236">
        <f>70</f>
        <v>70</v>
      </c>
      <c r="V236">
        <f>30</f>
        <v>30</v>
      </c>
      <c r="W236">
        <f t="shared" ca="1" si="69"/>
        <v>299.00747651489627</v>
      </c>
      <c r="X236">
        <f t="shared" ca="1" si="79"/>
        <v>300.11051201957366</v>
      </c>
      <c r="Y236">
        <f t="shared" ca="1" si="78"/>
        <v>-0.40768057389533396</v>
      </c>
      <c r="Z236">
        <f t="shared" ca="1" si="80"/>
        <v>-1.167332370093175</v>
      </c>
      <c r="AA236">
        <f t="shared" ca="1" si="81"/>
        <v>0.75965179619784107</v>
      </c>
      <c r="AB236">
        <f t="shared" ca="1" si="82"/>
        <v>293.83100000000002</v>
      </c>
    </row>
    <row r="237" spans="1:28" x14ac:dyDescent="0.25">
      <c r="A237" s="20">
        <f t="shared" ca="1" si="62"/>
        <v>46048</v>
      </c>
      <c r="B237" vm="701">
        <f ca="1"/>
        <v>46052</v>
      </c>
      <c r="C237" vm="702">
        <f ca="1"/>
        <v>306.7</v>
      </c>
      <c r="D237" vm="703">
        <f ca="1"/>
        <v>5940669</v>
      </c>
      <c r="E237">
        <f t="shared" ca="1" si="63"/>
        <v>1822003182.3</v>
      </c>
      <c r="F237">
        <f ca="1">SUM($E$2:E237)/SUM($D$2:D237)</f>
        <v>271.83383480949669</v>
      </c>
      <c r="G237">
        <f ca="1">_xlfn.STDEV.P($C$2:C237)</f>
        <v>25.022296200758696</v>
      </c>
      <c r="H237">
        <f t="shared" ca="1" si="64"/>
        <v>296.85613101025541</v>
      </c>
      <c r="I237">
        <f t="shared" ca="1" si="65"/>
        <v>246.811538608738</v>
      </c>
      <c r="J237">
        <f t="shared" ca="1" si="74"/>
        <v>299.84449999999987</v>
      </c>
      <c r="K237">
        <f t="shared" ca="1" si="75"/>
        <v>6.4778021573272557</v>
      </c>
      <c r="L237">
        <f t="shared" ca="1" si="76"/>
        <v>312.80010431465439</v>
      </c>
      <c r="M237">
        <f t="shared" ca="1" si="77"/>
        <v>286.88889568534535</v>
      </c>
      <c r="N237">
        <f t="shared" ca="1" si="66"/>
        <v>-2.5400000000000205</v>
      </c>
      <c r="O237">
        <f t="shared" ca="1" si="67"/>
        <v>0</v>
      </c>
      <c r="P237">
        <f t="shared" ca="1" si="68"/>
        <v>2.5400000000000205</v>
      </c>
      <c r="Q237">
        <f t="shared" ca="1" si="72"/>
        <v>2.7940549881231997</v>
      </c>
      <c r="R237">
        <f t="shared" ca="1" si="73"/>
        <v>2.3266226784034352</v>
      </c>
      <c r="S237">
        <f t="shared" ca="1" si="70"/>
        <v>1.2009059372018689</v>
      </c>
      <c r="T237">
        <f t="shared" ca="1" si="71"/>
        <v>54.564164551650293</v>
      </c>
      <c r="U237">
        <f>70</f>
        <v>70</v>
      </c>
      <c r="V237">
        <f>30</f>
        <v>30</v>
      </c>
      <c r="W237">
        <f t="shared" ca="1" si="69"/>
        <v>300.19094166645067</v>
      </c>
      <c r="X237">
        <f t="shared" ca="1" si="79"/>
        <v>300.598622240346</v>
      </c>
      <c r="Y237">
        <f t="shared" ca="1" si="78"/>
        <v>0.7823289083287932</v>
      </c>
      <c r="Z237">
        <f t="shared" ca="1" si="80"/>
        <v>-0.77740011440878143</v>
      </c>
      <c r="AA237">
        <f t="shared" ca="1" si="81"/>
        <v>1.5597290227375746</v>
      </c>
      <c r="AB237">
        <f t="shared" ca="1" si="82"/>
        <v>294.33710000000002</v>
      </c>
    </row>
    <row r="238" spans="1:28" x14ac:dyDescent="0.25">
      <c r="A238" s="20">
        <f t="shared" ca="1" si="62"/>
        <v>46055</v>
      </c>
      <c r="B238" vm="704">
        <f ca="1"/>
        <v>46055</v>
      </c>
      <c r="C238" vm="705">
        <f ca="1"/>
        <v>314.73</v>
      </c>
      <c r="D238" vm="706">
        <f ca="1"/>
        <v>4581189</v>
      </c>
      <c r="E238">
        <f t="shared" ca="1" si="63"/>
        <v>1441837613.97</v>
      </c>
      <c r="F238">
        <f ca="1">SUM($E$2:E238)/SUM($D$2:D238)</f>
        <v>272.00826220981128</v>
      </c>
      <c r="G238">
        <f ca="1">_xlfn.STDEV.P($C$2:C238)</f>
        <v>25.115990971880834</v>
      </c>
      <c r="H238">
        <f t="shared" ca="1" si="64"/>
        <v>297.1242531816921</v>
      </c>
      <c r="I238">
        <f t="shared" ca="1" si="65"/>
        <v>246.89227123793046</v>
      </c>
      <c r="J238">
        <f t="shared" ca="1" si="74"/>
        <v>301.00599999999997</v>
      </c>
      <c r="K238">
        <f t="shared" ca="1" si="75"/>
        <v>6.9669984475684377</v>
      </c>
      <c r="L238">
        <f t="shared" ca="1" si="76"/>
        <v>314.93999689513686</v>
      </c>
      <c r="M238">
        <f t="shared" ca="1" si="77"/>
        <v>287.07200310486309</v>
      </c>
      <c r="N238">
        <f t="shared" ca="1" si="66"/>
        <v>8.0300000000000296</v>
      </c>
      <c r="O238">
        <f t="shared" ca="1" si="67"/>
        <v>8.0300000000000296</v>
      </c>
      <c r="P238">
        <f t="shared" ca="1" si="68"/>
        <v>0</v>
      </c>
      <c r="Q238">
        <f t="shared" ca="1" si="72"/>
        <v>3.1680510604001162</v>
      </c>
      <c r="R238">
        <f t="shared" ca="1" si="73"/>
        <v>2.1604353442317614</v>
      </c>
      <c r="S238">
        <f t="shared" ca="1" si="70"/>
        <v>1.4663947564358411</v>
      </c>
      <c r="T238">
        <f t="shared" ca="1" si="71"/>
        <v>59.454990025802338</v>
      </c>
      <c r="U238">
        <f>70</f>
        <v>70</v>
      </c>
      <c r="V238">
        <f>30</f>
        <v>30</v>
      </c>
      <c r="W238">
        <f t="shared" ca="1" si="69"/>
        <v>302.42771987161211</v>
      </c>
      <c r="X238">
        <f t="shared" ca="1" si="79"/>
        <v>301.64539096328332</v>
      </c>
      <c r="Y238">
        <f t="shared" ca="1" si="78"/>
        <v>7.6811221657294482E-2</v>
      </c>
      <c r="Z238">
        <f t="shared" ca="1" si="80"/>
        <v>-0.60655784719556627</v>
      </c>
      <c r="AA238">
        <f t="shared" ca="1" si="81"/>
        <v>0.68336906885286075</v>
      </c>
      <c r="AB238">
        <f t="shared" ca="1" si="82"/>
        <v>294.89329999999995</v>
      </c>
    </row>
    <row r="239" spans="1:28" x14ac:dyDescent="0.25">
      <c r="A239" s="20">
        <f t="shared" ca="1" si="62"/>
        <v>46055</v>
      </c>
      <c r="B239" vm="707">
        <f ca="1"/>
        <v>46056</v>
      </c>
      <c r="C239" vm="708">
        <f ca="1"/>
        <v>294.31</v>
      </c>
      <c r="D239" vm="709">
        <f ca="1"/>
        <v>11466529</v>
      </c>
      <c r="E239">
        <f t="shared" ca="1" si="63"/>
        <v>3374714149.9900002</v>
      </c>
      <c r="F239">
        <f ca="1">SUM($E$2:E239)/SUM($D$2:D239)</f>
        <v>272.23295592656018</v>
      </c>
      <c r="G239">
        <f ca="1">_xlfn.STDEV.P($C$2:C239)</f>
        <v>25.100653268265347</v>
      </c>
      <c r="H239">
        <f t="shared" ca="1" si="64"/>
        <v>297.3336091948255</v>
      </c>
      <c r="I239">
        <f t="shared" ca="1" si="65"/>
        <v>247.13230265829483</v>
      </c>
      <c r="J239">
        <f t="shared" ca="1" si="74"/>
        <v>300.97300000000001</v>
      </c>
      <c r="K239">
        <f t="shared" ca="1" si="75"/>
        <v>6.998584894556596</v>
      </c>
      <c r="L239">
        <f t="shared" ca="1" si="76"/>
        <v>314.97016978911319</v>
      </c>
      <c r="M239">
        <f t="shared" ca="1" si="77"/>
        <v>286.97583021088684</v>
      </c>
      <c r="N239">
        <f t="shared" ca="1" si="66"/>
        <v>-20.420000000000016</v>
      </c>
      <c r="O239">
        <f t="shared" ca="1" si="67"/>
        <v>0</v>
      </c>
      <c r="P239">
        <f t="shared" ca="1" si="68"/>
        <v>20.420000000000016</v>
      </c>
      <c r="Q239">
        <f t="shared" ca="1" si="72"/>
        <v>2.9417616989429649</v>
      </c>
      <c r="R239">
        <f t="shared" ca="1" si="73"/>
        <v>3.4646899625009229</v>
      </c>
      <c r="S239">
        <f t="shared" ca="1" si="70"/>
        <v>0.84906924740230094</v>
      </c>
      <c r="T239">
        <f t="shared" ca="1" si="71"/>
        <v>45.918737148169626</v>
      </c>
      <c r="U239">
        <f>70</f>
        <v>70</v>
      </c>
      <c r="V239">
        <f>30</f>
        <v>30</v>
      </c>
      <c r="W239">
        <f t="shared" ca="1" si="69"/>
        <v>301.17883989136408</v>
      </c>
      <c r="X239">
        <f t="shared" ca="1" si="79"/>
        <v>301.10202866970678</v>
      </c>
      <c r="Y239">
        <f t="shared" ca="1" si="78"/>
        <v>-0.8964212818220858</v>
      </c>
      <c r="Z239">
        <f t="shared" ca="1" si="80"/>
        <v>-0.66453053412087015</v>
      </c>
      <c r="AA239">
        <f t="shared" ca="1" si="81"/>
        <v>-0.23189074770121565</v>
      </c>
      <c r="AB239">
        <f t="shared" ca="1" si="82"/>
        <v>295.26760000000002</v>
      </c>
    </row>
    <row r="240" spans="1:28" x14ac:dyDescent="0.25">
      <c r="A240" s="20">
        <f t="shared" ca="1" si="62"/>
        <v>46055</v>
      </c>
      <c r="B240" vm="710">
        <f ca="1"/>
        <v>46057</v>
      </c>
      <c r="C240" vm="711">
        <f ca="1"/>
        <v>289.05</v>
      </c>
      <c r="D240" vm="712">
        <f ca="1"/>
        <v>8708033</v>
      </c>
      <c r="E240">
        <f t="shared" ca="1" si="63"/>
        <v>2517056938.6500001</v>
      </c>
      <c r="F240">
        <f ca="1">SUM($E$2:E240)/SUM($D$2:D240)</f>
        <v>272.36065262517195</v>
      </c>
      <c r="G240">
        <f ca="1">_xlfn.STDEV.P($C$2:C240)</f>
        <v>25.06897178818954</v>
      </c>
      <c r="H240">
        <f t="shared" ca="1" si="64"/>
        <v>297.42962441336147</v>
      </c>
      <c r="I240">
        <f t="shared" ca="1" si="65"/>
        <v>247.29168083698241</v>
      </c>
      <c r="J240">
        <f t="shared" ca="1" si="74"/>
        <v>300.30200000000002</v>
      </c>
      <c r="K240">
        <f t="shared" ca="1" si="75"/>
        <v>7.4746438746358708</v>
      </c>
      <c r="L240">
        <f t="shared" ca="1" si="76"/>
        <v>315.25128774927174</v>
      </c>
      <c r="M240">
        <f t="shared" ca="1" si="77"/>
        <v>285.3527122507283</v>
      </c>
      <c r="N240">
        <f t="shared" ca="1" si="66"/>
        <v>-5.2599999999999909</v>
      </c>
      <c r="O240">
        <f t="shared" ca="1" si="67"/>
        <v>0</v>
      </c>
      <c r="P240">
        <f t="shared" ca="1" si="68"/>
        <v>5.2599999999999909</v>
      </c>
      <c r="Q240">
        <f t="shared" ca="1" si="72"/>
        <v>2.7316358633041817</v>
      </c>
      <c r="R240">
        <f t="shared" ca="1" si="73"/>
        <v>3.5929263937508567</v>
      </c>
      <c r="S240">
        <f t="shared" ca="1" si="70"/>
        <v>0.76028161001441341</v>
      </c>
      <c r="T240">
        <f t="shared" ca="1" si="71"/>
        <v>43.190907959788781</v>
      </c>
      <c r="U240">
        <f>70</f>
        <v>70</v>
      </c>
      <c r="V240">
        <f>30</f>
        <v>30</v>
      </c>
      <c r="W240">
        <f t="shared" ca="1" si="69"/>
        <v>299.31286452346194</v>
      </c>
      <c r="X240">
        <f t="shared" ca="1" si="79"/>
        <v>300.20928580528403</v>
      </c>
      <c r="Y240">
        <f t="shared" ca="1" si="78"/>
        <v>-1.5817012058379873</v>
      </c>
      <c r="Z240">
        <f t="shared" ca="1" si="80"/>
        <v>-0.84796466846429364</v>
      </c>
      <c r="AA240">
        <f t="shared" ca="1" si="81"/>
        <v>-0.73373653737369371</v>
      </c>
      <c r="AB240">
        <f t="shared" ca="1" si="82"/>
        <v>295.58800000000002</v>
      </c>
    </row>
    <row r="241" spans="1:28" x14ac:dyDescent="0.25">
      <c r="A241" s="20">
        <f t="shared" ca="1" si="62"/>
        <v>46055</v>
      </c>
      <c r="B241" vm="713">
        <f ca="1"/>
        <v>46058</v>
      </c>
      <c r="C241" vm="714">
        <f ca="1"/>
        <v>289.89</v>
      </c>
      <c r="D241" vm="715">
        <f ca="1"/>
        <v>5532797</v>
      </c>
      <c r="E241">
        <f t="shared" ca="1" si="63"/>
        <v>1603902522.3299999</v>
      </c>
      <c r="F241">
        <f ca="1">SUM($E$2:E241)/SUM($D$2:D241)</f>
        <v>272.44481736735656</v>
      </c>
      <c r="G241">
        <f ca="1">_xlfn.STDEV.P($C$2:C241)</f>
        <v>25.039596829287483</v>
      </c>
      <c r="H241">
        <f t="shared" ca="1" si="64"/>
        <v>297.48441419664402</v>
      </c>
      <c r="I241">
        <f t="shared" ca="1" si="65"/>
        <v>247.40522053806907</v>
      </c>
      <c r="J241">
        <f t="shared" ca="1" si="74"/>
        <v>299.96000000000009</v>
      </c>
      <c r="K241">
        <f t="shared" ca="1" si="75"/>
        <v>7.7962440349588595</v>
      </c>
      <c r="L241">
        <f t="shared" ca="1" si="76"/>
        <v>315.55248806991779</v>
      </c>
      <c r="M241">
        <f t="shared" ca="1" si="77"/>
        <v>284.3675119300824</v>
      </c>
      <c r="N241">
        <f t="shared" ca="1" si="66"/>
        <v>0.83999999999997499</v>
      </c>
      <c r="O241">
        <f t="shared" ca="1" si="67"/>
        <v>0.83999999999997499</v>
      </c>
      <c r="P241">
        <f t="shared" ca="1" si="68"/>
        <v>0</v>
      </c>
      <c r="Q241">
        <f t="shared" ca="1" si="72"/>
        <v>2.5965190159253098</v>
      </c>
      <c r="R241">
        <f t="shared" ca="1" si="73"/>
        <v>3.3362887941972241</v>
      </c>
      <c r="S241">
        <f t="shared" ca="1" si="70"/>
        <v>0.778265664663506</v>
      </c>
      <c r="T241">
        <f t="shared" ca="1" si="71"/>
        <v>43.765432810669154</v>
      </c>
      <c r="U241">
        <f>70</f>
        <v>70</v>
      </c>
      <c r="V241">
        <f>30</f>
        <v>30</v>
      </c>
      <c r="W241">
        <f t="shared" ca="1" si="69"/>
        <v>297.86319305831393</v>
      </c>
      <c r="X241">
        <f t="shared" ca="1" si="79"/>
        <v>299.44489426415191</v>
      </c>
      <c r="Y241">
        <f t="shared" ca="1" si="78"/>
        <v>-1.3794367451000653</v>
      </c>
      <c r="Z241">
        <f t="shared" ca="1" si="80"/>
        <v>-0.95425908379144797</v>
      </c>
      <c r="AA241">
        <f t="shared" ca="1" si="81"/>
        <v>-0.42517766130861734</v>
      </c>
      <c r="AB241">
        <f t="shared" ca="1" si="82"/>
        <v>295.95250000000004</v>
      </c>
    </row>
    <row r="242" spans="1:28" x14ac:dyDescent="0.25">
      <c r="A242" s="20">
        <f t="shared" ca="1" si="62"/>
        <v>46055</v>
      </c>
      <c r="B242" vm="716">
        <f ca="1"/>
        <v>46059</v>
      </c>
      <c r="C242" vm="717">
        <f ca="1"/>
        <v>298.93</v>
      </c>
      <c r="D242" vm="718">
        <f ca="1"/>
        <v>3744313</v>
      </c>
      <c r="E242">
        <f t="shared" ca="1" si="63"/>
        <v>1119287485.0899999</v>
      </c>
      <c r="F242">
        <f ca="1">SUM($E$2:E242)/SUM($D$2:D242)</f>
        <v>272.53059735110912</v>
      </c>
      <c r="G242">
        <f ca="1">_xlfn.STDEV.P($C$2:C242)</f>
        <v>25.041698307511265</v>
      </c>
      <c r="H242">
        <f t="shared" ca="1" si="64"/>
        <v>297.57229565862036</v>
      </c>
      <c r="I242">
        <f t="shared" ca="1" si="65"/>
        <v>247.48889904359785</v>
      </c>
      <c r="J242">
        <f t="shared" ca="1" si="74"/>
        <v>299.77050000000003</v>
      </c>
      <c r="K242">
        <f t="shared" ca="1" si="75"/>
        <v>7.7716492017968397</v>
      </c>
      <c r="L242">
        <f t="shared" ca="1" si="76"/>
        <v>315.31379840359369</v>
      </c>
      <c r="M242">
        <f t="shared" ca="1" si="77"/>
        <v>284.22720159640636</v>
      </c>
      <c r="N242">
        <f t="shared" ca="1" si="66"/>
        <v>9.0400000000000205</v>
      </c>
      <c r="O242">
        <f t="shared" ca="1" si="67"/>
        <v>9.0400000000000205</v>
      </c>
      <c r="P242">
        <f t="shared" ca="1" si="68"/>
        <v>0</v>
      </c>
      <c r="Q242">
        <f t="shared" ca="1" si="72"/>
        <v>3.0567676576449321</v>
      </c>
      <c r="R242">
        <f t="shared" ca="1" si="73"/>
        <v>3.0979824517545653</v>
      </c>
      <c r="S242">
        <f t="shared" ca="1" si="70"/>
        <v>0.98669624675043244</v>
      </c>
      <c r="T242">
        <f t="shared" ca="1" si="71"/>
        <v>49.665178980648697</v>
      </c>
      <c r="U242">
        <f>70</f>
        <v>70</v>
      </c>
      <c r="V242">
        <f>30</f>
        <v>30</v>
      </c>
      <c r="W242">
        <f t="shared" ca="1" si="69"/>
        <v>298.02731720318872</v>
      </c>
      <c r="X242">
        <f t="shared" ca="1" si="79"/>
        <v>299.40675394828878</v>
      </c>
      <c r="Y242">
        <f t="shared" ca="1" si="78"/>
        <v>-1.4118570479965911</v>
      </c>
      <c r="Z242">
        <f t="shared" ca="1" si="80"/>
        <v>-1.0457786766324766</v>
      </c>
      <c r="AA242">
        <f t="shared" ca="1" si="81"/>
        <v>-0.36607837136411447</v>
      </c>
      <c r="AB242">
        <f t="shared" ca="1" si="82"/>
        <v>296.37940000000003</v>
      </c>
    </row>
    <row r="243" spans="1:28" x14ac:dyDescent="0.25">
      <c r="A243" s="20">
        <f t="shared" ca="1" si="62"/>
        <v>46062</v>
      </c>
      <c r="B243" vm="719">
        <f ca="1"/>
        <v>46062</v>
      </c>
      <c r="C243" vm="720">
        <f ca="1"/>
        <v>296.33999999999997</v>
      </c>
      <c r="D243" vm="721">
        <f ca="1"/>
        <v>4627815</v>
      </c>
      <c r="E243">
        <f t="shared" ca="1" si="63"/>
        <v>1371406697.0999999</v>
      </c>
      <c r="F243">
        <f ca="1">SUM($E$2:E243)/SUM($D$2:D243)</f>
        <v>272.62552665919134</v>
      </c>
      <c r="G243">
        <f ca="1">_xlfn.STDEV.P($C$2:C243)</f>
        <v>25.033038980208929</v>
      </c>
      <c r="H243">
        <f t="shared" ca="1" si="64"/>
        <v>297.65856563940025</v>
      </c>
      <c r="I243">
        <f t="shared" ca="1" si="65"/>
        <v>247.59248767898242</v>
      </c>
      <c r="J243">
        <f t="shared" ca="1" si="74"/>
        <v>299.37650000000008</v>
      </c>
      <c r="K243">
        <f t="shared" ca="1" si="75"/>
        <v>7.7338546765435634</v>
      </c>
      <c r="L243">
        <f t="shared" ca="1" si="76"/>
        <v>314.84420935308719</v>
      </c>
      <c r="M243">
        <f t="shared" ca="1" si="77"/>
        <v>283.90879064691296</v>
      </c>
      <c r="N243">
        <f t="shared" ca="1" si="66"/>
        <v>-2.5900000000000318</v>
      </c>
      <c r="O243">
        <f t="shared" ca="1" si="67"/>
        <v>0</v>
      </c>
      <c r="P243">
        <f t="shared" ca="1" si="68"/>
        <v>2.5900000000000318</v>
      </c>
      <c r="Q243">
        <f t="shared" ca="1" si="72"/>
        <v>2.8384271106702941</v>
      </c>
      <c r="R243">
        <f t="shared" ca="1" si="73"/>
        <v>3.0616979909149555</v>
      </c>
      <c r="S243">
        <f t="shared" ca="1" si="70"/>
        <v>0.92707612543523954</v>
      </c>
      <c r="T243">
        <f t="shared" ca="1" si="71"/>
        <v>48.107914015376785</v>
      </c>
      <c r="U243">
        <f>70</f>
        <v>70</v>
      </c>
      <c r="V243">
        <f>30</f>
        <v>30</v>
      </c>
      <c r="W243">
        <f t="shared" ca="1" si="69"/>
        <v>297.7677299411597</v>
      </c>
      <c r="X243">
        <f t="shared" ca="1" si="79"/>
        <v>299.17958698915629</v>
      </c>
      <c r="Y243">
        <f t="shared" ca="1" si="78"/>
        <v>-1.7865241565565952</v>
      </c>
      <c r="Z243">
        <f t="shared" ca="1" si="80"/>
        <v>-1.1939277726173003</v>
      </c>
      <c r="AA243">
        <f t="shared" ca="1" si="81"/>
        <v>-0.59259638393929492</v>
      </c>
      <c r="AB243">
        <f t="shared" ca="1" si="82"/>
        <v>296.76760000000007</v>
      </c>
    </row>
    <row r="244" spans="1:28" x14ac:dyDescent="0.25">
      <c r="A244" s="20">
        <f t="shared" ca="1" si="62"/>
        <v>46062</v>
      </c>
      <c r="B244" vm="722">
        <f ca="1"/>
        <v>46063</v>
      </c>
      <c r="C244" vm="723">
        <f ca="1"/>
        <v>291.76</v>
      </c>
      <c r="D244" vm="724">
        <f ca="1"/>
        <v>3837343</v>
      </c>
      <c r="E244">
        <f t="shared" ca="1" si="63"/>
        <v>1119583193.6800001</v>
      </c>
      <c r="F244">
        <f ca="1">SUM($E$2:E244)/SUM($D$2:D244)</f>
        <v>272.6885773048914</v>
      </c>
      <c r="G244">
        <f ca="1">_xlfn.STDEV.P($C$2:C244)</f>
        <v>25.008703100271049</v>
      </c>
      <c r="H244">
        <f t="shared" ca="1" si="64"/>
        <v>297.69728040516247</v>
      </c>
      <c r="I244">
        <f t="shared" ca="1" si="65"/>
        <v>247.67987420462035</v>
      </c>
      <c r="J244">
        <f t="shared" ca="1" si="74"/>
        <v>298.35550000000006</v>
      </c>
      <c r="K244">
        <f t="shared" ca="1" si="75"/>
        <v>7.2897559521636426</v>
      </c>
      <c r="L244">
        <f t="shared" ca="1" si="76"/>
        <v>312.93501190432733</v>
      </c>
      <c r="M244">
        <f t="shared" ca="1" si="77"/>
        <v>283.7759880956728</v>
      </c>
      <c r="N244">
        <f t="shared" ca="1" si="66"/>
        <v>-4.5799999999999841</v>
      </c>
      <c r="O244">
        <f t="shared" ca="1" si="67"/>
        <v>0</v>
      </c>
      <c r="P244">
        <f t="shared" ca="1" si="68"/>
        <v>4.5799999999999841</v>
      </c>
      <c r="Q244">
        <f t="shared" ca="1" si="72"/>
        <v>2.6356823170509878</v>
      </c>
      <c r="R244">
        <f t="shared" ca="1" si="73"/>
        <v>3.1701481344210292</v>
      </c>
      <c r="S244">
        <f t="shared" ca="1" si="70"/>
        <v>0.83140667416551117</v>
      </c>
      <c r="T244">
        <f t="shared" ca="1" si="71"/>
        <v>45.397163060156778</v>
      </c>
      <c r="U244">
        <f>70</f>
        <v>70</v>
      </c>
      <c r="V244">
        <f>30</f>
        <v>30</v>
      </c>
      <c r="W244">
        <f t="shared" ca="1" si="69"/>
        <v>296.84346379636588</v>
      </c>
      <c r="X244">
        <f t="shared" ca="1" si="79"/>
        <v>298.62998795292248</v>
      </c>
      <c r="Y244">
        <f t="shared" ca="1" si="78"/>
        <v>-3.5713884250117758</v>
      </c>
      <c r="Z244">
        <f t="shared" ca="1" si="80"/>
        <v>-1.6694199030961956</v>
      </c>
      <c r="AA244">
        <f t="shared" ca="1" si="81"/>
        <v>-1.9019685219155802</v>
      </c>
      <c r="AB244">
        <f t="shared" ca="1" si="82"/>
        <v>297.09440000000001</v>
      </c>
    </row>
    <row r="245" spans="1:28" x14ac:dyDescent="0.25">
      <c r="A245" s="20">
        <f t="shared" ca="1" si="62"/>
        <v>46062</v>
      </c>
      <c r="B245" vm="725">
        <f ca="1"/>
        <v>46064</v>
      </c>
      <c r="C245" vm="726">
        <f ca="1"/>
        <v>272.81</v>
      </c>
      <c r="D245" vm="727">
        <f ca="1"/>
        <v>7628244</v>
      </c>
      <c r="E245">
        <f t="shared" ca="1" si="63"/>
        <v>2081061245.6400001</v>
      </c>
      <c r="F245">
        <f ca="1">SUM($E$2:E245)/SUM($D$2:D245)</f>
        <v>272.68936749452735</v>
      </c>
      <c r="G245">
        <f ca="1">_xlfn.STDEV.P($C$2:C245)</f>
        <v>24.957455685779465</v>
      </c>
      <c r="H245">
        <f t="shared" ca="1" si="64"/>
        <v>297.6468231803068</v>
      </c>
      <c r="I245">
        <f t="shared" ca="1" si="65"/>
        <v>247.7319118087479</v>
      </c>
      <c r="J245">
        <f t="shared" ca="1" si="74"/>
        <v>296.83800000000008</v>
      </c>
      <c r="K245">
        <f t="shared" ca="1" si="75"/>
        <v>9.1568309848009388</v>
      </c>
      <c r="L245">
        <f t="shared" ca="1" si="76"/>
        <v>315.15166196960195</v>
      </c>
      <c r="M245">
        <f t="shared" ca="1" si="77"/>
        <v>278.52433803039821</v>
      </c>
      <c r="N245">
        <f t="shared" ca="1" si="66"/>
        <v>-18.949999999999989</v>
      </c>
      <c r="O245">
        <f t="shared" ca="1" si="67"/>
        <v>0</v>
      </c>
      <c r="P245">
        <f t="shared" ca="1" si="68"/>
        <v>18.949999999999989</v>
      </c>
      <c r="Q245">
        <f t="shared" ca="1" si="72"/>
        <v>2.4474192944044888</v>
      </c>
      <c r="R245">
        <f t="shared" ca="1" si="73"/>
        <v>4.297280410533812</v>
      </c>
      <c r="S245">
        <f t="shared" ca="1" si="70"/>
        <v>0.56952748263883202</v>
      </c>
      <c r="T245">
        <f t="shared" ca="1" si="71"/>
        <v>36.286556873874595</v>
      </c>
      <c r="U245">
        <f>70</f>
        <v>70</v>
      </c>
      <c r="V245">
        <f>30</f>
        <v>30</v>
      </c>
      <c r="W245">
        <f t="shared" ca="1" si="69"/>
        <v>293.14600782769423</v>
      </c>
      <c r="X245">
        <f t="shared" ca="1" si="79"/>
        <v>296.71739625270601</v>
      </c>
      <c r="Y245">
        <f t="shared" ca="1" si="78"/>
        <v>-5.9892577131175813</v>
      </c>
      <c r="Z245">
        <f t="shared" ca="1" si="80"/>
        <v>-2.5333874651004731</v>
      </c>
      <c r="AA245">
        <f t="shared" ca="1" si="81"/>
        <v>-3.4558702480171082</v>
      </c>
      <c r="AB245">
        <f t="shared" ca="1" si="82"/>
        <v>297.17250000000001</v>
      </c>
    </row>
    <row r="246" spans="1:28" x14ac:dyDescent="0.25">
      <c r="A246" s="20">
        <f t="shared" ca="1" si="62"/>
        <v>46062</v>
      </c>
      <c r="B246" vm="728">
        <f ca="1"/>
        <v>46065</v>
      </c>
      <c r="C246" vm="729">
        <f ca="1"/>
        <v>259.52</v>
      </c>
      <c r="D246" vm="730">
        <f ca="1"/>
        <v>12565380</v>
      </c>
      <c r="E246">
        <f t="shared" ca="1" si="63"/>
        <v>3260967417.5999999</v>
      </c>
      <c r="F246">
        <f ca="1">SUM($E$2:E246)/SUM($D$2:D246)</f>
        <v>272.54969313153401</v>
      </c>
      <c r="G246">
        <f ca="1">_xlfn.STDEV.P($C$2:C246)</f>
        <v>24.922661733952893</v>
      </c>
      <c r="H246">
        <f t="shared" ca="1" si="64"/>
        <v>297.47235486548692</v>
      </c>
      <c r="I246">
        <f t="shared" ca="1" si="65"/>
        <v>247.62703139758111</v>
      </c>
      <c r="J246">
        <f t="shared" ca="1" si="74"/>
        <v>294.36250000000007</v>
      </c>
      <c r="K246">
        <f t="shared" ca="1" si="75"/>
        <v>11.952823438748471</v>
      </c>
      <c r="L246">
        <f t="shared" ca="1" si="76"/>
        <v>318.26814687749703</v>
      </c>
      <c r="M246">
        <f t="shared" ca="1" si="77"/>
        <v>270.45685312250311</v>
      </c>
      <c r="N246">
        <f t="shared" ca="1" si="66"/>
        <v>-13.29000000000002</v>
      </c>
      <c r="O246">
        <f t="shared" ca="1" si="67"/>
        <v>0</v>
      </c>
      <c r="P246">
        <f t="shared" ca="1" si="68"/>
        <v>13.29000000000002</v>
      </c>
      <c r="Q246">
        <f t="shared" ca="1" si="72"/>
        <v>2.272603630518454</v>
      </c>
      <c r="R246">
        <f t="shared" ca="1" si="73"/>
        <v>4.9396175240671125</v>
      </c>
      <c r="S246">
        <f t="shared" ca="1" si="70"/>
        <v>0.46007684186998954</v>
      </c>
      <c r="T246">
        <f t="shared" ca="1" si="71"/>
        <v>31.51045401697813</v>
      </c>
      <c r="U246">
        <f>70</f>
        <v>70</v>
      </c>
      <c r="V246">
        <f>30</f>
        <v>30</v>
      </c>
      <c r="W246">
        <f t="shared" ca="1" si="69"/>
        <v>287.97277585420278</v>
      </c>
      <c r="X246">
        <f t="shared" ca="1" si="79"/>
        <v>293.96203356732036</v>
      </c>
      <c r="Y246">
        <f t="shared" ca="1" si="78"/>
        <v>-7.58719795065781</v>
      </c>
      <c r="Z246">
        <f t="shared" ca="1" si="80"/>
        <v>-3.544149562211941</v>
      </c>
      <c r="AA246">
        <f t="shared" ca="1" si="81"/>
        <v>-4.043048388445869</v>
      </c>
      <c r="AB246">
        <f t="shared" ca="1" si="82"/>
        <v>297.10370000000012</v>
      </c>
    </row>
    <row r="247" spans="1:28" x14ac:dyDescent="0.25">
      <c r="A247" s="20">
        <f t="shared" ca="1" si="62"/>
        <v>46062</v>
      </c>
      <c r="B247" vm="731">
        <f ca="1"/>
        <v>46066</v>
      </c>
      <c r="C247" vm="732">
        <f ca="1"/>
        <v>262.38</v>
      </c>
      <c r="D247" vm="733">
        <f ca="1"/>
        <v>6842620</v>
      </c>
      <c r="E247">
        <f t="shared" ca="1" si="63"/>
        <v>1795366635.5999999</v>
      </c>
      <c r="F247">
        <f ca="1">SUM($E$2:E247)/SUM($D$2:D247)</f>
        <v>272.49129414338938</v>
      </c>
      <c r="G247">
        <f ca="1">_xlfn.STDEV.P($C$2:C247)</f>
        <v>24.882108332668615</v>
      </c>
      <c r="H247">
        <f t="shared" ca="1" si="64"/>
        <v>297.373402476058</v>
      </c>
      <c r="I247">
        <f t="shared" ca="1" si="65"/>
        <v>247.60918581072076</v>
      </c>
      <c r="J247">
        <f t="shared" ca="1" si="74"/>
        <v>292.58400000000006</v>
      </c>
      <c r="K247">
        <f t="shared" ca="1" si="75"/>
        <v>13.881602137171955</v>
      </c>
      <c r="L247">
        <f t="shared" ca="1" si="76"/>
        <v>320.34720427434399</v>
      </c>
      <c r="M247">
        <f t="shared" ca="1" si="77"/>
        <v>264.82079572565613</v>
      </c>
      <c r="N247">
        <f t="shared" ca="1" si="66"/>
        <v>2.8600000000000136</v>
      </c>
      <c r="O247">
        <f t="shared" ca="1" si="67"/>
        <v>2.8600000000000136</v>
      </c>
      <c r="P247">
        <f t="shared" ca="1" si="68"/>
        <v>0</v>
      </c>
      <c r="Q247">
        <f t="shared" ca="1" si="72"/>
        <v>2.3145605140528511</v>
      </c>
      <c r="R247">
        <f t="shared" ca="1" si="73"/>
        <v>4.5867877009194613</v>
      </c>
      <c r="S247">
        <f t="shared" ca="1" si="70"/>
        <v>0.50461470313720369</v>
      </c>
      <c r="T247">
        <f t="shared" ca="1" si="71"/>
        <v>33.537802208436119</v>
      </c>
      <c r="U247">
        <f>70</f>
        <v>70</v>
      </c>
      <c r="V247">
        <f>30</f>
        <v>30</v>
      </c>
      <c r="W247">
        <f t="shared" ca="1" si="69"/>
        <v>284.03542572278695</v>
      </c>
      <c r="X247">
        <f t="shared" ca="1" si="79"/>
        <v>291.62262367344476</v>
      </c>
      <c r="Y247">
        <f t="shared" ca="1" si="78"/>
        <v>-9.0773540005749851</v>
      </c>
      <c r="Z247">
        <f t="shared" ca="1" si="80"/>
        <v>-4.6507904498845498</v>
      </c>
      <c r="AA247">
        <f t="shared" ca="1" si="81"/>
        <v>-4.4265635506904353</v>
      </c>
      <c r="AB247">
        <f t="shared" ca="1" si="82"/>
        <v>297.01380000000006</v>
      </c>
    </row>
    <row r="248" spans="1:28" x14ac:dyDescent="0.25">
      <c r="A248" s="20">
        <f t="shared" ca="1" si="62"/>
        <v>46069</v>
      </c>
      <c r="B248" vm="734">
        <f ca="1"/>
        <v>46070</v>
      </c>
      <c r="C248" vm="735">
        <f ca="1"/>
        <v>258.31</v>
      </c>
      <c r="D248" vm="736">
        <f ca="1"/>
        <v>4929733</v>
      </c>
      <c r="E248">
        <f t="shared" ca="1" si="63"/>
        <v>1273399331.23</v>
      </c>
      <c r="F248">
        <f ca="1">SUM($E$2:E248)/SUM($D$2:D248)</f>
        <v>272.43286610696646</v>
      </c>
      <c r="G248">
        <f ca="1">_xlfn.STDEV.P($C$2:C248)</f>
        <v>24.850428443005061</v>
      </c>
      <c r="H248">
        <f t="shared" ca="1" si="64"/>
        <v>297.28329454997152</v>
      </c>
      <c r="I248">
        <f t="shared" ca="1" si="65"/>
        <v>247.5824376639614</v>
      </c>
      <c r="J248">
        <f t="shared" ca="1" si="74"/>
        <v>290.21600000000007</v>
      </c>
      <c r="K248">
        <f t="shared" ca="1" si="75"/>
        <v>15.479347667473796</v>
      </c>
      <c r="L248">
        <f t="shared" ca="1" si="76"/>
        <v>321.17469533494767</v>
      </c>
      <c r="M248">
        <f t="shared" ca="1" si="77"/>
        <v>259.25730466505246</v>
      </c>
      <c r="N248">
        <f t="shared" ca="1" si="66"/>
        <v>-4.0699999999999932</v>
      </c>
      <c r="O248">
        <f t="shared" ca="1" si="67"/>
        <v>0</v>
      </c>
      <c r="P248">
        <f t="shared" ca="1" si="68"/>
        <v>4.0699999999999932</v>
      </c>
      <c r="Q248">
        <f t="shared" ca="1" si="72"/>
        <v>2.1492347630490758</v>
      </c>
      <c r="R248">
        <f t="shared" ca="1" si="73"/>
        <v>4.5498742937109276</v>
      </c>
      <c r="S248">
        <f t="shared" ca="1" si="70"/>
        <v>0.47237233916986665</v>
      </c>
      <c r="T248">
        <f t="shared" ca="1" si="71"/>
        <v>32.0823969999459</v>
      </c>
      <c r="U248">
        <f>70</f>
        <v>70</v>
      </c>
      <c r="V248">
        <f>30</f>
        <v>30</v>
      </c>
      <c r="W248">
        <f t="shared" ca="1" si="69"/>
        <v>280.07766791928128</v>
      </c>
      <c r="X248">
        <f t="shared" ca="1" si="79"/>
        <v>289.15502191985627</v>
      </c>
      <c r="Y248">
        <f t="shared" ca="1" si="78"/>
        <v>-9.9435747918141146</v>
      </c>
      <c r="Z248">
        <f t="shared" ca="1" si="80"/>
        <v>-5.7093473182704626</v>
      </c>
      <c r="AA248">
        <f t="shared" ca="1" si="81"/>
        <v>-4.234227473543652</v>
      </c>
      <c r="AB248">
        <f t="shared" ca="1" si="82"/>
        <v>296.87450000000013</v>
      </c>
    </row>
    <row r="249" spans="1:28" x14ac:dyDescent="0.25">
      <c r="A249" s="20">
        <f t="shared" ca="1" si="62"/>
        <v>46069</v>
      </c>
      <c r="B249" vm="737">
        <f ca="1"/>
        <v>46071</v>
      </c>
      <c r="C249" vm="738">
        <f ca="1"/>
        <v>260.79000000000002</v>
      </c>
      <c r="D249" vm="739">
        <f ca="1"/>
        <v>3949229</v>
      </c>
      <c r="E249">
        <f t="shared" ca="1" si="63"/>
        <v>1029919430.9100001</v>
      </c>
      <c r="F249">
        <f ca="1">SUM($E$2:E249)/SUM($D$2:D249)</f>
        <v>272.39456395526526</v>
      </c>
      <c r="G249">
        <f ca="1">_xlfn.STDEV.P($C$2:C249)</f>
        <v>24.813237253801908</v>
      </c>
      <c r="H249">
        <f t="shared" ca="1" si="64"/>
        <v>297.20780120906716</v>
      </c>
      <c r="I249">
        <f t="shared" ca="1" si="65"/>
        <v>247.58132670146335</v>
      </c>
      <c r="J249">
        <f t="shared" ca="1" si="74"/>
        <v>288.68800000000005</v>
      </c>
      <c r="K249">
        <f t="shared" ca="1" si="75"/>
        <v>16.812435435211576</v>
      </c>
      <c r="L249">
        <f t="shared" ca="1" si="76"/>
        <v>322.31287087042318</v>
      </c>
      <c r="M249">
        <f t="shared" ca="1" si="77"/>
        <v>255.06312912957691</v>
      </c>
      <c r="N249">
        <f t="shared" ca="1" si="66"/>
        <v>2.4800000000000182</v>
      </c>
      <c r="O249">
        <f t="shared" ca="1" si="67"/>
        <v>2.4800000000000182</v>
      </c>
      <c r="P249">
        <f t="shared" ca="1" si="68"/>
        <v>0</v>
      </c>
      <c r="Q249">
        <f t="shared" ca="1" si="72"/>
        <v>2.1728608514027146</v>
      </c>
      <c r="R249">
        <f t="shared" ca="1" si="73"/>
        <v>4.2248832727315753</v>
      </c>
      <c r="S249">
        <f t="shared" ca="1" si="70"/>
        <v>0.51430080102493891</v>
      </c>
      <c r="T249">
        <f t="shared" ca="1" si="71"/>
        <v>33.962922074454397</v>
      </c>
      <c r="U249">
        <f>70</f>
        <v>70</v>
      </c>
      <c r="V249">
        <f>30</f>
        <v>30</v>
      </c>
      <c r="W249">
        <f t="shared" ca="1" si="69"/>
        <v>277.11033439323802</v>
      </c>
      <c r="X249">
        <f t="shared" ca="1" si="79"/>
        <v>287.05390918505213</v>
      </c>
      <c r="Y249">
        <f t="shared" ca="1" si="78"/>
        <v>-10.868692793020671</v>
      </c>
      <c r="Z249">
        <f t="shared" ca="1" si="80"/>
        <v>-6.7412164132205046</v>
      </c>
      <c r="AA249">
        <f t="shared" ca="1" si="81"/>
        <v>-4.1274763798001661</v>
      </c>
      <c r="AB249">
        <f t="shared" ca="1" si="82"/>
        <v>296.8071000000001</v>
      </c>
    </row>
    <row r="250" spans="1:28" x14ac:dyDescent="0.25">
      <c r="A250" s="20">
        <f t="shared" ca="1" si="62"/>
        <v>46069</v>
      </c>
      <c r="B250" vm="740">
        <f ca="1"/>
        <v>46072</v>
      </c>
      <c r="C250" vm="741">
        <f ca="1"/>
        <v>256.27999999999997</v>
      </c>
      <c r="D250" vm="742">
        <f ca="1"/>
        <v>4948700</v>
      </c>
      <c r="E250">
        <f t="shared" ca="1" si="63"/>
        <v>1268252835.9999998</v>
      </c>
      <c r="F250">
        <f ca="1">SUM($E$2:E250)/SUM($D$2:D250)</f>
        <v>272.3284072277682</v>
      </c>
      <c r="G250">
        <f ca="1">_xlfn.STDEV.P($C$2:C250)</f>
        <v>24.787001568249586</v>
      </c>
      <c r="H250">
        <f t="shared" ca="1" si="64"/>
        <v>297.11540879601779</v>
      </c>
      <c r="I250">
        <f t="shared" ca="1" si="65"/>
        <v>247.5414056595186</v>
      </c>
      <c r="J250">
        <f t="shared" ca="1" si="74"/>
        <v>286.625</v>
      </c>
      <c r="K250">
        <f t="shared" ca="1" si="75"/>
        <v>18.147499320263041</v>
      </c>
      <c r="L250">
        <f t="shared" ca="1" si="76"/>
        <v>322.9199986405261</v>
      </c>
      <c r="M250">
        <f t="shared" ca="1" si="77"/>
        <v>250.33000135947393</v>
      </c>
      <c r="N250">
        <f t="shared" ca="1" si="66"/>
        <v>-4.5100000000000477</v>
      </c>
      <c r="O250">
        <f t="shared" ca="1" si="67"/>
        <v>0</v>
      </c>
      <c r="P250">
        <f t="shared" ca="1" si="68"/>
        <v>4.5100000000000477</v>
      </c>
      <c r="Q250">
        <f t="shared" ca="1" si="72"/>
        <v>2.017656504873949</v>
      </c>
      <c r="R250">
        <f t="shared" ca="1" si="73"/>
        <v>4.2452487532507517</v>
      </c>
      <c r="S250">
        <f t="shared" ca="1" si="70"/>
        <v>0.47527403507955834</v>
      </c>
      <c r="T250">
        <f t="shared" ca="1" si="71"/>
        <v>32.215983185383436</v>
      </c>
      <c r="U250">
        <f>70</f>
        <v>70</v>
      </c>
      <c r="V250">
        <f>30</f>
        <v>30</v>
      </c>
      <c r="W250">
        <f t="shared" ca="1" si="69"/>
        <v>273.9056675635091</v>
      </c>
      <c r="X250">
        <f t="shared" ca="1" si="79"/>
        <v>284.77436035652977</v>
      </c>
      <c r="Y250">
        <f t="shared" ca="1" si="78"/>
        <v>-11.399441166695055</v>
      </c>
      <c r="Z250">
        <f t="shared" ca="1" si="80"/>
        <v>-7.6728613639154162</v>
      </c>
      <c r="AA250">
        <f t="shared" ca="1" si="81"/>
        <v>-3.7265798027796393</v>
      </c>
      <c r="AB250">
        <f t="shared" ca="1" si="82"/>
        <v>296.55550000000011</v>
      </c>
    </row>
    <row r="251" spans="1:28" x14ac:dyDescent="0.25">
      <c r="A251" s="20">
        <f t="shared" ca="1" si="62"/>
        <v>46069</v>
      </c>
      <c r="B251" vm="743">
        <f ca="1"/>
        <v>46073</v>
      </c>
      <c r="C251" vm="744">
        <f ca="1"/>
        <v>257.16000000000003</v>
      </c>
      <c r="D251" vm="745">
        <f ca="1"/>
        <v>4708550</v>
      </c>
      <c r="E251">
        <f t="shared" ca="1" si="63"/>
        <v>1210850718</v>
      </c>
      <c r="F251">
        <f ca="1">SUM($E$2:E251)/SUM($D$2:D251)</f>
        <v>272.26938734120529</v>
      </c>
      <c r="G251">
        <f ca="1">_xlfn.STDEV.P($C$2:C251)</f>
        <v>24.758408707540148</v>
      </c>
      <c r="H251">
        <f t="shared" ca="1" si="64"/>
        <v>297.02779604874542</v>
      </c>
      <c r="I251">
        <f t="shared" ca="1" si="65"/>
        <v>247.51097863366513</v>
      </c>
      <c r="J251">
        <f t="shared" ca="1" si="74"/>
        <v>284.74950000000001</v>
      </c>
      <c r="K251">
        <f t="shared" ca="1" si="75"/>
        <v>19.181154532783637</v>
      </c>
      <c r="L251">
        <f t="shared" ca="1" si="76"/>
        <v>323.11180906556729</v>
      </c>
      <c r="M251">
        <f t="shared" ca="1" si="77"/>
        <v>246.38719093443274</v>
      </c>
      <c r="N251">
        <f t="shared" ca="1" si="66"/>
        <v>0.8800000000000523</v>
      </c>
      <c r="O251">
        <f t="shared" ca="1" si="67"/>
        <v>0.8800000000000523</v>
      </c>
      <c r="P251">
        <f t="shared" ca="1" si="68"/>
        <v>0</v>
      </c>
      <c r="Q251">
        <f t="shared" ca="1" si="72"/>
        <v>1.9363953259543849</v>
      </c>
      <c r="R251">
        <f t="shared" ca="1" si="73"/>
        <v>3.9420166994471266</v>
      </c>
      <c r="S251">
        <f t="shared" ca="1" si="70"/>
        <v>0.49121946292768548</v>
      </c>
      <c r="T251">
        <f t="shared" ca="1" si="71"/>
        <v>32.940789410251043</v>
      </c>
      <c r="U251">
        <f>70</f>
        <v>70</v>
      </c>
      <c r="V251">
        <f>30</f>
        <v>30</v>
      </c>
      <c r="W251">
        <f t="shared" ca="1" si="69"/>
        <v>271.32941101527695</v>
      </c>
      <c r="X251">
        <f t="shared" ca="1" si="79"/>
        <v>282.728852181972</v>
      </c>
      <c r="Y251" t="e">
        <f>#REF!-#REF!</f>
        <v>#REF!</v>
      </c>
      <c r="Z251" t="e">
        <f t="shared" ca="1" si="80"/>
        <v>#REF!</v>
      </c>
      <c r="AA251" t="e">
        <f t="shared" ca="1" si="81"/>
        <v>#REF!</v>
      </c>
      <c r="AB251">
        <f t="shared" ca="1" si="82"/>
        <v>296.28400000000011</v>
      </c>
    </row>
    <row r="252" spans="1:28" x14ac:dyDescent="0.25">
      <c r="A252" s="20">
        <f t="shared" ca="1" si="62"/>
        <v>46076</v>
      </c>
      <c r="B252" vm="746">
        <f ca="1"/>
        <v>46076</v>
      </c>
      <c r="C252" vm="747">
        <f ca="1"/>
        <v>223.35</v>
      </c>
      <c r="D252" vm="748">
        <f ca="1"/>
        <v>19522881</v>
      </c>
      <c r="E252">
        <f t="shared" ref="E252" ca="1" si="83">C252*D252</f>
        <v>4360435471.3499994</v>
      </c>
      <c r="F252">
        <f ca="1">SUM($E$2:E252)/SUM($D$2:D252)</f>
        <v>271.4927011832894</v>
      </c>
      <c r="G252">
        <f ca="1">_xlfn.STDEV.P($C$2:C252)</f>
        <v>24.908256563075305</v>
      </c>
      <c r="H252">
        <f t="shared" ref="H252" ca="1" si="84">F252 + G252</f>
        <v>296.40095774636472</v>
      </c>
      <c r="I252">
        <f t="shared" ref="I252" ca="1" si="85">F252 - G252</f>
        <v>246.5844446202141</v>
      </c>
      <c r="J252">
        <f t="shared" ref="J252" ca="1" si="86">AVERAGE(C233:C252)</f>
        <v>281.29500000000002</v>
      </c>
      <c r="K252">
        <f t="shared" ref="K252" ca="1" si="87">_xlfn.STDEV.S(C233:C252)</f>
        <v>23.466101530774804</v>
      </c>
      <c r="L252">
        <f t="shared" ref="L252" ca="1" si="88">J252 + 2*K252</f>
        <v>328.22720306154963</v>
      </c>
      <c r="M252">
        <f t="shared" ref="M252" ca="1" si="89">J252-2*K252</f>
        <v>234.3627969384504</v>
      </c>
      <c r="N252">
        <f t="shared" ref="N252" ca="1" si="90">C252-C251</f>
        <v>-33.810000000000031</v>
      </c>
      <c r="O252">
        <f t="shared" ref="O252" ca="1" si="91">MAX(N252,0)</f>
        <v>0</v>
      </c>
      <c r="P252">
        <f t="shared" ref="P252" ca="1" si="92">MAX(-N252,0)</f>
        <v>33.810000000000031</v>
      </c>
      <c r="Q252">
        <f t="shared" ref="Q252" ca="1" si="93">(Q251*13+O252)/14</f>
        <v>1.7980813741005002</v>
      </c>
      <c r="R252">
        <f t="shared" ref="R252" ca="1" si="94">(R251*13+P252)/14</f>
        <v>6.0754440780580481</v>
      </c>
      <c r="S252">
        <f t="shared" ref="S252" ca="1" si="95">IF(R252=0,NA(),Q252/R252)</f>
        <v>0.29595883872825279</v>
      </c>
      <c r="T252">
        <f t="shared" ref="T252" ca="1" si="96">100-(100/(1+S252))</f>
        <v>22.837055459159671</v>
      </c>
      <c r="U252">
        <f>70</f>
        <v>70</v>
      </c>
      <c r="V252">
        <f>30</f>
        <v>30</v>
      </c>
      <c r="W252">
        <f t="shared" ref="W252" ca="1" si="97">C252*(2/(12+1)) + W251*(1-(2/(12+1)))</f>
        <v>263.94796316677281</v>
      </c>
      <c r="X252">
        <f t="shared" ref="X252" ca="1" si="98">C252*(2/(26+1)) + X251*(1-(2/(26+1)))</f>
        <v>278.3304186870111</v>
      </c>
      <c r="Y252" t="e">
        <f>#REF!-#REF!</f>
        <v>#REF!</v>
      </c>
      <c r="Z252" t="e">
        <f t="shared" ref="Z252" ca="1" si="99">Y252*(2/(9+1)) + Z251*(1-(2/(9+1)))</f>
        <v>#REF!</v>
      </c>
      <c r="AA252" t="e">
        <f t="shared" ref="AA252" ca="1" si="100">Y252-Z252</f>
        <v>#REF!</v>
      </c>
      <c r="AB252">
        <f t="shared" ref="AB252" ca="1" si="101">AVERAGE(C153:C252)</f>
        <v>295.71950000000004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82DC-9F4A-4AE5-A9D9-460D7EE78C53}">
  <dimension ref="A1:B54"/>
  <sheetViews>
    <sheetView workbookViewId="0">
      <selection activeCell="B1" activeCellId="1" sqref="A1:A1048576 B1:B1048576"/>
    </sheetView>
  </sheetViews>
  <sheetFormatPr defaultRowHeight="15" x14ac:dyDescent="0.25"/>
  <cols>
    <col min="1" max="2" width="10.42578125" bestFit="1" customWidth="1"/>
  </cols>
  <sheetData>
    <row r="1" spans="1:2" x14ac:dyDescent="0.25">
      <c r="A1" t="s">
        <v>45</v>
      </c>
      <c r="B1" t="s">
        <v>48</v>
      </c>
    </row>
    <row r="2" spans="1:2" x14ac:dyDescent="0.25">
      <c r="A2" s="23">
        <v>45712</v>
      </c>
      <c r="B2">
        <v>256.226</v>
      </c>
    </row>
    <row r="3" spans="1:2" x14ac:dyDescent="0.25">
      <c r="A3" s="23">
        <v>45719</v>
      </c>
      <c r="B3">
        <v>252.99600000000001</v>
      </c>
    </row>
    <row r="4" spans="1:2" x14ac:dyDescent="0.25">
      <c r="A4" s="23">
        <v>45726</v>
      </c>
      <c r="B4">
        <v>249.92599999999999</v>
      </c>
    </row>
    <row r="5" spans="1:2" x14ac:dyDescent="0.25">
      <c r="A5" s="23">
        <v>45733</v>
      </c>
      <c r="B5">
        <v>247.88</v>
      </c>
    </row>
    <row r="6" spans="1:2" x14ac:dyDescent="0.25">
      <c r="A6" s="23">
        <v>45740</v>
      </c>
      <c r="B6">
        <v>247.78</v>
      </c>
    </row>
    <row r="7" spans="1:2" x14ac:dyDescent="0.25">
      <c r="A7" s="23">
        <v>45747</v>
      </c>
      <c r="B7">
        <v>243.99</v>
      </c>
    </row>
    <row r="8" spans="1:2" x14ac:dyDescent="0.25">
      <c r="A8" s="23">
        <v>45754</v>
      </c>
      <c r="B8">
        <v>229.43</v>
      </c>
    </row>
    <row r="9" spans="1:2" x14ac:dyDescent="0.25">
      <c r="A9" s="23">
        <v>45761</v>
      </c>
      <c r="B9">
        <v>239.285</v>
      </c>
    </row>
    <row r="10" spans="1:2" x14ac:dyDescent="0.25">
      <c r="A10" s="23">
        <v>45768</v>
      </c>
      <c r="B10">
        <v>236.86799999999999</v>
      </c>
    </row>
    <row r="11" spans="1:2" x14ac:dyDescent="0.25">
      <c r="A11" s="23">
        <v>45775</v>
      </c>
      <c r="B11">
        <v>240.51599999999999</v>
      </c>
    </row>
    <row r="12" spans="1:2" x14ac:dyDescent="0.25">
      <c r="A12" s="23">
        <v>45782</v>
      </c>
      <c r="B12">
        <v>251.00200000000001</v>
      </c>
    </row>
    <row r="13" spans="1:2" x14ac:dyDescent="0.25">
      <c r="A13" s="23">
        <v>45789</v>
      </c>
      <c r="B13">
        <v>260.70799999999997</v>
      </c>
    </row>
    <row r="14" spans="1:2" x14ac:dyDescent="0.25">
      <c r="A14" s="23">
        <v>45796</v>
      </c>
      <c r="B14">
        <v>262.64600000000002</v>
      </c>
    </row>
    <row r="15" spans="1:2" x14ac:dyDescent="0.25">
      <c r="A15" s="23">
        <v>45803</v>
      </c>
      <c r="B15">
        <v>260.30500000000001</v>
      </c>
    </row>
    <row r="16" spans="1:2" x14ac:dyDescent="0.25">
      <c r="A16" s="23">
        <v>45810</v>
      </c>
      <c r="B16">
        <v>266.07</v>
      </c>
    </row>
    <row r="17" spans="1:2" x14ac:dyDescent="0.25">
      <c r="A17" s="23">
        <v>45817</v>
      </c>
      <c r="B17">
        <v>277.61799999999999</v>
      </c>
    </row>
    <row r="18" spans="1:2" x14ac:dyDescent="0.25">
      <c r="A18" s="23">
        <v>45824</v>
      </c>
      <c r="B18">
        <v>282.26499999999999</v>
      </c>
    </row>
    <row r="19" spans="1:2" x14ac:dyDescent="0.25">
      <c r="A19" s="23">
        <v>45831</v>
      </c>
      <c r="B19">
        <v>291.13200000000001</v>
      </c>
    </row>
    <row r="20" spans="1:2" x14ac:dyDescent="0.25">
      <c r="A20" s="23">
        <v>45838</v>
      </c>
      <c r="B20">
        <v>291.39999999999998</v>
      </c>
    </row>
    <row r="21" spans="1:2" x14ac:dyDescent="0.25">
      <c r="A21" s="23">
        <v>45845</v>
      </c>
      <c r="B21">
        <v>288.81</v>
      </c>
    </row>
    <row r="22" spans="1:2" x14ac:dyDescent="0.25">
      <c r="A22" s="23">
        <v>45852</v>
      </c>
      <c r="B22">
        <v>283.25600000000003</v>
      </c>
    </row>
    <row r="23" spans="1:2" x14ac:dyDescent="0.25">
      <c r="A23" s="23">
        <v>45859</v>
      </c>
      <c r="B23">
        <v>273.78199999999998</v>
      </c>
    </row>
    <row r="24" spans="1:2" x14ac:dyDescent="0.25">
      <c r="A24" s="23">
        <v>45866</v>
      </c>
      <c r="B24">
        <v>257.81600000000003</v>
      </c>
    </row>
    <row r="25" spans="1:2" x14ac:dyDescent="0.25">
      <c r="A25" s="23">
        <v>45873</v>
      </c>
      <c r="B25">
        <v>249.47200000000001</v>
      </c>
    </row>
    <row r="26" spans="1:2" x14ac:dyDescent="0.25">
      <c r="A26" s="23">
        <v>45880</v>
      </c>
      <c r="B26">
        <v>237.59399999999999</v>
      </c>
    </row>
    <row r="27" spans="1:2" x14ac:dyDescent="0.25">
      <c r="A27" s="23">
        <v>45887</v>
      </c>
      <c r="B27">
        <v>240.95400000000001</v>
      </c>
    </row>
    <row r="28" spans="1:2" x14ac:dyDescent="0.25">
      <c r="A28" s="23">
        <v>45894</v>
      </c>
      <c r="B28">
        <v>243.22399999999999</v>
      </c>
    </row>
    <row r="29" spans="1:2" x14ac:dyDescent="0.25">
      <c r="A29" s="23">
        <v>45901</v>
      </c>
      <c r="B29">
        <v>245.32749999999999</v>
      </c>
    </row>
    <row r="30" spans="1:2" x14ac:dyDescent="0.25">
      <c r="A30" s="23">
        <v>45908</v>
      </c>
      <c r="B30">
        <v>256.50599999999997</v>
      </c>
    </row>
    <row r="31" spans="1:2" x14ac:dyDescent="0.25">
      <c r="A31" s="23">
        <v>45915</v>
      </c>
      <c r="B31">
        <v>260.84800000000001</v>
      </c>
    </row>
    <row r="32" spans="1:2" x14ac:dyDescent="0.25">
      <c r="A32" s="23">
        <v>45922</v>
      </c>
      <c r="B32">
        <v>275.37799999999999</v>
      </c>
    </row>
    <row r="33" spans="1:2" x14ac:dyDescent="0.25">
      <c r="A33" s="23">
        <v>45929</v>
      </c>
      <c r="B33">
        <v>284.70800000000003</v>
      </c>
    </row>
    <row r="34" spans="1:2" x14ac:dyDescent="0.25">
      <c r="A34" s="23">
        <v>45936</v>
      </c>
      <c r="B34">
        <v>287.76</v>
      </c>
    </row>
    <row r="35" spans="1:2" x14ac:dyDescent="0.25">
      <c r="A35" s="23">
        <v>45943</v>
      </c>
      <c r="B35">
        <v>278.274</v>
      </c>
    </row>
    <row r="36" spans="1:2" x14ac:dyDescent="0.25">
      <c r="A36" s="23">
        <v>45950</v>
      </c>
      <c r="B36">
        <v>289.13400000000001</v>
      </c>
    </row>
    <row r="37" spans="1:2" x14ac:dyDescent="0.25">
      <c r="A37" s="23">
        <v>45957</v>
      </c>
      <c r="B37">
        <v>310.26799999999997</v>
      </c>
    </row>
    <row r="38" spans="1:2" x14ac:dyDescent="0.25">
      <c r="A38" s="23">
        <v>45964</v>
      </c>
      <c r="B38">
        <v>306.23</v>
      </c>
    </row>
    <row r="39" spans="1:2" x14ac:dyDescent="0.25">
      <c r="A39" s="23">
        <v>45971</v>
      </c>
      <c r="B39">
        <v>309.67599999999999</v>
      </c>
    </row>
    <row r="40" spans="1:2" x14ac:dyDescent="0.25">
      <c r="A40" s="23">
        <v>45978</v>
      </c>
      <c r="B40">
        <v>292.69799999999998</v>
      </c>
    </row>
    <row r="41" spans="1:2" x14ac:dyDescent="0.25">
      <c r="A41" s="23">
        <v>45985</v>
      </c>
      <c r="B41">
        <v>305.09749999999997</v>
      </c>
    </row>
    <row r="42" spans="1:2" x14ac:dyDescent="0.25">
      <c r="A42" s="23">
        <v>45992</v>
      </c>
      <c r="B42">
        <v>305.2</v>
      </c>
    </row>
    <row r="43" spans="1:2" x14ac:dyDescent="0.25">
      <c r="A43" s="23">
        <v>45999</v>
      </c>
      <c r="B43">
        <v>310.46199999999999</v>
      </c>
    </row>
    <row r="44" spans="1:2" x14ac:dyDescent="0.25">
      <c r="A44" s="23">
        <v>46006</v>
      </c>
      <c r="B44">
        <v>303.31799999999998</v>
      </c>
    </row>
    <row r="45" spans="1:2" x14ac:dyDescent="0.25">
      <c r="A45" s="23">
        <v>46013</v>
      </c>
      <c r="B45">
        <v>304.05500000000001</v>
      </c>
    </row>
    <row r="46" spans="1:2" x14ac:dyDescent="0.25">
      <c r="A46" s="23">
        <v>46020</v>
      </c>
      <c r="B46">
        <v>298.875</v>
      </c>
    </row>
    <row r="47" spans="1:2" x14ac:dyDescent="0.25">
      <c r="A47" s="23">
        <v>46027</v>
      </c>
      <c r="B47">
        <v>300.22200000000004</v>
      </c>
    </row>
    <row r="48" spans="1:2" x14ac:dyDescent="0.25">
      <c r="A48" s="23">
        <v>46034</v>
      </c>
      <c r="B48">
        <v>305.59800000000001</v>
      </c>
    </row>
    <row r="49" spans="1:2" x14ac:dyDescent="0.25">
      <c r="A49" s="23">
        <v>46041</v>
      </c>
      <c r="B49">
        <v>294</v>
      </c>
    </row>
    <row r="50" spans="1:2" x14ac:dyDescent="0.25">
      <c r="A50" s="23">
        <v>46048</v>
      </c>
      <c r="B50">
        <v>300.05799999999999</v>
      </c>
    </row>
    <row r="51" spans="1:2" x14ac:dyDescent="0.25">
      <c r="A51" s="23">
        <v>46055</v>
      </c>
      <c r="B51">
        <v>297.38200000000001</v>
      </c>
    </row>
    <row r="52" spans="1:2" x14ac:dyDescent="0.25">
      <c r="A52" s="23">
        <v>46062</v>
      </c>
      <c r="B52">
        <v>276.56200000000001</v>
      </c>
    </row>
    <row r="53" spans="1:2" x14ac:dyDescent="0.25">
      <c r="A53" s="23">
        <v>46069</v>
      </c>
      <c r="B53">
        <v>258.13499999999999</v>
      </c>
    </row>
    <row r="54" spans="1:2" x14ac:dyDescent="0.25">
      <c r="A54" s="23">
        <v>46076</v>
      </c>
      <c r="B54">
        <v>223.35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5096-C890-42D1-8BD0-F33E0276D7F3}">
  <dimension ref="A1:E60"/>
  <sheetViews>
    <sheetView workbookViewId="0">
      <selection activeCell="Q11" sqref="Q11"/>
    </sheetView>
  </sheetViews>
  <sheetFormatPr defaultRowHeight="15" x14ac:dyDescent="0.25"/>
  <cols>
    <col min="1" max="1" width="10.42578125" style="20" bestFit="1" customWidth="1"/>
    <col min="3" max="3" width="12" bestFit="1" customWidth="1"/>
  </cols>
  <sheetData>
    <row r="1" spans="1:5" x14ac:dyDescent="0.25">
      <c r="A1" s="20" t="s">
        <v>45</v>
      </c>
      <c r="B1" t="s">
        <v>48</v>
      </c>
      <c r="C1" t="s">
        <v>49</v>
      </c>
      <c r="D1" t="s">
        <v>50</v>
      </c>
      <c r="E1" t="s">
        <v>52</v>
      </c>
    </row>
    <row r="2" spans="1:5" x14ac:dyDescent="0.25">
      <c r="A2" s="20">
        <v>45712</v>
      </c>
      <c r="B2">
        <v>256.226</v>
      </c>
    </row>
    <row r="3" spans="1:5" x14ac:dyDescent="0.25">
      <c r="A3" s="20">
        <v>45719</v>
      </c>
      <c r="B3">
        <v>252.99600000000001</v>
      </c>
    </row>
    <row r="4" spans="1:5" x14ac:dyDescent="0.25">
      <c r="A4" s="20">
        <v>45726</v>
      </c>
      <c r="B4">
        <v>249.92599999999999</v>
      </c>
    </row>
    <row r="5" spans="1:5" x14ac:dyDescent="0.25">
      <c r="A5" s="20">
        <v>45733</v>
      </c>
      <c r="B5">
        <v>247.88</v>
      </c>
    </row>
    <row r="6" spans="1:5" x14ac:dyDescent="0.25">
      <c r="A6" s="20">
        <v>45740</v>
      </c>
      <c r="B6">
        <v>247.78</v>
      </c>
    </row>
    <row r="7" spans="1:5" x14ac:dyDescent="0.25">
      <c r="A7" s="20">
        <v>45747</v>
      </c>
      <c r="B7">
        <v>243.99</v>
      </c>
    </row>
    <row r="8" spans="1:5" x14ac:dyDescent="0.25">
      <c r="A8" s="20">
        <v>45754</v>
      </c>
      <c r="B8">
        <v>229.43</v>
      </c>
    </row>
    <row r="9" spans="1:5" x14ac:dyDescent="0.25">
      <c r="A9" s="20">
        <v>45761</v>
      </c>
      <c r="B9">
        <v>239.285</v>
      </c>
    </row>
    <row r="10" spans="1:5" x14ac:dyDescent="0.25">
      <c r="A10" s="20">
        <v>45768</v>
      </c>
      <c r="B10">
        <v>236.86799999999999</v>
      </c>
    </row>
    <row r="11" spans="1:5" x14ac:dyDescent="0.25">
      <c r="A11" s="20">
        <v>45775</v>
      </c>
      <c r="B11">
        <v>240.51599999999999</v>
      </c>
    </row>
    <row r="12" spans="1:5" x14ac:dyDescent="0.25">
      <c r="A12" s="20">
        <v>45782</v>
      </c>
      <c r="B12">
        <v>251.00200000000001</v>
      </c>
    </row>
    <row r="13" spans="1:5" x14ac:dyDescent="0.25">
      <c r="A13" s="20">
        <v>45789</v>
      </c>
      <c r="B13">
        <v>260.70799999999997</v>
      </c>
    </row>
    <row r="14" spans="1:5" x14ac:dyDescent="0.25">
      <c r="A14" s="20">
        <v>45796</v>
      </c>
      <c r="B14">
        <v>262.64600000000002</v>
      </c>
    </row>
    <row r="15" spans="1:5" x14ac:dyDescent="0.25">
      <c r="A15" s="20">
        <v>45803</v>
      </c>
      <c r="B15">
        <v>260.30500000000001</v>
      </c>
    </row>
    <row r="16" spans="1:5" x14ac:dyDescent="0.25">
      <c r="A16" s="20">
        <v>45810</v>
      </c>
      <c r="B16">
        <v>266.07</v>
      </c>
    </row>
    <row r="17" spans="1:2" x14ac:dyDescent="0.25">
      <c r="A17" s="20">
        <v>45817</v>
      </c>
      <c r="B17">
        <v>277.61799999999999</v>
      </c>
    </row>
    <row r="18" spans="1:2" x14ac:dyDescent="0.25">
      <c r="A18" s="20">
        <v>45824</v>
      </c>
      <c r="B18">
        <v>282.26499999999999</v>
      </c>
    </row>
    <row r="19" spans="1:2" x14ac:dyDescent="0.25">
      <c r="A19" s="20">
        <v>45831</v>
      </c>
      <c r="B19">
        <v>291.13200000000001</v>
      </c>
    </row>
    <row r="20" spans="1:2" x14ac:dyDescent="0.25">
      <c r="A20" s="20">
        <v>45838</v>
      </c>
      <c r="B20">
        <v>291.39999999999998</v>
      </c>
    </row>
    <row r="21" spans="1:2" x14ac:dyDescent="0.25">
      <c r="A21" s="20">
        <v>45845</v>
      </c>
      <c r="B21">
        <v>288.81</v>
      </c>
    </row>
    <row r="22" spans="1:2" x14ac:dyDescent="0.25">
      <c r="A22" s="20">
        <v>45852</v>
      </c>
      <c r="B22">
        <v>283.25600000000003</v>
      </c>
    </row>
    <row r="23" spans="1:2" x14ac:dyDescent="0.25">
      <c r="A23" s="20">
        <v>45859</v>
      </c>
      <c r="B23">
        <v>273.78199999999998</v>
      </c>
    </row>
    <row r="24" spans="1:2" x14ac:dyDescent="0.25">
      <c r="A24" s="20">
        <v>45866</v>
      </c>
      <c r="B24">
        <v>257.81600000000003</v>
      </c>
    </row>
    <row r="25" spans="1:2" x14ac:dyDescent="0.25">
      <c r="A25" s="20">
        <v>45873</v>
      </c>
      <c r="B25">
        <v>249.47200000000001</v>
      </c>
    </row>
    <row r="26" spans="1:2" x14ac:dyDescent="0.25">
      <c r="A26" s="20">
        <v>45880</v>
      </c>
      <c r="B26">
        <v>237.59399999999999</v>
      </c>
    </row>
    <row r="27" spans="1:2" x14ac:dyDescent="0.25">
      <c r="A27" s="20">
        <v>45887</v>
      </c>
      <c r="B27">
        <v>240.95400000000001</v>
      </c>
    </row>
    <row r="28" spans="1:2" x14ac:dyDescent="0.25">
      <c r="A28" s="20">
        <v>45894</v>
      </c>
      <c r="B28">
        <v>243.22399999999999</v>
      </c>
    </row>
    <row r="29" spans="1:2" x14ac:dyDescent="0.25">
      <c r="A29" s="20">
        <v>45901</v>
      </c>
      <c r="B29">
        <v>245.32749999999999</v>
      </c>
    </row>
    <row r="30" spans="1:2" x14ac:dyDescent="0.25">
      <c r="A30" s="20">
        <v>45908</v>
      </c>
      <c r="B30">
        <v>256.50599999999997</v>
      </c>
    </row>
    <row r="31" spans="1:2" x14ac:dyDescent="0.25">
      <c r="A31" s="20">
        <v>45915</v>
      </c>
      <c r="B31">
        <v>260.84800000000001</v>
      </c>
    </row>
    <row r="32" spans="1:2" x14ac:dyDescent="0.25">
      <c r="A32" s="20">
        <v>45922</v>
      </c>
      <c r="B32">
        <v>275.37799999999999</v>
      </c>
    </row>
    <row r="33" spans="1:2" x14ac:dyDescent="0.25">
      <c r="A33" s="20">
        <v>45929</v>
      </c>
      <c r="B33">
        <v>284.70800000000003</v>
      </c>
    </row>
    <row r="34" spans="1:2" x14ac:dyDescent="0.25">
      <c r="A34" s="20">
        <v>45936</v>
      </c>
      <c r="B34">
        <v>287.76</v>
      </c>
    </row>
    <row r="35" spans="1:2" x14ac:dyDescent="0.25">
      <c r="A35" s="20">
        <v>45943</v>
      </c>
      <c r="B35">
        <v>278.274</v>
      </c>
    </row>
    <row r="36" spans="1:2" x14ac:dyDescent="0.25">
      <c r="A36" s="20">
        <v>45950</v>
      </c>
      <c r="B36">
        <v>289.13400000000001</v>
      </c>
    </row>
    <row r="37" spans="1:2" x14ac:dyDescent="0.25">
      <c r="A37" s="20">
        <v>45957</v>
      </c>
      <c r="B37">
        <v>310.26799999999997</v>
      </c>
    </row>
    <row r="38" spans="1:2" x14ac:dyDescent="0.25">
      <c r="A38" s="20">
        <v>45964</v>
      </c>
      <c r="B38">
        <v>306.23</v>
      </c>
    </row>
    <row r="39" spans="1:2" x14ac:dyDescent="0.25">
      <c r="A39" s="20">
        <v>45971</v>
      </c>
      <c r="B39">
        <v>309.67599999999999</v>
      </c>
    </row>
    <row r="40" spans="1:2" x14ac:dyDescent="0.25">
      <c r="A40" s="20">
        <v>45978</v>
      </c>
      <c r="B40">
        <v>292.69799999999998</v>
      </c>
    </row>
    <row r="41" spans="1:2" x14ac:dyDescent="0.25">
      <c r="A41" s="20">
        <v>45985</v>
      </c>
      <c r="B41">
        <v>305.09749999999997</v>
      </c>
    </row>
    <row r="42" spans="1:2" x14ac:dyDescent="0.25">
      <c r="A42" s="20">
        <v>45992</v>
      </c>
      <c r="B42">
        <v>305.2</v>
      </c>
    </row>
    <row r="43" spans="1:2" x14ac:dyDescent="0.25">
      <c r="A43" s="20">
        <v>45999</v>
      </c>
      <c r="B43">
        <v>310.46199999999999</v>
      </c>
    </row>
    <row r="44" spans="1:2" x14ac:dyDescent="0.25">
      <c r="A44" s="20">
        <v>46006</v>
      </c>
      <c r="B44">
        <v>303.31799999999998</v>
      </c>
    </row>
    <row r="45" spans="1:2" x14ac:dyDescent="0.25">
      <c r="A45" s="20">
        <v>46013</v>
      </c>
      <c r="B45">
        <v>304.05500000000001</v>
      </c>
    </row>
    <row r="46" spans="1:2" x14ac:dyDescent="0.25">
      <c r="A46" s="20">
        <v>46020</v>
      </c>
      <c r="B46">
        <v>298.875</v>
      </c>
    </row>
    <row r="47" spans="1:2" x14ac:dyDescent="0.25">
      <c r="A47" s="20">
        <v>46027</v>
      </c>
      <c r="B47">
        <v>300.22200000000004</v>
      </c>
    </row>
    <row r="48" spans="1:2" x14ac:dyDescent="0.25">
      <c r="A48" s="20">
        <v>46034</v>
      </c>
      <c r="B48">
        <v>305.59800000000001</v>
      </c>
    </row>
    <row r="49" spans="1:5" x14ac:dyDescent="0.25">
      <c r="A49" s="20">
        <v>46041</v>
      </c>
      <c r="B49">
        <v>294</v>
      </c>
    </row>
    <row r="50" spans="1:5" x14ac:dyDescent="0.25">
      <c r="A50" s="20">
        <v>46048</v>
      </c>
      <c r="B50">
        <v>300.05799999999999</v>
      </c>
    </row>
    <row r="51" spans="1:5" x14ac:dyDescent="0.25">
      <c r="A51" s="20">
        <v>46055</v>
      </c>
      <c r="B51">
        <v>297.38200000000001</v>
      </c>
    </row>
    <row r="52" spans="1:5" x14ac:dyDescent="0.25">
      <c r="A52" s="20">
        <v>46062</v>
      </c>
      <c r="B52">
        <v>276.56200000000001</v>
      </c>
    </row>
    <row r="53" spans="1:5" ht="15.75" thickBot="1" x14ac:dyDescent="0.3">
      <c r="A53" s="20">
        <v>46069</v>
      </c>
      <c r="B53">
        <v>258.13499999999999</v>
      </c>
    </row>
    <row r="54" spans="1:5" ht="15.75" thickBot="1" x14ac:dyDescent="0.3">
      <c r="A54" s="20">
        <v>46076</v>
      </c>
      <c r="C54">
        <f>_xlfn.FORECAST.ETS(A54,B2:B53,A2:A53,1,1,1)</f>
        <v>259.28016934175702</v>
      </c>
      <c r="D54">
        <v>258.172431372549</v>
      </c>
      <c r="E54" s="27">
        <v>293.89432299999999</v>
      </c>
    </row>
    <row r="55" spans="1:5" ht="15.75" thickBot="1" x14ac:dyDescent="0.3">
      <c r="A55" s="20">
        <f>A54+7</f>
        <v>46083</v>
      </c>
      <c r="C55">
        <f t="shared" ref="C55:C60" si="0">_xlfn.FORECAST.ETS(A55,B3:B54,A3:A54,1,1,1)</f>
        <v>260.48176615384614</v>
      </c>
      <c r="D55">
        <v>258.20986274509801</v>
      </c>
      <c r="E55" s="27">
        <v>295.54001099999999</v>
      </c>
    </row>
    <row r="56" spans="1:5" ht="15.75" thickBot="1" x14ac:dyDescent="0.3">
      <c r="A56" s="20">
        <f t="shared" ref="A56:A60" si="1">A55+7</f>
        <v>46090</v>
      </c>
      <c r="C56">
        <f t="shared" si="0"/>
        <v>263.74082347724169</v>
      </c>
      <c r="D56">
        <v>258.24729411764702</v>
      </c>
      <c r="E56" s="27">
        <v>294.55079899999998</v>
      </c>
    </row>
    <row r="57" spans="1:5" ht="15.75" thickBot="1" x14ac:dyDescent="0.3">
      <c r="A57" s="20">
        <f t="shared" si="1"/>
        <v>46097</v>
      </c>
      <c r="C57">
        <f t="shared" si="0"/>
        <v>264.94564499200266</v>
      </c>
      <c r="D57">
        <v>258.28472549019602</v>
      </c>
      <c r="E57" s="27">
        <v>296.17662000000001</v>
      </c>
    </row>
    <row r="58" spans="1:5" ht="15.75" thickBot="1" x14ac:dyDescent="0.3">
      <c r="A58" s="20">
        <f t="shared" si="1"/>
        <v>46104</v>
      </c>
      <c r="C58">
        <f t="shared" si="0"/>
        <v>266.13721889229845</v>
      </c>
      <c r="D58">
        <v>258.32215686274498</v>
      </c>
      <c r="E58" s="27">
        <v>298.93551000000002</v>
      </c>
    </row>
    <row r="59" spans="1:5" ht="15.75" thickBot="1" x14ac:dyDescent="0.3">
      <c r="A59" s="20">
        <f t="shared" si="1"/>
        <v>46111</v>
      </c>
      <c r="C59">
        <f t="shared" si="0"/>
        <v>267.34967244474058</v>
      </c>
      <c r="D59">
        <v>258.35958823529398</v>
      </c>
      <c r="E59" s="27">
        <v>299.30570699999998</v>
      </c>
    </row>
    <row r="60" spans="1:5" ht="15.75" thickBot="1" x14ac:dyDescent="0.3">
      <c r="A60" s="20">
        <f t="shared" si="1"/>
        <v>46118</v>
      </c>
      <c r="C60">
        <f t="shared" si="0"/>
        <v>266.56641430773982</v>
      </c>
      <c r="D60">
        <v>258.39701960784299</v>
      </c>
      <c r="E60" s="27">
        <v>289.75353100000001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E5F7-0882-4256-A946-ABE807B776C8}">
  <dimension ref="A1:B106"/>
  <sheetViews>
    <sheetView workbookViewId="0">
      <selection activeCell="E10" sqref="E10"/>
    </sheetView>
  </sheetViews>
  <sheetFormatPr defaultRowHeight="15" x14ac:dyDescent="0.25"/>
  <cols>
    <col min="1" max="1" width="20.7109375" style="22" customWidth="1"/>
    <col min="2" max="2" width="10.140625" bestFit="1" customWidth="1"/>
  </cols>
  <sheetData>
    <row r="1" spans="1:2" ht="15.75" thickBot="1" x14ac:dyDescent="0.3">
      <c r="A1" s="24" t="s">
        <v>46</v>
      </c>
      <c r="B1" s="24" t="s">
        <v>47</v>
      </c>
    </row>
    <row r="2" spans="1:2" ht="15.75" thickBot="1" x14ac:dyDescent="0.3">
      <c r="A2" s="25">
        <v>36564</v>
      </c>
      <c r="B2" s="26">
        <v>0.11</v>
      </c>
    </row>
    <row r="3" spans="1:2" ht="15.75" thickBot="1" x14ac:dyDescent="0.3">
      <c r="A3" s="25">
        <v>36654</v>
      </c>
      <c r="B3" s="26">
        <v>0.12</v>
      </c>
    </row>
    <row r="4" spans="1:2" ht="15.75" thickBot="1" x14ac:dyDescent="0.3">
      <c r="A4" s="25">
        <v>36746</v>
      </c>
      <c r="B4" s="26">
        <v>0.12</v>
      </c>
    </row>
    <row r="5" spans="1:2" ht="15.75" thickBot="1" x14ac:dyDescent="0.3">
      <c r="A5" s="25">
        <v>36838</v>
      </c>
      <c r="B5" s="26">
        <v>0.12</v>
      </c>
    </row>
    <row r="6" spans="1:2" ht="15.75" thickBot="1" x14ac:dyDescent="0.3">
      <c r="A6" s="25">
        <v>36929</v>
      </c>
      <c r="B6" s="26">
        <v>0.12</v>
      </c>
    </row>
    <row r="7" spans="1:2" ht="15.75" thickBot="1" x14ac:dyDescent="0.3">
      <c r="A7" s="25">
        <v>37019</v>
      </c>
      <c r="B7" s="26">
        <v>0.13</v>
      </c>
    </row>
    <row r="8" spans="1:2" ht="15.75" thickBot="1" x14ac:dyDescent="0.3">
      <c r="A8" s="25">
        <v>37111</v>
      </c>
      <c r="B8" s="26">
        <v>0.13</v>
      </c>
    </row>
    <row r="9" spans="1:2" ht="15.75" thickBot="1" x14ac:dyDescent="0.3">
      <c r="A9" s="25">
        <v>37202</v>
      </c>
      <c r="B9" s="26">
        <v>0.13</v>
      </c>
    </row>
    <row r="10" spans="1:2" ht="15.75" thickBot="1" x14ac:dyDescent="0.3">
      <c r="A10" s="25">
        <v>37293</v>
      </c>
      <c r="B10" s="26">
        <v>0.13</v>
      </c>
    </row>
    <row r="11" spans="1:2" ht="15.75" thickBot="1" x14ac:dyDescent="0.3">
      <c r="A11" s="25">
        <v>37384</v>
      </c>
      <c r="B11" s="26">
        <v>0.14000000000000001</v>
      </c>
    </row>
    <row r="12" spans="1:2" ht="15.75" thickBot="1" x14ac:dyDescent="0.3">
      <c r="A12" s="25">
        <v>37475</v>
      </c>
      <c r="B12" s="26">
        <v>0.14000000000000001</v>
      </c>
    </row>
    <row r="13" spans="1:2" ht="15.75" thickBot="1" x14ac:dyDescent="0.3">
      <c r="A13" s="25">
        <v>37566</v>
      </c>
      <c r="B13" s="26">
        <v>0.14000000000000001</v>
      </c>
    </row>
    <row r="14" spans="1:2" ht="15.75" thickBot="1" x14ac:dyDescent="0.3">
      <c r="A14" s="25">
        <v>37658</v>
      </c>
      <c r="B14" s="26">
        <v>0.14000000000000001</v>
      </c>
    </row>
    <row r="15" spans="1:2" ht="15.75" thickBot="1" x14ac:dyDescent="0.3">
      <c r="A15" s="25">
        <v>37748</v>
      </c>
      <c r="B15" s="26">
        <v>0.15</v>
      </c>
    </row>
    <row r="16" spans="1:2" ht="15.75" thickBot="1" x14ac:dyDescent="0.3">
      <c r="A16" s="25">
        <v>37839</v>
      </c>
      <c r="B16" s="26">
        <v>0.15</v>
      </c>
    </row>
    <row r="17" spans="1:2" ht="15.75" thickBot="1" x14ac:dyDescent="0.3">
      <c r="A17" s="25">
        <v>37931</v>
      </c>
      <c r="B17" s="26">
        <v>0.15</v>
      </c>
    </row>
    <row r="18" spans="1:2" ht="15.75" thickBot="1" x14ac:dyDescent="0.3">
      <c r="A18" s="25">
        <v>38023</v>
      </c>
      <c r="B18" s="26">
        <v>0.15</v>
      </c>
    </row>
    <row r="19" spans="1:2" ht="15.75" thickBot="1" x14ac:dyDescent="0.3">
      <c r="A19" s="25">
        <v>38113</v>
      </c>
      <c r="B19" s="26">
        <v>0.17</v>
      </c>
    </row>
    <row r="20" spans="1:2" ht="15.75" thickBot="1" x14ac:dyDescent="0.3">
      <c r="A20" s="25">
        <v>38205</v>
      </c>
      <c r="B20" s="26">
        <v>0.17</v>
      </c>
    </row>
    <row r="21" spans="1:2" ht="15.75" thickBot="1" x14ac:dyDescent="0.3">
      <c r="A21" s="25">
        <v>38299</v>
      </c>
      <c r="B21" s="26">
        <v>0.17</v>
      </c>
    </row>
    <row r="22" spans="1:2" ht="15.75" thickBot="1" x14ac:dyDescent="0.3">
      <c r="A22" s="25">
        <v>38391</v>
      </c>
      <c r="B22" s="26">
        <v>0.17</v>
      </c>
    </row>
    <row r="23" spans="1:2" ht="15.75" thickBot="1" x14ac:dyDescent="0.3">
      <c r="A23" s="25">
        <v>38478</v>
      </c>
      <c r="B23" s="26">
        <v>0.19</v>
      </c>
    </row>
    <row r="24" spans="1:2" ht="15.75" thickBot="1" x14ac:dyDescent="0.3">
      <c r="A24" s="25">
        <v>38572</v>
      </c>
      <c r="B24" s="26">
        <v>0.19</v>
      </c>
    </row>
    <row r="25" spans="1:2" ht="15.75" thickBot="1" x14ac:dyDescent="0.3">
      <c r="A25" s="25">
        <v>38664</v>
      </c>
      <c r="B25" s="26">
        <v>0.19</v>
      </c>
    </row>
    <row r="26" spans="1:2" ht="15.75" thickBot="1" x14ac:dyDescent="0.3">
      <c r="A26" s="25">
        <v>38756</v>
      </c>
      <c r="B26" s="26">
        <v>0.19</v>
      </c>
    </row>
    <row r="27" spans="1:2" ht="15.75" thickBot="1" x14ac:dyDescent="0.3">
      <c r="A27" s="25">
        <v>38845</v>
      </c>
      <c r="B27" s="26">
        <v>0.28999999999999998</v>
      </c>
    </row>
    <row r="28" spans="1:2" ht="15.75" thickBot="1" x14ac:dyDescent="0.3">
      <c r="A28" s="25">
        <v>38937</v>
      </c>
      <c r="B28" s="26">
        <v>0.28999999999999998</v>
      </c>
    </row>
    <row r="29" spans="1:2" ht="15.75" thickBot="1" x14ac:dyDescent="0.3">
      <c r="A29" s="25">
        <v>39029</v>
      </c>
      <c r="B29" s="26">
        <v>0.28999999999999998</v>
      </c>
    </row>
    <row r="30" spans="1:2" ht="15.75" thickBot="1" x14ac:dyDescent="0.3">
      <c r="A30" s="25">
        <v>39120</v>
      </c>
      <c r="B30" s="26">
        <v>0.28999999999999998</v>
      </c>
    </row>
    <row r="31" spans="1:2" ht="15.75" thickBot="1" x14ac:dyDescent="0.3">
      <c r="A31" s="25">
        <v>39210</v>
      </c>
      <c r="B31" s="26">
        <v>0.38</v>
      </c>
    </row>
    <row r="32" spans="1:2" ht="15.75" thickBot="1" x14ac:dyDescent="0.3">
      <c r="A32" s="25">
        <v>39302</v>
      </c>
      <c r="B32" s="26">
        <v>0.38</v>
      </c>
    </row>
    <row r="33" spans="1:2" ht="15.75" thickBot="1" x14ac:dyDescent="0.3">
      <c r="A33" s="25">
        <v>39393</v>
      </c>
      <c r="B33" s="26">
        <v>0.38</v>
      </c>
    </row>
    <row r="34" spans="1:2" ht="15.75" thickBot="1" x14ac:dyDescent="0.3">
      <c r="A34" s="25">
        <v>39484</v>
      </c>
      <c r="B34" s="26">
        <v>0.38</v>
      </c>
    </row>
    <row r="35" spans="1:2" ht="15.75" thickBot="1" x14ac:dyDescent="0.3">
      <c r="A35" s="25">
        <v>39575</v>
      </c>
      <c r="B35" s="26">
        <v>0.48</v>
      </c>
    </row>
    <row r="36" spans="1:2" ht="15.75" thickBot="1" x14ac:dyDescent="0.3">
      <c r="A36" s="25">
        <v>39666</v>
      </c>
      <c r="B36" s="26">
        <v>0.48</v>
      </c>
    </row>
    <row r="37" spans="1:2" ht="15.75" thickBot="1" x14ac:dyDescent="0.3">
      <c r="A37" s="25">
        <v>39758</v>
      </c>
      <c r="B37" s="26">
        <v>0.48</v>
      </c>
    </row>
    <row r="38" spans="1:2" ht="15.75" thickBot="1" x14ac:dyDescent="0.3">
      <c r="A38" s="25">
        <v>39850</v>
      </c>
      <c r="B38" s="26">
        <v>0.48</v>
      </c>
    </row>
    <row r="39" spans="1:2" ht="15.75" thickBot="1" x14ac:dyDescent="0.3">
      <c r="A39" s="25">
        <v>39939</v>
      </c>
      <c r="B39" s="26">
        <v>0.53</v>
      </c>
    </row>
    <row r="40" spans="1:2" ht="15.75" thickBot="1" x14ac:dyDescent="0.3">
      <c r="A40" s="25">
        <v>40031</v>
      </c>
      <c r="B40" s="26">
        <v>0.53</v>
      </c>
    </row>
    <row r="41" spans="1:2" ht="15.75" thickBot="1" x14ac:dyDescent="0.3">
      <c r="A41" s="25">
        <v>40123</v>
      </c>
      <c r="B41" s="26">
        <v>0.53</v>
      </c>
    </row>
    <row r="42" spans="1:2" ht="15.75" thickBot="1" x14ac:dyDescent="0.3">
      <c r="A42" s="25">
        <v>40217</v>
      </c>
      <c r="B42" s="26">
        <v>0.53</v>
      </c>
    </row>
    <row r="43" spans="1:2" ht="15.75" thickBot="1" x14ac:dyDescent="0.3">
      <c r="A43" s="25">
        <v>40304</v>
      </c>
      <c r="B43" s="26">
        <v>0.62</v>
      </c>
    </row>
    <row r="44" spans="1:2" ht="15.75" thickBot="1" x14ac:dyDescent="0.3">
      <c r="A44" s="25">
        <v>40396</v>
      </c>
      <c r="B44" s="26">
        <v>0.62</v>
      </c>
    </row>
    <row r="45" spans="1:2" ht="15.75" thickBot="1" x14ac:dyDescent="0.3">
      <c r="A45" s="25">
        <v>40490</v>
      </c>
      <c r="B45" s="26">
        <v>0.62</v>
      </c>
    </row>
    <row r="46" spans="1:2" ht="15.75" thickBot="1" x14ac:dyDescent="0.3">
      <c r="A46" s="25">
        <v>40582</v>
      </c>
      <c r="B46" s="26">
        <v>0.62</v>
      </c>
    </row>
    <row r="47" spans="1:2" ht="15.75" thickBot="1" x14ac:dyDescent="0.3">
      <c r="A47" s="25">
        <v>40669</v>
      </c>
      <c r="B47" s="26">
        <v>0.72</v>
      </c>
    </row>
    <row r="48" spans="1:2" ht="15.75" thickBot="1" x14ac:dyDescent="0.3">
      <c r="A48" s="25">
        <v>40763</v>
      </c>
      <c r="B48" s="26">
        <v>0.72</v>
      </c>
    </row>
    <row r="49" spans="1:2" ht="15.75" thickBot="1" x14ac:dyDescent="0.3">
      <c r="A49" s="25">
        <v>40855</v>
      </c>
      <c r="B49" s="26">
        <v>0.72</v>
      </c>
    </row>
    <row r="50" spans="1:2" ht="15.75" thickBot="1" x14ac:dyDescent="0.3">
      <c r="A50" s="25">
        <v>40947</v>
      </c>
      <c r="B50" s="26">
        <v>0.72</v>
      </c>
    </row>
    <row r="51" spans="1:2" ht="15.75" thickBot="1" x14ac:dyDescent="0.3">
      <c r="A51" s="25">
        <v>41037</v>
      </c>
      <c r="B51" s="26">
        <v>0.81</v>
      </c>
    </row>
    <row r="52" spans="1:2" ht="15.75" thickBot="1" x14ac:dyDescent="0.3">
      <c r="A52" s="25">
        <v>41129</v>
      </c>
      <c r="B52" s="26">
        <v>0.81</v>
      </c>
    </row>
    <row r="53" spans="1:2" ht="15.75" thickBot="1" x14ac:dyDescent="0.3">
      <c r="A53" s="25">
        <v>41220</v>
      </c>
      <c r="B53" s="26">
        <v>0.81</v>
      </c>
    </row>
    <row r="54" spans="1:2" ht="15.75" thickBot="1" x14ac:dyDescent="0.3">
      <c r="A54" s="25">
        <v>41311</v>
      </c>
      <c r="B54" s="26">
        <v>0.81</v>
      </c>
    </row>
    <row r="55" spans="1:2" ht="15.75" thickBot="1" x14ac:dyDescent="0.3">
      <c r="A55" s="25">
        <v>41402</v>
      </c>
      <c r="B55" s="26">
        <v>0.91</v>
      </c>
    </row>
    <row r="56" spans="1:2" ht="15.75" thickBot="1" x14ac:dyDescent="0.3">
      <c r="A56" s="25">
        <v>41493</v>
      </c>
      <c r="B56" s="26">
        <v>0.91</v>
      </c>
    </row>
    <row r="57" spans="1:2" ht="15.75" thickBot="1" x14ac:dyDescent="0.3">
      <c r="A57" s="25">
        <v>41584</v>
      </c>
      <c r="B57" s="26">
        <v>0.91</v>
      </c>
    </row>
    <row r="58" spans="1:2" ht="15.75" thickBot="1" x14ac:dyDescent="0.3">
      <c r="A58" s="25">
        <v>41676</v>
      </c>
      <c r="B58" s="26">
        <v>0.91</v>
      </c>
    </row>
    <row r="59" spans="1:2" ht="15.75" thickBot="1" x14ac:dyDescent="0.3">
      <c r="A59" s="25">
        <v>41766</v>
      </c>
      <c r="B59" s="26">
        <v>1.05</v>
      </c>
    </row>
    <row r="60" spans="1:2" ht="15.75" thickBot="1" x14ac:dyDescent="0.3">
      <c r="A60" s="25">
        <v>41857</v>
      </c>
      <c r="B60" s="26">
        <v>1.05</v>
      </c>
    </row>
    <row r="61" spans="1:2" ht="15.75" thickBot="1" x14ac:dyDescent="0.3">
      <c r="A61" s="25">
        <v>41949</v>
      </c>
      <c r="B61" s="26">
        <v>1.05</v>
      </c>
    </row>
    <row r="62" spans="1:2" ht="15.75" thickBot="1" x14ac:dyDescent="0.3">
      <c r="A62" s="25">
        <v>42041</v>
      </c>
      <c r="B62" s="26">
        <v>1.05</v>
      </c>
    </row>
    <row r="63" spans="1:2" ht="15.75" thickBot="1" x14ac:dyDescent="0.3">
      <c r="A63" s="25">
        <v>42130</v>
      </c>
      <c r="B63" s="26">
        <v>1.24</v>
      </c>
    </row>
    <row r="64" spans="1:2" ht="15.75" thickBot="1" x14ac:dyDescent="0.3">
      <c r="A64" s="25">
        <v>42222</v>
      </c>
      <c r="B64" s="26">
        <v>1.24</v>
      </c>
    </row>
    <row r="65" spans="1:2" ht="15.75" thickBot="1" x14ac:dyDescent="0.3">
      <c r="A65" s="25">
        <v>42314</v>
      </c>
      <c r="B65" s="26">
        <v>1.24</v>
      </c>
    </row>
    <row r="66" spans="1:2" ht="15.75" thickBot="1" x14ac:dyDescent="0.3">
      <c r="A66" s="25">
        <v>42408</v>
      </c>
      <c r="B66" s="26">
        <v>1.24</v>
      </c>
    </row>
    <row r="67" spans="1:2" ht="15.75" thickBot="1" x14ac:dyDescent="0.3">
      <c r="A67" s="25">
        <v>42496</v>
      </c>
      <c r="B67" s="26">
        <v>1.34</v>
      </c>
    </row>
    <row r="68" spans="1:2" ht="15.75" thickBot="1" x14ac:dyDescent="0.3">
      <c r="A68" s="25">
        <v>42590</v>
      </c>
      <c r="B68" s="26">
        <v>1.34</v>
      </c>
    </row>
    <row r="69" spans="1:2" ht="15.75" thickBot="1" x14ac:dyDescent="0.3">
      <c r="A69" s="25">
        <v>42682</v>
      </c>
      <c r="B69" s="26">
        <v>1.34</v>
      </c>
    </row>
    <row r="70" spans="1:2" ht="15.75" thickBot="1" x14ac:dyDescent="0.3">
      <c r="A70" s="25">
        <v>42774</v>
      </c>
      <c r="B70" s="26">
        <v>1.34</v>
      </c>
    </row>
    <row r="71" spans="1:2" ht="15.75" thickBot="1" x14ac:dyDescent="0.3">
      <c r="A71" s="25">
        <v>42863</v>
      </c>
      <c r="B71" s="26">
        <v>1.43</v>
      </c>
    </row>
    <row r="72" spans="1:2" ht="15.75" thickBot="1" x14ac:dyDescent="0.3">
      <c r="A72" s="25">
        <v>42955</v>
      </c>
      <c r="B72" s="26">
        <v>1.43</v>
      </c>
    </row>
    <row r="73" spans="1:2" ht="15.75" thickBot="1" x14ac:dyDescent="0.3">
      <c r="A73" s="25">
        <v>43048</v>
      </c>
      <c r="B73" s="26">
        <v>1.43</v>
      </c>
    </row>
    <row r="74" spans="1:2" ht="15.75" thickBot="1" x14ac:dyDescent="0.3">
      <c r="A74" s="25">
        <v>43139</v>
      </c>
      <c r="B74" s="26">
        <v>1.43</v>
      </c>
    </row>
    <row r="75" spans="1:2" ht="15.75" thickBot="1" x14ac:dyDescent="0.3">
      <c r="A75" s="25">
        <v>43229</v>
      </c>
      <c r="B75" s="26">
        <v>1.5</v>
      </c>
    </row>
    <row r="76" spans="1:2" ht="15.75" thickBot="1" x14ac:dyDescent="0.3">
      <c r="A76" s="25">
        <v>43321</v>
      </c>
      <c r="B76" s="26">
        <v>1.5</v>
      </c>
    </row>
    <row r="77" spans="1:2" ht="15.75" thickBot="1" x14ac:dyDescent="0.3">
      <c r="A77" s="25">
        <v>43412</v>
      </c>
      <c r="B77" s="26">
        <v>1.5</v>
      </c>
    </row>
    <row r="78" spans="1:2" ht="15.75" thickBot="1" x14ac:dyDescent="0.3">
      <c r="A78" s="25">
        <v>43503</v>
      </c>
      <c r="B78" s="26">
        <v>1.5</v>
      </c>
    </row>
    <row r="79" spans="1:2" ht="15.75" thickBot="1" x14ac:dyDescent="0.3">
      <c r="A79" s="25">
        <v>43594</v>
      </c>
      <c r="B79" s="26">
        <v>1.55</v>
      </c>
    </row>
    <row r="80" spans="1:2" ht="15.75" thickBot="1" x14ac:dyDescent="0.3">
      <c r="A80" s="25">
        <v>43685</v>
      </c>
      <c r="B80" s="26">
        <v>1.55</v>
      </c>
    </row>
    <row r="81" spans="1:2" ht="15.75" thickBot="1" x14ac:dyDescent="0.3">
      <c r="A81" s="25">
        <v>43776</v>
      </c>
      <c r="B81" s="26">
        <v>1.55</v>
      </c>
    </row>
    <row r="82" spans="1:2" ht="15.75" thickBot="1" x14ac:dyDescent="0.3">
      <c r="A82" s="25">
        <v>43868</v>
      </c>
      <c r="B82" s="26">
        <v>1.55</v>
      </c>
    </row>
    <row r="83" spans="1:2" ht="15.75" thickBot="1" x14ac:dyDescent="0.3">
      <c r="A83" s="25">
        <v>43958</v>
      </c>
      <c r="B83" s="26">
        <v>1.56</v>
      </c>
    </row>
    <row r="84" spans="1:2" ht="15.75" thickBot="1" x14ac:dyDescent="0.3">
      <c r="A84" s="25">
        <v>44050</v>
      </c>
      <c r="B84" s="26">
        <v>1.56</v>
      </c>
    </row>
    <row r="85" spans="1:2" ht="15.75" thickBot="1" x14ac:dyDescent="0.3">
      <c r="A85" s="25">
        <v>44144</v>
      </c>
      <c r="B85" s="26">
        <v>1.56</v>
      </c>
    </row>
    <row r="86" spans="1:2" ht="15.75" thickBot="1" x14ac:dyDescent="0.3">
      <c r="A86" s="25">
        <v>44236</v>
      </c>
      <c r="B86" s="26">
        <v>1.56</v>
      </c>
    </row>
    <row r="87" spans="1:2" ht="15.75" thickBot="1" x14ac:dyDescent="0.3">
      <c r="A87" s="25">
        <v>44323</v>
      </c>
      <c r="B87" s="26">
        <v>1.57</v>
      </c>
    </row>
    <row r="88" spans="1:2" ht="15.75" thickBot="1" x14ac:dyDescent="0.3">
      <c r="A88" s="25">
        <v>44417</v>
      </c>
      <c r="B88" s="26">
        <v>1.57</v>
      </c>
    </row>
    <row r="89" spans="1:2" ht="15.75" thickBot="1" x14ac:dyDescent="0.3">
      <c r="A89" s="25">
        <v>44509</v>
      </c>
      <c r="B89" s="26">
        <v>1.64</v>
      </c>
    </row>
    <row r="90" spans="1:2" ht="15.75" thickBot="1" x14ac:dyDescent="0.3">
      <c r="A90" s="25">
        <v>44602</v>
      </c>
      <c r="B90" s="26">
        <v>1.64</v>
      </c>
    </row>
    <row r="91" spans="1:2" ht="15.75" thickBot="1" x14ac:dyDescent="0.3">
      <c r="A91" s="25">
        <v>44690</v>
      </c>
      <c r="B91" s="26">
        <v>1.65</v>
      </c>
    </row>
    <row r="92" spans="1:2" ht="15.75" thickBot="1" x14ac:dyDescent="0.3">
      <c r="A92" s="25">
        <v>44782</v>
      </c>
      <c r="B92" s="26">
        <v>1.65</v>
      </c>
    </row>
    <row r="93" spans="1:2" ht="15.75" thickBot="1" x14ac:dyDescent="0.3">
      <c r="A93" s="25">
        <v>44874</v>
      </c>
      <c r="B93" s="26">
        <v>1.65</v>
      </c>
    </row>
    <row r="94" spans="1:2" ht="15.75" thickBot="1" x14ac:dyDescent="0.3">
      <c r="A94" s="25">
        <v>44966</v>
      </c>
      <c r="B94" s="26">
        <v>1.65</v>
      </c>
    </row>
    <row r="95" spans="1:2" ht="15.75" thickBot="1" x14ac:dyDescent="0.3">
      <c r="A95" s="25">
        <v>45055</v>
      </c>
      <c r="B95" s="26">
        <v>1.66</v>
      </c>
    </row>
    <row r="96" spans="1:2" ht="15.75" thickBot="1" x14ac:dyDescent="0.3">
      <c r="A96" s="25">
        <v>45147</v>
      </c>
      <c r="B96" s="26">
        <v>1.66</v>
      </c>
    </row>
    <row r="97" spans="1:2" ht="15.75" thickBot="1" x14ac:dyDescent="0.3">
      <c r="A97" s="25">
        <v>45239</v>
      </c>
      <c r="B97" s="26">
        <v>1.66</v>
      </c>
    </row>
    <row r="98" spans="1:2" ht="15.75" thickBot="1" x14ac:dyDescent="0.3">
      <c r="A98" s="25">
        <v>45330</v>
      </c>
      <c r="B98" s="26">
        <v>1.66</v>
      </c>
    </row>
    <row r="99" spans="1:2" ht="15.75" thickBot="1" x14ac:dyDescent="0.3">
      <c r="A99" s="25">
        <v>45421</v>
      </c>
      <c r="B99" s="26">
        <v>1.67</v>
      </c>
    </row>
    <row r="100" spans="1:2" ht="15.75" thickBot="1" x14ac:dyDescent="0.3">
      <c r="A100" s="25">
        <v>45513</v>
      </c>
      <c r="B100" s="26">
        <v>1.67</v>
      </c>
    </row>
    <row r="101" spans="1:2" ht="15.75" thickBot="1" x14ac:dyDescent="0.3">
      <c r="A101" s="25">
        <v>45608</v>
      </c>
      <c r="B101" s="26">
        <v>1.67</v>
      </c>
    </row>
    <row r="102" spans="1:2" ht="15.75" thickBot="1" x14ac:dyDescent="0.3">
      <c r="A102" s="25">
        <v>45698</v>
      </c>
      <c r="B102" s="26">
        <v>1.67</v>
      </c>
    </row>
    <row r="103" spans="1:2" ht="15.75" thickBot="1" x14ac:dyDescent="0.3">
      <c r="A103" s="25">
        <v>45786</v>
      </c>
      <c r="B103" s="26">
        <v>1.68</v>
      </c>
    </row>
    <row r="104" spans="1:2" ht="15.75" thickBot="1" x14ac:dyDescent="0.3">
      <c r="A104" s="25">
        <v>45877</v>
      </c>
      <c r="B104" s="26">
        <v>1.68</v>
      </c>
    </row>
    <row r="105" spans="1:2" ht="15.75" thickBot="1" x14ac:dyDescent="0.3">
      <c r="A105" s="25">
        <v>45971</v>
      </c>
      <c r="B105" s="26">
        <v>1.68</v>
      </c>
    </row>
    <row r="106" spans="1:2" x14ac:dyDescent="0.25">
      <c r="A106" s="22">
        <v>45975</v>
      </c>
      <c r="B106">
        <v>1.03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Dashboard</vt:lpstr>
      <vt:lpstr>Data</vt:lpstr>
      <vt:lpstr>Weekly (2)</vt:lpstr>
      <vt:lpstr>Forecast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2026-02-24T23:58:07Z</dcterms:modified>
</cp:coreProperties>
</file>