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84044462-D9FF-4759-A1D6-6887BADCAF6D}" xr6:coauthVersionLast="47" xr6:coauthVersionMax="47" xr10:uidLastSave="{00000000-0000-0000-0000-000000000000}"/>
  <bookViews>
    <workbookView xWindow="-120" yWindow="-120" windowWidth="20730" windowHeight="11040" firstSheet="1" activeTab="1" xr2:uid="{92AFEA67-FCE1-458C-9A7E-ADF426D7B024}"/>
  </bookViews>
  <sheets>
    <sheet name="Intro" sheetId="10" r:id="rId1"/>
    <sheet name="Dashboard" sheetId="7" r:id="rId2"/>
    <sheet name="Data" sheetId="1" r:id="rId3"/>
    <sheet name="Dividends" sheetId="18" r:id="rId4"/>
    <sheet name="Forecast" sheetId="33" r:id="rId5"/>
    <sheet name="Weekly" sheetId="31" r:id="rId6"/>
  </sheets>
  <definedNames>
    <definedName name="data">Data!$1:$1048576</definedName>
    <definedName name="ExternalData_1" localSheetId="4" hidden="1">Forecast!$A$1:$B$54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33" l="1"/>
  <c r="J57" i="33"/>
  <c r="J58" i="33"/>
  <c r="J59" i="33"/>
  <c r="J55" i="33"/>
  <c r="I56" i="33"/>
  <c r="I57" i="33"/>
  <c r="I58" i="33"/>
  <c r="I59" i="33"/>
  <c r="I55" i="33"/>
  <c r="Y252" i="1"/>
  <c r="H59" i="33"/>
  <c r="H56" i="33"/>
  <c r="H58" i="33"/>
  <c r="H57" i="33"/>
  <c r="H55" i="33"/>
  <c r="G57" i="33"/>
  <c r="G58" i="33"/>
  <c r="G59" i="33"/>
  <c r="G56" i="33"/>
  <c r="G55" i="33"/>
  <c r="B1" i="1" a="1"/>
  <c r="E3" i="1" l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E115" i="1"/>
  <c r="E123" i="1"/>
  <c r="E131" i="1"/>
  <c r="E139" i="1"/>
  <c r="E147" i="1"/>
  <c r="E155" i="1"/>
  <c r="E163" i="1"/>
  <c r="E171" i="1"/>
  <c r="E179" i="1"/>
  <c r="E187" i="1"/>
  <c r="E195" i="1"/>
  <c r="E203" i="1"/>
  <c r="E211" i="1"/>
  <c r="E219" i="1"/>
  <c r="E227" i="1"/>
  <c r="E235" i="1"/>
  <c r="E243" i="1"/>
  <c r="E251" i="1"/>
  <c r="E185" i="1"/>
  <c r="E217" i="1"/>
  <c r="E34" i="1"/>
  <c r="E82" i="1"/>
  <c r="E130" i="1"/>
  <c r="E186" i="1"/>
  <c r="E226" i="1"/>
  <c r="E4" i="1"/>
  <c r="E12" i="1"/>
  <c r="E20" i="1"/>
  <c r="E28" i="1"/>
  <c r="E36" i="1"/>
  <c r="E44" i="1"/>
  <c r="E52" i="1"/>
  <c r="E60" i="1"/>
  <c r="E68" i="1"/>
  <c r="E76" i="1"/>
  <c r="E84" i="1"/>
  <c r="E92" i="1"/>
  <c r="E100" i="1"/>
  <c r="E108" i="1"/>
  <c r="E116" i="1"/>
  <c r="E124" i="1"/>
  <c r="E132" i="1"/>
  <c r="E140" i="1"/>
  <c r="E148" i="1"/>
  <c r="E156" i="1"/>
  <c r="E164" i="1"/>
  <c r="E172" i="1"/>
  <c r="E180" i="1"/>
  <c r="E188" i="1"/>
  <c r="E196" i="1"/>
  <c r="E204" i="1"/>
  <c r="E212" i="1"/>
  <c r="E220" i="1"/>
  <c r="E228" i="1"/>
  <c r="E236" i="1"/>
  <c r="E244" i="1"/>
  <c r="E252" i="1"/>
  <c r="E169" i="1"/>
  <c r="E241" i="1"/>
  <c r="E50" i="1"/>
  <c r="E106" i="1"/>
  <c r="E178" i="1"/>
  <c r="E234" i="1"/>
  <c r="E5" i="1"/>
  <c r="E13" i="1"/>
  <c r="E21" i="1"/>
  <c r="E29" i="1"/>
  <c r="E37" i="1"/>
  <c r="E45" i="1"/>
  <c r="E53" i="1"/>
  <c r="E61" i="1"/>
  <c r="E69" i="1"/>
  <c r="E77" i="1"/>
  <c r="E85" i="1"/>
  <c r="E93" i="1"/>
  <c r="E101" i="1"/>
  <c r="E109" i="1"/>
  <c r="E117" i="1"/>
  <c r="E125" i="1"/>
  <c r="E133" i="1"/>
  <c r="E141" i="1"/>
  <c r="E149" i="1"/>
  <c r="E157" i="1"/>
  <c r="E165" i="1"/>
  <c r="E173" i="1"/>
  <c r="E181" i="1"/>
  <c r="E189" i="1"/>
  <c r="E197" i="1"/>
  <c r="E205" i="1"/>
  <c r="E213" i="1"/>
  <c r="E221" i="1"/>
  <c r="E229" i="1"/>
  <c r="E237" i="1"/>
  <c r="E245" i="1"/>
  <c r="E136" i="1"/>
  <c r="E176" i="1"/>
  <c r="E200" i="1"/>
  <c r="E224" i="1"/>
  <c r="E240" i="1"/>
  <c r="E97" i="1"/>
  <c r="E129" i="1"/>
  <c r="E153" i="1"/>
  <c r="E193" i="1"/>
  <c r="E249" i="1"/>
  <c r="E18" i="1"/>
  <c r="E58" i="1"/>
  <c r="E90" i="1"/>
  <c r="E138" i="1"/>
  <c r="E162" i="1"/>
  <c r="E210" i="1"/>
  <c r="E6" i="1"/>
  <c r="E14" i="1"/>
  <c r="E22" i="1"/>
  <c r="E30" i="1"/>
  <c r="E38" i="1"/>
  <c r="E46" i="1"/>
  <c r="E54" i="1"/>
  <c r="E62" i="1"/>
  <c r="E70" i="1"/>
  <c r="E78" i="1"/>
  <c r="E86" i="1"/>
  <c r="E94" i="1"/>
  <c r="E102" i="1"/>
  <c r="E110" i="1"/>
  <c r="E118" i="1"/>
  <c r="E126" i="1"/>
  <c r="E134" i="1"/>
  <c r="E142" i="1"/>
  <c r="E150" i="1"/>
  <c r="E158" i="1"/>
  <c r="E166" i="1"/>
  <c r="E174" i="1"/>
  <c r="E182" i="1"/>
  <c r="E190" i="1"/>
  <c r="E198" i="1"/>
  <c r="E206" i="1"/>
  <c r="E214" i="1"/>
  <c r="E222" i="1"/>
  <c r="E230" i="1"/>
  <c r="E238" i="1"/>
  <c r="E246" i="1"/>
  <c r="E128" i="1"/>
  <c r="E168" i="1"/>
  <c r="E192" i="1"/>
  <c r="E208" i="1"/>
  <c r="E232" i="1"/>
  <c r="E89" i="1"/>
  <c r="E137" i="1"/>
  <c r="E177" i="1"/>
  <c r="E209" i="1"/>
  <c r="E10" i="1"/>
  <c r="E66" i="1"/>
  <c r="E98" i="1"/>
  <c r="E146" i="1"/>
  <c r="E194" i="1"/>
  <c r="E218" i="1"/>
  <c r="E7" i="1"/>
  <c r="E15" i="1"/>
  <c r="E23" i="1"/>
  <c r="E31" i="1"/>
  <c r="E39" i="1"/>
  <c r="E47" i="1"/>
  <c r="E55" i="1"/>
  <c r="E63" i="1"/>
  <c r="E71" i="1"/>
  <c r="E79" i="1"/>
  <c r="E87" i="1"/>
  <c r="E95" i="1"/>
  <c r="E103" i="1"/>
  <c r="E111" i="1"/>
  <c r="E119" i="1"/>
  <c r="E127" i="1"/>
  <c r="E135" i="1"/>
  <c r="E143" i="1"/>
  <c r="E151" i="1"/>
  <c r="E159" i="1"/>
  <c r="E167" i="1"/>
  <c r="E175" i="1"/>
  <c r="E183" i="1"/>
  <c r="E191" i="1"/>
  <c r="E199" i="1"/>
  <c r="E207" i="1"/>
  <c r="E215" i="1"/>
  <c r="E223" i="1"/>
  <c r="E231" i="1"/>
  <c r="E239" i="1"/>
  <c r="E247" i="1"/>
  <c r="E120" i="1"/>
  <c r="E8" i="1"/>
  <c r="E16" i="1"/>
  <c r="E24" i="1"/>
  <c r="E32" i="1"/>
  <c r="E40" i="1"/>
  <c r="E48" i="1"/>
  <c r="E56" i="1"/>
  <c r="E64" i="1"/>
  <c r="E72" i="1"/>
  <c r="E80" i="1"/>
  <c r="E88" i="1"/>
  <c r="E96" i="1"/>
  <c r="E104" i="1"/>
  <c r="E112" i="1"/>
  <c r="E144" i="1"/>
  <c r="E152" i="1"/>
  <c r="E160" i="1"/>
  <c r="E184" i="1"/>
  <c r="E216" i="1"/>
  <c r="E248" i="1"/>
  <c r="E113" i="1"/>
  <c r="E145" i="1"/>
  <c r="E201" i="1"/>
  <c r="E233" i="1"/>
  <c r="E26" i="1"/>
  <c r="E74" i="1"/>
  <c r="E122" i="1"/>
  <c r="E154" i="1"/>
  <c r="E202" i="1"/>
  <c r="E242" i="1"/>
  <c r="E9" i="1"/>
  <c r="E17" i="1"/>
  <c r="E25" i="1"/>
  <c r="E33" i="1"/>
  <c r="E41" i="1"/>
  <c r="E49" i="1"/>
  <c r="E57" i="1"/>
  <c r="E65" i="1"/>
  <c r="E73" i="1"/>
  <c r="E81" i="1"/>
  <c r="E105" i="1"/>
  <c r="E121" i="1"/>
  <c r="E161" i="1"/>
  <c r="E225" i="1"/>
  <c r="E42" i="1"/>
  <c r="E114" i="1"/>
  <c r="E170" i="1"/>
  <c r="E250" i="1"/>
  <c r="G3" i="1"/>
  <c r="G11" i="1"/>
  <c r="G19" i="1"/>
  <c r="G27" i="1"/>
  <c r="G35" i="1"/>
  <c r="G43" i="1"/>
  <c r="G51" i="1"/>
  <c r="G59" i="1"/>
  <c r="G67" i="1"/>
  <c r="G7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G179" i="1"/>
  <c r="G187" i="1"/>
  <c r="G195" i="1"/>
  <c r="G203" i="1"/>
  <c r="G211" i="1"/>
  <c r="G219" i="1"/>
  <c r="G227" i="1"/>
  <c r="G235" i="1"/>
  <c r="G243" i="1"/>
  <c r="G251" i="1"/>
  <c r="G20" i="1"/>
  <c r="G60" i="1"/>
  <c r="G76" i="1"/>
  <c r="G92" i="1"/>
  <c r="G100" i="1"/>
  <c r="G108" i="1"/>
  <c r="G116" i="1"/>
  <c r="G124" i="1"/>
  <c r="G132" i="1"/>
  <c r="G140" i="1"/>
  <c r="G156" i="1"/>
  <c r="G164" i="1"/>
  <c r="G180" i="1"/>
  <c r="G196" i="1"/>
  <c r="G228" i="1"/>
  <c r="G133" i="1"/>
  <c r="G173" i="1"/>
  <c r="G221" i="1"/>
  <c r="G4" i="1"/>
  <c r="G12" i="1"/>
  <c r="G28" i="1"/>
  <c r="G36" i="1"/>
  <c r="G44" i="1"/>
  <c r="G52" i="1"/>
  <c r="G68" i="1"/>
  <c r="G84" i="1"/>
  <c r="G148" i="1"/>
  <c r="G172" i="1"/>
  <c r="G188" i="1"/>
  <c r="G236" i="1"/>
  <c r="G149" i="1"/>
  <c r="G197" i="1"/>
  <c r="G5" i="1"/>
  <c r="G13" i="1"/>
  <c r="G21" i="1"/>
  <c r="G29" i="1"/>
  <c r="G37" i="1"/>
  <c r="G45" i="1"/>
  <c r="G53" i="1"/>
  <c r="G61" i="1"/>
  <c r="G69" i="1"/>
  <c r="G77" i="1"/>
  <c r="G85" i="1"/>
  <c r="G93" i="1"/>
  <c r="G101" i="1"/>
  <c r="G109" i="1"/>
  <c r="G141" i="1"/>
  <c r="G189" i="1"/>
  <c r="G6" i="1"/>
  <c r="G14" i="1"/>
  <c r="G22" i="1"/>
  <c r="G30" i="1"/>
  <c r="G38" i="1"/>
  <c r="G46" i="1"/>
  <c r="G54" i="1"/>
  <c r="G62" i="1"/>
  <c r="G70" i="1"/>
  <c r="G78" i="1"/>
  <c r="G86" i="1"/>
  <c r="G94" i="1"/>
  <c r="G102" i="1"/>
  <c r="G110" i="1"/>
  <c r="G118" i="1"/>
  <c r="G126" i="1"/>
  <c r="G134" i="1"/>
  <c r="G142" i="1"/>
  <c r="G150" i="1"/>
  <c r="G158" i="1"/>
  <c r="G166" i="1"/>
  <c r="G174" i="1"/>
  <c r="G182" i="1"/>
  <c r="G190" i="1"/>
  <c r="G198" i="1"/>
  <c r="G206" i="1"/>
  <c r="G214" i="1"/>
  <c r="G222" i="1"/>
  <c r="G230" i="1"/>
  <c r="G238" i="1"/>
  <c r="G246" i="1"/>
  <c r="G125" i="1"/>
  <c r="G7" i="1"/>
  <c r="G15" i="1"/>
  <c r="G23" i="1"/>
  <c r="G31" i="1"/>
  <c r="G39" i="1"/>
  <c r="G47" i="1"/>
  <c r="G55" i="1"/>
  <c r="G63" i="1"/>
  <c r="G71" i="1"/>
  <c r="G79" i="1"/>
  <c r="G87" i="1"/>
  <c r="G95" i="1"/>
  <c r="G103" i="1"/>
  <c r="G111" i="1"/>
  <c r="G119" i="1"/>
  <c r="G127" i="1"/>
  <c r="G135" i="1"/>
  <c r="G143" i="1"/>
  <c r="G151" i="1"/>
  <c r="G159" i="1"/>
  <c r="G167" i="1"/>
  <c r="G175" i="1"/>
  <c r="G183" i="1"/>
  <c r="G191" i="1"/>
  <c r="G199" i="1"/>
  <c r="G207" i="1"/>
  <c r="G215" i="1"/>
  <c r="G223" i="1"/>
  <c r="G231" i="1"/>
  <c r="G239" i="1"/>
  <c r="G247" i="1"/>
  <c r="G26" i="1"/>
  <c r="G42" i="1"/>
  <c r="G66" i="1"/>
  <c r="G90" i="1"/>
  <c r="G114" i="1"/>
  <c r="G138" i="1"/>
  <c r="G170" i="1"/>
  <c r="G202" i="1"/>
  <c r="G226" i="1"/>
  <c r="G250" i="1"/>
  <c r="G220" i="1"/>
  <c r="G117" i="1"/>
  <c r="G181" i="1"/>
  <c r="G229" i="1"/>
  <c r="G8" i="1"/>
  <c r="G16" i="1"/>
  <c r="G24" i="1"/>
  <c r="G32" i="1"/>
  <c r="G40" i="1"/>
  <c r="G48" i="1"/>
  <c r="G56" i="1"/>
  <c r="G64" i="1"/>
  <c r="G72" i="1"/>
  <c r="G80" i="1"/>
  <c r="G88" i="1"/>
  <c r="G96" i="1"/>
  <c r="G104" i="1"/>
  <c r="G112" i="1"/>
  <c r="G120" i="1"/>
  <c r="G128" i="1"/>
  <c r="G136" i="1"/>
  <c r="G144" i="1"/>
  <c r="G152" i="1"/>
  <c r="G160" i="1"/>
  <c r="G168" i="1"/>
  <c r="G176" i="1"/>
  <c r="G184" i="1"/>
  <c r="G192" i="1"/>
  <c r="G200" i="1"/>
  <c r="G208" i="1"/>
  <c r="G216" i="1"/>
  <c r="G224" i="1"/>
  <c r="G232" i="1"/>
  <c r="G240" i="1"/>
  <c r="G248" i="1"/>
  <c r="G18" i="1"/>
  <c r="G34" i="1"/>
  <c r="G58" i="1"/>
  <c r="G82" i="1"/>
  <c r="G106" i="1"/>
  <c r="G130" i="1"/>
  <c r="G154" i="1"/>
  <c r="G178" i="1"/>
  <c r="G194" i="1"/>
  <c r="G218" i="1"/>
  <c r="G242" i="1"/>
  <c r="G212" i="1"/>
  <c r="G244" i="1"/>
  <c r="G157" i="1"/>
  <c r="G213" i="1"/>
  <c r="G245" i="1"/>
  <c r="G9" i="1"/>
  <c r="G17" i="1"/>
  <c r="G25" i="1"/>
  <c r="G33" i="1"/>
  <c r="G41" i="1"/>
  <c r="G49" i="1"/>
  <c r="G57" i="1"/>
  <c r="G65" i="1"/>
  <c r="G73" i="1"/>
  <c r="G81" i="1"/>
  <c r="G89" i="1"/>
  <c r="G97" i="1"/>
  <c r="G105" i="1"/>
  <c r="G113" i="1"/>
  <c r="G121" i="1"/>
  <c r="G129" i="1"/>
  <c r="G137" i="1"/>
  <c r="G145" i="1"/>
  <c r="G153" i="1"/>
  <c r="G161" i="1"/>
  <c r="G169" i="1"/>
  <c r="G177" i="1"/>
  <c r="G185" i="1"/>
  <c r="G193" i="1"/>
  <c r="G201" i="1"/>
  <c r="G209" i="1"/>
  <c r="G217" i="1"/>
  <c r="G225" i="1"/>
  <c r="G233" i="1"/>
  <c r="G241" i="1"/>
  <c r="G249" i="1"/>
  <c r="G10" i="1"/>
  <c r="G50" i="1"/>
  <c r="G74" i="1"/>
  <c r="G98" i="1"/>
  <c r="G122" i="1"/>
  <c r="G146" i="1"/>
  <c r="G162" i="1"/>
  <c r="G186" i="1"/>
  <c r="G210" i="1"/>
  <c r="G234" i="1"/>
  <c r="G204" i="1"/>
  <c r="G252" i="1"/>
  <c r="G165" i="1"/>
  <c r="G205" i="1"/>
  <c r="G237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199" i="1"/>
  <c r="J207" i="1"/>
  <c r="J215" i="1"/>
  <c r="J223" i="1"/>
  <c r="J231" i="1"/>
  <c r="J239" i="1"/>
  <c r="J247" i="1"/>
  <c r="J23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34" i="1"/>
  <c r="J250" i="1"/>
  <c r="J83" i="1"/>
  <c r="J99" i="1"/>
  <c r="J123" i="1"/>
  <c r="J139" i="1"/>
  <c r="J163" i="1"/>
  <c r="J187" i="1"/>
  <c r="J203" i="1"/>
  <c r="J219" i="1"/>
  <c r="J235" i="1"/>
  <c r="J164" i="1"/>
  <c r="J204" i="1"/>
  <c r="J244" i="1"/>
  <c r="J37" i="1"/>
  <c r="J61" i="1"/>
  <c r="J77" i="1"/>
  <c r="J101" i="1"/>
  <c r="J133" i="1"/>
  <c r="J165" i="1"/>
  <c r="J197" i="1"/>
  <c r="J221" i="1"/>
  <c r="J245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6" i="1"/>
  <c r="J154" i="1"/>
  <c r="J162" i="1"/>
  <c r="J170" i="1"/>
  <c r="J178" i="1"/>
  <c r="J186" i="1"/>
  <c r="J194" i="1"/>
  <c r="J202" i="1"/>
  <c r="J210" i="1"/>
  <c r="J218" i="1"/>
  <c r="J226" i="1"/>
  <c r="J242" i="1"/>
  <c r="J67" i="1"/>
  <c r="J91" i="1"/>
  <c r="J107" i="1"/>
  <c r="J131" i="1"/>
  <c r="J147" i="1"/>
  <c r="J171" i="1"/>
  <c r="J179" i="1"/>
  <c r="J195" i="1"/>
  <c r="J227" i="1"/>
  <c r="J251" i="1"/>
  <c r="J180" i="1"/>
  <c r="J196" i="1"/>
  <c r="J228" i="1"/>
  <c r="J252" i="1"/>
  <c r="J53" i="1"/>
  <c r="J85" i="1"/>
  <c r="J109" i="1"/>
  <c r="J141" i="1"/>
  <c r="J157" i="1"/>
  <c r="J181" i="1"/>
  <c r="J213" i="1"/>
  <c r="J27" i="1"/>
  <c r="J35" i="1"/>
  <c r="J43" i="1"/>
  <c r="J51" i="1"/>
  <c r="J59" i="1"/>
  <c r="J75" i="1"/>
  <c r="J115" i="1"/>
  <c r="J155" i="1"/>
  <c r="J211" i="1"/>
  <c r="J243" i="1"/>
  <c r="J172" i="1"/>
  <c r="J212" i="1"/>
  <c r="J236" i="1"/>
  <c r="J45" i="1"/>
  <c r="J93" i="1"/>
  <c r="J125" i="1"/>
  <c r="J189" i="1"/>
  <c r="J229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8" i="1"/>
  <c r="J156" i="1"/>
  <c r="J188" i="1"/>
  <c r="J220" i="1"/>
  <c r="J29" i="1"/>
  <c r="J69" i="1"/>
  <c r="J117" i="1"/>
  <c r="J149" i="1"/>
  <c r="J173" i="1"/>
  <c r="J205" i="1"/>
  <c r="J237" i="1"/>
  <c r="K22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112" i="1"/>
  <c r="K144" i="1"/>
  <c r="K184" i="1"/>
  <c r="K224" i="1"/>
  <c r="K248" i="1"/>
  <c r="K195" i="1"/>
  <c r="K243" i="1"/>
  <c r="K68" i="1"/>
  <c r="K92" i="1"/>
  <c r="K148" i="1"/>
  <c r="K196" i="1"/>
  <c r="K252" i="1"/>
  <c r="K23" i="1"/>
  <c r="K31" i="1"/>
  <c r="K39" i="1"/>
  <c r="K47" i="1"/>
  <c r="K55" i="1"/>
  <c r="K63" i="1"/>
  <c r="K71" i="1"/>
  <c r="K79" i="1"/>
  <c r="K87" i="1"/>
  <c r="K95" i="1"/>
  <c r="K103" i="1"/>
  <c r="K111" i="1"/>
  <c r="K119" i="1"/>
  <c r="K127" i="1"/>
  <c r="K135" i="1"/>
  <c r="K143" i="1"/>
  <c r="K151" i="1"/>
  <c r="K159" i="1"/>
  <c r="K167" i="1"/>
  <c r="K175" i="1"/>
  <c r="K183" i="1"/>
  <c r="K191" i="1"/>
  <c r="K199" i="1"/>
  <c r="K207" i="1"/>
  <c r="K215" i="1"/>
  <c r="K223" i="1"/>
  <c r="K231" i="1"/>
  <c r="K239" i="1"/>
  <c r="K247" i="1"/>
  <c r="K128" i="1"/>
  <c r="K160" i="1"/>
  <c r="K176" i="1"/>
  <c r="K200" i="1"/>
  <c r="K232" i="1"/>
  <c r="K155" i="1"/>
  <c r="K219" i="1"/>
  <c r="K60" i="1"/>
  <c r="K84" i="1"/>
  <c r="K140" i="1"/>
  <c r="K188" i="1"/>
  <c r="K228" i="1"/>
  <c r="K244" i="1"/>
  <c r="K24" i="1"/>
  <c r="K32" i="1"/>
  <c r="K40" i="1"/>
  <c r="K48" i="1"/>
  <c r="K56" i="1"/>
  <c r="K64" i="1"/>
  <c r="K72" i="1"/>
  <c r="K80" i="1"/>
  <c r="K88" i="1"/>
  <c r="K96" i="1"/>
  <c r="K104" i="1"/>
  <c r="K120" i="1"/>
  <c r="K152" i="1"/>
  <c r="K208" i="1"/>
  <c r="K187" i="1"/>
  <c r="K28" i="1"/>
  <c r="K100" i="1"/>
  <c r="K172" i="1"/>
  <c r="K25" i="1"/>
  <c r="K33" i="1"/>
  <c r="K41" i="1"/>
  <c r="K49" i="1"/>
  <c r="K57" i="1"/>
  <c r="K65" i="1"/>
  <c r="K73" i="1"/>
  <c r="K81" i="1"/>
  <c r="K89" i="1"/>
  <c r="K97" i="1"/>
  <c r="K105" i="1"/>
  <c r="K113" i="1"/>
  <c r="K121" i="1"/>
  <c r="K129" i="1"/>
  <c r="K137" i="1"/>
  <c r="K145" i="1"/>
  <c r="K153" i="1"/>
  <c r="K161" i="1"/>
  <c r="K169" i="1"/>
  <c r="K177" i="1"/>
  <c r="K185" i="1"/>
  <c r="K193" i="1"/>
  <c r="K201" i="1"/>
  <c r="K209" i="1"/>
  <c r="K217" i="1"/>
  <c r="K225" i="1"/>
  <c r="K233" i="1"/>
  <c r="K241" i="1"/>
  <c r="K249" i="1"/>
  <c r="K123" i="1"/>
  <c r="K171" i="1"/>
  <c r="K227" i="1"/>
  <c r="K52" i="1"/>
  <c r="K108" i="1"/>
  <c r="K156" i="1"/>
  <c r="K212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75" i="1"/>
  <c r="K99" i="1"/>
  <c r="K115" i="1"/>
  <c r="K131" i="1"/>
  <c r="K147" i="1"/>
  <c r="K163" i="1"/>
  <c r="K203" i="1"/>
  <c r="K251" i="1"/>
  <c r="K36" i="1"/>
  <c r="K116" i="1"/>
  <c r="K164" i="1"/>
  <c r="K220" i="1"/>
  <c r="K27" i="1"/>
  <c r="K35" i="1"/>
  <c r="K43" i="1"/>
  <c r="K51" i="1"/>
  <c r="K59" i="1"/>
  <c r="K67" i="1"/>
  <c r="K83" i="1"/>
  <c r="K91" i="1"/>
  <c r="K107" i="1"/>
  <c r="K139" i="1"/>
  <c r="K211" i="1"/>
  <c r="K76" i="1"/>
  <c r="K132" i="1"/>
  <c r="K204" i="1"/>
  <c r="K29" i="1"/>
  <c r="K37" i="1"/>
  <c r="K45" i="1"/>
  <c r="K53" i="1"/>
  <c r="K61" i="1"/>
  <c r="K69" i="1"/>
  <c r="K77" i="1"/>
  <c r="K85" i="1"/>
  <c r="K93" i="1"/>
  <c r="K101" i="1"/>
  <c r="K109" i="1"/>
  <c r="K117" i="1"/>
  <c r="K125" i="1"/>
  <c r="K133" i="1"/>
  <c r="K141" i="1"/>
  <c r="K149" i="1"/>
  <c r="K157" i="1"/>
  <c r="K165" i="1"/>
  <c r="K173" i="1"/>
  <c r="K181" i="1"/>
  <c r="K189" i="1"/>
  <c r="K197" i="1"/>
  <c r="K205" i="1"/>
  <c r="K213" i="1"/>
  <c r="K221" i="1"/>
  <c r="K229" i="1"/>
  <c r="K237" i="1"/>
  <c r="K245" i="1"/>
  <c r="K246" i="1"/>
  <c r="K136" i="1"/>
  <c r="K168" i="1"/>
  <c r="K192" i="1"/>
  <c r="K216" i="1"/>
  <c r="K240" i="1"/>
  <c r="K179" i="1"/>
  <c r="K235" i="1"/>
  <c r="K44" i="1"/>
  <c r="K124" i="1"/>
  <c r="K180" i="1"/>
  <c r="K236" i="1"/>
  <c r="N4" i="1"/>
  <c r="N12" i="1"/>
  <c r="N20" i="1"/>
  <c r="N28" i="1"/>
  <c r="N36" i="1"/>
  <c r="N44" i="1"/>
  <c r="N52" i="1"/>
  <c r="N60" i="1"/>
  <c r="N68" i="1"/>
  <c r="N76" i="1"/>
  <c r="N84" i="1"/>
  <c r="N92" i="1"/>
  <c r="N100" i="1"/>
  <c r="N108" i="1"/>
  <c r="N116" i="1"/>
  <c r="N124" i="1"/>
  <c r="N132" i="1"/>
  <c r="N140" i="1"/>
  <c r="N148" i="1"/>
  <c r="N156" i="1"/>
  <c r="N164" i="1"/>
  <c r="N172" i="1"/>
  <c r="N180" i="1"/>
  <c r="N188" i="1"/>
  <c r="N204" i="1"/>
  <c r="N212" i="1"/>
  <c r="N228" i="1"/>
  <c r="N252" i="1"/>
  <c r="N221" i="1"/>
  <c r="N46" i="1"/>
  <c r="N94" i="1"/>
  <c r="N142" i="1"/>
  <c r="N114" i="1"/>
  <c r="N170" i="1"/>
  <c r="N226" i="1"/>
  <c r="N5" i="1"/>
  <c r="N13" i="1"/>
  <c r="N21" i="1"/>
  <c r="N29" i="1"/>
  <c r="N37" i="1"/>
  <c r="N45" i="1"/>
  <c r="N53" i="1"/>
  <c r="N61" i="1"/>
  <c r="N69" i="1"/>
  <c r="N77" i="1"/>
  <c r="N85" i="1"/>
  <c r="N93" i="1"/>
  <c r="N101" i="1"/>
  <c r="N109" i="1"/>
  <c r="N117" i="1"/>
  <c r="N125" i="1"/>
  <c r="N133" i="1"/>
  <c r="N141" i="1"/>
  <c r="N149" i="1"/>
  <c r="N157" i="1"/>
  <c r="N165" i="1"/>
  <c r="N173" i="1"/>
  <c r="N181" i="1"/>
  <c r="N189" i="1"/>
  <c r="N197" i="1"/>
  <c r="N205" i="1"/>
  <c r="N237" i="1"/>
  <c r="N70" i="1"/>
  <c r="N118" i="1"/>
  <c r="N150" i="1"/>
  <c r="N106" i="1"/>
  <c r="N202" i="1"/>
  <c r="N250" i="1"/>
  <c r="N6" i="1"/>
  <c r="N14" i="1"/>
  <c r="N22" i="1"/>
  <c r="N30" i="1"/>
  <c r="N38" i="1"/>
  <c r="N62" i="1"/>
  <c r="N78" i="1"/>
  <c r="N86" i="1"/>
  <c r="N110" i="1"/>
  <c r="N134" i="1"/>
  <c r="N166" i="1"/>
  <c r="N190" i="1"/>
  <c r="N214" i="1"/>
  <c r="N230" i="1"/>
  <c r="N34" i="1"/>
  <c r="N74" i="1"/>
  <c r="N138" i="1"/>
  <c r="N186" i="1"/>
  <c r="N234" i="1"/>
  <c r="N7" i="1"/>
  <c r="N15" i="1"/>
  <c r="N23" i="1"/>
  <c r="N31" i="1"/>
  <c r="N39" i="1"/>
  <c r="N47" i="1"/>
  <c r="N55" i="1"/>
  <c r="N63" i="1"/>
  <c r="N71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223" i="1"/>
  <c r="N231" i="1"/>
  <c r="N239" i="1"/>
  <c r="N247" i="1"/>
  <c r="N25" i="1"/>
  <c r="N33" i="1"/>
  <c r="N49" i="1"/>
  <c r="N65" i="1"/>
  <c r="N81" i="1"/>
  <c r="N97" i="1"/>
  <c r="N113" i="1"/>
  <c r="N121" i="1"/>
  <c r="N137" i="1"/>
  <c r="N153" i="1"/>
  <c r="N169" i="1"/>
  <c r="N185" i="1"/>
  <c r="N201" i="1"/>
  <c r="N217" i="1"/>
  <c r="N233" i="1"/>
  <c r="N249" i="1"/>
  <c r="N18" i="1"/>
  <c r="N82" i="1"/>
  <c r="N146" i="1"/>
  <c r="N210" i="1"/>
  <c r="N8" i="1"/>
  <c r="N16" i="1"/>
  <c r="N24" i="1"/>
  <c r="N32" i="1"/>
  <c r="N40" i="1"/>
  <c r="N48" i="1"/>
  <c r="N56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84" i="1"/>
  <c r="N192" i="1"/>
  <c r="N200" i="1"/>
  <c r="N208" i="1"/>
  <c r="N216" i="1"/>
  <c r="N224" i="1"/>
  <c r="N232" i="1"/>
  <c r="N240" i="1"/>
  <c r="N248" i="1"/>
  <c r="N17" i="1"/>
  <c r="N41" i="1"/>
  <c r="N57" i="1"/>
  <c r="N73" i="1"/>
  <c r="N89" i="1"/>
  <c r="N105" i="1"/>
  <c r="N129" i="1"/>
  <c r="N145" i="1"/>
  <c r="N161" i="1"/>
  <c r="N177" i="1"/>
  <c r="N193" i="1"/>
  <c r="N209" i="1"/>
  <c r="N225" i="1"/>
  <c r="N241" i="1"/>
  <c r="N10" i="1"/>
  <c r="N50" i="1"/>
  <c r="N66" i="1"/>
  <c r="N90" i="1"/>
  <c r="N122" i="1"/>
  <c r="N154" i="1"/>
  <c r="N178" i="1"/>
  <c r="N218" i="1"/>
  <c r="N9" i="1"/>
  <c r="N11" i="1"/>
  <c r="N19" i="1"/>
  <c r="N27" i="1"/>
  <c r="N35" i="1"/>
  <c r="N43" i="1"/>
  <c r="N51" i="1"/>
  <c r="N59" i="1"/>
  <c r="N67" i="1"/>
  <c r="N75" i="1"/>
  <c r="N83" i="1"/>
  <c r="N91" i="1"/>
  <c r="N99" i="1"/>
  <c r="N107" i="1"/>
  <c r="N115" i="1"/>
  <c r="N123" i="1"/>
  <c r="N131" i="1"/>
  <c r="N139" i="1"/>
  <c r="N147" i="1"/>
  <c r="N155" i="1"/>
  <c r="N163" i="1"/>
  <c r="N171" i="1"/>
  <c r="N179" i="1"/>
  <c r="N187" i="1"/>
  <c r="N195" i="1"/>
  <c r="N203" i="1"/>
  <c r="N211" i="1"/>
  <c r="N219" i="1"/>
  <c r="N227" i="1"/>
  <c r="N235" i="1"/>
  <c r="N243" i="1"/>
  <c r="N251" i="1"/>
  <c r="N196" i="1"/>
  <c r="N220" i="1"/>
  <c r="N236" i="1"/>
  <c r="N244" i="1"/>
  <c r="N213" i="1"/>
  <c r="N229" i="1"/>
  <c r="N245" i="1"/>
  <c r="N54" i="1"/>
  <c r="N102" i="1"/>
  <c r="N126" i="1"/>
  <c r="N158" i="1"/>
  <c r="N174" i="1"/>
  <c r="N182" i="1"/>
  <c r="N198" i="1"/>
  <c r="N206" i="1"/>
  <c r="N222" i="1"/>
  <c r="N238" i="1"/>
  <c r="N246" i="1"/>
  <c r="N26" i="1"/>
  <c r="N42" i="1"/>
  <c r="N58" i="1"/>
  <c r="N98" i="1"/>
  <c r="N130" i="1"/>
  <c r="N162" i="1"/>
  <c r="N194" i="1"/>
  <c r="N242" i="1"/>
  <c r="AB102" i="1"/>
  <c r="AB110" i="1"/>
  <c r="AB118" i="1"/>
  <c r="AB126" i="1"/>
  <c r="AB134" i="1"/>
  <c r="AB142" i="1"/>
  <c r="AB150" i="1"/>
  <c r="AB158" i="1"/>
  <c r="AB166" i="1"/>
  <c r="AB174" i="1"/>
  <c r="AB182" i="1"/>
  <c r="AB190" i="1"/>
  <c r="AB198" i="1"/>
  <c r="AB206" i="1"/>
  <c r="AB214" i="1"/>
  <c r="AB222" i="1"/>
  <c r="AB230" i="1"/>
  <c r="AB238" i="1"/>
  <c r="AB246" i="1"/>
  <c r="AB111" i="1"/>
  <c r="AB119" i="1"/>
  <c r="AB127" i="1"/>
  <c r="AB159" i="1"/>
  <c r="AB199" i="1"/>
  <c r="AB239" i="1"/>
  <c r="AB225" i="1"/>
  <c r="AB103" i="1"/>
  <c r="AB104" i="1"/>
  <c r="AB112" i="1"/>
  <c r="AB120" i="1"/>
  <c r="AB128" i="1"/>
  <c r="AB136" i="1"/>
  <c r="AB144" i="1"/>
  <c r="AB152" i="1"/>
  <c r="AB160" i="1"/>
  <c r="AB168" i="1"/>
  <c r="AB176" i="1"/>
  <c r="AB184" i="1"/>
  <c r="AB192" i="1"/>
  <c r="AB200" i="1"/>
  <c r="AB208" i="1"/>
  <c r="AB216" i="1"/>
  <c r="AB224" i="1"/>
  <c r="AB232" i="1"/>
  <c r="AB240" i="1"/>
  <c r="AB248" i="1"/>
  <c r="AB105" i="1"/>
  <c r="AB113" i="1"/>
  <c r="AB121" i="1"/>
  <c r="AB129" i="1"/>
  <c r="AB137" i="1"/>
  <c r="AB153" i="1"/>
  <c r="AB161" i="1"/>
  <c r="AB169" i="1"/>
  <c r="AB177" i="1"/>
  <c r="AB201" i="1"/>
  <c r="AB145" i="1"/>
  <c r="AB106" i="1"/>
  <c r="AB114" i="1"/>
  <c r="AB122" i="1"/>
  <c r="AB130" i="1"/>
  <c r="AB138" i="1"/>
  <c r="AB146" i="1"/>
  <c r="AB154" i="1"/>
  <c r="AB162" i="1"/>
  <c r="AB170" i="1"/>
  <c r="AB178" i="1"/>
  <c r="AB186" i="1"/>
  <c r="AB194" i="1"/>
  <c r="AB202" i="1"/>
  <c r="AB210" i="1"/>
  <c r="AB218" i="1"/>
  <c r="AB226" i="1"/>
  <c r="AB234" i="1"/>
  <c r="AB242" i="1"/>
  <c r="AB250" i="1"/>
  <c r="AB109" i="1"/>
  <c r="AB133" i="1"/>
  <c r="AB157" i="1"/>
  <c r="AB181" i="1"/>
  <c r="AB205" i="1"/>
  <c r="AB229" i="1"/>
  <c r="AB151" i="1"/>
  <c r="AB183" i="1"/>
  <c r="AB215" i="1"/>
  <c r="AB247" i="1"/>
  <c r="AB217" i="1"/>
  <c r="AB241" i="1"/>
  <c r="AB107" i="1"/>
  <c r="AB115" i="1"/>
  <c r="AB123" i="1"/>
  <c r="AB131" i="1"/>
  <c r="AB139" i="1"/>
  <c r="AB147" i="1"/>
  <c r="AB155" i="1"/>
  <c r="AB163" i="1"/>
  <c r="AB171" i="1"/>
  <c r="AB179" i="1"/>
  <c r="AB187" i="1"/>
  <c r="AB195" i="1"/>
  <c r="AB203" i="1"/>
  <c r="AB211" i="1"/>
  <c r="AB219" i="1"/>
  <c r="AB227" i="1"/>
  <c r="AB235" i="1"/>
  <c r="AB243" i="1"/>
  <c r="AB251" i="1"/>
  <c r="AB252" i="1"/>
  <c r="AB125" i="1"/>
  <c r="AB141" i="1"/>
  <c r="AB173" i="1"/>
  <c r="AB197" i="1"/>
  <c r="AB213" i="1"/>
  <c r="AB237" i="1"/>
  <c r="AB143" i="1"/>
  <c r="AB175" i="1"/>
  <c r="AB191" i="1"/>
  <c r="AB223" i="1"/>
  <c r="AB185" i="1"/>
  <c r="AB209" i="1"/>
  <c r="AB249" i="1"/>
  <c r="AB108" i="1"/>
  <c r="AB116" i="1"/>
  <c r="AB124" i="1"/>
  <c r="AB132" i="1"/>
  <c r="AB140" i="1"/>
  <c r="AB148" i="1"/>
  <c r="AB156" i="1"/>
  <c r="AB164" i="1"/>
  <c r="AB172" i="1"/>
  <c r="AB180" i="1"/>
  <c r="AB188" i="1"/>
  <c r="AB196" i="1"/>
  <c r="AB204" i="1"/>
  <c r="AB212" i="1"/>
  <c r="AB220" i="1"/>
  <c r="AB228" i="1"/>
  <c r="AB236" i="1"/>
  <c r="AB244" i="1"/>
  <c r="AB117" i="1"/>
  <c r="AB149" i="1"/>
  <c r="AB165" i="1"/>
  <c r="AB189" i="1"/>
  <c r="AB221" i="1"/>
  <c r="AB245" i="1"/>
  <c r="AB135" i="1"/>
  <c r="AB167" i="1"/>
  <c r="AB207" i="1"/>
  <c r="AB231" i="1"/>
  <c r="AB193" i="1"/>
  <c r="AB233" i="1"/>
  <c r="B1" i="1"/>
  <c r="A227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91" i="1"/>
  <c r="A199" i="1"/>
  <c r="A207" i="1"/>
  <c r="A215" i="1"/>
  <c r="A223" i="1"/>
  <c r="A231" i="1"/>
  <c r="A239" i="1"/>
  <c r="A247" i="1"/>
  <c r="A156" i="1"/>
  <c r="A196" i="1"/>
  <c r="A228" i="1"/>
  <c r="A5" i="1"/>
  <c r="A77" i="1"/>
  <c r="A183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33" i="1"/>
  <c r="A10" i="1"/>
  <c r="A34" i="1"/>
  <c r="A50" i="1"/>
  <c r="A66" i="1"/>
  <c r="A74" i="1"/>
  <c r="A90" i="1"/>
  <c r="A106" i="1"/>
  <c r="A122" i="1"/>
  <c r="A130" i="1"/>
  <c r="A154" i="1"/>
  <c r="A162" i="1"/>
  <c r="A178" i="1"/>
  <c r="A194" i="1"/>
  <c r="A218" i="1"/>
  <c r="A234" i="1"/>
  <c r="A250" i="1"/>
  <c r="A11" i="1"/>
  <c r="A19" i="1"/>
  <c r="A43" i="1"/>
  <c r="A59" i="1"/>
  <c r="A75" i="1"/>
  <c r="A91" i="1"/>
  <c r="A99" i="1"/>
  <c r="A115" i="1"/>
  <c r="A131" i="1"/>
  <c r="A147" i="1"/>
  <c r="A163" i="1"/>
  <c r="A179" i="1"/>
  <c r="A195" i="1"/>
  <c r="A211" i="1"/>
  <c r="A243" i="1"/>
  <c r="A4" i="1"/>
  <c r="A20" i="1"/>
  <c r="A28" i="1"/>
  <c r="A44" i="1"/>
  <c r="A52" i="1"/>
  <c r="A60" i="1"/>
  <c r="A76" i="1"/>
  <c r="A92" i="1"/>
  <c r="A108" i="1"/>
  <c r="A124" i="1"/>
  <c r="A140" i="1"/>
  <c r="A164" i="1"/>
  <c r="A180" i="1"/>
  <c r="A204" i="1"/>
  <c r="A220" i="1"/>
  <c r="A244" i="1"/>
  <c r="A252" i="1"/>
  <c r="A21" i="1"/>
  <c r="A29" i="1"/>
  <c r="A45" i="1"/>
  <c r="A61" i="1"/>
  <c r="A85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41" i="1"/>
  <c r="A249" i="1"/>
  <c r="A18" i="1"/>
  <c r="A26" i="1"/>
  <c r="A42" i="1"/>
  <c r="A58" i="1"/>
  <c r="A82" i="1"/>
  <c r="A98" i="1"/>
  <c r="A114" i="1"/>
  <c r="A138" i="1"/>
  <c r="A146" i="1"/>
  <c r="A170" i="1"/>
  <c r="A186" i="1"/>
  <c r="A202" i="1"/>
  <c r="A210" i="1"/>
  <c r="A226" i="1"/>
  <c r="A242" i="1"/>
  <c r="A3" i="1"/>
  <c r="A27" i="1"/>
  <c r="A35" i="1"/>
  <c r="A51" i="1"/>
  <c r="A67" i="1"/>
  <c r="A83" i="1"/>
  <c r="A107" i="1"/>
  <c r="A123" i="1"/>
  <c r="A139" i="1"/>
  <c r="A155" i="1"/>
  <c r="A171" i="1"/>
  <c r="A187" i="1"/>
  <c r="A203" i="1"/>
  <c r="A219" i="1"/>
  <c r="A235" i="1"/>
  <c r="A251" i="1"/>
  <c r="A12" i="1"/>
  <c r="A36" i="1"/>
  <c r="A68" i="1"/>
  <c r="A84" i="1"/>
  <c r="A100" i="1"/>
  <c r="A116" i="1"/>
  <c r="A132" i="1"/>
  <c r="A148" i="1"/>
  <c r="A172" i="1"/>
  <c r="A188" i="1"/>
  <c r="A212" i="1"/>
  <c r="A236" i="1"/>
  <c r="A13" i="1"/>
  <c r="A37" i="1"/>
  <c r="A53" i="1"/>
  <c r="A69" i="1"/>
  <c r="A93" i="1"/>
  <c r="A109" i="1"/>
  <c r="A117" i="1"/>
  <c r="A125" i="1"/>
  <c r="A189" i="1"/>
  <c r="A141" i="1"/>
  <c r="A205" i="1"/>
  <c r="A213" i="1"/>
  <c r="A221" i="1"/>
  <c r="A165" i="1"/>
  <c r="A173" i="1"/>
  <c r="A101" i="1"/>
  <c r="A245" i="1"/>
  <c r="A133" i="1"/>
  <c r="A197" i="1"/>
  <c r="A149" i="1"/>
  <c r="A157" i="1"/>
  <c r="A229" i="1"/>
  <c r="A237" i="1"/>
  <c r="A181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15" i="1"/>
  <c r="A2" i="1" l="1"/>
  <c r="AE5" i="1"/>
  <c r="AE4" i="1"/>
  <c r="AE3" i="1"/>
  <c r="AE2" i="1"/>
  <c r="AD5" i="1"/>
  <c r="AD4" i="1"/>
  <c r="AD3" i="1"/>
  <c r="AD2" i="1"/>
  <c r="AB101" i="1"/>
  <c r="L150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W13" i="1"/>
  <c r="W14" i="1" s="1"/>
  <c r="L188" i="1"/>
  <c r="L48" i="1"/>
  <c r="L103" i="1"/>
  <c r="L54" i="1"/>
  <c r="L206" i="1"/>
  <c r="K21" i="1"/>
  <c r="L210" i="1"/>
  <c r="L59" i="1"/>
  <c r="L220" i="1"/>
  <c r="L51" i="1"/>
  <c r="L235" i="1"/>
  <c r="L43" i="1"/>
  <c r="J21" i="1"/>
  <c r="N3" i="1"/>
  <c r="E2" i="1"/>
  <c r="G2" i="1"/>
  <c r="F3" i="1" l="1"/>
  <c r="F11" i="1"/>
  <c r="F19" i="1"/>
  <c r="F27" i="1"/>
  <c r="F35" i="1"/>
  <c r="F43" i="1"/>
  <c r="F51" i="1"/>
  <c r="F59" i="1"/>
  <c r="F67" i="1"/>
  <c r="F75" i="1"/>
  <c r="F83" i="1"/>
  <c r="F91" i="1"/>
  <c r="F99" i="1"/>
  <c r="F107" i="1"/>
  <c r="F115" i="1"/>
  <c r="F123" i="1"/>
  <c r="F131" i="1"/>
  <c r="F139" i="1"/>
  <c r="F147" i="1"/>
  <c r="F155" i="1"/>
  <c r="F163" i="1"/>
  <c r="F171" i="1"/>
  <c r="F179" i="1"/>
  <c r="F187" i="1"/>
  <c r="F195" i="1"/>
  <c r="F203" i="1"/>
  <c r="F211" i="1"/>
  <c r="F219" i="1"/>
  <c r="F227" i="1"/>
  <c r="F235" i="1"/>
  <c r="F243" i="1"/>
  <c r="F251" i="1"/>
  <c r="F125" i="1"/>
  <c r="F189" i="1"/>
  <c r="F221" i="1"/>
  <c r="F245" i="1"/>
  <c r="F142" i="1"/>
  <c r="F174" i="1"/>
  <c r="F214" i="1"/>
  <c r="F246" i="1"/>
  <c r="F224" i="1"/>
  <c r="F4" i="1"/>
  <c r="F12" i="1"/>
  <c r="F20" i="1"/>
  <c r="F28" i="1"/>
  <c r="F36" i="1"/>
  <c r="F44" i="1"/>
  <c r="F52" i="1"/>
  <c r="F60" i="1"/>
  <c r="F68" i="1"/>
  <c r="F76" i="1"/>
  <c r="F84" i="1"/>
  <c r="F92" i="1"/>
  <c r="F100" i="1"/>
  <c r="F108" i="1"/>
  <c r="F116" i="1"/>
  <c r="F124" i="1"/>
  <c r="F132" i="1"/>
  <c r="F140" i="1"/>
  <c r="F148" i="1"/>
  <c r="F156" i="1"/>
  <c r="F164" i="1"/>
  <c r="F172" i="1"/>
  <c r="F180" i="1"/>
  <c r="F188" i="1"/>
  <c r="F196" i="1"/>
  <c r="F204" i="1"/>
  <c r="F212" i="1"/>
  <c r="F220" i="1"/>
  <c r="F228" i="1"/>
  <c r="F236" i="1"/>
  <c r="F244" i="1"/>
  <c r="F252" i="1"/>
  <c r="F13" i="1"/>
  <c r="F21" i="1"/>
  <c r="F37" i="1"/>
  <c r="F45" i="1"/>
  <c r="F61" i="1"/>
  <c r="F69" i="1"/>
  <c r="F85" i="1"/>
  <c r="F101" i="1"/>
  <c r="F109" i="1"/>
  <c r="F133" i="1"/>
  <c r="F149" i="1"/>
  <c r="F165" i="1"/>
  <c r="F181" i="1"/>
  <c r="F197" i="1"/>
  <c r="F213" i="1"/>
  <c r="F237" i="1"/>
  <c r="F118" i="1"/>
  <c r="F158" i="1"/>
  <c r="F182" i="1"/>
  <c r="F206" i="1"/>
  <c r="F230" i="1"/>
  <c r="F200" i="1"/>
  <c r="F248" i="1"/>
  <c r="F5" i="1"/>
  <c r="F29" i="1"/>
  <c r="F53" i="1"/>
  <c r="F77" i="1"/>
  <c r="F93" i="1"/>
  <c r="F117" i="1"/>
  <c r="F141" i="1"/>
  <c r="F157" i="1"/>
  <c r="F173" i="1"/>
  <c r="F205" i="1"/>
  <c r="F229" i="1"/>
  <c r="F134" i="1"/>
  <c r="F190" i="1"/>
  <c r="F222" i="1"/>
  <c r="F192" i="1"/>
  <c r="F240" i="1"/>
  <c r="F6" i="1"/>
  <c r="F14" i="1"/>
  <c r="F22" i="1"/>
  <c r="F30" i="1"/>
  <c r="F38" i="1"/>
  <c r="F46" i="1"/>
  <c r="F54" i="1"/>
  <c r="F62" i="1"/>
  <c r="F70" i="1"/>
  <c r="F78" i="1"/>
  <c r="F86" i="1"/>
  <c r="F94" i="1"/>
  <c r="F102" i="1"/>
  <c r="F110" i="1"/>
  <c r="F126" i="1"/>
  <c r="F150" i="1"/>
  <c r="F166" i="1"/>
  <c r="F198" i="1"/>
  <c r="F238" i="1"/>
  <c r="F232" i="1"/>
  <c r="F7" i="1"/>
  <c r="F15" i="1"/>
  <c r="F23" i="1"/>
  <c r="F31" i="1"/>
  <c r="F39" i="1"/>
  <c r="F47" i="1"/>
  <c r="F55" i="1"/>
  <c r="F63" i="1"/>
  <c r="F71" i="1"/>
  <c r="F79" i="1"/>
  <c r="F87" i="1"/>
  <c r="F95" i="1"/>
  <c r="F103" i="1"/>
  <c r="F111" i="1"/>
  <c r="F119" i="1"/>
  <c r="F127" i="1"/>
  <c r="F135" i="1"/>
  <c r="F143" i="1"/>
  <c r="F151" i="1"/>
  <c r="F159" i="1"/>
  <c r="F167" i="1"/>
  <c r="F175" i="1"/>
  <c r="F183" i="1"/>
  <c r="F191" i="1"/>
  <c r="F199" i="1"/>
  <c r="F207" i="1"/>
  <c r="F215" i="1"/>
  <c r="F223" i="1"/>
  <c r="F231" i="1"/>
  <c r="F239" i="1"/>
  <c r="F247" i="1"/>
  <c r="F56" i="1"/>
  <c r="F104" i="1"/>
  <c r="F120" i="1"/>
  <c r="F136" i="1"/>
  <c r="F152" i="1"/>
  <c r="F168" i="1"/>
  <c r="F184" i="1"/>
  <c r="F216" i="1"/>
  <c r="F8" i="1"/>
  <c r="F16" i="1"/>
  <c r="F24" i="1"/>
  <c r="F32" i="1"/>
  <c r="F40" i="1"/>
  <c r="F48" i="1"/>
  <c r="F64" i="1"/>
  <c r="F72" i="1"/>
  <c r="F80" i="1"/>
  <c r="F88" i="1"/>
  <c r="F96" i="1"/>
  <c r="F112" i="1"/>
  <c r="F128" i="1"/>
  <c r="F144" i="1"/>
  <c r="F160" i="1"/>
  <c r="F176" i="1"/>
  <c r="F208" i="1"/>
  <c r="F9" i="1"/>
  <c r="F17" i="1"/>
  <c r="F25" i="1"/>
  <c r="F33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145" i="1"/>
  <c r="F153" i="1"/>
  <c r="F161" i="1"/>
  <c r="F169" i="1"/>
  <c r="F177" i="1"/>
  <c r="F185" i="1"/>
  <c r="F193" i="1"/>
  <c r="F201" i="1"/>
  <c r="F209" i="1"/>
  <c r="F217" i="1"/>
  <c r="F225" i="1"/>
  <c r="F233" i="1"/>
  <c r="F241" i="1"/>
  <c r="F249" i="1"/>
  <c r="F10" i="1"/>
  <c r="F18" i="1"/>
  <c r="F26" i="1"/>
  <c r="F34" i="1"/>
  <c r="F42" i="1"/>
  <c r="F50" i="1"/>
  <c r="F58" i="1"/>
  <c r="F66" i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194" i="1"/>
  <c r="F202" i="1"/>
  <c r="F210" i="1"/>
  <c r="F218" i="1"/>
  <c r="F226" i="1"/>
  <c r="F234" i="1"/>
  <c r="F242" i="1"/>
  <c r="F250" i="1"/>
  <c r="M223" i="1"/>
  <c r="L223" i="1"/>
  <c r="L155" i="1"/>
  <c r="L240" i="1"/>
  <c r="M191" i="1"/>
  <c r="L191" i="1"/>
  <c r="M100" i="1"/>
  <c r="L100" i="1"/>
  <c r="M55" i="1"/>
  <c r="L55" i="1"/>
  <c r="L136" i="1"/>
  <c r="M83" i="1"/>
  <c r="L83" i="1"/>
  <c r="L60" i="1"/>
  <c r="L209" i="1"/>
  <c r="L225" i="1"/>
  <c r="L58" i="1"/>
  <c r="L72" i="1"/>
  <c r="L86" i="1"/>
  <c r="M37" i="1"/>
  <c r="L37" i="1"/>
  <c r="L75" i="1"/>
  <c r="M250" i="1"/>
  <c r="L250" i="1"/>
  <c r="L38" i="1"/>
  <c r="M201" i="1"/>
  <c r="L201" i="1"/>
  <c r="L166" i="1"/>
  <c r="L73" i="1"/>
  <c r="L47" i="1"/>
  <c r="L41" i="1"/>
  <c r="L207" i="1"/>
  <c r="M135" i="1"/>
  <c r="L135" i="1"/>
  <c r="M184" i="1"/>
  <c r="L184" i="1"/>
  <c r="L246" i="1"/>
  <c r="L57" i="1"/>
  <c r="L238" i="1"/>
  <c r="L28" i="1"/>
  <c r="L82" i="1"/>
  <c r="L112" i="1"/>
  <c r="M99" i="1"/>
  <c r="L99" i="1"/>
  <c r="M114" i="1"/>
  <c r="L114" i="1"/>
  <c r="M152" i="1"/>
  <c r="L152" i="1"/>
  <c r="M162" i="1"/>
  <c r="L162" i="1"/>
  <c r="M23" i="1"/>
  <c r="L23" i="1"/>
  <c r="M146" i="1"/>
  <c r="L146" i="1"/>
  <c r="M228" i="1"/>
  <c r="L228" i="1"/>
  <c r="M149" i="1"/>
  <c r="L149" i="1"/>
  <c r="M144" i="1"/>
  <c r="L144" i="1"/>
  <c r="L106" i="1"/>
  <c r="M122" i="1"/>
  <c r="L122" i="1"/>
  <c r="M180" i="1"/>
  <c r="L180" i="1"/>
  <c r="M61" i="1"/>
  <c r="L61" i="1"/>
  <c r="M211" i="1"/>
  <c r="L211" i="1"/>
  <c r="M108" i="1"/>
  <c r="L108" i="1"/>
  <c r="M249" i="1"/>
  <c r="L249" i="1"/>
  <c r="M66" i="1"/>
  <c r="L66" i="1"/>
  <c r="M219" i="1"/>
  <c r="L219" i="1"/>
  <c r="M186" i="1"/>
  <c r="L186" i="1"/>
  <c r="M181" i="1"/>
  <c r="L181" i="1"/>
  <c r="M120" i="1"/>
  <c r="L120" i="1"/>
  <c r="M242" i="1"/>
  <c r="L242" i="1"/>
  <c r="M116" i="1"/>
  <c r="L116" i="1"/>
  <c r="M128" i="1"/>
  <c r="L128" i="1"/>
  <c r="M46" i="1"/>
  <c r="L46" i="1"/>
  <c r="M117" i="1"/>
  <c r="L117" i="1"/>
  <c r="M212" i="1"/>
  <c r="L212" i="1"/>
  <c r="M182" i="1"/>
  <c r="L182" i="1"/>
  <c r="M31" i="1"/>
  <c r="L31" i="1"/>
  <c r="M221" i="1"/>
  <c r="L221" i="1"/>
  <c r="M137" i="1"/>
  <c r="L137" i="1"/>
  <c r="M87" i="1"/>
  <c r="L87" i="1"/>
  <c r="M156" i="1"/>
  <c r="L156" i="1"/>
  <c r="M107" i="1"/>
  <c r="L107" i="1"/>
  <c r="L233" i="1"/>
  <c r="M145" i="1"/>
  <c r="L145" i="1"/>
  <c r="M77" i="1"/>
  <c r="L77" i="1"/>
  <c r="M178" i="1"/>
  <c r="L178" i="1"/>
  <c r="L204" i="1"/>
  <c r="M141" i="1"/>
  <c r="L141" i="1"/>
  <c r="M130" i="1"/>
  <c r="L130" i="1"/>
  <c r="M27" i="1"/>
  <c r="L27" i="1"/>
  <c r="L39" i="1"/>
  <c r="M129" i="1"/>
  <c r="L129" i="1"/>
  <c r="M89" i="1"/>
  <c r="L89" i="1"/>
  <c r="L193" i="1"/>
  <c r="M163" i="1"/>
  <c r="L163" i="1"/>
  <c r="M63" i="1"/>
  <c r="L63" i="1"/>
  <c r="M65" i="1"/>
  <c r="L65" i="1"/>
  <c r="M44" i="1"/>
  <c r="L44" i="1"/>
  <c r="M64" i="1"/>
  <c r="L64" i="1"/>
  <c r="L109" i="1"/>
  <c r="L198" i="1"/>
  <c r="L50" i="1"/>
  <c r="M154" i="1"/>
  <c r="L154" i="1"/>
  <c r="M159" i="1"/>
  <c r="L159" i="1"/>
  <c r="L71" i="1"/>
  <c r="L138" i="1"/>
  <c r="L93" i="1"/>
  <c r="L105" i="1"/>
  <c r="M22" i="1"/>
  <c r="L22" i="1"/>
  <c r="L244" i="1"/>
  <c r="M121" i="1"/>
  <c r="L121" i="1"/>
  <c r="M200" i="1"/>
  <c r="L200" i="1"/>
  <c r="M142" i="1"/>
  <c r="L142" i="1"/>
  <c r="M85" i="1"/>
  <c r="L85" i="1"/>
  <c r="M96" i="1"/>
  <c r="L96" i="1"/>
  <c r="M88" i="1"/>
  <c r="L88" i="1"/>
  <c r="M40" i="1"/>
  <c r="L40" i="1"/>
  <c r="M125" i="1"/>
  <c r="L125" i="1"/>
  <c r="M140" i="1"/>
  <c r="L140" i="1"/>
  <c r="M102" i="1"/>
  <c r="L102" i="1"/>
  <c r="M133" i="1"/>
  <c r="L133" i="1"/>
  <c r="L35" i="1"/>
  <c r="M171" i="1"/>
  <c r="L171" i="1"/>
  <c r="L111" i="1"/>
  <c r="M97" i="1"/>
  <c r="L97" i="1"/>
  <c r="L230" i="1"/>
  <c r="M226" i="1"/>
  <c r="L226" i="1"/>
  <c r="M80" i="1"/>
  <c r="L80" i="1"/>
  <c r="M139" i="1"/>
  <c r="L139" i="1"/>
  <c r="M164" i="1"/>
  <c r="L164" i="1"/>
  <c r="M205" i="1"/>
  <c r="L205" i="1"/>
  <c r="M158" i="1"/>
  <c r="L158" i="1"/>
  <c r="L95" i="1"/>
  <c r="M127" i="1"/>
  <c r="L127" i="1"/>
  <c r="M176" i="1"/>
  <c r="L176" i="1"/>
  <c r="M173" i="1"/>
  <c r="L173" i="1"/>
  <c r="M29" i="1"/>
  <c r="L29" i="1"/>
  <c r="M192" i="1"/>
  <c r="L192" i="1"/>
  <c r="M217" i="1"/>
  <c r="L217" i="1"/>
  <c r="M215" i="1"/>
  <c r="L215" i="1"/>
  <c r="M227" i="1"/>
  <c r="L227" i="1"/>
  <c r="M175" i="1"/>
  <c r="L175" i="1"/>
  <c r="M237" i="1"/>
  <c r="L237" i="1"/>
  <c r="M91" i="1"/>
  <c r="L91" i="1"/>
  <c r="M26" i="1"/>
  <c r="L26" i="1"/>
  <c r="L190" i="1"/>
  <c r="L202" i="1"/>
  <c r="M147" i="1"/>
  <c r="L147" i="1"/>
  <c r="M113" i="1"/>
  <c r="L113" i="1"/>
  <c r="M132" i="1"/>
  <c r="L132" i="1"/>
  <c r="M32" i="1"/>
  <c r="L32" i="1"/>
  <c r="M170" i="1"/>
  <c r="L170" i="1"/>
  <c r="L67" i="1"/>
  <c r="L36" i="1"/>
  <c r="M213" i="1"/>
  <c r="L213" i="1"/>
  <c r="M187" i="1"/>
  <c r="L187" i="1"/>
  <c r="M160" i="1"/>
  <c r="L160" i="1"/>
  <c r="M34" i="1"/>
  <c r="L34" i="1"/>
  <c r="L104" i="1"/>
  <c r="M179" i="1"/>
  <c r="L179" i="1"/>
  <c r="L151" i="1"/>
  <c r="L189" i="1"/>
  <c r="L165" i="1"/>
  <c r="L90" i="1"/>
  <c r="L218" i="1"/>
  <c r="M153" i="1"/>
  <c r="L153" i="1"/>
  <c r="L251" i="1"/>
  <c r="L148" i="1"/>
  <c r="L196" i="1"/>
  <c r="L252" i="1"/>
  <c r="L236" i="1"/>
  <c r="L134" i="1"/>
  <c r="L229" i="1"/>
  <c r="M216" i="1"/>
  <c r="L216" i="1"/>
  <c r="L183" i="1"/>
  <c r="L234" i="1"/>
  <c r="L56" i="1"/>
  <c r="L199" i="1"/>
  <c r="L161" i="1"/>
  <c r="L248" i="1"/>
  <c r="L197" i="1"/>
  <c r="M94" i="1"/>
  <c r="L94" i="1"/>
  <c r="L110" i="1"/>
  <c r="M42" i="1"/>
  <c r="L42" i="1"/>
  <c r="M208" i="1"/>
  <c r="L208" i="1"/>
  <c r="L231" i="1"/>
  <c r="M81" i="1"/>
  <c r="L81" i="1"/>
  <c r="M45" i="1"/>
  <c r="L45" i="1"/>
  <c r="M185" i="1"/>
  <c r="L185" i="1"/>
  <c r="M25" i="1"/>
  <c r="L25" i="1"/>
  <c r="M69" i="1"/>
  <c r="L69" i="1"/>
  <c r="M224" i="1"/>
  <c r="L224" i="1"/>
  <c r="M33" i="1"/>
  <c r="L33" i="1"/>
  <c r="L232" i="1"/>
  <c r="L241" i="1"/>
  <c r="L243" i="1"/>
  <c r="M119" i="1"/>
  <c r="L119" i="1"/>
  <c r="M118" i="1"/>
  <c r="L118" i="1"/>
  <c r="L169" i="1"/>
  <c r="L131" i="1"/>
  <c r="M52" i="1"/>
  <c r="L52" i="1"/>
  <c r="M62" i="1"/>
  <c r="L62" i="1"/>
  <c r="M98" i="1"/>
  <c r="L98" i="1"/>
  <c r="M157" i="1"/>
  <c r="L157" i="1"/>
  <c r="L174" i="1"/>
  <c r="M195" i="1"/>
  <c r="L195" i="1"/>
  <c r="M101" i="1"/>
  <c r="L101" i="1"/>
  <c r="M53" i="1"/>
  <c r="L53" i="1"/>
  <c r="L76" i="1"/>
  <c r="M247" i="1"/>
  <c r="L247" i="1"/>
  <c r="M143" i="1"/>
  <c r="L143" i="1"/>
  <c r="M49" i="1"/>
  <c r="L49" i="1"/>
  <c r="L194" i="1"/>
  <c r="M24" i="1"/>
  <c r="L24" i="1"/>
  <c r="M70" i="1"/>
  <c r="L70" i="1"/>
  <c r="M239" i="1"/>
  <c r="L239" i="1"/>
  <c r="M30" i="1"/>
  <c r="L30" i="1"/>
  <c r="L124" i="1"/>
  <c r="L74" i="1"/>
  <c r="M126" i="1"/>
  <c r="L126" i="1"/>
  <c r="M92" i="1"/>
  <c r="L92" i="1"/>
  <c r="L79" i="1"/>
  <c r="M123" i="1"/>
  <c r="L123" i="1"/>
  <c r="M84" i="1"/>
  <c r="L84" i="1"/>
  <c r="L115" i="1"/>
  <c r="L172" i="1"/>
  <c r="L167" i="1"/>
  <c r="L203" i="1"/>
  <c r="M222" i="1"/>
  <c r="L222" i="1"/>
  <c r="L168" i="1"/>
  <c r="L245" i="1"/>
  <c r="L68" i="1"/>
  <c r="L78" i="1"/>
  <c r="L177" i="1"/>
  <c r="M214" i="1"/>
  <c r="L214" i="1"/>
  <c r="M169" i="1"/>
  <c r="M202" i="1"/>
  <c r="M111" i="1"/>
  <c r="M76" i="1"/>
  <c r="M194" i="1"/>
  <c r="M112" i="1"/>
  <c r="M43" i="1"/>
  <c r="M235" i="1"/>
  <c r="M155" i="1"/>
  <c r="M220" i="1"/>
  <c r="M59" i="1"/>
  <c r="M210" i="1"/>
  <c r="M206" i="1"/>
  <c r="M54" i="1"/>
  <c r="M231" i="1"/>
  <c r="M103" i="1"/>
  <c r="M48" i="1"/>
  <c r="M188" i="1"/>
  <c r="M150" i="1"/>
  <c r="M240" i="1"/>
  <c r="M136" i="1"/>
  <c r="M60" i="1"/>
  <c r="M209" i="1"/>
  <c r="M225" i="1"/>
  <c r="M58" i="1"/>
  <c r="M72" i="1"/>
  <c r="M86" i="1"/>
  <c r="M75" i="1"/>
  <c r="M38" i="1"/>
  <c r="M166" i="1"/>
  <c r="M73" i="1"/>
  <c r="M47" i="1"/>
  <c r="M41" i="1"/>
  <c r="M207" i="1"/>
  <c r="M246" i="1"/>
  <c r="M57" i="1"/>
  <c r="M238" i="1"/>
  <c r="M28" i="1"/>
  <c r="M82" i="1"/>
  <c r="M106" i="1"/>
  <c r="M243" i="1"/>
  <c r="M233" i="1"/>
  <c r="M204" i="1"/>
  <c r="M39" i="1"/>
  <c r="M193" i="1"/>
  <c r="M109" i="1"/>
  <c r="M198" i="1"/>
  <c r="M50" i="1"/>
  <c r="M71" i="1"/>
  <c r="M138" i="1"/>
  <c r="M93" i="1"/>
  <c r="M105" i="1"/>
  <c r="M244" i="1"/>
  <c r="M131" i="1"/>
  <c r="M230" i="1"/>
  <c r="M174" i="1"/>
  <c r="M51" i="1"/>
  <c r="M95" i="1"/>
  <c r="M232" i="1"/>
  <c r="M241" i="1"/>
  <c r="M35" i="1"/>
  <c r="M67" i="1"/>
  <c r="M36" i="1"/>
  <c r="M104" i="1"/>
  <c r="M151" i="1"/>
  <c r="M189" i="1"/>
  <c r="M165" i="1"/>
  <c r="M90" i="1"/>
  <c r="M218" i="1"/>
  <c r="M251" i="1"/>
  <c r="M148" i="1"/>
  <c r="M196" i="1"/>
  <c r="M252" i="1"/>
  <c r="M236" i="1"/>
  <c r="M134" i="1"/>
  <c r="M229" i="1"/>
  <c r="M183" i="1"/>
  <c r="M234" i="1"/>
  <c r="M56" i="1"/>
  <c r="M199" i="1"/>
  <c r="M161" i="1"/>
  <c r="M248" i="1"/>
  <c r="M197" i="1"/>
  <c r="M110" i="1"/>
  <c r="M190" i="1"/>
  <c r="M124" i="1"/>
  <c r="M74" i="1"/>
  <c r="M79" i="1"/>
  <c r="M115" i="1"/>
  <c r="M172" i="1"/>
  <c r="M167" i="1"/>
  <c r="M203" i="1"/>
  <c r="M168" i="1"/>
  <c r="M245" i="1"/>
  <c r="M68" i="1"/>
  <c r="M78" i="1"/>
  <c r="M177" i="1"/>
  <c r="P156" i="1"/>
  <c r="O156" i="1"/>
  <c r="P204" i="1"/>
  <c r="O204" i="1"/>
  <c r="P227" i="1"/>
  <c r="O227" i="1"/>
  <c r="P16" i="1"/>
  <c r="O16" i="1"/>
  <c r="P71" i="1"/>
  <c r="O71" i="1"/>
  <c r="P9" i="1"/>
  <c r="O9" i="1"/>
  <c r="P43" i="1"/>
  <c r="O43" i="1"/>
  <c r="P189" i="1"/>
  <c r="O189" i="1"/>
  <c r="P252" i="1"/>
  <c r="O252" i="1"/>
  <c r="P22" i="1"/>
  <c r="O22" i="1"/>
  <c r="P31" i="1"/>
  <c r="O31" i="1"/>
  <c r="P101" i="1"/>
  <c r="O101" i="1"/>
  <c r="P159" i="1"/>
  <c r="O159" i="1"/>
  <c r="P94" i="1"/>
  <c r="O94" i="1"/>
  <c r="P39" i="1"/>
  <c r="O39" i="1"/>
  <c r="P193" i="1"/>
  <c r="O193" i="1"/>
  <c r="P146" i="1"/>
  <c r="O146" i="1"/>
  <c r="P20" i="1"/>
  <c r="O20" i="1"/>
  <c r="P164" i="1"/>
  <c r="O164" i="1"/>
  <c r="P30" i="1"/>
  <c r="O30" i="1"/>
  <c r="P188" i="1"/>
  <c r="O188" i="1"/>
  <c r="P89" i="1"/>
  <c r="O89" i="1"/>
  <c r="P249" i="1"/>
  <c r="O249" i="1"/>
  <c r="P127" i="1"/>
  <c r="O127" i="1"/>
  <c r="P38" i="1"/>
  <c r="O38" i="1"/>
  <c r="P160" i="1"/>
  <c r="O160" i="1"/>
  <c r="P230" i="1"/>
  <c r="O230" i="1"/>
  <c r="P107" i="1"/>
  <c r="O107" i="1"/>
  <c r="P78" i="1"/>
  <c r="O78" i="1"/>
  <c r="P220" i="1"/>
  <c r="O220" i="1"/>
  <c r="P182" i="1"/>
  <c r="O182" i="1"/>
  <c r="P175" i="1"/>
  <c r="O175" i="1"/>
  <c r="P126" i="1"/>
  <c r="O126" i="1"/>
  <c r="P53" i="1"/>
  <c r="O53" i="1"/>
  <c r="P167" i="1"/>
  <c r="O167" i="1"/>
  <c r="P142" i="1"/>
  <c r="O142" i="1"/>
  <c r="P133" i="1"/>
  <c r="O133" i="1"/>
  <c r="P231" i="1"/>
  <c r="O231" i="1"/>
  <c r="P14" i="1"/>
  <c r="O14" i="1"/>
  <c r="P15" i="1"/>
  <c r="O15" i="1"/>
  <c r="P171" i="1"/>
  <c r="O171" i="1"/>
  <c r="P212" i="1"/>
  <c r="O212" i="1"/>
  <c r="P82" i="1"/>
  <c r="O82" i="1"/>
  <c r="P244" i="1"/>
  <c r="O244" i="1"/>
  <c r="P235" i="1"/>
  <c r="O235" i="1"/>
  <c r="P97" i="1"/>
  <c r="O97" i="1"/>
  <c r="P120" i="1"/>
  <c r="O120" i="1"/>
  <c r="P67" i="1"/>
  <c r="O67" i="1"/>
  <c r="P73" i="1"/>
  <c r="O73" i="1"/>
  <c r="P41" i="1"/>
  <c r="O41" i="1"/>
  <c r="P110" i="1"/>
  <c r="O110" i="1"/>
  <c r="P28" i="1"/>
  <c r="O28" i="1"/>
  <c r="P117" i="1"/>
  <c r="O117" i="1"/>
  <c r="P33" i="1"/>
  <c r="O33" i="1"/>
  <c r="P103" i="1"/>
  <c r="O103" i="1"/>
  <c r="P214" i="1"/>
  <c r="O214" i="1"/>
  <c r="P17" i="1"/>
  <c r="O17" i="1"/>
  <c r="P6" i="1"/>
  <c r="O6" i="1"/>
  <c r="P100" i="1"/>
  <c r="O100" i="1"/>
  <c r="P90" i="1"/>
  <c r="O90" i="1"/>
  <c r="P150" i="1"/>
  <c r="O150" i="1"/>
  <c r="P121" i="1"/>
  <c r="O121" i="1"/>
  <c r="P108" i="1"/>
  <c r="O108" i="1"/>
  <c r="P25" i="1"/>
  <c r="O25" i="1"/>
  <c r="P232" i="1"/>
  <c r="O232" i="1"/>
  <c r="P181" i="1"/>
  <c r="O181" i="1"/>
  <c r="P111" i="1"/>
  <c r="O111" i="1"/>
  <c r="P240" i="1"/>
  <c r="O240" i="1"/>
  <c r="P86" i="1"/>
  <c r="O86" i="1"/>
  <c r="P173" i="1"/>
  <c r="O173" i="1"/>
  <c r="P92" i="1"/>
  <c r="O92" i="1"/>
  <c r="P119" i="1"/>
  <c r="O119" i="1"/>
  <c r="P184" i="1"/>
  <c r="O184" i="1"/>
  <c r="P49" i="1"/>
  <c r="O49" i="1"/>
  <c r="P236" i="1"/>
  <c r="O236" i="1"/>
  <c r="P209" i="1"/>
  <c r="O209" i="1"/>
  <c r="P79" i="1"/>
  <c r="O79" i="1"/>
  <c r="P69" i="1"/>
  <c r="O69" i="1"/>
  <c r="P7" i="1"/>
  <c r="O7" i="1"/>
  <c r="P203" i="1"/>
  <c r="O203" i="1"/>
  <c r="P162" i="1"/>
  <c r="O162" i="1"/>
  <c r="P29" i="1"/>
  <c r="O29" i="1"/>
  <c r="P68" i="1"/>
  <c r="O68" i="1"/>
  <c r="P35" i="1"/>
  <c r="O35" i="1"/>
  <c r="P51" i="1"/>
  <c r="O51" i="1"/>
  <c r="P132" i="1"/>
  <c r="O132" i="1"/>
  <c r="P34" i="1"/>
  <c r="O34" i="1"/>
  <c r="P225" i="1"/>
  <c r="O225" i="1"/>
  <c r="P226" i="1"/>
  <c r="O226" i="1"/>
  <c r="P138" i="1"/>
  <c r="O138" i="1"/>
  <c r="P134" i="1"/>
  <c r="O134" i="1"/>
  <c r="P88" i="1"/>
  <c r="O88" i="1"/>
  <c r="P54" i="1"/>
  <c r="O54" i="1"/>
  <c r="P155" i="1"/>
  <c r="O155" i="1"/>
  <c r="P19" i="1"/>
  <c r="O19" i="1"/>
  <c r="P63" i="1"/>
  <c r="O63" i="1"/>
  <c r="P40" i="1"/>
  <c r="O40" i="1"/>
  <c r="P46" i="1"/>
  <c r="O46" i="1"/>
  <c r="P170" i="1"/>
  <c r="O170" i="1"/>
  <c r="P197" i="1"/>
  <c r="O197" i="1"/>
  <c r="P141" i="1"/>
  <c r="O141" i="1"/>
  <c r="P210" i="1"/>
  <c r="O210" i="1"/>
  <c r="P246" i="1"/>
  <c r="O246" i="1"/>
  <c r="P36" i="1"/>
  <c r="O36" i="1"/>
  <c r="P147" i="1"/>
  <c r="O147" i="1"/>
  <c r="P185" i="1"/>
  <c r="O185" i="1"/>
  <c r="P105" i="1"/>
  <c r="O105" i="1"/>
  <c r="P21" i="1"/>
  <c r="O21" i="1"/>
  <c r="P140" i="1"/>
  <c r="O140" i="1"/>
  <c r="P198" i="1"/>
  <c r="O198" i="1"/>
  <c r="P84" i="1"/>
  <c r="O84" i="1"/>
  <c r="P93" i="1"/>
  <c r="O93" i="1"/>
  <c r="P206" i="1"/>
  <c r="O206" i="1"/>
  <c r="P98" i="1"/>
  <c r="O98" i="1"/>
  <c r="P207" i="1"/>
  <c r="O207" i="1"/>
  <c r="P115" i="1"/>
  <c r="O115" i="1"/>
  <c r="P222" i="1"/>
  <c r="O222" i="1"/>
  <c r="P196" i="1"/>
  <c r="O196" i="1"/>
  <c r="P123" i="1"/>
  <c r="O123" i="1"/>
  <c r="P238" i="1"/>
  <c r="O238" i="1"/>
  <c r="P217" i="1"/>
  <c r="O217" i="1"/>
  <c r="P165" i="1"/>
  <c r="O165" i="1"/>
  <c r="P168" i="1"/>
  <c r="O168" i="1"/>
  <c r="P114" i="1"/>
  <c r="O114" i="1"/>
  <c r="P233" i="1"/>
  <c r="O233" i="1"/>
  <c r="P251" i="1"/>
  <c r="O251" i="1"/>
  <c r="P137" i="1"/>
  <c r="O137" i="1"/>
  <c r="P152" i="1"/>
  <c r="O152" i="1"/>
  <c r="P186" i="1"/>
  <c r="O186" i="1"/>
  <c r="P32" i="1"/>
  <c r="O32" i="1"/>
  <c r="P218" i="1"/>
  <c r="O218" i="1"/>
  <c r="P179" i="1"/>
  <c r="O179" i="1"/>
  <c r="P112" i="1"/>
  <c r="O112" i="1"/>
  <c r="P81" i="1"/>
  <c r="O81" i="1"/>
  <c r="P131" i="1"/>
  <c r="O131" i="1"/>
  <c r="P223" i="1"/>
  <c r="O223" i="1"/>
  <c r="P57" i="1"/>
  <c r="O57" i="1"/>
  <c r="P48" i="1"/>
  <c r="O48" i="1"/>
  <c r="P166" i="1"/>
  <c r="O166" i="1"/>
  <c r="P191" i="1"/>
  <c r="O191" i="1"/>
  <c r="P199" i="1"/>
  <c r="O199" i="1"/>
  <c r="P4" i="1"/>
  <c r="O4" i="1"/>
  <c r="P205" i="1"/>
  <c r="O205" i="1"/>
  <c r="P228" i="1"/>
  <c r="O228" i="1"/>
  <c r="P58" i="1"/>
  <c r="O58" i="1"/>
  <c r="P47" i="1"/>
  <c r="O47" i="1"/>
  <c r="P116" i="1"/>
  <c r="O116" i="1"/>
  <c r="P178" i="1"/>
  <c r="O178" i="1"/>
  <c r="P216" i="1"/>
  <c r="O216" i="1"/>
  <c r="P61" i="1"/>
  <c r="O61" i="1"/>
  <c r="P213" i="1"/>
  <c r="O213" i="1"/>
  <c r="P208" i="1"/>
  <c r="O208" i="1"/>
  <c r="P50" i="1"/>
  <c r="O50" i="1"/>
  <c r="P194" i="1"/>
  <c r="O194" i="1"/>
  <c r="P157" i="1"/>
  <c r="O157" i="1"/>
  <c r="P128" i="1"/>
  <c r="O128" i="1"/>
  <c r="P85" i="1"/>
  <c r="O85" i="1"/>
  <c r="P144" i="1"/>
  <c r="O144" i="1"/>
  <c r="P27" i="1"/>
  <c r="O27" i="1"/>
  <c r="P242" i="1"/>
  <c r="O242" i="1"/>
  <c r="P202" i="1"/>
  <c r="O202" i="1"/>
  <c r="P234" i="1"/>
  <c r="O234" i="1"/>
  <c r="P104" i="1"/>
  <c r="O104" i="1"/>
  <c r="P163" i="1"/>
  <c r="O163" i="1"/>
  <c r="P45" i="1"/>
  <c r="O45" i="1"/>
  <c r="P91" i="1"/>
  <c r="O91" i="1"/>
  <c r="P74" i="1"/>
  <c r="O74" i="1"/>
  <c r="P219" i="1"/>
  <c r="O219" i="1"/>
  <c r="P143" i="1"/>
  <c r="O143" i="1"/>
  <c r="P77" i="1"/>
  <c r="O77" i="1"/>
  <c r="P145" i="1"/>
  <c r="O145" i="1"/>
  <c r="P192" i="1"/>
  <c r="O192" i="1"/>
  <c r="P60" i="1"/>
  <c r="O60" i="1"/>
  <c r="P113" i="1"/>
  <c r="O113" i="1"/>
  <c r="P172" i="1"/>
  <c r="O172" i="1"/>
  <c r="P190" i="1"/>
  <c r="O190" i="1"/>
  <c r="P65" i="1"/>
  <c r="O65" i="1"/>
  <c r="P52" i="1"/>
  <c r="O52" i="1"/>
  <c r="P149" i="1"/>
  <c r="O149" i="1"/>
  <c r="P13" i="1"/>
  <c r="O13" i="1"/>
  <c r="P201" i="1"/>
  <c r="O201" i="1"/>
  <c r="P12" i="1"/>
  <c r="O12" i="1"/>
  <c r="P23" i="1"/>
  <c r="O23" i="1"/>
  <c r="P239" i="1"/>
  <c r="O239" i="1"/>
  <c r="P183" i="1"/>
  <c r="O183" i="1"/>
  <c r="P247" i="1"/>
  <c r="O247" i="1"/>
  <c r="P154" i="1"/>
  <c r="O154" i="1"/>
  <c r="P161" i="1"/>
  <c r="O161" i="1"/>
  <c r="P44" i="1"/>
  <c r="O44" i="1"/>
  <c r="P215" i="1"/>
  <c r="O215" i="1"/>
  <c r="P109" i="1"/>
  <c r="O109" i="1"/>
  <c r="P72" i="1"/>
  <c r="O72" i="1"/>
  <c r="P248" i="1"/>
  <c r="O248" i="1"/>
  <c r="P250" i="1"/>
  <c r="O250" i="1"/>
  <c r="P37" i="1"/>
  <c r="O37" i="1"/>
  <c r="P8" i="1"/>
  <c r="O8" i="1"/>
  <c r="P106" i="1"/>
  <c r="O106" i="1"/>
  <c r="P24" i="1"/>
  <c r="O24" i="1"/>
  <c r="P148" i="1"/>
  <c r="O148" i="1"/>
  <c r="P66" i="1"/>
  <c r="O66" i="1"/>
  <c r="P241" i="1"/>
  <c r="O241" i="1"/>
  <c r="P64" i="1"/>
  <c r="O64" i="1"/>
  <c r="P76" i="1"/>
  <c r="O76" i="1"/>
  <c r="P122" i="1"/>
  <c r="O122" i="1"/>
  <c r="P229" i="1"/>
  <c r="O229" i="1"/>
  <c r="P169" i="1"/>
  <c r="O169" i="1"/>
  <c r="P224" i="1"/>
  <c r="O224" i="1"/>
  <c r="P195" i="1"/>
  <c r="O195" i="1"/>
  <c r="P5" i="1"/>
  <c r="O5" i="1"/>
  <c r="P56" i="1"/>
  <c r="O56" i="1"/>
  <c r="P139" i="1"/>
  <c r="O139" i="1"/>
  <c r="P96" i="1"/>
  <c r="O96" i="1"/>
  <c r="P99" i="1"/>
  <c r="O99" i="1"/>
  <c r="P237" i="1"/>
  <c r="O237" i="1"/>
  <c r="P18" i="1"/>
  <c r="O18" i="1"/>
  <c r="P200" i="1"/>
  <c r="O200" i="1"/>
  <c r="P221" i="1"/>
  <c r="O221" i="1"/>
  <c r="P102" i="1"/>
  <c r="O102" i="1"/>
  <c r="P129" i="1"/>
  <c r="O129" i="1"/>
  <c r="P211" i="1"/>
  <c r="O211" i="1"/>
  <c r="P83" i="1"/>
  <c r="O83" i="1"/>
  <c r="P136" i="1"/>
  <c r="O136" i="1"/>
  <c r="P62" i="1"/>
  <c r="O62" i="1"/>
  <c r="P11" i="1"/>
  <c r="O11" i="1"/>
  <c r="P42" i="1"/>
  <c r="O42" i="1"/>
  <c r="P153" i="1"/>
  <c r="O153" i="1"/>
  <c r="P177" i="1"/>
  <c r="O177" i="1"/>
  <c r="P130" i="1"/>
  <c r="O130" i="1"/>
  <c r="P174" i="1"/>
  <c r="O174" i="1"/>
  <c r="P124" i="1"/>
  <c r="O124" i="1"/>
  <c r="P158" i="1"/>
  <c r="O158" i="1"/>
  <c r="P187" i="1"/>
  <c r="O187" i="1"/>
  <c r="P151" i="1"/>
  <c r="O151" i="1"/>
  <c r="P70" i="1"/>
  <c r="O70" i="1"/>
  <c r="P180" i="1"/>
  <c r="O180" i="1"/>
  <c r="P245" i="1"/>
  <c r="O245" i="1"/>
  <c r="P135" i="1"/>
  <c r="O135" i="1"/>
  <c r="P118" i="1"/>
  <c r="O118" i="1"/>
  <c r="P10" i="1"/>
  <c r="O10" i="1"/>
  <c r="P176" i="1"/>
  <c r="O176" i="1"/>
  <c r="P26" i="1"/>
  <c r="O26" i="1"/>
  <c r="P95" i="1"/>
  <c r="O95" i="1"/>
  <c r="P75" i="1"/>
  <c r="O75" i="1"/>
  <c r="P87" i="1"/>
  <c r="O87" i="1"/>
  <c r="P243" i="1"/>
  <c r="O243" i="1"/>
  <c r="P55" i="1"/>
  <c r="O55" i="1"/>
  <c r="P125" i="1"/>
  <c r="O125" i="1"/>
  <c r="P80" i="1"/>
  <c r="O80" i="1"/>
  <c r="P59" i="1"/>
  <c r="O59" i="1"/>
  <c r="W15" i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F2" i="1"/>
  <c r="P3" i="1"/>
  <c r="O3" i="1"/>
  <c r="L21" i="1"/>
  <c r="M21" i="1"/>
  <c r="Y27" i="1" l="1"/>
  <c r="I217" i="1"/>
  <c r="H217" i="1"/>
  <c r="I233" i="1"/>
  <c r="H233" i="1"/>
  <c r="I38" i="1"/>
  <c r="H38" i="1"/>
  <c r="I205" i="1"/>
  <c r="H205" i="1"/>
  <c r="I77" i="1"/>
  <c r="H77" i="1"/>
  <c r="I207" i="1"/>
  <c r="H207" i="1"/>
  <c r="I180" i="1"/>
  <c r="H180" i="1"/>
  <c r="I116" i="1"/>
  <c r="H116" i="1"/>
  <c r="I52" i="1"/>
  <c r="H52" i="1"/>
  <c r="I227" i="1"/>
  <c r="H227" i="1"/>
  <c r="I163" i="1"/>
  <c r="H163" i="1"/>
  <c r="I99" i="1"/>
  <c r="H99" i="1"/>
  <c r="I35" i="1"/>
  <c r="H35" i="1"/>
  <c r="I193" i="1"/>
  <c r="H193" i="1"/>
  <c r="I129" i="1"/>
  <c r="H129" i="1"/>
  <c r="I65" i="1"/>
  <c r="H65" i="1"/>
  <c r="I234" i="1"/>
  <c r="H234" i="1"/>
  <c r="I208" i="1"/>
  <c r="H208" i="1"/>
  <c r="I144" i="1"/>
  <c r="H144" i="1"/>
  <c r="I80" i="1"/>
  <c r="H80" i="1"/>
  <c r="I16" i="1"/>
  <c r="H16" i="1"/>
  <c r="I247" i="1"/>
  <c r="H247" i="1"/>
  <c r="I151" i="1"/>
  <c r="H151" i="1"/>
  <c r="I87" i="1"/>
  <c r="H87" i="1"/>
  <c r="I23" i="1"/>
  <c r="H23" i="1"/>
  <c r="I231" i="1"/>
  <c r="H231" i="1"/>
  <c r="I102" i="1"/>
  <c r="H102" i="1"/>
  <c r="I22" i="1"/>
  <c r="H22" i="1"/>
  <c r="I240" i="1"/>
  <c r="H240" i="1"/>
  <c r="I86" i="1"/>
  <c r="H86" i="1"/>
  <c r="I189" i="1"/>
  <c r="H189" i="1"/>
  <c r="I125" i="1"/>
  <c r="H125" i="1"/>
  <c r="I61" i="1"/>
  <c r="H61" i="1"/>
  <c r="I226" i="1"/>
  <c r="H226" i="1"/>
  <c r="I206" i="1"/>
  <c r="H206" i="1"/>
  <c r="I228" i="1"/>
  <c r="H228" i="1"/>
  <c r="I164" i="1"/>
  <c r="H164" i="1"/>
  <c r="I100" i="1"/>
  <c r="H100" i="1"/>
  <c r="I36" i="1"/>
  <c r="H36" i="1"/>
  <c r="I241" i="1"/>
  <c r="H241" i="1"/>
  <c r="I211" i="1"/>
  <c r="H211" i="1"/>
  <c r="I147" i="1"/>
  <c r="H147" i="1"/>
  <c r="I83" i="1"/>
  <c r="H83" i="1"/>
  <c r="I19" i="1"/>
  <c r="H19" i="1"/>
  <c r="I58" i="1"/>
  <c r="H58" i="1"/>
  <c r="I96" i="1"/>
  <c r="H96" i="1"/>
  <c r="I50" i="1"/>
  <c r="H50" i="1"/>
  <c r="I39" i="1"/>
  <c r="H39" i="1"/>
  <c r="I57" i="1"/>
  <c r="H57" i="1"/>
  <c r="I215" i="1"/>
  <c r="H215" i="1"/>
  <c r="I79" i="1"/>
  <c r="H79" i="1"/>
  <c r="I15" i="1"/>
  <c r="H15" i="1"/>
  <c r="I14" i="1"/>
  <c r="H14" i="1"/>
  <c r="I182" i="1"/>
  <c r="H182" i="1"/>
  <c r="I92" i="1"/>
  <c r="H92" i="1"/>
  <c r="I139" i="1"/>
  <c r="H139" i="1"/>
  <c r="I194" i="1"/>
  <c r="H194" i="1"/>
  <c r="I113" i="1"/>
  <c r="H113" i="1"/>
  <c r="I49" i="1"/>
  <c r="H49" i="1"/>
  <c r="I122" i="1"/>
  <c r="H122" i="1"/>
  <c r="I192" i="1"/>
  <c r="H192" i="1"/>
  <c r="I128" i="1"/>
  <c r="H128" i="1"/>
  <c r="I64" i="1"/>
  <c r="H64" i="1"/>
  <c r="I242" i="1"/>
  <c r="H242" i="1"/>
  <c r="I199" i="1"/>
  <c r="H199" i="1"/>
  <c r="I135" i="1"/>
  <c r="H135" i="1"/>
  <c r="I71" i="1"/>
  <c r="H71" i="1"/>
  <c r="I7" i="1"/>
  <c r="H7" i="1"/>
  <c r="I198" i="1"/>
  <c r="H198" i="1"/>
  <c r="I70" i="1"/>
  <c r="H70" i="1"/>
  <c r="I6" i="1"/>
  <c r="H6" i="1"/>
  <c r="I246" i="1"/>
  <c r="H246" i="1"/>
  <c r="I237" i="1"/>
  <c r="H237" i="1"/>
  <c r="I173" i="1"/>
  <c r="H173" i="1"/>
  <c r="I109" i="1"/>
  <c r="H109" i="1"/>
  <c r="I45" i="1"/>
  <c r="H45" i="1"/>
  <c r="I98" i="1"/>
  <c r="H98" i="1"/>
  <c r="I158" i="1"/>
  <c r="H158" i="1"/>
  <c r="I212" i="1"/>
  <c r="H212" i="1"/>
  <c r="I148" i="1"/>
  <c r="H148" i="1"/>
  <c r="I84" i="1"/>
  <c r="H84" i="1"/>
  <c r="I20" i="1"/>
  <c r="H20" i="1"/>
  <c r="I239" i="1"/>
  <c r="H239" i="1"/>
  <c r="I195" i="1"/>
  <c r="H195" i="1"/>
  <c r="I131" i="1"/>
  <c r="H131" i="1"/>
  <c r="I67" i="1"/>
  <c r="H67" i="1"/>
  <c r="I3" i="1"/>
  <c r="H3" i="1"/>
  <c r="I145" i="1"/>
  <c r="H145" i="1"/>
  <c r="I17" i="1"/>
  <c r="H17" i="1"/>
  <c r="I185" i="1"/>
  <c r="H185" i="1"/>
  <c r="I136" i="1"/>
  <c r="H136" i="1"/>
  <c r="I223" i="1"/>
  <c r="H223" i="1"/>
  <c r="I181" i="1"/>
  <c r="H181" i="1"/>
  <c r="I53" i="1"/>
  <c r="H53" i="1"/>
  <c r="I156" i="1"/>
  <c r="H156" i="1"/>
  <c r="I28" i="1"/>
  <c r="H28" i="1"/>
  <c r="I75" i="1"/>
  <c r="H75" i="1"/>
  <c r="I146" i="1"/>
  <c r="H146" i="1"/>
  <c r="I184" i="1"/>
  <c r="H184" i="1"/>
  <c r="I56" i="1"/>
  <c r="H56" i="1"/>
  <c r="I127" i="1"/>
  <c r="H127" i="1"/>
  <c r="I63" i="1"/>
  <c r="H63" i="1"/>
  <c r="I222" i="1"/>
  <c r="H222" i="1"/>
  <c r="I101" i="1"/>
  <c r="H101" i="1"/>
  <c r="I134" i="1"/>
  <c r="H134" i="1"/>
  <c r="I140" i="1"/>
  <c r="H140" i="1"/>
  <c r="I12" i="1"/>
  <c r="H12" i="1"/>
  <c r="I187" i="1"/>
  <c r="H187" i="1"/>
  <c r="I123" i="1"/>
  <c r="H123" i="1"/>
  <c r="I59" i="1"/>
  <c r="H59" i="1"/>
  <c r="I81" i="1"/>
  <c r="H81" i="1"/>
  <c r="I167" i="1"/>
  <c r="H167" i="1"/>
  <c r="I121" i="1"/>
  <c r="H121" i="1"/>
  <c r="I178" i="1"/>
  <c r="H178" i="1"/>
  <c r="I72" i="1"/>
  <c r="H72" i="1"/>
  <c r="I8" i="1"/>
  <c r="H8" i="1"/>
  <c r="I238" i="1"/>
  <c r="H238" i="1"/>
  <c r="I245" i="1"/>
  <c r="H245" i="1"/>
  <c r="I117" i="1"/>
  <c r="H117" i="1"/>
  <c r="I220" i="1"/>
  <c r="H220" i="1"/>
  <c r="I232" i="1"/>
  <c r="H232" i="1"/>
  <c r="I11" i="1"/>
  <c r="H11" i="1"/>
  <c r="I177" i="1"/>
  <c r="H177" i="1"/>
  <c r="I105" i="1"/>
  <c r="H105" i="1"/>
  <c r="I41" i="1"/>
  <c r="H41" i="1"/>
  <c r="I120" i="1"/>
  <c r="H120" i="1"/>
  <c r="I191" i="1"/>
  <c r="H191" i="1"/>
  <c r="I174" i="1"/>
  <c r="H174" i="1"/>
  <c r="I62" i="1"/>
  <c r="H62" i="1"/>
  <c r="I229" i="1"/>
  <c r="H229" i="1"/>
  <c r="I37" i="1"/>
  <c r="H37" i="1"/>
  <c r="I34" i="1"/>
  <c r="H34" i="1"/>
  <c r="I251" i="1"/>
  <c r="H251" i="1"/>
  <c r="I114" i="1"/>
  <c r="H114" i="1"/>
  <c r="I97" i="1"/>
  <c r="H97" i="1"/>
  <c r="I33" i="1"/>
  <c r="H33" i="1"/>
  <c r="I66" i="1"/>
  <c r="H66" i="1"/>
  <c r="I112" i="1"/>
  <c r="H112" i="1"/>
  <c r="I130" i="1"/>
  <c r="H130" i="1"/>
  <c r="I119" i="1"/>
  <c r="H119" i="1"/>
  <c r="I138" i="1"/>
  <c r="H138" i="1"/>
  <c r="I54" i="1"/>
  <c r="H54" i="1"/>
  <c r="I162" i="1"/>
  <c r="H162" i="1"/>
  <c r="I221" i="1"/>
  <c r="H221" i="1"/>
  <c r="I209" i="1"/>
  <c r="H209" i="1"/>
  <c r="I196" i="1"/>
  <c r="H196" i="1"/>
  <c r="I68" i="1"/>
  <c r="H68" i="1"/>
  <c r="I4" i="1"/>
  <c r="H4" i="1"/>
  <c r="I179" i="1"/>
  <c r="H179" i="1"/>
  <c r="I115" i="1"/>
  <c r="H115" i="1"/>
  <c r="I51" i="1"/>
  <c r="H51" i="1"/>
  <c r="I250" i="1"/>
  <c r="H250" i="1"/>
  <c r="I200" i="1"/>
  <c r="H200" i="1"/>
  <c r="I143" i="1"/>
  <c r="H143" i="1"/>
  <c r="I78" i="1"/>
  <c r="H78" i="1"/>
  <c r="I170" i="1"/>
  <c r="H170" i="1"/>
  <c r="I203" i="1"/>
  <c r="H203" i="1"/>
  <c r="I169" i="1"/>
  <c r="H169" i="1"/>
  <c r="I90" i="1"/>
  <c r="H90" i="1"/>
  <c r="I186" i="1"/>
  <c r="H186" i="1"/>
  <c r="I210" i="1"/>
  <c r="H210" i="1"/>
  <c r="I202" i="1"/>
  <c r="H202" i="1"/>
  <c r="I165" i="1"/>
  <c r="H165" i="1"/>
  <c r="I204" i="1"/>
  <c r="H204" i="1"/>
  <c r="I76" i="1"/>
  <c r="H76" i="1"/>
  <c r="I161" i="1"/>
  <c r="H161" i="1"/>
  <c r="I176" i="1"/>
  <c r="H176" i="1"/>
  <c r="I48" i="1"/>
  <c r="H48" i="1"/>
  <c r="I183" i="1"/>
  <c r="H183" i="1"/>
  <c r="I55" i="1"/>
  <c r="H55" i="1"/>
  <c r="I150" i="1"/>
  <c r="H150" i="1"/>
  <c r="I214" i="1"/>
  <c r="H214" i="1"/>
  <c r="I157" i="1"/>
  <c r="H157" i="1"/>
  <c r="I93" i="1"/>
  <c r="H93" i="1"/>
  <c r="I29" i="1"/>
  <c r="H29" i="1"/>
  <c r="I94" i="1"/>
  <c r="H94" i="1"/>
  <c r="I132" i="1"/>
  <c r="H132" i="1"/>
  <c r="I243" i="1"/>
  <c r="H243" i="1"/>
  <c r="I74" i="1"/>
  <c r="H74" i="1"/>
  <c r="I153" i="1"/>
  <c r="H153" i="1"/>
  <c r="I89" i="1"/>
  <c r="H89" i="1"/>
  <c r="I25" i="1"/>
  <c r="H25" i="1"/>
  <c r="I10" i="1"/>
  <c r="H10" i="1"/>
  <c r="I168" i="1"/>
  <c r="H168" i="1"/>
  <c r="I104" i="1"/>
  <c r="H104" i="1"/>
  <c r="I40" i="1"/>
  <c r="H40" i="1"/>
  <c r="I82" i="1"/>
  <c r="H82" i="1"/>
  <c r="I175" i="1"/>
  <c r="H175" i="1"/>
  <c r="I111" i="1"/>
  <c r="H111" i="1"/>
  <c r="I47" i="1"/>
  <c r="H47" i="1"/>
  <c r="I42" i="1"/>
  <c r="H42" i="1"/>
  <c r="I126" i="1"/>
  <c r="H126" i="1"/>
  <c r="I46" i="1"/>
  <c r="H46" i="1"/>
  <c r="I106" i="1"/>
  <c r="H106" i="1"/>
  <c r="I190" i="1"/>
  <c r="H190" i="1"/>
  <c r="I213" i="1"/>
  <c r="H213" i="1"/>
  <c r="I149" i="1"/>
  <c r="H149" i="1"/>
  <c r="I85" i="1"/>
  <c r="H85" i="1"/>
  <c r="I21" i="1"/>
  <c r="H21" i="1"/>
  <c r="I224" i="1"/>
  <c r="H224" i="1"/>
  <c r="I252" i="1"/>
  <c r="H252" i="1"/>
  <c r="I188" i="1"/>
  <c r="H188" i="1"/>
  <c r="I124" i="1"/>
  <c r="H124" i="1"/>
  <c r="I60" i="1"/>
  <c r="H60" i="1"/>
  <c r="I218" i="1"/>
  <c r="H218" i="1"/>
  <c r="I235" i="1"/>
  <c r="H235" i="1"/>
  <c r="I171" i="1"/>
  <c r="H171" i="1"/>
  <c r="I107" i="1"/>
  <c r="H107" i="1"/>
  <c r="I43" i="1"/>
  <c r="H43" i="1"/>
  <c r="I160" i="1"/>
  <c r="H160" i="1"/>
  <c r="I32" i="1"/>
  <c r="H32" i="1"/>
  <c r="I103" i="1"/>
  <c r="H103" i="1"/>
  <c r="I118" i="1"/>
  <c r="H118" i="1"/>
  <c r="I18" i="1"/>
  <c r="H18" i="1"/>
  <c r="I166" i="1"/>
  <c r="H166" i="1"/>
  <c r="I141" i="1"/>
  <c r="H141" i="1"/>
  <c r="I13" i="1"/>
  <c r="H13" i="1"/>
  <c r="I244" i="1"/>
  <c r="H244" i="1"/>
  <c r="I154" i="1"/>
  <c r="H154" i="1"/>
  <c r="I249" i="1"/>
  <c r="H249" i="1"/>
  <c r="I137" i="1"/>
  <c r="H137" i="1"/>
  <c r="I73" i="1"/>
  <c r="H73" i="1"/>
  <c r="I9" i="1"/>
  <c r="H9" i="1"/>
  <c r="I216" i="1"/>
  <c r="H216" i="1"/>
  <c r="I152" i="1"/>
  <c r="H152" i="1"/>
  <c r="I88" i="1"/>
  <c r="H88" i="1"/>
  <c r="I24" i="1"/>
  <c r="H24" i="1"/>
  <c r="I201" i="1"/>
  <c r="H201" i="1"/>
  <c r="I159" i="1"/>
  <c r="H159" i="1"/>
  <c r="I95" i="1"/>
  <c r="H95" i="1"/>
  <c r="I31" i="1"/>
  <c r="H31" i="1"/>
  <c r="I248" i="1"/>
  <c r="H248" i="1"/>
  <c r="I110" i="1"/>
  <c r="H110" i="1"/>
  <c r="I30" i="1"/>
  <c r="H30" i="1"/>
  <c r="I225" i="1"/>
  <c r="H225" i="1"/>
  <c r="I142" i="1"/>
  <c r="H142" i="1"/>
  <c r="I197" i="1"/>
  <c r="H197" i="1"/>
  <c r="I133" i="1"/>
  <c r="H133" i="1"/>
  <c r="I69" i="1"/>
  <c r="H69" i="1"/>
  <c r="I5" i="1"/>
  <c r="H5" i="1"/>
  <c r="I230" i="1"/>
  <c r="H230" i="1"/>
  <c r="I236" i="1"/>
  <c r="H236" i="1"/>
  <c r="I172" i="1"/>
  <c r="H172" i="1"/>
  <c r="I108" i="1"/>
  <c r="H108" i="1"/>
  <c r="I44" i="1"/>
  <c r="H44" i="1"/>
  <c r="I26" i="1"/>
  <c r="H26" i="1"/>
  <c r="I219" i="1"/>
  <c r="H219" i="1"/>
  <c r="I155" i="1"/>
  <c r="H155" i="1"/>
  <c r="I91" i="1"/>
  <c r="H91" i="1"/>
  <c r="I27" i="1"/>
  <c r="H27" i="1"/>
  <c r="Y29" i="1"/>
  <c r="Y28" i="1"/>
  <c r="R15" i="1"/>
  <c r="H2" i="1"/>
  <c r="I2" i="1"/>
  <c r="Y30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Y31" i="1" l="1"/>
  <c r="R16" i="1"/>
  <c r="S15" i="1"/>
  <c r="T15" i="1" s="1"/>
  <c r="S16" i="1" l="1"/>
  <c r="T16" i="1" s="1"/>
  <c r="R17" i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Y32" i="1"/>
  <c r="S17" i="1" l="1"/>
  <c r="T17" i="1" s="1"/>
  <c r="Y33" i="1"/>
  <c r="S18" i="1"/>
  <c r="Y34" i="1" l="1"/>
  <c r="S19" i="1"/>
  <c r="T18" i="1"/>
  <c r="S20" i="1" l="1"/>
  <c r="T19" i="1"/>
  <c r="Y35" i="1"/>
  <c r="Y36" i="1" l="1"/>
  <c r="S21" i="1"/>
  <c r="T20" i="1"/>
  <c r="S22" i="1" l="1"/>
  <c r="T21" i="1"/>
  <c r="Z36" i="1"/>
  <c r="Y37" i="1"/>
  <c r="Z37" i="1" l="1"/>
  <c r="AA37" i="1" s="1"/>
  <c r="Y38" i="1"/>
  <c r="S23" i="1"/>
  <c r="T22" i="1"/>
  <c r="S24" i="1" l="1"/>
  <c r="T23" i="1"/>
  <c r="Z38" i="1"/>
  <c r="Y39" i="1"/>
  <c r="AA38" i="1" l="1"/>
  <c r="Z39" i="1"/>
  <c r="Y40" i="1"/>
  <c r="S25" i="1"/>
  <c r="T24" i="1"/>
  <c r="AA39" i="1" l="1"/>
  <c r="Z40" i="1"/>
  <c r="Y41" i="1"/>
  <c r="S26" i="1"/>
  <c r="T25" i="1"/>
  <c r="AA40" i="1" l="1"/>
  <c r="S27" i="1"/>
  <c r="T26" i="1"/>
  <c r="Z41" i="1"/>
  <c r="Y42" i="1"/>
  <c r="AA41" i="1" l="1"/>
  <c r="Z42" i="1"/>
  <c r="Y43" i="1"/>
  <c r="S28" i="1"/>
  <c r="T27" i="1"/>
  <c r="AA42" i="1" l="1"/>
  <c r="Z43" i="1"/>
  <c r="Y44" i="1"/>
  <c r="S29" i="1"/>
  <c r="T28" i="1"/>
  <c r="AA43" i="1" l="1"/>
  <c r="S30" i="1"/>
  <c r="T29" i="1"/>
  <c r="Z44" i="1"/>
  <c r="Y45" i="1"/>
  <c r="AA44" i="1" l="1"/>
  <c r="Z45" i="1"/>
  <c r="Y46" i="1"/>
  <c r="S31" i="1"/>
  <c r="T30" i="1"/>
  <c r="AA45" i="1" l="1"/>
  <c r="S32" i="1"/>
  <c r="T31" i="1"/>
  <c r="Z46" i="1"/>
  <c r="Y47" i="1"/>
  <c r="AA46" i="1" l="1"/>
  <c r="Z47" i="1"/>
  <c r="Y48" i="1"/>
  <c r="T32" i="1"/>
  <c r="S33" i="1"/>
  <c r="AA47" i="1" l="1"/>
  <c r="S34" i="1"/>
  <c r="T33" i="1"/>
  <c r="Z48" i="1"/>
  <c r="Y49" i="1"/>
  <c r="AA48" i="1" l="1"/>
  <c r="Z49" i="1"/>
  <c r="Y50" i="1"/>
  <c r="S35" i="1"/>
  <c r="T34" i="1"/>
  <c r="AA49" i="1" l="1"/>
  <c r="S36" i="1"/>
  <c r="T35" i="1"/>
  <c r="Z50" i="1"/>
  <c r="Y51" i="1"/>
  <c r="AA50" i="1" l="1"/>
  <c r="Z51" i="1"/>
  <c r="Y52" i="1"/>
  <c r="S37" i="1"/>
  <c r="T36" i="1"/>
  <c r="AA51" i="1" l="1"/>
  <c r="Z52" i="1"/>
  <c r="Y53" i="1"/>
  <c r="S38" i="1"/>
  <c r="T37" i="1"/>
  <c r="AA52" i="1" l="1"/>
  <c r="Z53" i="1"/>
  <c r="Y54" i="1"/>
  <c r="S39" i="1"/>
  <c r="T38" i="1"/>
  <c r="AA53" i="1" l="1"/>
  <c r="Z54" i="1"/>
  <c r="Y55" i="1"/>
  <c r="S40" i="1"/>
  <c r="T39" i="1"/>
  <c r="AA54" i="1" l="1"/>
  <c r="S41" i="1"/>
  <c r="T40" i="1"/>
  <c r="Z55" i="1"/>
  <c r="Y56" i="1"/>
  <c r="AA55" i="1" l="1"/>
  <c r="Z56" i="1"/>
  <c r="Y57" i="1"/>
  <c r="S42" i="1"/>
  <c r="T41" i="1"/>
  <c r="AA56" i="1" l="1"/>
  <c r="S43" i="1"/>
  <c r="T42" i="1"/>
  <c r="Z57" i="1"/>
  <c r="Y58" i="1"/>
  <c r="AA57" i="1" l="1"/>
  <c r="Z58" i="1"/>
  <c r="Y59" i="1"/>
  <c r="S44" i="1"/>
  <c r="T43" i="1"/>
  <c r="AA58" i="1" l="1"/>
  <c r="S45" i="1"/>
  <c r="T44" i="1"/>
  <c r="Z59" i="1"/>
  <c r="Y60" i="1"/>
  <c r="AA59" i="1" l="1"/>
  <c r="Z60" i="1"/>
  <c r="Y61" i="1"/>
  <c r="S46" i="1"/>
  <c r="T45" i="1"/>
  <c r="AA60" i="1" l="1"/>
  <c r="S47" i="1"/>
  <c r="T46" i="1"/>
  <c r="Z61" i="1"/>
  <c r="Y62" i="1"/>
  <c r="AA61" i="1" l="1"/>
  <c r="Z62" i="1"/>
  <c r="Y63" i="1"/>
  <c r="S48" i="1"/>
  <c r="T47" i="1"/>
  <c r="AA62" i="1" l="1"/>
  <c r="S49" i="1"/>
  <c r="T48" i="1"/>
  <c r="Z63" i="1"/>
  <c r="Y64" i="1"/>
  <c r="AA63" i="1" l="1"/>
  <c r="Z64" i="1"/>
  <c r="Y65" i="1"/>
  <c r="S50" i="1"/>
  <c r="T49" i="1"/>
  <c r="AA64" i="1" l="1"/>
  <c r="S51" i="1"/>
  <c r="T50" i="1"/>
  <c r="Z65" i="1"/>
  <c r="Y66" i="1"/>
  <c r="AA65" i="1" l="1"/>
  <c r="Z66" i="1"/>
  <c r="Y67" i="1"/>
  <c r="S52" i="1"/>
  <c r="T51" i="1"/>
  <c r="AA66" i="1" l="1"/>
  <c r="S53" i="1"/>
  <c r="T52" i="1"/>
  <c r="Z67" i="1"/>
  <c r="Y68" i="1"/>
  <c r="AA67" i="1" l="1"/>
  <c r="Z68" i="1"/>
  <c r="Y69" i="1"/>
  <c r="S54" i="1"/>
  <c r="T53" i="1"/>
  <c r="AA68" i="1" l="1"/>
  <c r="T54" i="1"/>
  <c r="S55" i="1"/>
  <c r="Z69" i="1"/>
  <c r="Y70" i="1"/>
  <c r="AA69" i="1" l="1"/>
  <c r="Z70" i="1"/>
  <c r="Y71" i="1"/>
  <c r="T55" i="1"/>
  <c r="S56" i="1"/>
  <c r="AA70" i="1" l="1"/>
  <c r="T56" i="1"/>
  <c r="S57" i="1"/>
  <c r="Z71" i="1"/>
  <c r="Y72" i="1"/>
  <c r="AA71" i="1" l="1"/>
  <c r="Z72" i="1"/>
  <c r="Y73" i="1"/>
  <c r="S58" i="1"/>
  <c r="T57" i="1"/>
  <c r="AA72" i="1" l="1"/>
  <c r="S59" i="1"/>
  <c r="T58" i="1"/>
  <c r="Z73" i="1"/>
  <c r="Y74" i="1"/>
  <c r="AA73" i="1" l="1"/>
  <c r="Z74" i="1"/>
  <c r="Y75" i="1"/>
  <c r="S60" i="1"/>
  <c r="T59" i="1"/>
  <c r="AA74" i="1" l="1"/>
  <c r="S61" i="1"/>
  <c r="T60" i="1"/>
  <c r="Z75" i="1"/>
  <c r="Y76" i="1"/>
  <c r="AA75" i="1" l="1"/>
  <c r="Z76" i="1"/>
  <c r="Y77" i="1"/>
  <c r="S62" i="1"/>
  <c r="T61" i="1"/>
  <c r="AA76" i="1" l="1"/>
  <c r="S63" i="1"/>
  <c r="T62" i="1"/>
  <c r="Z77" i="1"/>
  <c r="Y78" i="1"/>
  <c r="AA77" i="1" l="1"/>
  <c r="Z78" i="1"/>
  <c r="Y79" i="1"/>
  <c r="S64" i="1"/>
  <c r="T63" i="1"/>
  <c r="AA78" i="1" l="1"/>
  <c r="S65" i="1"/>
  <c r="T64" i="1"/>
  <c r="Z79" i="1"/>
  <c r="Y80" i="1"/>
  <c r="AA79" i="1" l="1"/>
  <c r="Z80" i="1"/>
  <c r="Y81" i="1"/>
  <c r="S66" i="1"/>
  <c r="T65" i="1"/>
  <c r="AA80" i="1" l="1"/>
  <c r="S67" i="1"/>
  <c r="T66" i="1"/>
  <c r="Z81" i="1"/>
  <c r="Y82" i="1"/>
  <c r="AA81" i="1" l="1"/>
  <c r="Z82" i="1"/>
  <c r="Y83" i="1"/>
  <c r="S68" i="1"/>
  <c r="T67" i="1"/>
  <c r="AA82" i="1" l="1"/>
  <c r="T68" i="1"/>
  <c r="S69" i="1"/>
  <c r="Z83" i="1"/>
  <c r="Y84" i="1"/>
  <c r="AA83" i="1" l="1"/>
  <c r="Z84" i="1"/>
  <c r="Y85" i="1"/>
  <c r="S70" i="1"/>
  <c r="T69" i="1"/>
  <c r="AA84" i="1" l="1"/>
  <c r="S71" i="1"/>
  <c r="T70" i="1"/>
  <c r="Z85" i="1"/>
  <c r="Y86" i="1"/>
  <c r="AA85" i="1" l="1"/>
  <c r="Z86" i="1"/>
  <c r="Y87" i="1"/>
  <c r="S72" i="1"/>
  <c r="T71" i="1"/>
  <c r="AA86" i="1" l="1"/>
  <c r="S73" i="1"/>
  <c r="T72" i="1"/>
  <c r="Z87" i="1"/>
  <c r="Y88" i="1"/>
  <c r="AA87" i="1" l="1"/>
  <c r="Z88" i="1"/>
  <c r="Y89" i="1"/>
  <c r="S74" i="1"/>
  <c r="T73" i="1"/>
  <c r="S75" i="1" l="1"/>
  <c r="T74" i="1"/>
  <c r="Z89" i="1"/>
  <c r="Y90" i="1"/>
  <c r="AA88" i="1"/>
  <c r="Z90" i="1" l="1"/>
  <c r="Y91" i="1"/>
  <c r="AA89" i="1"/>
  <c r="S76" i="1"/>
  <c r="T75" i="1"/>
  <c r="S77" i="1" l="1"/>
  <c r="T76" i="1"/>
  <c r="Z91" i="1"/>
  <c r="Y92" i="1"/>
  <c r="AA90" i="1"/>
  <c r="Z92" i="1" l="1"/>
  <c r="Y93" i="1"/>
  <c r="AA91" i="1"/>
  <c r="S78" i="1"/>
  <c r="T77" i="1"/>
  <c r="T78" i="1" l="1"/>
  <c r="S79" i="1"/>
  <c r="Z93" i="1"/>
  <c r="Y94" i="1"/>
  <c r="AA92" i="1"/>
  <c r="Z94" i="1" l="1"/>
  <c r="Y95" i="1"/>
  <c r="AA93" i="1"/>
  <c r="S80" i="1"/>
  <c r="T79" i="1"/>
  <c r="S81" i="1" l="1"/>
  <c r="T80" i="1"/>
  <c r="Z95" i="1"/>
  <c r="Y96" i="1"/>
  <c r="AA94" i="1"/>
  <c r="Z96" i="1" l="1"/>
  <c r="Y97" i="1"/>
  <c r="AA95" i="1"/>
  <c r="S82" i="1"/>
  <c r="T81" i="1"/>
  <c r="S83" i="1" l="1"/>
  <c r="T82" i="1"/>
  <c r="Z97" i="1"/>
  <c r="Y98" i="1"/>
  <c r="AA96" i="1"/>
  <c r="Z98" i="1" l="1"/>
  <c r="Y99" i="1"/>
  <c r="AA97" i="1"/>
  <c r="S84" i="1"/>
  <c r="T83" i="1"/>
  <c r="S85" i="1" l="1"/>
  <c r="T84" i="1"/>
  <c r="Z99" i="1"/>
  <c r="Y100" i="1"/>
  <c r="AA98" i="1"/>
  <c r="Z100" i="1" l="1"/>
  <c r="Y101" i="1"/>
  <c r="AA99" i="1"/>
  <c r="S86" i="1"/>
  <c r="T85" i="1"/>
  <c r="S87" i="1" l="1"/>
  <c r="T86" i="1"/>
  <c r="Z101" i="1"/>
  <c r="Y102" i="1"/>
  <c r="AA100" i="1"/>
  <c r="Z102" i="1" l="1"/>
  <c r="Y103" i="1"/>
  <c r="AA101" i="1"/>
  <c r="S88" i="1"/>
  <c r="T87" i="1"/>
  <c r="S89" i="1" l="1"/>
  <c r="T88" i="1"/>
  <c r="Z103" i="1"/>
  <c r="Y104" i="1"/>
  <c r="AA102" i="1"/>
  <c r="Z104" i="1" l="1"/>
  <c r="Y105" i="1"/>
  <c r="AA103" i="1"/>
  <c r="S90" i="1"/>
  <c r="T89" i="1"/>
  <c r="S91" i="1" l="1"/>
  <c r="T90" i="1"/>
  <c r="Z105" i="1"/>
  <c r="Y106" i="1"/>
  <c r="AA104" i="1"/>
  <c r="Z106" i="1" l="1"/>
  <c r="Y107" i="1"/>
  <c r="AA105" i="1"/>
  <c r="S92" i="1"/>
  <c r="T91" i="1"/>
  <c r="S93" i="1" l="1"/>
  <c r="T92" i="1"/>
  <c r="Z107" i="1"/>
  <c r="Y108" i="1"/>
  <c r="AA106" i="1"/>
  <c r="AA107" i="1" l="1"/>
  <c r="Z108" i="1"/>
  <c r="Y109" i="1"/>
  <c r="S94" i="1"/>
  <c r="T93" i="1"/>
  <c r="AA108" i="1" l="1"/>
  <c r="T94" i="1"/>
  <c r="S95" i="1"/>
  <c r="Z109" i="1"/>
  <c r="Y110" i="1"/>
  <c r="AA109" i="1" l="1"/>
  <c r="Z110" i="1"/>
  <c r="Y111" i="1"/>
  <c r="S96" i="1"/>
  <c r="T95" i="1"/>
  <c r="AA110" i="1" l="1"/>
  <c r="S97" i="1"/>
  <c r="T96" i="1"/>
  <c r="Z111" i="1"/>
  <c r="Y112" i="1"/>
  <c r="AA111" i="1" l="1"/>
  <c r="Z112" i="1"/>
  <c r="Y113" i="1"/>
  <c r="T97" i="1"/>
  <c r="S98" i="1"/>
  <c r="AA112" i="1" l="1"/>
  <c r="S99" i="1"/>
  <c r="T98" i="1"/>
  <c r="Z113" i="1"/>
  <c r="Y114" i="1"/>
  <c r="AA113" i="1" l="1"/>
  <c r="Z114" i="1"/>
  <c r="Y115" i="1"/>
  <c r="S100" i="1"/>
  <c r="T99" i="1"/>
  <c r="AA114" i="1" l="1"/>
  <c r="Z115" i="1"/>
  <c r="Y116" i="1"/>
  <c r="S101" i="1"/>
  <c r="T100" i="1"/>
  <c r="AA115" i="1" l="1"/>
  <c r="Z116" i="1"/>
  <c r="Y117" i="1"/>
  <c r="S102" i="1"/>
  <c r="T101" i="1"/>
  <c r="AA116" i="1" l="1"/>
  <c r="S103" i="1"/>
  <c r="T102" i="1"/>
  <c r="Z117" i="1"/>
  <c r="Y118" i="1"/>
  <c r="AA117" i="1" l="1"/>
  <c r="Z118" i="1"/>
  <c r="Y119" i="1"/>
  <c r="S104" i="1"/>
  <c r="T103" i="1"/>
  <c r="AA118" i="1" l="1"/>
  <c r="S105" i="1"/>
  <c r="T104" i="1"/>
  <c r="Z119" i="1"/>
  <c r="Y120" i="1"/>
  <c r="AA119" i="1" l="1"/>
  <c r="Z120" i="1"/>
  <c r="Y121" i="1"/>
  <c r="S106" i="1"/>
  <c r="T105" i="1"/>
  <c r="AA120" i="1" l="1"/>
  <c r="S107" i="1"/>
  <c r="T106" i="1"/>
  <c r="Z121" i="1"/>
  <c r="Y122" i="1"/>
  <c r="AA121" i="1" l="1"/>
  <c r="Z122" i="1"/>
  <c r="Y123" i="1"/>
  <c r="T107" i="1"/>
  <c r="S108" i="1"/>
  <c r="S109" i="1" l="1"/>
  <c r="T108" i="1"/>
  <c r="Z123" i="1"/>
  <c r="Y124" i="1"/>
  <c r="AA122" i="1"/>
  <c r="Z124" i="1" l="1"/>
  <c r="Y125" i="1"/>
  <c r="AA123" i="1"/>
  <c r="S110" i="1"/>
  <c r="T109" i="1"/>
  <c r="S111" i="1" l="1"/>
  <c r="T110" i="1"/>
  <c r="Z125" i="1"/>
  <c r="Y126" i="1"/>
  <c r="AA124" i="1"/>
  <c r="Z126" i="1" l="1"/>
  <c r="Y127" i="1"/>
  <c r="AA125" i="1"/>
  <c r="S112" i="1"/>
  <c r="T111" i="1"/>
  <c r="S113" i="1" l="1"/>
  <c r="T112" i="1"/>
  <c r="Z127" i="1"/>
  <c r="Y128" i="1"/>
  <c r="AA126" i="1"/>
  <c r="Z128" i="1" l="1"/>
  <c r="Y129" i="1"/>
  <c r="AA127" i="1"/>
  <c r="S114" i="1"/>
  <c r="T113" i="1"/>
  <c r="S115" i="1" l="1"/>
  <c r="T114" i="1"/>
  <c r="Z129" i="1"/>
  <c r="Y130" i="1"/>
  <c r="AA128" i="1"/>
  <c r="Z130" i="1" l="1"/>
  <c r="Y131" i="1"/>
  <c r="AA129" i="1"/>
  <c r="S116" i="1"/>
  <c r="T115" i="1"/>
  <c r="S117" i="1" l="1"/>
  <c r="T116" i="1"/>
  <c r="Z131" i="1"/>
  <c r="Y132" i="1"/>
  <c r="AA130" i="1"/>
  <c r="Z132" i="1" l="1"/>
  <c r="Y133" i="1"/>
  <c r="AA131" i="1"/>
  <c r="S118" i="1"/>
  <c r="T117" i="1"/>
  <c r="S119" i="1" l="1"/>
  <c r="T118" i="1"/>
  <c r="Z133" i="1"/>
  <c r="Y134" i="1"/>
  <c r="AA132" i="1"/>
  <c r="Z134" i="1" l="1"/>
  <c r="Y135" i="1"/>
  <c r="AA133" i="1"/>
  <c r="S120" i="1"/>
  <c r="T119" i="1"/>
  <c r="T120" i="1" l="1"/>
  <c r="S121" i="1"/>
  <c r="Z135" i="1"/>
  <c r="Y136" i="1"/>
  <c r="AA134" i="1"/>
  <c r="Z136" i="1" l="1"/>
  <c r="Y137" i="1"/>
  <c r="AA135" i="1"/>
  <c r="S122" i="1"/>
  <c r="T121" i="1"/>
  <c r="S123" i="1" l="1"/>
  <c r="T122" i="1"/>
  <c r="Z137" i="1"/>
  <c r="Y138" i="1"/>
  <c r="AA136" i="1"/>
  <c r="Z138" i="1" l="1"/>
  <c r="Y139" i="1"/>
  <c r="AA137" i="1"/>
  <c r="S124" i="1"/>
  <c r="T123" i="1"/>
  <c r="S125" i="1" l="1"/>
  <c r="T124" i="1"/>
  <c r="Z139" i="1"/>
  <c r="Y140" i="1"/>
  <c r="AA138" i="1"/>
  <c r="Z140" i="1" l="1"/>
  <c r="Y141" i="1"/>
  <c r="AA139" i="1"/>
  <c r="S126" i="1"/>
  <c r="T125" i="1"/>
  <c r="T126" i="1" l="1"/>
  <c r="S127" i="1"/>
  <c r="Z141" i="1"/>
  <c r="Y142" i="1"/>
  <c r="AA140" i="1"/>
  <c r="Z142" i="1" l="1"/>
  <c r="Y143" i="1"/>
  <c r="AA141" i="1"/>
  <c r="S128" i="1"/>
  <c r="T127" i="1"/>
  <c r="S129" i="1" l="1"/>
  <c r="T128" i="1"/>
  <c r="Z143" i="1"/>
  <c r="Y144" i="1"/>
  <c r="AA142" i="1"/>
  <c r="Z144" i="1" l="1"/>
  <c r="Y145" i="1"/>
  <c r="AA143" i="1"/>
  <c r="S130" i="1"/>
  <c r="T129" i="1"/>
  <c r="S131" i="1" l="1"/>
  <c r="T130" i="1"/>
  <c r="Z145" i="1"/>
  <c r="Y146" i="1"/>
  <c r="AA144" i="1"/>
  <c r="Z146" i="1" l="1"/>
  <c r="Y147" i="1"/>
  <c r="AA145" i="1"/>
  <c r="S132" i="1"/>
  <c r="T131" i="1"/>
  <c r="S133" i="1" l="1"/>
  <c r="T132" i="1"/>
  <c r="Z147" i="1"/>
  <c r="Y148" i="1"/>
  <c r="AA146" i="1"/>
  <c r="AA147" i="1" l="1"/>
  <c r="Z148" i="1"/>
  <c r="Y149" i="1"/>
  <c r="S134" i="1"/>
  <c r="T133" i="1"/>
  <c r="AA148" i="1" l="1"/>
  <c r="S135" i="1"/>
  <c r="T134" i="1"/>
  <c r="Z149" i="1"/>
  <c r="Y150" i="1"/>
  <c r="AA149" i="1" l="1"/>
  <c r="Z150" i="1"/>
  <c r="Y151" i="1"/>
  <c r="S136" i="1"/>
  <c r="T135" i="1"/>
  <c r="AA150" i="1" l="1"/>
  <c r="Z151" i="1"/>
  <c r="Y152" i="1"/>
  <c r="S137" i="1"/>
  <c r="T136" i="1"/>
  <c r="AA151" i="1" l="1"/>
  <c r="S138" i="1"/>
  <c r="T137" i="1"/>
  <c r="Z152" i="1"/>
  <c r="Y153" i="1"/>
  <c r="AA152" i="1" l="1"/>
  <c r="Z153" i="1"/>
  <c r="Y154" i="1"/>
  <c r="S139" i="1"/>
  <c r="T138" i="1"/>
  <c r="AA153" i="1" l="1"/>
  <c r="S140" i="1"/>
  <c r="T139" i="1"/>
  <c r="Z154" i="1"/>
  <c r="Y155" i="1"/>
  <c r="AA154" i="1" l="1"/>
  <c r="Z155" i="1"/>
  <c r="Y156" i="1"/>
  <c r="S141" i="1"/>
  <c r="T140" i="1"/>
  <c r="AA155" i="1" l="1"/>
  <c r="T141" i="1"/>
  <c r="S142" i="1"/>
  <c r="Z156" i="1"/>
  <c r="Y157" i="1"/>
  <c r="Z157" i="1" l="1"/>
  <c r="Y158" i="1"/>
  <c r="AA156" i="1"/>
  <c r="S143" i="1"/>
  <c r="T142" i="1"/>
  <c r="S144" i="1" l="1"/>
  <c r="T143" i="1"/>
  <c r="Z158" i="1"/>
  <c r="Y159" i="1"/>
  <c r="AA157" i="1"/>
  <c r="Z159" i="1" l="1"/>
  <c r="Y160" i="1"/>
  <c r="AA158" i="1"/>
  <c r="S145" i="1"/>
  <c r="T144" i="1"/>
  <c r="S146" i="1" l="1"/>
  <c r="T145" i="1"/>
  <c r="Z160" i="1"/>
  <c r="Y161" i="1"/>
  <c r="AA159" i="1"/>
  <c r="Z161" i="1" l="1"/>
  <c r="Y162" i="1"/>
  <c r="AA160" i="1"/>
  <c r="S147" i="1"/>
  <c r="T146" i="1"/>
  <c r="S148" i="1" l="1"/>
  <c r="T147" i="1"/>
  <c r="Z162" i="1"/>
  <c r="Y163" i="1"/>
  <c r="AA161" i="1"/>
  <c r="Z163" i="1" l="1"/>
  <c r="Y164" i="1"/>
  <c r="AA162" i="1"/>
  <c r="S149" i="1"/>
  <c r="T148" i="1"/>
  <c r="T149" i="1" l="1"/>
  <c r="S150" i="1"/>
  <c r="Z164" i="1"/>
  <c r="Y165" i="1"/>
  <c r="AA163" i="1"/>
  <c r="Z165" i="1" l="1"/>
  <c r="Y166" i="1"/>
  <c r="AA164" i="1"/>
  <c r="S151" i="1"/>
  <c r="T150" i="1"/>
  <c r="S152" i="1" l="1"/>
  <c r="T151" i="1"/>
  <c r="Z166" i="1"/>
  <c r="Y167" i="1"/>
  <c r="AA165" i="1"/>
  <c r="Z167" i="1" l="1"/>
  <c r="Y168" i="1"/>
  <c r="AA166" i="1"/>
  <c r="T152" i="1"/>
  <c r="S153" i="1"/>
  <c r="S154" i="1" l="1"/>
  <c r="T153" i="1"/>
  <c r="Z168" i="1"/>
  <c r="Y169" i="1"/>
  <c r="AA167" i="1"/>
  <c r="Z169" i="1" l="1"/>
  <c r="Y170" i="1"/>
  <c r="AA168" i="1"/>
  <c r="S155" i="1"/>
  <c r="T154" i="1"/>
  <c r="S156" i="1" l="1"/>
  <c r="T155" i="1"/>
  <c r="Z170" i="1"/>
  <c r="Y171" i="1"/>
  <c r="AA169" i="1"/>
  <c r="Z171" i="1" l="1"/>
  <c r="Y172" i="1"/>
  <c r="AA170" i="1"/>
  <c r="S157" i="1"/>
  <c r="T156" i="1"/>
  <c r="S158" i="1" l="1"/>
  <c r="T157" i="1"/>
  <c r="Z172" i="1"/>
  <c r="Y173" i="1"/>
  <c r="AA171" i="1"/>
  <c r="Z173" i="1" l="1"/>
  <c r="Y174" i="1"/>
  <c r="AA172" i="1"/>
  <c r="S159" i="1"/>
  <c r="T158" i="1"/>
  <c r="S160" i="1" l="1"/>
  <c r="T159" i="1"/>
  <c r="Z174" i="1"/>
  <c r="Y175" i="1"/>
  <c r="AA173" i="1"/>
  <c r="Z175" i="1" l="1"/>
  <c r="Y176" i="1"/>
  <c r="AA174" i="1"/>
  <c r="S161" i="1"/>
  <c r="T160" i="1"/>
  <c r="S162" i="1" l="1"/>
  <c r="T161" i="1"/>
  <c r="Z176" i="1"/>
  <c r="Y177" i="1"/>
  <c r="AA175" i="1"/>
  <c r="Z177" i="1" l="1"/>
  <c r="Y178" i="1"/>
  <c r="AA176" i="1"/>
  <c r="S163" i="1"/>
  <c r="T162" i="1"/>
  <c r="T163" i="1" l="1"/>
  <c r="S164" i="1"/>
  <c r="Z178" i="1"/>
  <c r="Y179" i="1"/>
  <c r="AA177" i="1"/>
  <c r="Z179" i="1" l="1"/>
  <c r="Y180" i="1"/>
  <c r="AA178" i="1"/>
  <c r="S165" i="1"/>
  <c r="T164" i="1"/>
  <c r="S166" i="1" l="1"/>
  <c r="T165" i="1"/>
  <c r="Z180" i="1"/>
  <c r="Y181" i="1"/>
  <c r="AA179" i="1"/>
  <c r="Z181" i="1" l="1"/>
  <c r="Y182" i="1"/>
  <c r="AA180" i="1"/>
  <c r="S167" i="1"/>
  <c r="T166" i="1"/>
  <c r="S168" i="1" l="1"/>
  <c r="T167" i="1"/>
  <c r="Z182" i="1"/>
  <c r="Y183" i="1"/>
  <c r="AA181" i="1"/>
  <c r="Z183" i="1" l="1"/>
  <c r="Y184" i="1"/>
  <c r="AA182" i="1"/>
  <c r="S169" i="1"/>
  <c r="T168" i="1"/>
  <c r="S170" i="1" l="1"/>
  <c r="T169" i="1"/>
  <c r="Z184" i="1"/>
  <c r="Y185" i="1"/>
  <c r="AA183" i="1"/>
  <c r="Z185" i="1" l="1"/>
  <c r="Y186" i="1"/>
  <c r="AA184" i="1"/>
  <c r="S171" i="1"/>
  <c r="T170" i="1"/>
  <c r="S172" i="1" l="1"/>
  <c r="T171" i="1"/>
  <c r="Z186" i="1"/>
  <c r="Y187" i="1"/>
  <c r="AA185" i="1"/>
  <c r="Z187" i="1" l="1"/>
  <c r="Y188" i="1"/>
  <c r="AA186" i="1"/>
  <c r="S173" i="1"/>
  <c r="T172" i="1"/>
  <c r="S174" i="1" l="1"/>
  <c r="T173" i="1"/>
  <c r="Z188" i="1"/>
  <c r="Y189" i="1"/>
  <c r="AA187" i="1"/>
  <c r="Z189" i="1" l="1"/>
  <c r="Y190" i="1"/>
  <c r="AA188" i="1"/>
  <c r="S175" i="1"/>
  <c r="T174" i="1"/>
  <c r="S176" i="1" l="1"/>
  <c r="T175" i="1"/>
  <c r="Z190" i="1"/>
  <c r="Y191" i="1"/>
  <c r="AA189" i="1"/>
  <c r="Z191" i="1" l="1"/>
  <c r="Y192" i="1"/>
  <c r="AA190" i="1"/>
  <c r="S177" i="1"/>
  <c r="T176" i="1"/>
  <c r="S178" i="1" l="1"/>
  <c r="T177" i="1"/>
  <c r="Z192" i="1"/>
  <c r="Y193" i="1"/>
  <c r="AA191" i="1"/>
  <c r="Z193" i="1" l="1"/>
  <c r="Y194" i="1"/>
  <c r="AA192" i="1"/>
  <c r="S179" i="1"/>
  <c r="T178" i="1"/>
  <c r="S180" i="1" l="1"/>
  <c r="T179" i="1"/>
  <c r="Z194" i="1"/>
  <c r="Y195" i="1"/>
  <c r="AA193" i="1"/>
  <c r="Z195" i="1" l="1"/>
  <c r="Y196" i="1"/>
  <c r="AA194" i="1"/>
  <c r="S181" i="1"/>
  <c r="T180" i="1"/>
  <c r="S182" i="1" l="1"/>
  <c r="T181" i="1"/>
  <c r="Z196" i="1"/>
  <c r="Y197" i="1"/>
  <c r="AA195" i="1"/>
  <c r="Z197" i="1" l="1"/>
  <c r="Y198" i="1"/>
  <c r="AA196" i="1"/>
  <c r="S183" i="1"/>
  <c r="T182" i="1"/>
  <c r="S184" i="1" l="1"/>
  <c r="T183" i="1"/>
  <c r="Z198" i="1"/>
  <c r="Y199" i="1"/>
  <c r="AA197" i="1"/>
  <c r="Z199" i="1" l="1"/>
  <c r="Y200" i="1"/>
  <c r="AA198" i="1"/>
  <c r="S185" i="1"/>
  <c r="T184" i="1"/>
  <c r="T185" i="1" l="1"/>
  <c r="S186" i="1"/>
  <c r="Z200" i="1"/>
  <c r="Y201" i="1"/>
  <c r="AA199" i="1"/>
  <c r="Z201" i="1" l="1"/>
  <c r="Y202" i="1"/>
  <c r="AA200" i="1"/>
  <c r="S187" i="1"/>
  <c r="T186" i="1"/>
  <c r="S188" i="1" l="1"/>
  <c r="T187" i="1"/>
  <c r="Z202" i="1"/>
  <c r="Y203" i="1"/>
  <c r="AA201" i="1"/>
  <c r="Z203" i="1" l="1"/>
  <c r="Y204" i="1"/>
  <c r="AA202" i="1"/>
  <c r="S189" i="1"/>
  <c r="T188" i="1"/>
  <c r="S190" i="1" l="1"/>
  <c r="T189" i="1"/>
  <c r="Z204" i="1"/>
  <c r="Y205" i="1"/>
  <c r="AA203" i="1"/>
  <c r="Z205" i="1" l="1"/>
  <c r="Y206" i="1"/>
  <c r="AA204" i="1"/>
  <c r="S191" i="1"/>
  <c r="T190" i="1"/>
  <c r="S192" i="1" l="1"/>
  <c r="T191" i="1"/>
  <c r="Z206" i="1"/>
  <c r="Y207" i="1"/>
  <c r="AA205" i="1"/>
  <c r="Z207" i="1" l="1"/>
  <c r="Y208" i="1"/>
  <c r="AA206" i="1"/>
  <c r="S193" i="1"/>
  <c r="T192" i="1"/>
  <c r="AA207" i="1" l="1"/>
  <c r="S194" i="1"/>
  <c r="T193" i="1"/>
  <c r="Z208" i="1"/>
  <c r="Y209" i="1"/>
  <c r="AA208" i="1" l="1"/>
  <c r="Z209" i="1"/>
  <c r="Y210" i="1"/>
  <c r="S195" i="1"/>
  <c r="T194" i="1"/>
  <c r="AA209" i="1" l="1"/>
  <c r="S196" i="1"/>
  <c r="T195" i="1"/>
  <c r="Z210" i="1"/>
  <c r="Y211" i="1"/>
  <c r="AA210" i="1" l="1"/>
  <c r="Z211" i="1"/>
  <c r="Y212" i="1"/>
  <c r="S197" i="1"/>
  <c r="T196" i="1"/>
  <c r="AA211" i="1" l="1"/>
  <c r="S198" i="1"/>
  <c r="T197" i="1"/>
  <c r="Z212" i="1"/>
  <c r="Y213" i="1"/>
  <c r="AA212" i="1" l="1"/>
  <c r="Z213" i="1"/>
  <c r="Y214" i="1"/>
  <c r="S199" i="1"/>
  <c r="T198" i="1"/>
  <c r="AA213" i="1" l="1"/>
  <c r="Z214" i="1"/>
  <c r="Y215" i="1"/>
  <c r="S200" i="1"/>
  <c r="T199" i="1"/>
  <c r="AA214" i="1" l="1"/>
  <c r="T200" i="1"/>
  <c r="S201" i="1"/>
  <c r="Z215" i="1"/>
  <c r="Y216" i="1"/>
  <c r="AA215" i="1" l="1"/>
  <c r="Z216" i="1"/>
  <c r="Y217" i="1"/>
  <c r="S202" i="1"/>
  <c r="T201" i="1"/>
  <c r="AA216" i="1" l="1"/>
  <c r="S203" i="1"/>
  <c r="T202" i="1"/>
  <c r="Z217" i="1"/>
  <c r="Y218" i="1"/>
  <c r="AA217" i="1" l="1"/>
  <c r="Z218" i="1"/>
  <c r="Y219" i="1"/>
  <c r="S204" i="1"/>
  <c r="T203" i="1"/>
  <c r="AA218" i="1" l="1"/>
  <c r="Z219" i="1"/>
  <c r="Y220" i="1"/>
  <c r="S205" i="1"/>
  <c r="T204" i="1"/>
  <c r="S206" i="1" l="1"/>
  <c r="T205" i="1"/>
  <c r="Z220" i="1"/>
  <c r="Y221" i="1"/>
  <c r="AA219" i="1"/>
  <c r="AA220" i="1" l="1"/>
  <c r="Z221" i="1"/>
  <c r="Y222" i="1"/>
  <c r="S207" i="1"/>
  <c r="T206" i="1"/>
  <c r="AA221" i="1" l="1"/>
  <c r="S208" i="1"/>
  <c r="T207" i="1"/>
  <c r="Z222" i="1"/>
  <c r="Y223" i="1"/>
  <c r="AA222" i="1" l="1"/>
  <c r="Z223" i="1"/>
  <c r="Y224" i="1"/>
  <c r="S209" i="1"/>
  <c r="T208" i="1"/>
  <c r="AA223" i="1" l="1"/>
  <c r="S210" i="1"/>
  <c r="T209" i="1"/>
  <c r="Z224" i="1"/>
  <c r="Y225" i="1"/>
  <c r="AA224" i="1" l="1"/>
  <c r="Z225" i="1"/>
  <c r="Y226" i="1"/>
  <c r="S211" i="1"/>
  <c r="T210" i="1"/>
  <c r="AA225" i="1" l="1"/>
  <c r="S212" i="1"/>
  <c r="T211" i="1"/>
  <c r="Z226" i="1"/>
  <c r="Y227" i="1"/>
  <c r="AA226" i="1" l="1"/>
  <c r="Z227" i="1"/>
  <c r="Y228" i="1"/>
  <c r="S213" i="1"/>
  <c r="T212" i="1"/>
  <c r="AA227" i="1" l="1"/>
  <c r="S214" i="1"/>
  <c r="T213" i="1"/>
  <c r="Z228" i="1"/>
  <c r="Y229" i="1"/>
  <c r="AA228" i="1" l="1"/>
  <c r="Z229" i="1"/>
  <c r="Y230" i="1"/>
  <c r="S215" i="1"/>
  <c r="T214" i="1"/>
  <c r="AA229" i="1" l="1"/>
  <c r="S216" i="1"/>
  <c r="T215" i="1"/>
  <c r="Z230" i="1"/>
  <c r="Y231" i="1"/>
  <c r="AA230" i="1" l="1"/>
  <c r="Z231" i="1"/>
  <c r="Y232" i="1"/>
  <c r="S217" i="1"/>
  <c r="T216" i="1"/>
  <c r="AA231" i="1" l="1"/>
  <c r="S218" i="1"/>
  <c r="T217" i="1"/>
  <c r="Z232" i="1"/>
  <c r="Y233" i="1"/>
  <c r="AA232" i="1" l="1"/>
  <c r="Z233" i="1"/>
  <c r="Y234" i="1"/>
  <c r="S219" i="1"/>
  <c r="T218" i="1"/>
  <c r="AA233" i="1" l="1"/>
  <c r="S220" i="1"/>
  <c r="T219" i="1"/>
  <c r="Z234" i="1"/>
  <c r="Y235" i="1"/>
  <c r="AA234" i="1" l="1"/>
  <c r="Z235" i="1"/>
  <c r="Y236" i="1"/>
  <c r="S221" i="1"/>
  <c r="T220" i="1"/>
  <c r="AA235" i="1" l="1"/>
  <c r="Z236" i="1"/>
  <c r="Y237" i="1"/>
  <c r="S222" i="1"/>
  <c r="T221" i="1"/>
  <c r="AA236" i="1" l="1"/>
  <c r="S223" i="1"/>
  <c r="T222" i="1"/>
  <c r="Z237" i="1"/>
  <c r="Y238" i="1"/>
  <c r="AA237" i="1" l="1"/>
  <c r="Z238" i="1"/>
  <c r="Y239" i="1"/>
  <c r="S224" i="1"/>
  <c r="T223" i="1"/>
  <c r="AA238" i="1" l="1"/>
  <c r="T224" i="1"/>
  <c r="S225" i="1"/>
  <c r="Z239" i="1"/>
  <c r="Y240" i="1"/>
  <c r="AA239" i="1" l="1"/>
  <c r="Z240" i="1"/>
  <c r="Y241" i="1"/>
  <c r="S226" i="1"/>
  <c r="T225" i="1"/>
  <c r="AA240" i="1" l="1"/>
  <c r="S227" i="1"/>
  <c r="T226" i="1"/>
  <c r="Z241" i="1"/>
  <c r="Y242" i="1"/>
  <c r="AA241" i="1" l="1"/>
  <c r="Z242" i="1"/>
  <c r="Y243" i="1"/>
  <c r="S228" i="1"/>
  <c r="T227" i="1"/>
  <c r="AA242" i="1" l="1"/>
  <c r="S229" i="1"/>
  <c r="T228" i="1"/>
  <c r="Z243" i="1"/>
  <c r="Y244" i="1"/>
  <c r="AA243" i="1" l="1"/>
  <c r="Z244" i="1"/>
  <c r="Y245" i="1"/>
  <c r="S230" i="1"/>
  <c r="T229" i="1"/>
  <c r="AA244" i="1" l="1"/>
  <c r="S231" i="1"/>
  <c r="T230" i="1"/>
  <c r="Z245" i="1"/>
  <c r="Y246" i="1"/>
  <c r="AA245" i="1" l="1"/>
  <c r="Z246" i="1"/>
  <c r="Y247" i="1"/>
  <c r="S232" i="1"/>
  <c r="T231" i="1"/>
  <c r="AA246" i="1" l="1"/>
  <c r="S233" i="1"/>
  <c r="T232" i="1"/>
  <c r="Z247" i="1"/>
  <c r="Y248" i="1"/>
  <c r="AA247" i="1" l="1"/>
  <c r="Z248" i="1"/>
  <c r="Y249" i="1"/>
  <c r="S234" i="1"/>
  <c r="T233" i="1"/>
  <c r="AA248" i="1" l="1"/>
  <c r="S235" i="1"/>
  <c r="T234" i="1"/>
  <c r="Z249" i="1"/>
  <c r="Y250" i="1"/>
  <c r="AA249" i="1" l="1"/>
  <c r="Z250" i="1"/>
  <c r="Y251" i="1"/>
  <c r="S236" i="1"/>
  <c r="T235" i="1"/>
  <c r="AA250" i="1" l="1"/>
  <c r="S237" i="1"/>
  <c r="T236" i="1"/>
  <c r="Z251" i="1"/>
  <c r="Z252" i="1" s="1"/>
  <c r="AA251" i="1" l="1"/>
  <c r="AA252" i="1"/>
  <c r="S238" i="1"/>
  <c r="T237" i="1"/>
  <c r="S239" i="1" l="1"/>
  <c r="T238" i="1"/>
  <c r="S240" i="1" l="1"/>
  <c r="T239" i="1"/>
  <c r="S241" i="1" l="1"/>
  <c r="T240" i="1"/>
  <c r="S242" i="1" l="1"/>
  <c r="T241" i="1"/>
  <c r="S243" i="1" l="1"/>
  <c r="T242" i="1"/>
  <c r="S244" i="1" l="1"/>
  <c r="T243" i="1"/>
  <c r="S245" i="1" l="1"/>
  <c r="T244" i="1"/>
  <c r="S246" i="1" l="1"/>
  <c r="T245" i="1"/>
  <c r="S247" i="1" l="1"/>
  <c r="T246" i="1"/>
  <c r="S248" i="1" l="1"/>
  <c r="T247" i="1"/>
  <c r="S249" i="1" l="1"/>
  <c r="T248" i="1"/>
  <c r="S250" i="1" l="1"/>
  <c r="T249" i="1"/>
  <c r="S251" i="1" l="1"/>
  <c r="T250" i="1"/>
  <c r="S252" i="1" l="1"/>
  <c r="T251" i="1"/>
  <c r="T25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E0121E-1D20-4B57-BB80-98E7143F7220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4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</futureMetadata>
  <cellMetadata count="1">
    <bk>
      <rc t="1" v="0"/>
    </bk>
  </cellMetadata>
  <valueMetadata count="74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</valueMetadata>
</metadata>
</file>

<file path=xl/sharedStrings.xml><?xml version="1.0" encoding="utf-8"?>
<sst xmlns="http://schemas.openxmlformats.org/spreadsheetml/2006/main" count="62" uniqueCount="50">
  <si>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</si>
  <si>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</si>
  <si>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</si>
  <si>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</si>
  <si>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</si>
  <si>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</si>
  <si>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</si>
  <si>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</si>
  <si>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</si>
  <si>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</si>
  <si>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</si>
  <si>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</si>
  <si>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</si>
  <si>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</si>
  <si>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</si>
  <si>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</si>
  <si>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</si>
  <si>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</si>
  <si>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</si>
  <si>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</si>
  <si>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</si>
  <si>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</si>
  <si>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</si>
  <si>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</si>
  <si>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</si>
  <si>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</si>
  <si>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</si>
  <si>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</si>
  <si>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</si>
  <si>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</si>
  <si>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</si>
  <si>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</si>
  <si>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</si>
  <si>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</si>
  <si>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</si>
  <si>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</si>
  <si>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</si>
  <si>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</si>
  <si>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</si>
  <si>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</si>
  <si>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</si>
  <si>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</si>
  <si>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</si>
  <si>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</si>
  <si>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</si>
  <si>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</si>
  <si>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</si>
  <si>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Date</t>
  </si>
  <si>
    <t>Dividends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</si>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</sst>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9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6" fillId="0" borderId="1" xfId="0" applyFont="1" applyBorder="1" applyAlignment="1">
      <alignment horizontal="center" wrapText="1"/>
    </xf>
    <xf numFmtId="14" fontId="0" fillId="0" borderId="0" xfId="0" applyNumberFormat="1"/>
    <xf numFmtId="8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64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right" wrapText="1"/>
    </xf>
    <xf numFmtId="164" fontId="8" fillId="0" borderId="1" xfId="0" applyNumberFormat="1" applyFont="1" applyBorder="1" applyAlignment="1">
      <alignment wrapText="1"/>
    </xf>
  </cellXfs>
  <cellStyles count="2">
    <cellStyle name="Comma" xfId="1" builtinId="3"/>
    <cellStyle name="Normal" xfId="0" builtinId="0"/>
  </cellStyles>
  <dxfs count="2">
    <dxf>
      <numFmt numFmtId="19" formatCode="m/d/yyyy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Dividends!$A$2:$A$1000</c:f>
              <c:numCache>
                <c:formatCode>yyyy\-mm\-dd;@</c:formatCode>
                <c:ptCount val="999"/>
                <c:pt idx="0">
                  <c:v>36544</c:v>
                </c:pt>
                <c:pt idx="1">
                  <c:v>36634</c:v>
                </c:pt>
                <c:pt idx="2">
                  <c:v>36726</c:v>
                </c:pt>
                <c:pt idx="3">
                  <c:v>36817</c:v>
                </c:pt>
                <c:pt idx="4">
                  <c:v>36908</c:v>
                </c:pt>
                <c:pt idx="5">
                  <c:v>36999</c:v>
                </c:pt>
                <c:pt idx="6">
                  <c:v>37090</c:v>
                </c:pt>
                <c:pt idx="7">
                  <c:v>37181</c:v>
                </c:pt>
                <c:pt idx="8">
                  <c:v>37272</c:v>
                </c:pt>
                <c:pt idx="9">
                  <c:v>37363</c:v>
                </c:pt>
                <c:pt idx="10">
                  <c:v>37410</c:v>
                </c:pt>
                <c:pt idx="11">
                  <c:v>37454</c:v>
                </c:pt>
                <c:pt idx="12">
                  <c:v>37545</c:v>
                </c:pt>
                <c:pt idx="13">
                  <c:v>37643</c:v>
                </c:pt>
                <c:pt idx="14">
                  <c:v>37726</c:v>
                </c:pt>
                <c:pt idx="15">
                  <c:v>37818</c:v>
                </c:pt>
                <c:pt idx="16">
                  <c:v>37916</c:v>
                </c:pt>
                <c:pt idx="17">
                  <c:v>38007</c:v>
                </c:pt>
                <c:pt idx="18">
                  <c:v>38098</c:v>
                </c:pt>
                <c:pt idx="19">
                  <c:v>38189</c:v>
                </c:pt>
                <c:pt idx="20">
                  <c:v>38280</c:v>
                </c:pt>
                <c:pt idx="21">
                  <c:v>38371</c:v>
                </c:pt>
                <c:pt idx="22">
                  <c:v>38462</c:v>
                </c:pt>
                <c:pt idx="23">
                  <c:v>38553</c:v>
                </c:pt>
                <c:pt idx="24">
                  <c:v>38644</c:v>
                </c:pt>
                <c:pt idx="25">
                  <c:v>38735</c:v>
                </c:pt>
                <c:pt idx="26">
                  <c:v>38826</c:v>
                </c:pt>
                <c:pt idx="27">
                  <c:v>38917</c:v>
                </c:pt>
                <c:pt idx="28">
                  <c:v>39008</c:v>
                </c:pt>
                <c:pt idx="29">
                  <c:v>39099</c:v>
                </c:pt>
                <c:pt idx="30">
                  <c:v>39197</c:v>
                </c:pt>
                <c:pt idx="31">
                  <c:v>39281</c:v>
                </c:pt>
                <c:pt idx="32">
                  <c:v>39372</c:v>
                </c:pt>
                <c:pt idx="33">
                  <c:v>39463</c:v>
                </c:pt>
                <c:pt idx="34">
                  <c:v>39554</c:v>
                </c:pt>
                <c:pt idx="35">
                  <c:v>39645</c:v>
                </c:pt>
                <c:pt idx="36">
                  <c:v>39743</c:v>
                </c:pt>
                <c:pt idx="37">
                  <c:v>39834</c:v>
                </c:pt>
                <c:pt idx="38">
                  <c:v>39925</c:v>
                </c:pt>
                <c:pt idx="39">
                  <c:v>40016</c:v>
                </c:pt>
                <c:pt idx="40">
                  <c:v>40107</c:v>
                </c:pt>
                <c:pt idx="41">
                  <c:v>40198</c:v>
                </c:pt>
                <c:pt idx="42">
                  <c:v>40296</c:v>
                </c:pt>
                <c:pt idx="43">
                  <c:v>40380</c:v>
                </c:pt>
                <c:pt idx="44">
                  <c:v>40471</c:v>
                </c:pt>
                <c:pt idx="45">
                  <c:v>40562</c:v>
                </c:pt>
                <c:pt idx="46">
                  <c:v>40660</c:v>
                </c:pt>
                <c:pt idx="47">
                  <c:v>40744</c:v>
                </c:pt>
                <c:pt idx="48">
                  <c:v>40835</c:v>
                </c:pt>
                <c:pt idx="49">
                  <c:v>40926</c:v>
                </c:pt>
                <c:pt idx="50">
                  <c:v>41024</c:v>
                </c:pt>
                <c:pt idx="51">
                  <c:v>41108</c:v>
                </c:pt>
                <c:pt idx="52">
                  <c:v>41199</c:v>
                </c:pt>
                <c:pt idx="53">
                  <c:v>41290</c:v>
                </c:pt>
                <c:pt idx="54">
                  <c:v>41388</c:v>
                </c:pt>
                <c:pt idx="55">
                  <c:v>41472</c:v>
                </c:pt>
                <c:pt idx="56">
                  <c:v>41563</c:v>
                </c:pt>
                <c:pt idx="57">
                  <c:v>41661</c:v>
                </c:pt>
                <c:pt idx="58">
                  <c:v>41752</c:v>
                </c:pt>
                <c:pt idx="59">
                  <c:v>41836</c:v>
                </c:pt>
                <c:pt idx="60">
                  <c:v>41934</c:v>
                </c:pt>
                <c:pt idx="61">
                  <c:v>42025</c:v>
                </c:pt>
                <c:pt idx="62">
                  <c:v>42117</c:v>
                </c:pt>
                <c:pt idx="63">
                  <c:v>42207</c:v>
                </c:pt>
                <c:pt idx="64">
                  <c:v>42298</c:v>
                </c:pt>
                <c:pt idx="65">
                  <c:v>42389</c:v>
                </c:pt>
                <c:pt idx="66">
                  <c:v>42474</c:v>
                </c:pt>
                <c:pt idx="67">
                  <c:v>42571</c:v>
                </c:pt>
                <c:pt idx="68">
                  <c:v>42662</c:v>
                </c:pt>
                <c:pt idx="69">
                  <c:v>42753</c:v>
                </c:pt>
                <c:pt idx="70">
                  <c:v>42844</c:v>
                </c:pt>
                <c:pt idx="71">
                  <c:v>42935</c:v>
                </c:pt>
                <c:pt idx="72">
                  <c:v>43027</c:v>
                </c:pt>
                <c:pt idx="73">
                  <c:v>43118</c:v>
                </c:pt>
                <c:pt idx="74">
                  <c:v>43209</c:v>
                </c:pt>
                <c:pt idx="75">
                  <c:v>43300</c:v>
                </c:pt>
                <c:pt idx="76">
                  <c:v>43391</c:v>
                </c:pt>
                <c:pt idx="77">
                  <c:v>43482</c:v>
                </c:pt>
                <c:pt idx="78">
                  <c:v>43572</c:v>
                </c:pt>
                <c:pt idx="79">
                  <c:v>43664</c:v>
                </c:pt>
                <c:pt idx="80">
                  <c:v>43755</c:v>
                </c:pt>
                <c:pt idx="81">
                  <c:v>43853</c:v>
                </c:pt>
                <c:pt idx="82">
                  <c:v>43944</c:v>
                </c:pt>
                <c:pt idx="83">
                  <c:v>44035</c:v>
                </c:pt>
                <c:pt idx="84">
                  <c:v>44126</c:v>
                </c:pt>
                <c:pt idx="85">
                  <c:v>44217</c:v>
                </c:pt>
                <c:pt idx="86">
                  <c:v>44308</c:v>
                </c:pt>
                <c:pt idx="87">
                  <c:v>44399</c:v>
                </c:pt>
                <c:pt idx="88">
                  <c:v>44490</c:v>
                </c:pt>
                <c:pt idx="89">
                  <c:v>44581</c:v>
                </c:pt>
                <c:pt idx="90">
                  <c:v>44672</c:v>
                </c:pt>
                <c:pt idx="91">
                  <c:v>44763</c:v>
                </c:pt>
                <c:pt idx="92">
                  <c:v>44854</c:v>
                </c:pt>
                <c:pt idx="93">
                  <c:v>44945</c:v>
                </c:pt>
                <c:pt idx="94">
                  <c:v>45036</c:v>
                </c:pt>
                <c:pt idx="95">
                  <c:v>45127</c:v>
                </c:pt>
                <c:pt idx="96">
                  <c:v>45218</c:v>
                </c:pt>
                <c:pt idx="97">
                  <c:v>45309</c:v>
                </c:pt>
                <c:pt idx="98">
                  <c:v>45400</c:v>
                </c:pt>
                <c:pt idx="99">
                  <c:v>45492</c:v>
                </c:pt>
                <c:pt idx="100">
                  <c:v>45583</c:v>
                </c:pt>
                <c:pt idx="101">
                  <c:v>45681</c:v>
                </c:pt>
                <c:pt idx="102">
                  <c:v>45768</c:v>
                </c:pt>
                <c:pt idx="103">
                  <c:v>45856</c:v>
                </c:pt>
                <c:pt idx="104">
                  <c:v>45954</c:v>
                </c:pt>
                <c:pt idx="105">
                  <c:v>46045</c:v>
                </c:pt>
              </c:numCache>
            </c:numRef>
          </c:cat>
          <c:val>
            <c:numRef>
              <c:f>Dividends!$B$2:$B$1000</c:f>
              <c:numCache>
                <c:formatCode>"$"#,##0.00_);[Red]\("$"#,##0.00\)</c:formatCode>
                <c:ptCount val="999"/>
                <c:pt idx="0">
                  <c:v>0.16</c:v>
                </c:pt>
                <c:pt idx="1">
                  <c:v>0.16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0.35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0.21</c:v>
                </c:pt>
                <c:pt idx="15">
                  <c:v>0.23</c:v>
                </c:pt>
                <c:pt idx="16">
                  <c:v>0.23</c:v>
                </c:pt>
                <c:pt idx="17">
                  <c:v>0.23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0.28000000000000003</c:v>
                </c:pt>
                <c:pt idx="26">
                  <c:v>0.31</c:v>
                </c:pt>
                <c:pt idx="27">
                  <c:v>0.31</c:v>
                </c:pt>
                <c:pt idx="28">
                  <c:v>0.31</c:v>
                </c:pt>
                <c:pt idx="29">
                  <c:v>0.31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0.44</c:v>
                </c:pt>
                <c:pt idx="39">
                  <c:v>0.44</c:v>
                </c:pt>
                <c:pt idx="40">
                  <c:v>0.44</c:v>
                </c:pt>
                <c:pt idx="41">
                  <c:v>0.44</c:v>
                </c:pt>
                <c:pt idx="42">
                  <c:v>0.48</c:v>
                </c:pt>
                <c:pt idx="43">
                  <c:v>0.48</c:v>
                </c:pt>
                <c:pt idx="44">
                  <c:v>0.48</c:v>
                </c:pt>
                <c:pt idx="45">
                  <c:v>0.48</c:v>
                </c:pt>
                <c:pt idx="46">
                  <c:v>0.53</c:v>
                </c:pt>
                <c:pt idx="47">
                  <c:v>0.53</c:v>
                </c:pt>
                <c:pt idx="48">
                  <c:v>0.53</c:v>
                </c:pt>
                <c:pt idx="49">
                  <c:v>0.53</c:v>
                </c:pt>
                <c:pt idx="50">
                  <c:v>0.56000000000000005</c:v>
                </c:pt>
                <c:pt idx="51">
                  <c:v>0.56000000000000005</c:v>
                </c:pt>
                <c:pt idx="52">
                  <c:v>0.56000000000000005</c:v>
                </c:pt>
                <c:pt idx="53">
                  <c:v>0.56000000000000005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0.64</c:v>
                </c:pt>
                <c:pt idx="59">
                  <c:v>0.64</c:v>
                </c:pt>
                <c:pt idx="60">
                  <c:v>0.64</c:v>
                </c:pt>
                <c:pt idx="61">
                  <c:v>0.64</c:v>
                </c:pt>
                <c:pt idx="62">
                  <c:v>0.66</c:v>
                </c:pt>
                <c:pt idx="63">
                  <c:v>0.66</c:v>
                </c:pt>
                <c:pt idx="64">
                  <c:v>0.66</c:v>
                </c:pt>
                <c:pt idx="65">
                  <c:v>0.66</c:v>
                </c:pt>
                <c:pt idx="66">
                  <c:v>0.67</c:v>
                </c:pt>
                <c:pt idx="67">
                  <c:v>0.67</c:v>
                </c:pt>
                <c:pt idx="68">
                  <c:v>0.67</c:v>
                </c:pt>
                <c:pt idx="69">
                  <c:v>0.67</c:v>
                </c:pt>
                <c:pt idx="70">
                  <c:v>0.69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0.79</c:v>
                </c:pt>
                <c:pt idx="83">
                  <c:v>0.79</c:v>
                </c:pt>
                <c:pt idx="84">
                  <c:v>0.79</c:v>
                </c:pt>
                <c:pt idx="85">
                  <c:v>0.79</c:v>
                </c:pt>
                <c:pt idx="86">
                  <c:v>0.87</c:v>
                </c:pt>
                <c:pt idx="87">
                  <c:v>0.87</c:v>
                </c:pt>
                <c:pt idx="88">
                  <c:v>0.87</c:v>
                </c:pt>
                <c:pt idx="89">
                  <c:v>0.87</c:v>
                </c:pt>
                <c:pt idx="90">
                  <c:v>0.91</c:v>
                </c:pt>
                <c:pt idx="91">
                  <c:v>0.91</c:v>
                </c:pt>
                <c:pt idx="92">
                  <c:v>0.91</c:v>
                </c:pt>
                <c:pt idx="93">
                  <c:v>0.91</c:v>
                </c:pt>
                <c:pt idx="94">
                  <c:v>0.94</c:v>
                </c:pt>
                <c:pt idx="95">
                  <c:v>0.94</c:v>
                </c:pt>
                <c:pt idx="96">
                  <c:v>0.94</c:v>
                </c:pt>
                <c:pt idx="97">
                  <c:v>0.94</c:v>
                </c:pt>
                <c:pt idx="98">
                  <c:v>1.01</c:v>
                </c:pt>
                <c:pt idx="99">
                  <c:v>1.01</c:v>
                </c:pt>
                <c:pt idx="100">
                  <c:v>1.01</c:v>
                </c:pt>
                <c:pt idx="101">
                  <c:v>1.01</c:v>
                </c:pt>
                <c:pt idx="102">
                  <c:v>1.06</c:v>
                </c:pt>
                <c:pt idx="103">
                  <c:v>1.06</c:v>
                </c:pt>
                <c:pt idx="104">
                  <c:v>1.06</c:v>
                </c:pt>
                <c:pt idx="105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B-4A09-ACBF-D907D7C3C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674063"/>
        <c:axId val="151764847"/>
      </c:barChart>
      <c:dateAx>
        <c:axId val="1000674063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64847"/>
        <c:crosses val="autoZero"/>
        <c:auto val="1"/>
        <c:lblOffset val="100"/>
        <c:baseTimeUnit val="months"/>
      </c:dateAx>
      <c:valAx>
        <c:axId val="1517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7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171.3</c:v>
                </c:pt>
                <c:pt idx="1">
                  <c:v>171.97</c:v>
                </c:pt>
                <c:pt idx="2">
                  <c:v>173.84</c:v>
                </c:pt>
                <c:pt idx="3">
                  <c:v>175.59</c:v>
                </c:pt>
                <c:pt idx="4">
                  <c:v>173.18</c:v>
                </c:pt>
                <c:pt idx="5">
                  <c:v>174.61</c:v>
                </c:pt>
                <c:pt idx="6">
                  <c:v>174.66</c:v>
                </c:pt>
                <c:pt idx="7">
                  <c:v>175.95</c:v>
                </c:pt>
                <c:pt idx="8">
                  <c:v>176.26</c:v>
                </c:pt>
                <c:pt idx="9">
                  <c:v>173.12</c:v>
                </c:pt>
                <c:pt idx="10">
                  <c:v>168.37</c:v>
                </c:pt>
                <c:pt idx="11">
                  <c:v>168.59</c:v>
                </c:pt>
                <c:pt idx="12">
                  <c:v>167.97</c:v>
                </c:pt>
                <c:pt idx="13">
                  <c:v>169.76</c:v>
                </c:pt>
                <c:pt idx="14">
                  <c:v>167.71</c:v>
                </c:pt>
                <c:pt idx="15">
                  <c:v>168.57</c:v>
                </c:pt>
                <c:pt idx="16">
                  <c:v>167.55</c:v>
                </c:pt>
                <c:pt idx="17">
                  <c:v>166.69</c:v>
                </c:pt>
                <c:pt idx="18">
                  <c:v>165.65</c:v>
                </c:pt>
                <c:pt idx="19">
                  <c:v>162.85</c:v>
                </c:pt>
                <c:pt idx="20">
                  <c:v>166.58</c:v>
                </c:pt>
                <c:pt idx="21">
                  <c:v>168.71</c:v>
                </c:pt>
                <c:pt idx="22">
                  <c:v>168.03</c:v>
                </c:pt>
                <c:pt idx="23">
                  <c:v>170.42</c:v>
                </c:pt>
                <c:pt idx="24">
                  <c:v>170.56</c:v>
                </c:pt>
                <c:pt idx="25">
                  <c:v>169.5</c:v>
                </c:pt>
                <c:pt idx="26">
                  <c:v>172.39</c:v>
                </c:pt>
                <c:pt idx="27">
                  <c:v>163.75</c:v>
                </c:pt>
                <c:pt idx="28">
                  <c:v>160.22999999999999</c:v>
                </c:pt>
                <c:pt idx="29">
                  <c:v>158.38999999999999</c:v>
                </c:pt>
                <c:pt idx="30">
                  <c:v>162.32</c:v>
                </c:pt>
                <c:pt idx="31">
                  <c:v>163.56</c:v>
                </c:pt>
                <c:pt idx="32">
                  <c:v>166.91</c:v>
                </c:pt>
                <c:pt idx="33">
                  <c:v>169.13</c:v>
                </c:pt>
                <c:pt idx="34">
                  <c:v>168.47</c:v>
                </c:pt>
                <c:pt idx="35">
                  <c:v>166.39</c:v>
                </c:pt>
                <c:pt idx="36">
                  <c:v>170.63</c:v>
                </c:pt>
                <c:pt idx="37">
                  <c:v>165.75</c:v>
                </c:pt>
                <c:pt idx="38">
                  <c:v>167.88</c:v>
                </c:pt>
                <c:pt idx="39">
                  <c:v>165.73</c:v>
                </c:pt>
                <c:pt idx="40">
                  <c:v>159.53</c:v>
                </c:pt>
                <c:pt idx="41">
                  <c:v>161.02000000000001</c:v>
                </c:pt>
                <c:pt idx="42">
                  <c:v>161.85</c:v>
                </c:pt>
                <c:pt idx="43">
                  <c:v>162.26</c:v>
                </c:pt>
                <c:pt idx="44">
                  <c:v>162.57</c:v>
                </c:pt>
                <c:pt idx="45">
                  <c:v>159.97999999999999</c:v>
                </c:pt>
                <c:pt idx="46">
                  <c:v>160.52000000000001</c:v>
                </c:pt>
                <c:pt idx="47">
                  <c:v>158.83000000000001</c:v>
                </c:pt>
                <c:pt idx="48">
                  <c:v>159.25</c:v>
                </c:pt>
                <c:pt idx="49">
                  <c:v>159.29</c:v>
                </c:pt>
                <c:pt idx="50">
                  <c:v>158.65</c:v>
                </c:pt>
                <c:pt idx="51">
                  <c:v>157.66</c:v>
                </c:pt>
                <c:pt idx="52">
                  <c:v>160.9</c:v>
                </c:pt>
                <c:pt idx="53">
                  <c:v>158.72999999999999</c:v>
                </c:pt>
                <c:pt idx="54">
                  <c:v>158.02000000000001</c:v>
                </c:pt>
                <c:pt idx="55">
                  <c:v>162.41</c:v>
                </c:pt>
                <c:pt idx="56">
                  <c:v>163.28</c:v>
                </c:pt>
                <c:pt idx="57">
                  <c:v>164.77</c:v>
                </c:pt>
                <c:pt idx="58">
                  <c:v>165.64</c:v>
                </c:pt>
                <c:pt idx="59">
                  <c:v>165.43</c:v>
                </c:pt>
                <c:pt idx="60">
                  <c:v>165.03</c:v>
                </c:pt>
                <c:pt idx="61">
                  <c:v>165.86</c:v>
                </c:pt>
                <c:pt idx="62">
                  <c:v>167.76</c:v>
                </c:pt>
                <c:pt idx="63">
                  <c:v>167.36</c:v>
                </c:pt>
                <c:pt idx="64">
                  <c:v>168.56</c:v>
                </c:pt>
                <c:pt idx="65">
                  <c:v>169.89</c:v>
                </c:pt>
                <c:pt idx="66">
                  <c:v>167.78</c:v>
                </c:pt>
                <c:pt idx="67">
                  <c:v>166.85</c:v>
                </c:pt>
                <c:pt idx="68">
                  <c:v>165.95</c:v>
                </c:pt>
                <c:pt idx="69">
                  <c:v>162.80000000000001</c:v>
                </c:pt>
                <c:pt idx="70">
                  <c:v>164.02</c:v>
                </c:pt>
                <c:pt idx="71">
                  <c:v>162.56</c:v>
                </c:pt>
                <c:pt idx="72">
                  <c:v>162.84</c:v>
                </c:pt>
                <c:pt idx="73">
                  <c:v>162.11000000000001</c:v>
                </c:pt>
                <c:pt idx="74">
                  <c:v>163.18</c:v>
                </c:pt>
                <c:pt idx="75">
                  <c:v>160.28</c:v>
                </c:pt>
                <c:pt idx="76">
                  <c:v>160.88</c:v>
                </c:pt>
                <c:pt idx="77">
                  <c:v>158.52000000000001</c:v>
                </c:pt>
                <c:pt idx="78">
                  <c:v>158.02000000000001</c:v>
                </c:pt>
                <c:pt idx="79">
                  <c:v>159.08000000000001</c:v>
                </c:pt>
                <c:pt idx="80">
                  <c:v>161.03</c:v>
                </c:pt>
                <c:pt idx="81">
                  <c:v>160.36000000000001</c:v>
                </c:pt>
                <c:pt idx="82">
                  <c:v>158.97</c:v>
                </c:pt>
                <c:pt idx="83">
                  <c:v>158.63</c:v>
                </c:pt>
                <c:pt idx="84">
                  <c:v>159.86000000000001</c:v>
                </c:pt>
                <c:pt idx="85">
                  <c:v>159.32</c:v>
                </c:pt>
                <c:pt idx="86">
                  <c:v>161.22</c:v>
                </c:pt>
                <c:pt idx="87">
                  <c:v>161.19999999999999</c:v>
                </c:pt>
                <c:pt idx="88">
                  <c:v>160.83000000000001</c:v>
                </c:pt>
                <c:pt idx="89">
                  <c:v>160.5</c:v>
                </c:pt>
                <c:pt idx="90">
                  <c:v>157.88999999999999</c:v>
                </c:pt>
                <c:pt idx="91">
                  <c:v>157.52000000000001</c:v>
                </c:pt>
                <c:pt idx="92">
                  <c:v>158.49</c:v>
                </c:pt>
                <c:pt idx="93">
                  <c:v>157.05000000000001</c:v>
                </c:pt>
                <c:pt idx="94">
                  <c:v>153.76</c:v>
                </c:pt>
                <c:pt idx="95">
                  <c:v>152.68</c:v>
                </c:pt>
                <c:pt idx="96">
                  <c:v>153.72999999999999</c:v>
                </c:pt>
                <c:pt idx="97">
                  <c:v>155.62</c:v>
                </c:pt>
                <c:pt idx="98">
                  <c:v>155.1</c:v>
                </c:pt>
                <c:pt idx="99">
                  <c:v>155.03</c:v>
                </c:pt>
                <c:pt idx="100">
                  <c:v>158.32</c:v>
                </c:pt>
                <c:pt idx="101">
                  <c:v>158.28</c:v>
                </c:pt>
                <c:pt idx="102">
                  <c:v>158.81</c:v>
                </c:pt>
                <c:pt idx="103">
                  <c:v>158.30000000000001</c:v>
                </c:pt>
                <c:pt idx="104">
                  <c:v>157.11000000000001</c:v>
                </c:pt>
                <c:pt idx="105">
                  <c:v>156.61000000000001</c:v>
                </c:pt>
                <c:pt idx="106">
                  <c:v>152.88</c:v>
                </c:pt>
                <c:pt idx="107">
                  <c:v>150.47</c:v>
                </c:pt>
                <c:pt idx="108">
                  <c:v>150.65</c:v>
                </c:pt>
                <c:pt idx="109">
                  <c:v>150.76</c:v>
                </c:pt>
                <c:pt idx="110">
                  <c:v>150.51</c:v>
                </c:pt>
                <c:pt idx="111">
                  <c:v>152.86000000000001</c:v>
                </c:pt>
                <c:pt idx="112">
                  <c:v>153.49</c:v>
                </c:pt>
                <c:pt idx="113">
                  <c:v>153.51</c:v>
                </c:pt>
                <c:pt idx="114">
                  <c:v>154.97999999999999</c:v>
                </c:pt>
                <c:pt idx="115">
                  <c:v>155.09</c:v>
                </c:pt>
                <c:pt idx="116">
                  <c:v>155.41</c:v>
                </c:pt>
                <c:pt idx="117">
                  <c:v>153.74</c:v>
                </c:pt>
                <c:pt idx="118">
                  <c:v>154.36000000000001</c:v>
                </c:pt>
                <c:pt idx="119">
                  <c:v>155.72</c:v>
                </c:pt>
                <c:pt idx="120">
                  <c:v>158.4</c:v>
                </c:pt>
                <c:pt idx="121">
                  <c:v>159.51</c:v>
                </c:pt>
                <c:pt idx="122">
                  <c:v>158.72999999999999</c:v>
                </c:pt>
                <c:pt idx="123">
                  <c:v>158.66999999999999</c:v>
                </c:pt>
                <c:pt idx="124">
                  <c:v>156.15</c:v>
                </c:pt>
                <c:pt idx="125">
                  <c:v>155.97</c:v>
                </c:pt>
                <c:pt idx="126">
                  <c:v>156.96</c:v>
                </c:pt>
                <c:pt idx="127">
                  <c:v>155.65</c:v>
                </c:pt>
                <c:pt idx="128">
                  <c:v>157.04</c:v>
                </c:pt>
                <c:pt idx="129">
                  <c:v>157.99</c:v>
                </c:pt>
                <c:pt idx="130">
                  <c:v>158.16999999999999</c:v>
                </c:pt>
                <c:pt idx="131">
                  <c:v>159.19</c:v>
                </c:pt>
                <c:pt idx="132">
                  <c:v>160.02000000000001</c:v>
                </c:pt>
                <c:pt idx="133">
                  <c:v>159.01</c:v>
                </c:pt>
                <c:pt idx="134">
                  <c:v>159.46</c:v>
                </c:pt>
                <c:pt idx="135">
                  <c:v>157.35</c:v>
                </c:pt>
                <c:pt idx="136">
                  <c:v>158.63</c:v>
                </c:pt>
                <c:pt idx="137">
                  <c:v>157.9</c:v>
                </c:pt>
                <c:pt idx="138">
                  <c:v>156.83000000000001</c:v>
                </c:pt>
                <c:pt idx="139">
                  <c:v>158.05000000000001</c:v>
                </c:pt>
                <c:pt idx="140">
                  <c:v>160.33000000000001</c:v>
                </c:pt>
                <c:pt idx="141">
                  <c:v>157.32</c:v>
                </c:pt>
                <c:pt idx="142">
                  <c:v>156.04</c:v>
                </c:pt>
                <c:pt idx="143">
                  <c:v>153.07</c:v>
                </c:pt>
                <c:pt idx="144">
                  <c:v>152.5</c:v>
                </c:pt>
                <c:pt idx="145">
                  <c:v>152.41999999999999</c:v>
                </c:pt>
                <c:pt idx="146">
                  <c:v>152.15</c:v>
                </c:pt>
                <c:pt idx="147">
                  <c:v>152.5</c:v>
                </c:pt>
                <c:pt idx="148">
                  <c:v>153.53</c:v>
                </c:pt>
                <c:pt idx="149">
                  <c:v>153.65</c:v>
                </c:pt>
                <c:pt idx="150">
                  <c:v>153.18</c:v>
                </c:pt>
                <c:pt idx="151">
                  <c:v>152.05000000000001</c:v>
                </c:pt>
                <c:pt idx="152">
                  <c:v>152.27000000000001</c:v>
                </c:pt>
                <c:pt idx="153">
                  <c:v>150.41</c:v>
                </c:pt>
                <c:pt idx="154">
                  <c:v>152.54</c:v>
                </c:pt>
                <c:pt idx="155">
                  <c:v>150.69</c:v>
                </c:pt>
                <c:pt idx="156">
                  <c:v>150.58000000000001</c:v>
                </c:pt>
                <c:pt idx="157">
                  <c:v>149.69</c:v>
                </c:pt>
                <c:pt idx="158">
                  <c:v>147.49</c:v>
                </c:pt>
                <c:pt idx="159">
                  <c:v>149.16</c:v>
                </c:pt>
                <c:pt idx="160">
                  <c:v>147.41999999999999</c:v>
                </c:pt>
                <c:pt idx="161">
                  <c:v>149.6</c:v>
                </c:pt>
                <c:pt idx="162">
                  <c:v>151.4</c:v>
                </c:pt>
                <c:pt idx="163">
                  <c:v>151.96</c:v>
                </c:pt>
                <c:pt idx="164">
                  <c:v>151.62</c:v>
                </c:pt>
                <c:pt idx="165">
                  <c:v>152.19999999999999</c:v>
                </c:pt>
                <c:pt idx="166">
                  <c:v>152.21</c:v>
                </c:pt>
                <c:pt idx="167">
                  <c:v>152.49</c:v>
                </c:pt>
                <c:pt idx="168">
                  <c:v>151.74</c:v>
                </c:pt>
                <c:pt idx="169">
                  <c:v>151.37</c:v>
                </c:pt>
                <c:pt idx="170">
                  <c:v>148.77000000000001</c:v>
                </c:pt>
                <c:pt idx="171">
                  <c:v>149.58000000000001</c:v>
                </c:pt>
                <c:pt idx="172">
                  <c:v>150.37</c:v>
                </c:pt>
                <c:pt idx="173">
                  <c:v>148.02000000000001</c:v>
                </c:pt>
                <c:pt idx="174">
                  <c:v>147.16999999999999</c:v>
                </c:pt>
                <c:pt idx="175">
                  <c:v>145.79</c:v>
                </c:pt>
                <c:pt idx="176">
                  <c:v>146.13</c:v>
                </c:pt>
                <c:pt idx="177">
                  <c:v>146.97999999999999</c:v>
                </c:pt>
                <c:pt idx="178">
                  <c:v>145.5</c:v>
                </c:pt>
                <c:pt idx="179">
                  <c:v>148.54</c:v>
                </c:pt>
                <c:pt idx="180">
                  <c:v>148.01</c:v>
                </c:pt>
                <c:pt idx="181">
                  <c:v>147.96</c:v>
                </c:pt>
                <c:pt idx="182">
                  <c:v>147.66999999999999</c:v>
                </c:pt>
                <c:pt idx="183">
                  <c:v>145.82</c:v>
                </c:pt>
                <c:pt idx="184">
                  <c:v>146.99</c:v>
                </c:pt>
                <c:pt idx="185">
                  <c:v>146.99</c:v>
                </c:pt>
                <c:pt idx="186">
                  <c:v>148.19</c:v>
                </c:pt>
                <c:pt idx="187">
                  <c:v>150.91999999999999</c:v>
                </c:pt>
                <c:pt idx="188">
                  <c:v>146.97999999999999</c:v>
                </c:pt>
                <c:pt idx="189">
                  <c:v>148.49</c:v>
                </c:pt>
                <c:pt idx="190">
                  <c:v>148.25</c:v>
                </c:pt>
                <c:pt idx="191">
                  <c:v>148.16</c:v>
                </c:pt>
                <c:pt idx="192">
                  <c:v>147.44</c:v>
                </c:pt>
                <c:pt idx="193">
                  <c:v>145.86000000000001</c:v>
                </c:pt>
                <c:pt idx="194">
                  <c:v>146.71</c:v>
                </c:pt>
                <c:pt idx="195">
                  <c:v>145.36000000000001</c:v>
                </c:pt>
                <c:pt idx="196">
                  <c:v>143.44999999999999</c:v>
                </c:pt>
                <c:pt idx="197">
                  <c:v>138.34</c:v>
                </c:pt>
                <c:pt idx="198">
                  <c:v>139.63</c:v>
                </c:pt>
                <c:pt idx="199">
                  <c:v>139.82</c:v>
                </c:pt>
                <c:pt idx="200">
                  <c:v>140.76</c:v>
                </c:pt>
                <c:pt idx="201">
                  <c:v>142.84</c:v>
                </c:pt>
                <c:pt idx="202">
                  <c:v>145.13</c:v>
                </c:pt>
                <c:pt idx="203">
                  <c:v>145.21</c:v>
                </c:pt>
                <c:pt idx="204">
                  <c:v>147.81</c:v>
                </c:pt>
                <c:pt idx="205">
                  <c:v>145.52000000000001</c:v>
                </c:pt>
                <c:pt idx="206">
                  <c:v>144.46</c:v>
                </c:pt>
                <c:pt idx="207">
                  <c:v>142.69</c:v>
                </c:pt>
                <c:pt idx="208">
                  <c:v>143.18</c:v>
                </c:pt>
                <c:pt idx="209">
                  <c:v>144.49</c:v>
                </c:pt>
                <c:pt idx="210">
                  <c:v>144.74</c:v>
                </c:pt>
                <c:pt idx="211">
                  <c:v>144.57</c:v>
                </c:pt>
                <c:pt idx="212">
                  <c:v>144.05000000000001</c:v>
                </c:pt>
                <c:pt idx="213">
                  <c:v>143.31</c:v>
                </c:pt>
                <c:pt idx="214">
                  <c:v>141.79</c:v>
                </c:pt>
                <c:pt idx="215">
                  <c:v>140.37</c:v>
                </c:pt>
                <c:pt idx="216">
                  <c:v>139.91</c:v>
                </c:pt>
                <c:pt idx="217">
                  <c:v>138.04</c:v>
                </c:pt>
                <c:pt idx="218">
                  <c:v>141.53</c:v>
                </c:pt>
                <c:pt idx="219">
                  <c:v>141.87</c:v>
                </c:pt>
                <c:pt idx="220">
                  <c:v>143.46</c:v>
                </c:pt>
                <c:pt idx="221">
                  <c:v>144.24</c:v>
                </c:pt>
                <c:pt idx="222">
                  <c:v>146.35</c:v>
                </c:pt>
                <c:pt idx="223">
                  <c:v>144.63</c:v>
                </c:pt>
                <c:pt idx="224">
                  <c:v>144.53</c:v>
                </c:pt>
                <c:pt idx="225">
                  <c:v>147</c:v>
                </c:pt>
                <c:pt idx="226">
                  <c:v>146.06</c:v>
                </c:pt>
                <c:pt idx="227">
                  <c:v>149.93</c:v>
                </c:pt>
                <c:pt idx="228">
                  <c:v>150.15</c:v>
                </c:pt>
                <c:pt idx="229">
                  <c:v>149.49</c:v>
                </c:pt>
                <c:pt idx="230">
                  <c:v>148.34</c:v>
                </c:pt>
                <c:pt idx="231">
                  <c:v>147.34</c:v>
                </c:pt>
                <c:pt idx="232">
                  <c:v>149.9</c:v>
                </c:pt>
                <c:pt idx="233">
                  <c:v>151.77000000000001</c:v>
                </c:pt>
                <c:pt idx="234">
                  <c:v>153.19</c:v>
                </c:pt>
                <c:pt idx="235">
                  <c:v>155.32</c:v>
                </c:pt>
                <c:pt idx="236">
                  <c:v>156.87</c:v>
                </c:pt>
                <c:pt idx="237">
                  <c:v>158.61000000000001</c:v>
                </c:pt>
                <c:pt idx="238">
                  <c:v>159.16999999999999</c:v>
                </c:pt>
                <c:pt idx="239">
                  <c:v>157.33000000000001</c:v>
                </c:pt>
                <c:pt idx="240">
                  <c:v>159.08000000000001</c:v>
                </c:pt>
                <c:pt idx="241">
                  <c:v>160</c:v>
                </c:pt>
                <c:pt idx="242">
                  <c:v>161.21</c:v>
                </c:pt>
                <c:pt idx="243">
                  <c:v>160.07</c:v>
                </c:pt>
                <c:pt idx="244">
                  <c:v>159.55000000000001</c:v>
                </c:pt>
                <c:pt idx="245">
                  <c:v>156.86000000000001</c:v>
                </c:pt>
                <c:pt idx="246">
                  <c:v>158.56</c:v>
                </c:pt>
                <c:pt idx="247">
                  <c:v>160.78</c:v>
                </c:pt>
                <c:pt idx="248">
                  <c:v>165.17</c:v>
                </c:pt>
                <c:pt idx="249">
                  <c:v>165.28</c:v>
                </c:pt>
                <c:pt idx="250">
                  <c:v>163.38999999999999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3-4988-A9A2-CE46D9DF421B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170.70950000000002</c:v>
                </c:pt>
                <c:pt idx="20">
                  <c:v>170.4735</c:v>
                </c:pt>
                <c:pt idx="21">
                  <c:v>170.31049999999999</c:v>
                </c:pt>
                <c:pt idx="22">
                  <c:v>170.02</c:v>
                </c:pt>
                <c:pt idx="23">
                  <c:v>169.76150000000001</c:v>
                </c:pt>
                <c:pt idx="24">
                  <c:v>169.63050000000001</c:v>
                </c:pt>
                <c:pt idx="25">
                  <c:v>169.375</c:v>
                </c:pt>
                <c:pt idx="26">
                  <c:v>169.26150000000001</c:v>
                </c:pt>
                <c:pt idx="27">
                  <c:v>168.6515</c:v>
                </c:pt>
                <c:pt idx="28">
                  <c:v>167.85</c:v>
                </c:pt>
                <c:pt idx="29">
                  <c:v>167.11349999999999</c:v>
                </c:pt>
                <c:pt idx="30">
                  <c:v>166.81099999999998</c:v>
                </c:pt>
                <c:pt idx="31">
                  <c:v>166.55950000000001</c:v>
                </c:pt>
                <c:pt idx="32">
                  <c:v>166.50649999999999</c:v>
                </c:pt>
                <c:pt idx="33">
                  <c:v>166.47499999999999</c:v>
                </c:pt>
                <c:pt idx="34">
                  <c:v>166.51299999999998</c:v>
                </c:pt>
                <c:pt idx="35">
                  <c:v>166.404</c:v>
                </c:pt>
                <c:pt idx="36">
                  <c:v>166.55799999999999</c:v>
                </c:pt>
                <c:pt idx="37">
                  <c:v>166.511</c:v>
                </c:pt>
                <c:pt idx="38">
                  <c:v>166.6225</c:v>
                </c:pt>
                <c:pt idx="39">
                  <c:v>166.76650000000001</c:v>
                </c:pt>
                <c:pt idx="40">
                  <c:v>166.41400000000002</c:v>
                </c:pt>
                <c:pt idx="41">
                  <c:v>166.02950000000001</c:v>
                </c:pt>
                <c:pt idx="42">
                  <c:v>165.72050000000002</c:v>
                </c:pt>
                <c:pt idx="43">
                  <c:v>165.31250000000006</c:v>
                </c:pt>
                <c:pt idx="44">
                  <c:v>164.91300000000004</c:v>
                </c:pt>
                <c:pt idx="45">
                  <c:v>164.43700000000004</c:v>
                </c:pt>
                <c:pt idx="46">
                  <c:v>163.84350000000001</c:v>
                </c:pt>
                <c:pt idx="47">
                  <c:v>163.59750000000003</c:v>
                </c:pt>
                <c:pt idx="48">
                  <c:v>163.54850000000005</c:v>
                </c:pt>
                <c:pt idx="49">
                  <c:v>163.59350000000001</c:v>
                </c:pt>
                <c:pt idx="50">
                  <c:v>163.41000000000003</c:v>
                </c:pt>
                <c:pt idx="51">
                  <c:v>163.11499999999998</c:v>
                </c:pt>
                <c:pt idx="52">
                  <c:v>162.81449999999998</c:v>
                </c:pt>
                <c:pt idx="53">
                  <c:v>162.2945</c:v>
                </c:pt>
                <c:pt idx="54">
                  <c:v>161.77199999999999</c:v>
                </c:pt>
                <c:pt idx="55">
                  <c:v>161.57299999999998</c:v>
                </c:pt>
                <c:pt idx="56">
                  <c:v>161.2055</c:v>
                </c:pt>
                <c:pt idx="57">
                  <c:v>161.15649999999999</c:v>
                </c:pt>
                <c:pt idx="58">
                  <c:v>161.0445</c:v>
                </c:pt>
                <c:pt idx="59">
                  <c:v>161.02949999999998</c:v>
                </c:pt>
                <c:pt idx="60">
                  <c:v>161.30450000000002</c:v>
                </c:pt>
                <c:pt idx="61">
                  <c:v>161.54650000000001</c:v>
                </c:pt>
                <c:pt idx="62">
                  <c:v>161.84200000000001</c:v>
                </c:pt>
                <c:pt idx="63">
                  <c:v>162.09700000000001</c:v>
                </c:pt>
                <c:pt idx="64">
                  <c:v>162.3965</c:v>
                </c:pt>
                <c:pt idx="65">
                  <c:v>162.892</c:v>
                </c:pt>
                <c:pt idx="66">
                  <c:v>163.25500000000002</c:v>
                </c:pt>
                <c:pt idx="67">
                  <c:v>163.65600000000001</c:v>
                </c:pt>
                <c:pt idx="68">
                  <c:v>163.99100000000001</c:v>
                </c:pt>
                <c:pt idx="69">
                  <c:v>164.16650000000001</c:v>
                </c:pt>
                <c:pt idx="70">
                  <c:v>164.435</c:v>
                </c:pt>
                <c:pt idx="71">
                  <c:v>164.68</c:v>
                </c:pt>
                <c:pt idx="72">
                  <c:v>164.77699999999999</c:v>
                </c:pt>
                <c:pt idx="73">
                  <c:v>164.946</c:v>
                </c:pt>
                <c:pt idx="74">
                  <c:v>165.20400000000001</c:v>
                </c:pt>
                <c:pt idx="75">
                  <c:v>165.09750000000003</c:v>
                </c:pt>
                <c:pt idx="76">
                  <c:v>164.97750000000002</c:v>
                </c:pt>
                <c:pt idx="77">
                  <c:v>164.66500000000002</c:v>
                </c:pt>
                <c:pt idx="78">
                  <c:v>164.28400000000002</c:v>
                </c:pt>
                <c:pt idx="79">
                  <c:v>163.9665</c:v>
                </c:pt>
                <c:pt idx="80">
                  <c:v>163.76650000000001</c:v>
                </c:pt>
                <c:pt idx="81">
                  <c:v>163.4915</c:v>
                </c:pt>
                <c:pt idx="82">
                  <c:v>163.05199999999999</c:v>
                </c:pt>
                <c:pt idx="83">
                  <c:v>162.6155</c:v>
                </c:pt>
                <c:pt idx="84">
                  <c:v>162.18049999999999</c:v>
                </c:pt>
                <c:pt idx="85">
                  <c:v>161.65200000000002</c:v>
                </c:pt>
                <c:pt idx="86">
                  <c:v>161.32400000000001</c:v>
                </c:pt>
                <c:pt idx="87">
                  <c:v>161.04149999999998</c:v>
                </c:pt>
                <c:pt idx="88">
                  <c:v>160.78549999999998</c:v>
                </c:pt>
                <c:pt idx="89">
                  <c:v>160.67049999999998</c:v>
                </c:pt>
                <c:pt idx="90">
                  <c:v>160.36399999999998</c:v>
                </c:pt>
                <c:pt idx="91">
                  <c:v>160.11199999999999</c:v>
                </c:pt>
                <c:pt idx="92">
                  <c:v>159.89449999999997</c:v>
                </c:pt>
                <c:pt idx="93">
                  <c:v>159.64150000000001</c:v>
                </c:pt>
                <c:pt idx="94">
                  <c:v>159.1705</c:v>
                </c:pt>
                <c:pt idx="95">
                  <c:v>158.79050000000001</c:v>
                </c:pt>
                <c:pt idx="96">
                  <c:v>158.43299999999999</c:v>
                </c:pt>
                <c:pt idx="97">
                  <c:v>158.28800000000001</c:v>
                </c:pt>
                <c:pt idx="98">
                  <c:v>158.142</c:v>
                </c:pt>
                <c:pt idx="99">
                  <c:v>157.93950000000001</c:v>
                </c:pt>
                <c:pt idx="100">
                  <c:v>157.80400000000003</c:v>
                </c:pt>
                <c:pt idx="101">
                  <c:v>157.69999999999999</c:v>
                </c:pt>
                <c:pt idx="102">
                  <c:v>157.69200000000001</c:v>
                </c:pt>
                <c:pt idx="103">
                  <c:v>157.6755</c:v>
                </c:pt>
                <c:pt idx="104">
                  <c:v>157.53800000000004</c:v>
                </c:pt>
                <c:pt idx="105">
                  <c:v>157.40250000000006</c:v>
                </c:pt>
                <c:pt idx="106">
                  <c:v>156.98550000000003</c:v>
                </c:pt>
                <c:pt idx="107">
                  <c:v>156.44900000000001</c:v>
                </c:pt>
                <c:pt idx="108">
                  <c:v>155.94000000000003</c:v>
                </c:pt>
                <c:pt idx="109">
                  <c:v>155.45300000000003</c:v>
                </c:pt>
                <c:pt idx="110">
                  <c:v>155.084</c:v>
                </c:pt>
                <c:pt idx="111">
                  <c:v>154.851</c:v>
                </c:pt>
                <c:pt idx="112">
                  <c:v>154.60100000000003</c:v>
                </c:pt>
                <c:pt idx="113">
                  <c:v>154.42400000000004</c:v>
                </c:pt>
                <c:pt idx="114">
                  <c:v>154.48500000000007</c:v>
                </c:pt>
                <c:pt idx="115">
                  <c:v>154.60550000000006</c:v>
                </c:pt>
                <c:pt idx="116">
                  <c:v>154.68950000000001</c:v>
                </c:pt>
                <c:pt idx="117">
                  <c:v>154.59550000000004</c:v>
                </c:pt>
                <c:pt idx="118">
                  <c:v>154.55850000000004</c:v>
                </c:pt>
                <c:pt idx="119">
                  <c:v>154.59299999999999</c:v>
                </c:pt>
                <c:pt idx="120">
                  <c:v>154.59700000000001</c:v>
                </c:pt>
                <c:pt idx="121">
                  <c:v>154.6585</c:v>
                </c:pt>
                <c:pt idx="122">
                  <c:v>154.65449999999998</c:v>
                </c:pt>
                <c:pt idx="123">
                  <c:v>154.67299999999997</c:v>
                </c:pt>
                <c:pt idx="124">
                  <c:v>154.625</c:v>
                </c:pt>
                <c:pt idx="125">
                  <c:v>154.59300000000002</c:v>
                </c:pt>
                <c:pt idx="126">
                  <c:v>154.797</c:v>
                </c:pt>
                <c:pt idx="127">
                  <c:v>155.05600000000001</c:v>
                </c:pt>
                <c:pt idx="128">
                  <c:v>155.37550000000002</c:v>
                </c:pt>
                <c:pt idx="129">
                  <c:v>155.73700000000002</c:v>
                </c:pt>
                <c:pt idx="130">
                  <c:v>156.12000000000003</c:v>
                </c:pt>
                <c:pt idx="131">
                  <c:v>156.4365</c:v>
                </c:pt>
                <c:pt idx="132">
                  <c:v>156.76300000000001</c:v>
                </c:pt>
                <c:pt idx="133">
                  <c:v>157.03800000000001</c:v>
                </c:pt>
                <c:pt idx="134">
                  <c:v>157.26200000000003</c:v>
                </c:pt>
                <c:pt idx="135">
                  <c:v>157.37500000000003</c:v>
                </c:pt>
                <c:pt idx="136">
                  <c:v>157.53600000000003</c:v>
                </c:pt>
                <c:pt idx="137">
                  <c:v>157.744</c:v>
                </c:pt>
                <c:pt idx="138">
                  <c:v>157.86750000000001</c:v>
                </c:pt>
                <c:pt idx="139">
                  <c:v>157.98400000000001</c:v>
                </c:pt>
                <c:pt idx="140">
                  <c:v>158.08050000000003</c:v>
                </c:pt>
                <c:pt idx="141">
                  <c:v>157.97100000000003</c:v>
                </c:pt>
                <c:pt idx="142">
                  <c:v>157.83650000000003</c:v>
                </c:pt>
                <c:pt idx="143">
                  <c:v>157.55650000000003</c:v>
                </c:pt>
                <c:pt idx="144">
                  <c:v>157.37400000000002</c:v>
                </c:pt>
                <c:pt idx="145">
                  <c:v>157.19650000000001</c:v>
                </c:pt>
                <c:pt idx="146">
                  <c:v>156.95600000000002</c:v>
                </c:pt>
                <c:pt idx="147">
                  <c:v>156.79850000000002</c:v>
                </c:pt>
                <c:pt idx="148">
                  <c:v>156.62300000000002</c:v>
                </c:pt>
                <c:pt idx="149">
                  <c:v>156.40600000000001</c:v>
                </c:pt>
                <c:pt idx="150">
                  <c:v>156.15649999999999</c:v>
                </c:pt>
                <c:pt idx="151">
                  <c:v>155.79950000000002</c:v>
                </c:pt>
                <c:pt idx="152">
                  <c:v>155.41200000000001</c:v>
                </c:pt>
                <c:pt idx="153">
                  <c:v>154.98200000000003</c:v>
                </c:pt>
                <c:pt idx="154">
                  <c:v>154.63600000000002</c:v>
                </c:pt>
                <c:pt idx="155">
                  <c:v>154.303</c:v>
                </c:pt>
                <c:pt idx="156">
                  <c:v>153.90050000000002</c:v>
                </c:pt>
                <c:pt idx="157">
                  <c:v>153.49</c:v>
                </c:pt>
                <c:pt idx="158">
                  <c:v>153.023</c:v>
                </c:pt>
                <c:pt idx="159">
                  <c:v>152.57849999999999</c:v>
                </c:pt>
                <c:pt idx="160">
                  <c:v>151.93299999999999</c:v>
                </c:pt>
                <c:pt idx="161">
                  <c:v>151.547</c:v>
                </c:pt>
                <c:pt idx="162">
                  <c:v>151.315</c:v>
                </c:pt>
                <c:pt idx="163">
                  <c:v>151.25949999999997</c:v>
                </c:pt>
                <c:pt idx="164">
                  <c:v>151.21549999999999</c:v>
                </c:pt>
                <c:pt idx="165">
                  <c:v>151.2045</c:v>
                </c:pt>
                <c:pt idx="166">
                  <c:v>151.20749999999998</c:v>
                </c:pt>
                <c:pt idx="167">
                  <c:v>151.20700000000002</c:v>
                </c:pt>
                <c:pt idx="168">
                  <c:v>151.11749999999998</c:v>
                </c:pt>
                <c:pt idx="169">
                  <c:v>151.00349999999997</c:v>
                </c:pt>
                <c:pt idx="170">
                  <c:v>150.78299999999996</c:v>
                </c:pt>
                <c:pt idx="171">
                  <c:v>150.65950000000001</c:v>
                </c:pt>
                <c:pt idx="172">
                  <c:v>150.56449999999998</c:v>
                </c:pt>
                <c:pt idx="173">
                  <c:v>150.44499999999999</c:v>
                </c:pt>
                <c:pt idx="174">
                  <c:v>150.17649999999998</c:v>
                </c:pt>
                <c:pt idx="175">
                  <c:v>149.9315</c:v>
                </c:pt>
                <c:pt idx="176">
                  <c:v>149.709</c:v>
                </c:pt>
                <c:pt idx="177">
                  <c:v>149.57350000000002</c:v>
                </c:pt>
                <c:pt idx="178">
                  <c:v>149.47399999999999</c:v>
                </c:pt>
                <c:pt idx="179">
                  <c:v>149.44300000000001</c:v>
                </c:pt>
                <c:pt idx="180">
                  <c:v>149.4725</c:v>
                </c:pt>
                <c:pt idx="181">
                  <c:v>149.39050000000003</c:v>
                </c:pt>
                <c:pt idx="182">
                  <c:v>149.20400000000001</c:v>
                </c:pt>
                <c:pt idx="183">
                  <c:v>148.89699999999999</c:v>
                </c:pt>
                <c:pt idx="184">
                  <c:v>148.66550000000001</c:v>
                </c:pt>
                <c:pt idx="185">
                  <c:v>148.40500000000003</c:v>
                </c:pt>
                <c:pt idx="186">
                  <c:v>148.20400000000001</c:v>
                </c:pt>
                <c:pt idx="187">
                  <c:v>148.12549999999999</c:v>
                </c:pt>
                <c:pt idx="188">
                  <c:v>147.88749999999999</c:v>
                </c:pt>
                <c:pt idx="189">
                  <c:v>147.74349999999998</c:v>
                </c:pt>
                <c:pt idx="190">
                  <c:v>147.71749999999997</c:v>
                </c:pt>
                <c:pt idx="191">
                  <c:v>147.6465</c:v>
                </c:pt>
                <c:pt idx="192">
                  <c:v>147.50000000000003</c:v>
                </c:pt>
                <c:pt idx="193">
                  <c:v>147.392</c:v>
                </c:pt>
                <c:pt idx="194">
                  <c:v>147.369</c:v>
                </c:pt>
                <c:pt idx="195">
                  <c:v>147.34750000000003</c:v>
                </c:pt>
                <c:pt idx="196">
                  <c:v>147.21350000000001</c:v>
                </c:pt>
                <c:pt idx="197">
                  <c:v>146.78150000000002</c:v>
                </c:pt>
                <c:pt idx="198">
                  <c:v>146.48800000000003</c:v>
                </c:pt>
                <c:pt idx="199">
                  <c:v>146.05200000000005</c:v>
                </c:pt>
                <c:pt idx="200">
                  <c:v>145.68950000000004</c:v>
                </c:pt>
                <c:pt idx="201">
                  <c:v>145.43350000000004</c:v>
                </c:pt>
                <c:pt idx="202">
                  <c:v>145.30650000000006</c:v>
                </c:pt>
                <c:pt idx="203">
                  <c:v>145.27600000000001</c:v>
                </c:pt>
                <c:pt idx="204">
                  <c:v>145.31700000000004</c:v>
                </c:pt>
                <c:pt idx="205">
                  <c:v>145.24350000000001</c:v>
                </c:pt>
                <c:pt idx="206">
                  <c:v>145.05700000000002</c:v>
                </c:pt>
                <c:pt idx="207">
                  <c:v>144.6455</c:v>
                </c:pt>
                <c:pt idx="208">
                  <c:v>144.45549999999997</c:v>
                </c:pt>
                <c:pt idx="209">
                  <c:v>144.25549999999998</c:v>
                </c:pt>
                <c:pt idx="210">
                  <c:v>144.07999999999998</c:v>
                </c:pt>
                <c:pt idx="211">
                  <c:v>143.90049999999999</c:v>
                </c:pt>
                <c:pt idx="212">
                  <c:v>143.73100000000002</c:v>
                </c:pt>
                <c:pt idx="213">
                  <c:v>143.6035</c:v>
                </c:pt>
                <c:pt idx="214">
                  <c:v>143.35750000000002</c:v>
                </c:pt>
                <c:pt idx="215">
                  <c:v>143.108</c:v>
                </c:pt>
                <c:pt idx="216">
                  <c:v>142.93099999999998</c:v>
                </c:pt>
                <c:pt idx="217">
                  <c:v>142.916</c:v>
                </c:pt>
                <c:pt idx="218">
                  <c:v>143.011</c:v>
                </c:pt>
                <c:pt idx="219">
                  <c:v>143.11349999999999</c:v>
                </c:pt>
                <c:pt idx="220">
                  <c:v>143.24849999999998</c:v>
                </c:pt>
                <c:pt idx="221">
                  <c:v>143.3185</c:v>
                </c:pt>
                <c:pt idx="222">
                  <c:v>143.37950000000004</c:v>
                </c:pt>
                <c:pt idx="223">
                  <c:v>143.35049999999998</c:v>
                </c:pt>
                <c:pt idx="224">
                  <c:v>143.18650000000002</c:v>
                </c:pt>
                <c:pt idx="225">
                  <c:v>143.26050000000001</c:v>
                </c:pt>
                <c:pt idx="226">
                  <c:v>143.34049999999999</c:v>
                </c:pt>
                <c:pt idx="227">
                  <c:v>143.70250000000001</c:v>
                </c:pt>
                <c:pt idx="228">
                  <c:v>144.05099999999999</c:v>
                </c:pt>
                <c:pt idx="229">
                  <c:v>144.30099999999999</c:v>
                </c:pt>
                <c:pt idx="230">
                  <c:v>144.48099999999999</c:v>
                </c:pt>
                <c:pt idx="231">
                  <c:v>144.61950000000002</c:v>
                </c:pt>
                <c:pt idx="232">
                  <c:v>144.91200000000001</c:v>
                </c:pt>
                <c:pt idx="233">
                  <c:v>145.33500000000004</c:v>
                </c:pt>
                <c:pt idx="234">
                  <c:v>145.90500000000003</c:v>
                </c:pt>
                <c:pt idx="235">
                  <c:v>146.65250000000003</c:v>
                </c:pt>
                <c:pt idx="236">
                  <c:v>147.50050000000002</c:v>
                </c:pt>
                <c:pt idx="237">
                  <c:v>148.52900000000002</c:v>
                </c:pt>
                <c:pt idx="238">
                  <c:v>149.411</c:v>
                </c:pt>
                <c:pt idx="239">
                  <c:v>150.18400000000003</c:v>
                </c:pt>
                <c:pt idx="240">
                  <c:v>150.965</c:v>
                </c:pt>
                <c:pt idx="241">
                  <c:v>151.75299999999999</c:v>
                </c:pt>
                <c:pt idx="242">
                  <c:v>152.49600000000001</c:v>
                </c:pt>
                <c:pt idx="243">
                  <c:v>153.268</c:v>
                </c:pt>
                <c:pt idx="244">
                  <c:v>154.01900000000003</c:v>
                </c:pt>
                <c:pt idx="245">
                  <c:v>154.51200000000003</c:v>
                </c:pt>
                <c:pt idx="246">
                  <c:v>155.13700000000003</c:v>
                </c:pt>
                <c:pt idx="247">
                  <c:v>155.67950000000002</c:v>
                </c:pt>
                <c:pt idx="248">
                  <c:v>156.43050000000002</c:v>
                </c:pt>
                <c:pt idx="249">
                  <c:v>157.22000000000006</c:v>
                </c:pt>
                <c:pt idx="250">
                  <c:v>157.97250000000003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43-4988-A9A2-CE46D9DF421B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Data!$AB$2:$AB$252</c:f>
              <c:numCache>
                <c:formatCode>General</c:formatCode>
                <c:ptCount val="251"/>
                <c:pt idx="99">
                  <c:v>164.08230000000006</c:v>
                </c:pt>
                <c:pt idx="100">
                  <c:v>163.95250000000007</c:v>
                </c:pt>
                <c:pt idx="101">
                  <c:v>163.81560000000007</c:v>
                </c:pt>
                <c:pt idx="102">
                  <c:v>163.66530000000006</c:v>
                </c:pt>
                <c:pt idx="103">
                  <c:v>163.49240000000006</c:v>
                </c:pt>
                <c:pt idx="104">
                  <c:v>163.33170000000004</c:v>
                </c:pt>
                <c:pt idx="105">
                  <c:v>163.15170000000006</c:v>
                </c:pt>
                <c:pt idx="106">
                  <c:v>162.93390000000005</c:v>
                </c:pt>
                <c:pt idx="107">
                  <c:v>162.67910000000003</c:v>
                </c:pt>
                <c:pt idx="108">
                  <c:v>162.42300000000003</c:v>
                </c:pt>
                <c:pt idx="109">
                  <c:v>162.19940000000003</c:v>
                </c:pt>
                <c:pt idx="110">
                  <c:v>162.02080000000001</c:v>
                </c:pt>
                <c:pt idx="111">
                  <c:v>161.86350000000002</c:v>
                </c:pt>
                <c:pt idx="112">
                  <c:v>161.71870000000001</c:v>
                </c:pt>
                <c:pt idx="113">
                  <c:v>161.55620000000002</c:v>
                </c:pt>
                <c:pt idx="114">
                  <c:v>161.4289</c:v>
                </c:pt>
                <c:pt idx="115">
                  <c:v>161.29410000000004</c:v>
                </c:pt>
                <c:pt idx="116">
                  <c:v>161.17270000000002</c:v>
                </c:pt>
                <c:pt idx="117">
                  <c:v>161.04320000000001</c:v>
                </c:pt>
                <c:pt idx="118">
                  <c:v>160.93030000000002</c:v>
                </c:pt>
                <c:pt idx="119">
                  <c:v>160.85900000000001</c:v>
                </c:pt>
                <c:pt idx="120">
                  <c:v>160.77720000000002</c:v>
                </c:pt>
                <c:pt idx="121">
                  <c:v>160.68520000000001</c:v>
                </c:pt>
                <c:pt idx="122">
                  <c:v>160.59220000000002</c:v>
                </c:pt>
                <c:pt idx="123">
                  <c:v>160.47470000000004</c:v>
                </c:pt>
                <c:pt idx="124">
                  <c:v>160.3306</c:v>
                </c:pt>
                <c:pt idx="125">
                  <c:v>160.1953</c:v>
                </c:pt>
                <c:pt idx="126">
                  <c:v>160.041</c:v>
                </c:pt>
                <c:pt idx="127">
                  <c:v>159.96</c:v>
                </c:pt>
                <c:pt idx="128">
                  <c:v>159.9281</c:v>
                </c:pt>
                <c:pt idx="129">
                  <c:v>159.92410000000001</c:v>
                </c:pt>
                <c:pt idx="130">
                  <c:v>159.8826</c:v>
                </c:pt>
                <c:pt idx="131">
                  <c:v>159.8389</c:v>
                </c:pt>
                <c:pt idx="132">
                  <c:v>159.77000000000001</c:v>
                </c:pt>
                <c:pt idx="133">
                  <c:v>159.6688</c:v>
                </c:pt>
                <c:pt idx="134">
                  <c:v>159.5787</c:v>
                </c:pt>
                <c:pt idx="135">
                  <c:v>159.48830000000001</c:v>
                </c:pt>
                <c:pt idx="136">
                  <c:v>159.3683</c:v>
                </c:pt>
                <c:pt idx="137">
                  <c:v>159.28979999999999</c:v>
                </c:pt>
                <c:pt idx="138">
                  <c:v>159.17929999999998</c:v>
                </c:pt>
                <c:pt idx="139">
                  <c:v>159.10249999999999</c:v>
                </c:pt>
                <c:pt idx="140">
                  <c:v>159.11049999999997</c:v>
                </c:pt>
                <c:pt idx="141">
                  <c:v>159.0735</c:v>
                </c:pt>
                <c:pt idx="142">
                  <c:v>159.0154</c:v>
                </c:pt>
                <c:pt idx="143">
                  <c:v>158.92349999999999</c:v>
                </c:pt>
                <c:pt idx="144">
                  <c:v>158.8228</c:v>
                </c:pt>
                <c:pt idx="145">
                  <c:v>158.74719999999999</c:v>
                </c:pt>
                <c:pt idx="146">
                  <c:v>158.66349999999997</c:v>
                </c:pt>
                <c:pt idx="147">
                  <c:v>158.60019999999997</c:v>
                </c:pt>
                <c:pt idx="148">
                  <c:v>158.54299999999998</c:v>
                </c:pt>
                <c:pt idx="149">
                  <c:v>158.48659999999998</c:v>
                </c:pt>
                <c:pt idx="150">
                  <c:v>158.43189999999996</c:v>
                </c:pt>
                <c:pt idx="151">
                  <c:v>158.37579999999997</c:v>
                </c:pt>
                <c:pt idx="152">
                  <c:v>158.28949999999998</c:v>
                </c:pt>
                <c:pt idx="153">
                  <c:v>158.20629999999994</c:v>
                </c:pt>
                <c:pt idx="154">
                  <c:v>158.15149999999997</c:v>
                </c:pt>
                <c:pt idx="155">
                  <c:v>158.03429999999997</c:v>
                </c:pt>
                <c:pt idx="156">
                  <c:v>157.90729999999999</c:v>
                </c:pt>
                <c:pt idx="157">
                  <c:v>157.75649999999999</c:v>
                </c:pt>
                <c:pt idx="158">
                  <c:v>157.57499999999999</c:v>
                </c:pt>
                <c:pt idx="159">
                  <c:v>157.41229999999999</c:v>
                </c:pt>
                <c:pt idx="160">
                  <c:v>157.2362</c:v>
                </c:pt>
                <c:pt idx="161">
                  <c:v>157.07359999999997</c:v>
                </c:pt>
                <c:pt idx="162">
                  <c:v>156.90999999999997</c:v>
                </c:pt>
                <c:pt idx="163">
                  <c:v>156.75599999999997</c:v>
                </c:pt>
                <c:pt idx="164">
                  <c:v>156.58659999999998</c:v>
                </c:pt>
                <c:pt idx="165">
                  <c:v>156.40969999999999</c:v>
                </c:pt>
                <c:pt idx="166">
                  <c:v>156.25399999999996</c:v>
                </c:pt>
                <c:pt idx="167">
                  <c:v>156.11039999999997</c:v>
                </c:pt>
                <c:pt idx="168">
                  <c:v>155.96829999999997</c:v>
                </c:pt>
                <c:pt idx="169">
                  <c:v>155.85399999999998</c:v>
                </c:pt>
                <c:pt idx="170">
                  <c:v>155.70149999999998</c:v>
                </c:pt>
                <c:pt idx="171">
                  <c:v>155.57169999999999</c:v>
                </c:pt>
                <c:pt idx="172">
                  <c:v>155.447</c:v>
                </c:pt>
                <c:pt idx="173">
                  <c:v>155.30610000000001</c:v>
                </c:pt>
                <c:pt idx="174">
                  <c:v>155.14600000000002</c:v>
                </c:pt>
                <c:pt idx="175">
                  <c:v>155.00110000000004</c:v>
                </c:pt>
                <c:pt idx="176">
                  <c:v>154.8536</c:v>
                </c:pt>
                <c:pt idx="177">
                  <c:v>154.73820000000001</c:v>
                </c:pt>
                <c:pt idx="178">
                  <c:v>154.613</c:v>
                </c:pt>
                <c:pt idx="179">
                  <c:v>154.5076</c:v>
                </c:pt>
                <c:pt idx="180">
                  <c:v>154.37739999999999</c:v>
                </c:pt>
                <c:pt idx="181">
                  <c:v>154.2534</c:v>
                </c:pt>
                <c:pt idx="182">
                  <c:v>154.1404</c:v>
                </c:pt>
                <c:pt idx="183">
                  <c:v>154.01230000000001</c:v>
                </c:pt>
                <c:pt idx="184">
                  <c:v>153.88360000000003</c:v>
                </c:pt>
                <c:pt idx="185">
                  <c:v>153.76030000000003</c:v>
                </c:pt>
                <c:pt idx="186">
                  <c:v>153.63000000000002</c:v>
                </c:pt>
                <c:pt idx="187">
                  <c:v>153.52720000000002</c:v>
                </c:pt>
                <c:pt idx="188">
                  <c:v>153.38870000000003</c:v>
                </c:pt>
                <c:pt idx="189">
                  <c:v>153.26860000000002</c:v>
                </c:pt>
                <c:pt idx="190">
                  <c:v>153.17220000000003</c:v>
                </c:pt>
                <c:pt idx="191">
                  <c:v>153.07859999999999</c:v>
                </c:pt>
                <c:pt idx="192">
                  <c:v>152.96810000000002</c:v>
                </c:pt>
                <c:pt idx="193">
                  <c:v>152.85620000000003</c:v>
                </c:pt>
                <c:pt idx="194">
                  <c:v>152.78570000000002</c:v>
                </c:pt>
                <c:pt idx="195">
                  <c:v>152.71250000000001</c:v>
                </c:pt>
                <c:pt idx="196">
                  <c:v>152.60970000000003</c:v>
                </c:pt>
                <c:pt idx="197">
                  <c:v>152.43690000000004</c:v>
                </c:pt>
                <c:pt idx="198">
                  <c:v>152.28220000000002</c:v>
                </c:pt>
                <c:pt idx="199">
                  <c:v>152.1301</c:v>
                </c:pt>
                <c:pt idx="200">
                  <c:v>151.95450000000002</c:v>
                </c:pt>
                <c:pt idx="201">
                  <c:v>151.80010000000001</c:v>
                </c:pt>
                <c:pt idx="202">
                  <c:v>151.66329999999999</c:v>
                </c:pt>
                <c:pt idx="203">
                  <c:v>151.5324</c:v>
                </c:pt>
                <c:pt idx="204">
                  <c:v>151.43939999999998</c:v>
                </c:pt>
                <c:pt idx="205">
                  <c:v>151.32849999999999</c:v>
                </c:pt>
                <c:pt idx="206">
                  <c:v>151.24429999999998</c:v>
                </c:pt>
                <c:pt idx="207">
                  <c:v>151.16649999999998</c:v>
                </c:pt>
                <c:pt idx="208">
                  <c:v>151.09179999999998</c:v>
                </c:pt>
                <c:pt idx="209">
                  <c:v>151.02909999999997</c:v>
                </c:pt>
                <c:pt idx="210">
                  <c:v>150.97139999999999</c:v>
                </c:pt>
                <c:pt idx="211">
                  <c:v>150.88849999999999</c:v>
                </c:pt>
                <c:pt idx="212">
                  <c:v>150.79409999999996</c:v>
                </c:pt>
                <c:pt idx="213">
                  <c:v>150.69209999999995</c:v>
                </c:pt>
                <c:pt idx="214">
                  <c:v>150.56019999999998</c:v>
                </c:pt>
                <c:pt idx="215">
                  <c:v>150.41299999999998</c:v>
                </c:pt>
                <c:pt idx="216">
                  <c:v>150.25799999999998</c:v>
                </c:pt>
                <c:pt idx="217">
                  <c:v>150.101</c:v>
                </c:pt>
                <c:pt idx="218">
                  <c:v>149.97269999999997</c:v>
                </c:pt>
                <c:pt idx="219">
                  <c:v>149.83419999999998</c:v>
                </c:pt>
                <c:pt idx="220">
                  <c:v>149.68479999999997</c:v>
                </c:pt>
                <c:pt idx="221">
                  <c:v>149.53209999999999</c:v>
                </c:pt>
                <c:pt idx="222">
                  <c:v>149.4083</c:v>
                </c:pt>
                <c:pt idx="223">
                  <c:v>149.2679</c:v>
                </c:pt>
                <c:pt idx="224">
                  <c:v>149.15170000000001</c:v>
                </c:pt>
                <c:pt idx="225">
                  <c:v>149.06199999999998</c:v>
                </c:pt>
                <c:pt idx="226">
                  <c:v>148.95299999999997</c:v>
                </c:pt>
                <c:pt idx="227">
                  <c:v>148.89579999999998</c:v>
                </c:pt>
                <c:pt idx="228">
                  <c:v>148.82689999999997</c:v>
                </c:pt>
                <c:pt idx="229">
                  <c:v>148.74189999999999</c:v>
                </c:pt>
                <c:pt idx="230">
                  <c:v>148.64359999999999</c:v>
                </c:pt>
                <c:pt idx="231">
                  <c:v>148.52509999999998</c:v>
                </c:pt>
                <c:pt idx="232">
                  <c:v>148.42389999999997</c:v>
                </c:pt>
                <c:pt idx="233">
                  <c:v>148.35149999999999</c:v>
                </c:pt>
                <c:pt idx="234">
                  <c:v>148.28879999999998</c:v>
                </c:pt>
                <c:pt idx="235">
                  <c:v>148.26849999999996</c:v>
                </c:pt>
                <c:pt idx="236">
                  <c:v>148.2509</c:v>
                </c:pt>
                <c:pt idx="237">
                  <c:v>148.25799999999998</c:v>
                </c:pt>
                <c:pt idx="238">
                  <c:v>148.28139999999996</c:v>
                </c:pt>
                <c:pt idx="239">
                  <c:v>148.27419999999998</c:v>
                </c:pt>
                <c:pt idx="240">
                  <c:v>148.26169999999999</c:v>
                </c:pt>
                <c:pt idx="241">
                  <c:v>148.28849999999997</c:v>
                </c:pt>
                <c:pt idx="242">
                  <c:v>148.34019999999995</c:v>
                </c:pt>
                <c:pt idx="243">
                  <c:v>148.41019999999995</c:v>
                </c:pt>
                <c:pt idx="244">
                  <c:v>148.48069999999996</c:v>
                </c:pt>
                <c:pt idx="245">
                  <c:v>148.52509999999995</c:v>
                </c:pt>
                <c:pt idx="246">
                  <c:v>148.58919999999995</c:v>
                </c:pt>
                <c:pt idx="247">
                  <c:v>148.67199999999997</c:v>
                </c:pt>
                <c:pt idx="248">
                  <c:v>148.7884</c:v>
                </c:pt>
                <c:pt idx="249">
                  <c:v>148.90469999999999</c:v>
                </c:pt>
                <c:pt idx="250">
                  <c:v>149.0068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43-4988-A9A2-CE46D9DF4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199120"/>
        <c:axId val="1355194800"/>
      </c:lineChart>
      <c:dateAx>
        <c:axId val="1355199120"/>
        <c:scaling>
          <c:orientation val="minMax"/>
          <c:min val="4595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94800"/>
        <c:crosses val="autoZero"/>
        <c:auto val="1"/>
        <c:lblOffset val="100"/>
        <c:baseTimeUnit val="days"/>
      </c:dateAx>
      <c:valAx>
        <c:axId val="1355194800"/>
        <c:scaling>
          <c:orientation val="minMax"/>
          <c:max val="175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9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171.3</c:v>
                </c:pt>
                <c:pt idx="1">
                  <c:v>171.97</c:v>
                </c:pt>
                <c:pt idx="2">
                  <c:v>173.84</c:v>
                </c:pt>
                <c:pt idx="3">
                  <c:v>175.59</c:v>
                </c:pt>
                <c:pt idx="4">
                  <c:v>173.18</c:v>
                </c:pt>
                <c:pt idx="5">
                  <c:v>174.61</c:v>
                </c:pt>
                <c:pt idx="6">
                  <c:v>174.66</c:v>
                </c:pt>
                <c:pt idx="7">
                  <c:v>175.95</c:v>
                </c:pt>
                <c:pt idx="8">
                  <c:v>176.26</c:v>
                </c:pt>
                <c:pt idx="9">
                  <c:v>173.12</c:v>
                </c:pt>
                <c:pt idx="10">
                  <c:v>168.37</c:v>
                </c:pt>
                <c:pt idx="11">
                  <c:v>168.59</c:v>
                </c:pt>
                <c:pt idx="12">
                  <c:v>167.97</c:v>
                </c:pt>
                <c:pt idx="13">
                  <c:v>169.76</c:v>
                </c:pt>
                <c:pt idx="14">
                  <c:v>167.71</c:v>
                </c:pt>
                <c:pt idx="15">
                  <c:v>168.57</c:v>
                </c:pt>
                <c:pt idx="16">
                  <c:v>167.55</c:v>
                </c:pt>
                <c:pt idx="17">
                  <c:v>166.69</c:v>
                </c:pt>
                <c:pt idx="18">
                  <c:v>165.65</c:v>
                </c:pt>
                <c:pt idx="19">
                  <c:v>162.85</c:v>
                </c:pt>
                <c:pt idx="20">
                  <c:v>166.58</c:v>
                </c:pt>
                <c:pt idx="21">
                  <c:v>168.71</c:v>
                </c:pt>
                <c:pt idx="22">
                  <c:v>168.03</c:v>
                </c:pt>
                <c:pt idx="23">
                  <c:v>170.42</c:v>
                </c:pt>
                <c:pt idx="24">
                  <c:v>170.56</c:v>
                </c:pt>
                <c:pt idx="25">
                  <c:v>169.5</c:v>
                </c:pt>
                <c:pt idx="26">
                  <c:v>172.39</c:v>
                </c:pt>
                <c:pt idx="27">
                  <c:v>163.75</c:v>
                </c:pt>
                <c:pt idx="28">
                  <c:v>160.22999999999999</c:v>
                </c:pt>
                <c:pt idx="29">
                  <c:v>158.38999999999999</c:v>
                </c:pt>
                <c:pt idx="30">
                  <c:v>162.32</c:v>
                </c:pt>
                <c:pt idx="31">
                  <c:v>163.56</c:v>
                </c:pt>
                <c:pt idx="32">
                  <c:v>166.91</c:v>
                </c:pt>
                <c:pt idx="33">
                  <c:v>169.13</c:v>
                </c:pt>
                <c:pt idx="34">
                  <c:v>168.47</c:v>
                </c:pt>
                <c:pt idx="35">
                  <c:v>166.39</c:v>
                </c:pt>
                <c:pt idx="36">
                  <c:v>170.63</c:v>
                </c:pt>
                <c:pt idx="37">
                  <c:v>165.75</c:v>
                </c:pt>
                <c:pt idx="38">
                  <c:v>167.88</c:v>
                </c:pt>
                <c:pt idx="39">
                  <c:v>165.73</c:v>
                </c:pt>
                <c:pt idx="40">
                  <c:v>159.53</c:v>
                </c:pt>
                <c:pt idx="41">
                  <c:v>161.02000000000001</c:v>
                </c:pt>
                <c:pt idx="42">
                  <c:v>161.85</c:v>
                </c:pt>
                <c:pt idx="43">
                  <c:v>162.26</c:v>
                </c:pt>
                <c:pt idx="44">
                  <c:v>162.57</c:v>
                </c:pt>
                <c:pt idx="45">
                  <c:v>159.97999999999999</c:v>
                </c:pt>
                <c:pt idx="46">
                  <c:v>160.52000000000001</c:v>
                </c:pt>
                <c:pt idx="47">
                  <c:v>158.83000000000001</c:v>
                </c:pt>
                <c:pt idx="48">
                  <c:v>159.25</c:v>
                </c:pt>
                <c:pt idx="49">
                  <c:v>159.29</c:v>
                </c:pt>
                <c:pt idx="50">
                  <c:v>158.65</c:v>
                </c:pt>
                <c:pt idx="51">
                  <c:v>157.66</c:v>
                </c:pt>
                <c:pt idx="52">
                  <c:v>160.9</c:v>
                </c:pt>
                <c:pt idx="53">
                  <c:v>158.72999999999999</c:v>
                </c:pt>
                <c:pt idx="54">
                  <c:v>158.02000000000001</c:v>
                </c:pt>
                <c:pt idx="55">
                  <c:v>162.41</c:v>
                </c:pt>
                <c:pt idx="56">
                  <c:v>163.28</c:v>
                </c:pt>
                <c:pt idx="57">
                  <c:v>164.77</c:v>
                </c:pt>
                <c:pt idx="58">
                  <c:v>165.64</c:v>
                </c:pt>
                <c:pt idx="59">
                  <c:v>165.43</c:v>
                </c:pt>
                <c:pt idx="60">
                  <c:v>165.03</c:v>
                </c:pt>
                <c:pt idx="61">
                  <c:v>165.86</c:v>
                </c:pt>
                <c:pt idx="62">
                  <c:v>167.76</c:v>
                </c:pt>
                <c:pt idx="63">
                  <c:v>167.36</c:v>
                </c:pt>
                <c:pt idx="64">
                  <c:v>168.56</c:v>
                </c:pt>
                <c:pt idx="65">
                  <c:v>169.89</c:v>
                </c:pt>
                <c:pt idx="66">
                  <c:v>167.78</c:v>
                </c:pt>
                <c:pt idx="67">
                  <c:v>166.85</c:v>
                </c:pt>
                <c:pt idx="68">
                  <c:v>165.95</c:v>
                </c:pt>
                <c:pt idx="69">
                  <c:v>162.80000000000001</c:v>
                </c:pt>
                <c:pt idx="70">
                  <c:v>164.02</c:v>
                </c:pt>
                <c:pt idx="71">
                  <c:v>162.56</c:v>
                </c:pt>
                <c:pt idx="72">
                  <c:v>162.84</c:v>
                </c:pt>
                <c:pt idx="73">
                  <c:v>162.11000000000001</c:v>
                </c:pt>
                <c:pt idx="74">
                  <c:v>163.18</c:v>
                </c:pt>
                <c:pt idx="75">
                  <c:v>160.28</c:v>
                </c:pt>
                <c:pt idx="76">
                  <c:v>160.88</c:v>
                </c:pt>
                <c:pt idx="77">
                  <c:v>158.52000000000001</c:v>
                </c:pt>
                <c:pt idx="78">
                  <c:v>158.02000000000001</c:v>
                </c:pt>
                <c:pt idx="79">
                  <c:v>159.08000000000001</c:v>
                </c:pt>
                <c:pt idx="80">
                  <c:v>161.03</c:v>
                </c:pt>
                <c:pt idx="81">
                  <c:v>160.36000000000001</c:v>
                </c:pt>
                <c:pt idx="82">
                  <c:v>158.97</c:v>
                </c:pt>
                <c:pt idx="83">
                  <c:v>158.63</c:v>
                </c:pt>
                <c:pt idx="84">
                  <c:v>159.86000000000001</c:v>
                </c:pt>
                <c:pt idx="85">
                  <c:v>159.32</c:v>
                </c:pt>
                <c:pt idx="86">
                  <c:v>161.22</c:v>
                </c:pt>
                <c:pt idx="87">
                  <c:v>161.19999999999999</c:v>
                </c:pt>
                <c:pt idx="88">
                  <c:v>160.83000000000001</c:v>
                </c:pt>
                <c:pt idx="89">
                  <c:v>160.5</c:v>
                </c:pt>
                <c:pt idx="90">
                  <c:v>157.88999999999999</c:v>
                </c:pt>
                <c:pt idx="91">
                  <c:v>157.52000000000001</c:v>
                </c:pt>
                <c:pt idx="92">
                  <c:v>158.49</c:v>
                </c:pt>
                <c:pt idx="93">
                  <c:v>157.05000000000001</c:v>
                </c:pt>
                <c:pt idx="94">
                  <c:v>153.76</c:v>
                </c:pt>
                <c:pt idx="95">
                  <c:v>152.68</c:v>
                </c:pt>
                <c:pt idx="96">
                  <c:v>153.72999999999999</c:v>
                </c:pt>
                <c:pt idx="97">
                  <c:v>155.62</c:v>
                </c:pt>
                <c:pt idx="98">
                  <c:v>155.1</c:v>
                </c:pt>
                <c:pt idx="99">
                  <c:v>155.03</c:v>
                </c:pt>
                <c:pt idx="100">
                  <c:v>158.32</c:v>
                </c:pt>
                <c:pt idx="101">
                  <c:v>158.28</c:v>
                </c:pt>
                <c:pt idx="102">
                  <c:v>158.81</c:v>
                </c:pt>
                <c:pt idx="103">
                  <c:v>158.30000000000001</c:v>
                </c:pt>
                <c:pt idx="104">
                  <c:v>157.11000000000001</c:v>
                </c:pt>
                <c:pt idx="105">
                  <c:v>156.61000000000001</c:v>
                </c:pt>
                <c:pt idx="106">
                  <c:v>152.88</c:v>
                </c:pt>
                <c:pt idx="107">
                  <c:v>150.47</c:v>
                </c:pt>
                <c:pt idx="108">
                  <c:v>150.65</c:v>
                </c:pt>
                <c:pt idx="109">
                  <c:v>150.76</c:v>
                </c:pt>
                <c:pt idx="110">
                  <c:v>150.51</c:v>
                </c:pt>
                <c:pt idx="111">
                  <c:v>152.86000000000001</c:v>
                </c:pt>
                <c:pt idx="112">
                  <c:v>153.49</c:v>
                </c:pt>
                <c:pt idx="113">
                  <c:v>153.51</c:v>
                </c:pt>
                <c:pt idx="114">
                  <c:v>154.97999999999999</c:v>
                </c:pt>
                <c:pt idx="115">
                  <c:v>155.09</c:v>
                </c:pt>
                <c:pt idx="116">
                  <c:v>155.41</c:v>
                </c:pt>
                <c:pt idx="117">
                  <c:v>153.74</c:v>
                </c:pt>
                <c:pt idx="118">
                  <c:v>154.36000000000001</c:v>
                </c:pt>
                <c:pt idx="119">
                  <c:v>155.72</c:v>
                </c:pt>
                <c:pt idx="120">
                  <c:v>158.4</c:v>
                </c:pt>
                <c:pt idx="121">
                  <c:v>159.51</c:v>
                </c:pt>
                <c:pt idx="122">
                  <c:v>158.72999999999999</c:v>
                </c:pt>
                <c:pt idx="123">
                  <c:v>158.66999999999999</c:v>
                </c:pt>
                <c:pt idx="124">
                  <c:v>156.15</c:v>
                </c:pt>
                <c:pt idx="125">
                  <c:v>155.97</c:v>
                </c:pt>
                <c:pt idx="126">
                  <c:v>156.96</c:v>
                </c:pt>
                <c:pt idx="127">
                  <c:v>155.65</c:v>
                </c:pt>
                <c:pt idx="128">
                  <c:v>157.04</c:v>
                </c:pt>
                <c:pt idx="129">
                  <c:v>157.99</c:v>
                </c:pt>
                <c:pt idx="130">
                  <c:v>158.16999999999999</c:v>
                </c:pt>
                <c:pt idx="131">
                  <c:v>159.19</c:v>
                </c:pt>
                <c:pt idx="132">
                  <c:v>160.02000000000001</c:v>
                </c:pt>
                <c:pt idx="133">
                  <c:v>159.01</c:v>
                </c:pt>
                <c:pt idx="134">
                  <c:v>159.46</c:v>
                </c:pt>
                <c:pt idx="135">
                  <c:v>157.35</c:v>
                </c:pt>
                <c:pt idx="136">
                  <c:v>158.63</c:v>
                </c:pt>
                <c:pt idx="137">
                  <c:v>157.9</c:v>
                </c:pt>
                <c:pt idx="138">
                  <c:v>156.83000000000001</c:v>
                </c:pt>
                <c:pt idx="139">
                  <c:v>158.05000000000001</c:v>
                </c:pt>
                <c:pt idx="140">
                  <c:v>160.33000000000001</c:v>
                </c:pt>
                <c:pt idx="141">
                  <c:v>157.32</c:v>
                </c:pt>
                <c:pt idx="142">
                  <c:v>156.04</c:v>
                </c:pt>
                <c:pt idx="143">
                  <c:v>153.07</c:v>
                </c:pt>
                <c:pt idx="144">
                  <c:v>152.5</c:v>
                </c:pt>
                <c:pt idx="145">
                  <c:v>152.41999999999999</c:v>
                </c:pt>
                <c:pt idx="146">
                  <c:v>152.15</c:v>
                </c:pt>
                <c:pt idx="147">
                  <c:v>152.5</c:v>
                </c:pt>
                <c:pt idx="148">
                  <c:v>153.53</c:v>
                </c:pt>
                <c:pt idx="149">
                  <c:v>153.65</c:v>
                </c:pt>
                <c:pt idx="150">
                  <c:v>153.18</c:v>
                </c:pt>
                <c:pt idx="151">
                  <c:v>152.05000000000001</c:v>
                </c:pt>
                <c:pt idx="152">
                  <c:v>152.27000000000001</c:v>
                </c:pt>
                <c:pt idx="153">
                  <c:v>150.41</c:v>
                </c:pt>
                <c:pt idx="154">
                  <c:v>152.54</c:v>
                </c:pt>
                <c:pt idx="155">
                  <c:v>150.69</c:v>
                </c:pt>
                <c:pt idx="156">
                  <c:v>150.58000000000001</c:v>
                </c:pt>
                <c:pt idx="157">
                  <c:v>149.69</c:v>
                </c:pt>
                <c:pt idx="158">
                  <c:v>147.49</c:v>
                </c:pt>
                <c:pt idx="159">
                  <c:v>149.16</c:v>
                </c:pt>
                <c:pt idx="160">
                  <c:v>147.41999999999999</c:v>
                </c:pt>
                <c:pt idx="161">
                  <c:v>149.6</c:v>
                </c:pt>
                <c:pt idx="162">
                  <c:v>151.4</c:v>
                </c:pt>
                <c:pt idx="163">
                  <c:v>151.96</c:v>
                </c:pt>
                <c:pt idx="164">
                  <c:v>151.62</c:v>
                </c:pt>
                <c:pt idx="165">
                  <c:v>152.19999999999999</c:v>
                </c:pt>
                <c:pt idx="166">
                  <c:v>152.21</c:v>
                </c:pt>
                <c:pt idx="167">
                  <c:v>152.49</c:v>
                </c:pt>
                <c:pt idx="168">
                  <c:v>151.74</c:v>
                </c:pt>
                <c:pt idx="169">
                  <c:v>151.37</c:v>
                </c:pt>
                <c:pt idx="170">
                  <c:v>148.77000000000001</c:v>
                </c:pt>
                <c:pt idx="171">
                  <c:v>149.58000000000001</c:v>
                </c:pt>
                <c:pt idx="172">
                  <c:v>150.37</c:v>
                </c:pt>
                <c:pt idx="173">
                  <c:v>148.02000000000001</c:v>
                </c:pt>
                <c:pt idx="174">
                  <c:v>147.16999999999999</c:v>
                </c:pt>
                <c:pt idx="175">
                  <c:v>145.79</c:v>
                </c:pt>
                <c:pt idx="176">
                  <c:v>146.13</c:v>
                </c:pt>
                <c:pt idx="177">
                  <c:v>146.97999999999999</c:v>
                </c:pt>
                <c:pt idx="178">
                  <c:v>145.5</c:v>
                </c:pt>
                <c:pt idx="179">
                  <c:v>148.54</c:v>
                </c:pt>
                <c:pt idx="180">
                  <c:v>148.01</c:v>
                </c:pt>
                <c:pt idx="181">
                  <c:v>147.96</c:v>
                </c:pt>
                <c:pt idx="182">
                  <c:v>147.66999999999999</c:v>
                </c:pt>
                <c:pt idx="183">
                  <c:v>145.82</c:v>
                </c:pt>
                <c:pt idx="184">
                  <c:v>146.99</c:v>
                </c:pt>
                <c:pt idx="185">
                  <c:v>146.99</c:v>
                </c:pt>
                <c:pt idx="186">
                  <c:v>148.19</c:v>
                </c:pt>
                <c:pt idx="187">
                  <c:v>150.91999999999999</c:v>
                </c:pt>
                <c:pt idx="188">
                  <c:v>146.97999999999999</c:v>
                </c:pt>
                <c:pt idx="189">
                  <c:v>148.49</c:v>
                </c:pt>
                <c:pt idx="190">
                  <c:v>148.25</c:v>
                </c:pt>
                <c:pt idx="191">
                  <c:v>148.16</c:v>
                </c:pt>
                <c:pt idx="192">
                  <c:v>147.44</c:v>
                </c:pt>
                <c:pt idx="193">
                  <c:v>145.86000000000001</c:v>
                </c:pt>
                <c:pt idx="194">
                  <c:v>146.71</c:v>
                </c:pt>
                <c:pt idx="195">
                  <c:v>145.36000000000001</c:v>
                </c:pt>
                <c:pt idx="196">
                  <c:v>143.44999999999999</c:v>
                </c:pt>
                <c:pt idx="197">
                  <c:v>138.34</c:v>
                </c:pt>
                <c:pt idx="198">
                  <c:v>139.63</c:v>
                </c:pt>
                <c:pt idx="199">
                  <c:v>139.82</c:v>
                </c:pt>
                <c:pt idx="200">
                  <c:v>140.76</c:v>
                </c:pt>
                <c:pt idx="201">
                  <c:v>142.84</c:v>
                </c:pt>
                <c:pt idx="202">
                  <c:v>145.13</c:v>
                </c:pt>
                <c:pt idx="203">
                  <c:v>145.21</c:v>
                </c:pt>
                <c:pt idx="204">
                  <c:v>147.81</c:v>
                </c:pt>
                <c:pt idx="205">
                  <c:v>145.52000000000001</c:v>
                </c:pt>
                <c:pt idx="206">
                  <c:v>144.46</c:v>
                </c:pt>
                <c:pt idx="207">
                  <c:v>142.69</c:v>
                </c:pt>
                <c:pt idx="208">
                  <c:v>143.18</c:v>
                </c:pt>
                <c:pt idx="209">
                  <c:v>144.49</c:v>
                </c:pt>
                <c:pt idx="210">
                  <c:v>144.74</c:v>
                </c:pt>
                <c:pt idx="211">
                  <c:v>144.57</c:v>
                </c:pt>
                <c:pt idx="212">
                  <c:v>144.05000000000001</c:v>
                </c:pt>
                <c:pt idx="213">
                  <c:v>143.31</c:v>
                </c:pt>
                <c:pt idx="214">
                  <c:v>141.79</c:v>
                </c:pt>
                <c:pt idx="215">
                  <c:v>140.37</c:v>
                </c:pt>
                <c:pt idx="216">
                  <c:v>139.91</c:v>
                </c:pt>
                <c:pt idx="217">
                  <c:v>138.04</c:v>
                </c:pt>
                <c:pt idx="218">
                  <c:v>141.53</c:v>
                </c:pt>
                <c:pt idx="219">
                  <c:v>141.87</c:v>
                </c:pt>
                <c:pt idx="220">
                  <c:v>143.46</c:v>
                </c:pt>
                <c:pt idx="221">
                  <c:v>144.24</c:v>
                </c:pt>
                <c:pt idx="222">
                  <c:v>146.35</c:v>
                </c:pt>
                <c:pt idx="223">
                  <c:v>144.63</c:v>
                </c:pt>
                <c:pt idx="224">
                  <c:v>144.53</c:v>
                </c:pt>
                <c:pt idx="225">
                  <c:v>147</c:v>
                </c:pt>
                <c:pt idx="226">
                  <c:v>146.06</c:v>
                </c:pt>
                <c:pt idx="227">
                  <c:v>149.93</c:v>
                </c:pt>
                <c:pt idx="228">
                  <c:v>150.15</c:v>
                </c:pt>
                <c:pt idx="229">
                  <c:v>149.49</c:v>
                </c:pt>
                <c:pt idx="230">
                  <c:v>148.34</c:v>
                </c:pt>
                <c:pt idx="231">
                  <c:v>147.34</c:v>
                </c:pt>
                <c:pt idx="232">
                  <c:v>149.9</c:v>
                </c:pt>
                <c:pt idx="233">
                  <c:v>151.77000000000001</c:v>
                </c:pt>
                <c:pt idx="234">
                  <c:v>153.19</c:v>
                </c:pt>
                <c:pt idx="235">
                  <c:v>155.32</c:v>
                </c:pt>
                <c:pt idx="236">
                  <c:v>156.87</c:v>
                </c:pt>
                <c:pt idx="237">
                  <c:v>158.61000000000001</c:v>
                </c:pt>
                <c:pt idx="238">
                  <c:v>159.16999999999999</c:v>
                </c:pt>
                <c:pt idx="239">
                  <c:v>157.33000000000001</c:v>
                </c:pt>
                <c:pt idx="240">
                  <c:v>159.08000000000001</c:v>
                </c:pt>
                <c:pt idx="241">
                  <c:v>160</c:v>
                </c:pt>
                <c:pt idx="242">
                  <c:v>161.21</c:v>
                </c:pt>
                <c:pt idx="243">
                  <c:v>160.07</c:v>
                </c:pt>
                <c:pt idx="244">
                  <c:v>159.55000000000001</c:v>
                </c:pt>
                <c:pt idx="245">
                  <c:v>156.86000000000001</c:v>
                </c:pt>
                <c:pt idx="246">
                  <c:v>158.56</c:v>
                </c:pt>
                <c:pt idx="247">
                  <c:v>160.78</c:v>
                </c:pt>
                <c:pt idx="248">
                  <c:v>165.17</c:v>
                </c:pt>
                <c:pt idx="249">
                  <c:v>165.28</c:v>
                </c:pt>
                <c:pt idx="250">
                  <c:v>163.38999999999999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1-4D3F-9344-ED8F3F2E43C4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Data!$F$2:$F$252</c:f>
              <c:numCache>
                <c:formatCode>General</c:formatCode>
                <c:ptCount val="251"/>
                <c:pt idx="0">
                  <c:v>171.3</c:v>
                </c:pt>
                <c:pt idx="1">
                  <c:v>171.63341202890294</c:v>
                </c:pt>
                <c:pt idx="2">
                  <c:v>172.69793352327267</c:v>
                </c:pt>
                <c:pt idx="3">
                  <c:v>173.4615770220457</c:v>
                </c:pt>
                <c:pt idx="4">
                  <c:v>173.37827173672403</c:v>
                </c:pt>
                <c:pt idx="5">
                  <c:v>173.5578103908602</c:v>
                </c:pt>
                <c:pt idx="6">
                  <c:v>173.69298416354439</c:v>
                </c:pt>
                <c:pt idx="7">
                  <c:v>174.02921907028352</c:v>
                </c:pt>
                <c:pt idx="8">
                  <c:v>174.35664186324834</c:v>
                </c:pt>
                <c:pt idx="9">
                  <c:v>174.19854904614994</c:v>
                </c:pt>
                <c:pt idx="10">
                  <c:v>173.58466555321081</c:v>
                </c:pt>
                <c:pt idx="11">
                  <c:v>173.26438039835921</c:v>
                </c:pt>
                <c:pt idx="12">
                  <c:v>172.93711487672064</c:v>
                </c:pt>
                <c:pt idx="13">
                  <c:v>172.67369855737823</c:v>
                </c:pt>
                <c:pt idx="14">
                  <c:v>172.43316940804263</c:v>
                </c:pt>
                <c:pt idx="15">
                  <c:v>172.2140658448881</c:v>
                </c:pt>
                <c:pt idx="16">
                  <c:v>171.9258811272143</c:v>
                </c:pt>
                <c:pt idx="17">
                  <c:v>171.39568072473793</c:v>
                </c:pt>
                <c:pt idx="18">
                  <c:v>171.18238431795544</c:v>
                </c:pt>
                <c:pt idx="19">
                  <c:v>170.77880766214003</c:v>
                </c:pt>
                <c:pt idx="20">
                  <c:v>170.59835739425469</c:v>
                </c:pt>
                <c:pt idx="21">
                  <c:v>170.53553334174697</c:v>
                </c:pt>
                <c:pt idx="22">
                  <c:v>170.464101304189</c:v>
                </c:pt>
                <c:pt idx="23">
                  <c:v>170.46160725051382</c:v>
                </c:pt>
                <c:pt idx="24">
                  <c:v>170.46488564552206</c:v>
                </c:pt>
                <c:pt idx="25">
                  <c:v>170.43698695367709</c:v>
                </c:pt>
                <c:pt idx="26">
                  <c:v>170.518016672295</c:v>
                </c:pt>
                <c:pt idx="27">
                  <c:v>170.13837752084612</c:v>
                </c:pt>
                <c:pt idx="28">
                  <c:v>169.52936533233361</c:v>
                </c:pt>
                <c:pt idx="29">
                  <c:v>169.04805203005753</c:v>
                </c:pt>
                <c:pt idx="30">
                  <c:v>168.78960559834493</c:v>
                </c:pt>
                <c:pt idx="31">
                  <c:v>168.59769874086251</c:v>
                </c:pt>
                <c:pt idx="32">
                  <c:v>168.54880440532961</c:v>
                </c:pt>
                <c:pt idx="33">
                  <c:v>168.56751375262431</c:v>
                </c:pt>
                <c:pt idx="34">
                  <c:v>168.5648055703974</c:v>
                </c:pt>
                <c:pt idx="35">
                  <c:v>168.52491055065875</c:v>
                </c:pt>
                <c:pt idx="36">
                  <c:v>168.57119106689876</c:v>
                </c:pt>
                <c:pt idx="37">
                  <c:v>168.50365471639387</c:v>
                </c:pt>
                <c:pt idx="38">
                  <c:v>168.48934789745044</c:v>
                </c:pt>
                <c:pt idx="39">
                  <c:v>168.41678614063164</c:v>
                </c:pt>
                <c:pt idx="40">
                  <c:v>167.93981687976213</c:v>
                </c:pt>
                <c:pt idx="41">
                  <c:v>167.70926350586097</c:v>
                </c:pt>
                <c:pt idx="42">
                  <c:v>167.58874266424476</c:v>
                </c:pt>
                <c:pt idx="43">
                  <c:v>167.47954187930532</c:v>
                </c:pt>
                <c:pt idx="44">
                  <c:v>167.33225321552464</c:v>
                </c:pt>
                <c:pt idx="45">
                  <c:v>167.21408453093579</c:v>
                </c:pt>
                <c:pt idx="46">
                  <c:v>167.12423108725611</c:v>
                </c:pt>
                <c:pt idx="47">
                  <c:v>166.98009314442879</c:v>
                </c:pt>
                <c:pt idx="48">
                  <c:v>166.84586781144878</c:v>
                </c:pt>
                <c:pt idx="49">
                  <c:v>166.73792367257616</c:v>
                </c:pt>
                <c:pt idx="50">
                  <c:v>166.61004577709389</c:v>
                </c:pt>
                <c:pt idx="51">
                  <c:v>166.48551150384986</c:v>
                </c:pt>
                <c:pt idx="52">
                  <c:v>166.39804224508228</c:v>
                </c:pt>
                <c:pt idx="53">
                  <c:v>166.27346799300389</c:v>
                </c:pt>
                <c:pt idx="54">
                  <c:v>166.17153730008263</c:v>
                </c:pt>
                <c:pt idx="55">
                  <c:v>166.1050374559436</c:v>
                </c:pt>
                <c:pt idx="56">
                  <c:v>166.06497822028592</c:v>
                </c:pt>
                <c:pt idx="57">
                  <c:v>166.04431412548118</c:v>
                </c:pt>
                <c:pt idx="58">
                  <c:v>166.03993146118043</c:v>
                </c:pt>
                <c:pt idx="59">
                  <c:v>166.03240899646454</c:v>
                </c:pt>
                <c:pt idx="60">
                  <c:v>166.02053207347402</c:v>
                </c:pt>
                <c:pt idx="61">
                  <c:v>166.01891917804269</c:v>
                </c:pt>
                <c:pt idx="62">
                  <c:v>166.05548806479874</c:v>
                </c:pt>
                <c:pt idx="63">
                  <c:v>166.06827930733741</c:v>
                </c:pt>
                <c:pt idx="64">
                  <c:v>166.0900546412125</c:v>
                </c:pt>
                <c:pt idx="65">
                  <c:v>166.17445689727353</c:v>
                </c:pt>
                <c:pt idx="66">
                  <c:v>166.1956327853172</c:v>
                </c:pt>
                <c:pt idx="67">
                  <c:v>166.20264800550856</c:v>
                </c:pt>
                <c:pt idx="68">
                  <c:v>166.20051646611776</c:v>
                </c:pt>
                <c:pt idx="69">
                  <c:v>166.14143135302331</c:v>
                </c:pt>
                <c:pt idx="70">
                  <c:v>166.12133555201319</c:v>
                </c:pt>
                <c:pt idx="71">
                  <c:v>166.08300605191988</c:v>
                </c:pt>
                <c:pt idx="72">
                  <c:v>166.04255567990006</c:v>
                </c:pt>
                <c:pt idx="73">
                  <c:v>166.00485458272232</c:v>
                </c:pt>
                <c:pt idx="74">
                  <c:v>165.97558106809967</c:v>
                </c:pt>
                <c:pt idx="75">
                  <c:v>165.91188752342441</c:v>
                </c:pt>
                <c:pt idx="76">
                  <c:v>165.8622302335462</c:v>
                </c:pt>
                <c:pt idx="77">
                  <c:v>165.78512428526079</c:v>
                </c:pt>
                <c:pt idx="78">
                  <c:v>165.69971928488837</c:v>
                </c:pt>
                <c:pt idx="79">
                  <c:v>165.54035794536074</c:v>
                </c:pt>
                <c:pt idx="80">
                  <c:v>165.49655694637207</c:v>
                </c:pt>
                <c:pt idx="81">
                  <c:v>165.44061410122561</c:v>
                </c:pt>
                <c:pt idx="82">
                  <c:v>165.38511576056808</c:v>
                </c:pt>
                <c:pt idx="83">
                  <c:v>165.31352487556484</c:v>
                </c:pt>
                <c:pt idx="84">
                  <c:v>165.16735877835336</c:v>
                </c:pt>
                <c:pt idx="85">
                  <c:v>165.07730585122783</c:v>
                </c:pt>
                <c:pt idx="86">
                  <c:v>165.02174351078366</c:v>
                </c:pt>
                <c:pt idx="87">
                  <c:v>164.97660746471618</c:v>
                </c:pt>
                <c:pt idx="88">
                  <c:v>164.9382272549679</c:v>
                </c:pt>
                <c:pt idx="89">
                  <c:v>164.89622224002824</c:v>
                </c:pt>
                <c:pt idx="90">
                  <c:v>164.78749436157659</c:v>
                </c:pt>
                <c:pt idx="91">
                  <c:v>164.6157421997367</c:v>
                </c:pt>
                <c:pt idx="92">
                  <c:v>164.56069830916587</c:v>
                </c:pt>
                <c:pt idx="93">
                  <c:v>164.48597575245481</c:v>
                </c:pt>
                <c:pt idx="94">
                  <c:v>164.3358452126723</c:v>
                </c:pt>
                <c:pt idx="95">
                  <c:v>164.20747828309752</c:v>
                </c:pt>
                <c:pt idx="96">
                  <c:v>164.10154633872611</c:v>
                </c:pt>
                <c:pt idx="97">
                  <c:v>164.01822878468178</c:v>
                </c:pt>
                <c:pt idx="98">
                  <c:v>163.94163310403329</c:v>
                </c:pt>
                <c:pt idx="99">
                  <c:v>163.87610371406294</c:v>
                </c:pt>
                <c:pt idx="100">
                  <c:v>163.82374744872916</c:v>
                </c:pt>
                <c:pt idx="101">
                  <c:v>163.79325739088583</c:v>
                </c:pt>
                <c:pt idx="102">
                  <c:v>163.75349175404335</c:v>
                </c:pt>
                <c:pt idx="103">
                  <c:v>163.71780799359595</c:v>
                </c:pt>
                <c:pt idx="104">
                  <c:v>163.65954887519098</c:v>
                </c:pt>
                <c:pt idx="105">
                  <c:v>163.57031162439253</c:v>
                </c:pt>
                <c:pt idx="106">
                  <c:v>163.47483245048701</c:v>
                </c:pt>
                <c:pt idx="107">
                  <c:v>163.30843833758257</c:v>
                </c:pt>
                <c:pt idx="108">
                  <c:v>163.1920108496501</c:v>
                </c:pt>
                <c:pt idx="109">
                  <c:v>163.09067089157892</c:v>
                </c:pt>
                <c:pt idx="110">
                  <c:v>163.00222369450887</c:v>
                </c:pt>
                <c:pt idx="111">
                  <c:v>162.92397927197044</c:v>
                </c:pt>
                <c:pt idx="112">
                  <c:v>162.8581456311052</c:v>
                </c:pt>
                <c:pt idx="113">
                  <c:v>162.8020628572003</c:v>
                </c:pt>
                <c:pt idx="114">
                  <c:v>162.74330259088237</c:v>
                </c:pt>
                <c:pt idx="115">
                  <c:v>162.68927879962939</c:v>
                </c:pt>
                <c:pt idx="116">
                  <c:v>162.64648697178103</c:v>
                </c:pt>
                <c:pt idx="117">
                  <c:v>162.58970730383487</c:v>
                </c:pt>
                <c:pt idx="118">
                  <c:v>162.53122645472934</c:v>
                </c:pt>
                <c:pt idx="119">
                  <c:v>162.47544966820232</c:v>
                </c:pt>
                <c:pt idx="120">
                  <c:v>162.44396109456832</c:v>
                </c:pt>
                <c:pt idx="121">
                  <c:v>162.42154473022637</c:v>
                </c:pt>
                <c:pt idx="122">
                  <c:v>162.3986014922084</c:v>
                </c:pt>
                <c:pt idx="123">
                  <c:v>162.37778489777685</c:v>
                </c:pt>
                <c:pt idx="124">
                  <c:v>162.3497682439851</c:v>
                </c:pt>
                <c:pt idx="125">
                  <c:v>162.3112379234006</c:v>
                </c:pt>
                <c:pt idx="126">
                  <c:v>162.28813059926753</c:v>
                </c:pt>
                <c:pt idx="127">
                  <c:v>162.25144162446003</c:v>
                </c:pt>
                <c:pt idx="128">
                  <c:v>162.22542160123683</c:v>
                </c:pt>
                <c:pt idx="129">
                  <c:v>162.19999600870165</c:v>
                </c:pt>
                <c:pt idx="130">
                  <c:v>162.17535492493693</c:v>
                </c:pt>
                <c:pt idx="131">
                  <c:v>162.15627478888752</c:v>
                </c:pt>
                <c:pt idx="132">
                  <c:v>162.14367861524369</c:v>
                </c:pt>
                <c:pt idx="133">
                  <c:v>162.12320530249261</c:v>
                </c:pt>
                <c:pt idx="134">
                  <c:v>162.11117692712673</c:v>
                </c:pt>
                <c:pt idx="135">
                  <c:v>162.08455764507835</c:v>
                </c:pt>
                <c:pt idx="136">
                  <c:v>162.0665381485143</c:v>
                </c:pt>
                <c:pt idx="137">
                  <c:v>162.04441084540665</c:v>
                </c:pt>
                <c:pt idx="138">
                  <c:v>162.01669034687353</c:v>
                </c:pt>
                <c:pt idx="139">
                  <c:v>161.99375019175281</c:v>
                </c:pt>
                <c:pt idx="140">
                  <c:v>161.9838871586885</c:v>
                </c:pt>
                <c:pt idx="141">
                  <c:v>161.95282016652467</c:v>
                </c:pt>
                <c:pt idx="142">
                  <c:v>161.86546482904285</c:v>
                </c:pt>
                <c:pt idx="143">
                  <c:v>161.80022245122427</c:v>
                </c:pt>
                <c:pt idx="144">
                  <c:v>161.73064782091242</c:v>
                </c:pt>
                <c:pt idx="145">
                  <c:v>161.67991984481657</c:v>
                </c:pt>
                <c:pt idx="146">
                  <c:v>161.62014036897071</c:v>
                </c:pt>
                <c:pt idx="147">
                  <c:v>161.57677414995155</c:v>
                </c:pt>
                <c:pt idx="148">
                  <c:v>161.52270199092888</c:v>
                </c:pt>
                <c:pt idx="149">
                  <c:v>161.47257170551399</c:v>
                </c:pt>
                <c:pt idx="150">
                  <c:v>161.42142260758533</c:v>
                </c:pt>
                <c:pt idx="151">
                  <c:v>161.36906199958344</c:v>
                </c:pt>
                <c:pt idx="152">
                  <c:v>161.3307736515568</c:v>
                </c:pt>
                <c:pt idx="153">
                  <c:v>161.27170204371254</c:v>
                </c:pt>
                <c:pt idx="154">
                  <c:v>161.22398064415611</c:v>
                </c:pt>
                <c:pt idx="155">
                  <c:v>161.17996514390379</c:v>
                </c:pt>
                <c:pt idx="156">
                  <c:v>161.12850980933777</c:v>
                </c:pt>
                <c:pt idx="157">
                  <c:v>161.06215108589831</c:v>
                </c:pt>
                <c:pt idx="158">
                  <c:v>160.9824220766356</c:v>
                </c:pt>
                <c:pt idx="159">
                  <c:v>160.90356841787636</c:v>
                </c:pt>
                <c:pt idx="160">
                  <c:v>160.79959222723622</c:v>
                </c:pt>
                <c:pt idx="161">
                  <c:v>160.72404506617355</c:v>
                </c:pt>
                <c:pt idx="162">
                  <c:v>160.66295720637021</c:v>
                </c:pt>
                <c:pt idx="163">
                  <c:v>160.62603313220947</c:v>
                </c:pt>
                <c:pt idx="164">
                  <c:v>160.58519805269995</c:v>
                </c:pt>
                <c:pt idx="165">
                  <c:v>160.54496305206754</c:v>
                </c:pt>
                <c:pt idx="166">
                  <c:v>160.49395632561917</c:v>
                </c:pt>
                <c:pt idx="167">
                  <c:v>160.42314361523282</c:v>
                </c:pt>
                <c:pt idx="168">
                  <c:v>160.37352169868547</c:v>
                </c:pt>
                <c:pt idx="169">
                  <c:v>160.33517707147107</c:v>
                </c:pt>
                <c:pt idx="170">
                  <c:v>160.27283491140577</c:v>
                </c:pt>
                <c:pt idx="171">
                  <c:v>160.22047127194858</c:v>
                </c:pt>
                <c:pt idx="172">
                  <c:v>160.16421044917996</c:v>
                </c:pt>
                <c:pt idx="173">
                  <c:v>160.08646319307041</c:v>
                </c:pt>
                <c:pt idx="174">
                  <c:v>160.00111329407085</c:v>
                </c:pt>
                <c:pt idx="175">
                  <c:v>159.88886327607824</c:v>
                </c:pt>
                <c:pt idx="176">
                  <c:v>159.79227312800171</c:v>
                </c:pt>
                <c:pt idx="177">
                  <c:v>159.71645763369139</c:v>
                </c:pt>
                <c:pt idx="178">
                  <c:v>159.6161420972328</c:v>
                </c:pt>
                <c:pt idx="179">
                  <c:v>159.56028481682009</c:v>
                </c:pt>
                <c:pt idx="180">
                  <c:v>159.49825240740088</c:v>
                </c:pt>
                <c:pt idx="181">
                  <c:v>159.4388358381928</c:v>
                </c:pt>
                <c:pt idx="182">
                  <c:v>159.36599669360703</c:v>
                </c:pt>
                <c:pt idx="183">
                  <c:v>159.2758793777586</c:v>
                </c:pt>
                <c:pt idx="184">
                  <c:v>159.18790519777241</c:v>
                </c:pt>
                <c:pt idx="185">
                  <c:v>159.13632037476688</c:v>
                </c:pt>
                <c:pt idx="186">
                  <c:v>159.07112103181592</c:v>
                </c:pt>
                <c:pt idx="187">
                  <c:v>159.0069526145316</c:v>
                </c:pt>
                <c:pt idx="188">
                  <c:v>158.89884427879977</c:v>
                </c:pt>
                <c:pt idx="189">
                  <c:v>158.82852510371748</c:v>
                </c:pt>
                <c:pt idx="190">
                  <c:v>158.76588508807569</c:v>
                </c:pt>
                <c:pt idx="191">
                  <c:v>158.73398254777922</c:v>
                </c:pt>
                <c:pt idx="192">
                  <c:v>158.67481971940535</c:v>
                </c:pt>
                <c:pt idx="193">
                  <c:v>158.54278710681794</c:v>
                </c:pt>
                <c:pt idx="194">
                  <c:v>158.47524268542202</c:v>
                </c:pt>
                <c:pt idx="195">
                  <c:v>158.38982968526636</c:v>
                </c:pt>
                <c:pt idx="196">
                  <c:v>158.27200037028339</c:v>
                </c:pt>
                <c:pt idx="197">
                  <c:v>158.05914227687686</c:v>
                </c:pt>
                <c:pt idx="198">
                  <c:v>157.94323862886736</c:v>
                </c:pt>
                <c:pt idx="199">
                  <c:v>157.79451603131275</c:v>
                </c:pt>
                <c:pt idx="200">
                  <c:v>157.67454826535081</c:v>
                </c:pt>
                <c:pt idx="201">
                  <c:v>157.584169638059</c:v>
                </c:pt>
                <c:pt idx="202">
                  <c:v>157.48246438970193</c:v>
                </c:pt>
                <c:pt idx="203">
                  <c:v>157.40887277291714</c:v>
                </c:pt>
                <c:pt idx="204">
                  <c:v>157.35397852394263</c:v>
                </c:pt>
                <c:pt idx="205">
                  <c:v>157.27033434540809</c:v>
                </c:pt>
                <c:pt idx="206">
                  <c:v>157.12880488901911</c:v>
                </c:pt>
                <c:pt idx="207">
                  <c:v>157.03271374389612</c:v>
                </c:pt>
                <c:pt idx="208">
                  <c:v>156.95813523017563</c:v>
                </c:pt>
                <c:pt idx="209">
                  <c:v>156.93524895362685</c:v>
                </c:pt>
                <c:pt idx="210">
                  <c:v>156.90297435322577</c:v>
                </c:pt>
                <c:pt idx="211">
                  <c:v>156.85012221255684</c:v>
                </c:pt>
                <c:pt idx="212">
                  <c:v>156.80726542995515</c:v>
                </c:pt>
                <c:pt idx="213">
                  <c:v>156.76755769828796</c:v>
                </c:pt>
                <c:pt idx="214">
                  <c:v>156.69345574789261</c:v>
                </c:pt>
                <c:pt idx="215">
                  <c:v>156.5831914778727</c:v>
                </c:pt>
                <c:pt idx="216">
                  <c:v>156.4882857870727</c:v>
                </c:pt>
                <c:pt idx="217">
                  <c:v>156.34462957945246</c:v>
                </c:pt>
                <c:pt idx="218">
                  <c:v>156.2703631926307</c:v>
                </c:pt>
                <c:pt idx="219">
                  <c:v>156.19675499078596</c:v>
                </c:pt>
                <c:pt idx="220">
                  <c:v>156.10981275182752</c:v>
                </c:pt>
                <c:pt idx="221">
                  <c:v>156.01228637452502</c:v>
                </c:pt>
                <c:pt idx="222">
                  <c:v>155.94397416356338</c:v>
                </c:pt>
                <c:pt idx="223">
                  <c:v>155.88431882266076</c:v>
                </c:pt>
                <c:pt idx="224">
                  <c:v>155.81523470880478</c:v>
                </c:pt>
                <c:pt idx="225">
                  <c:v>155.75663186444135</c:v>
                </c:pt>
                <c:pt idx="226">
                  <c:v>155.68655701399382</c:v>
                </c:pt>
                <c:pt idx="227">
                  <c:v>155.63258309947531</c:v>
                </c:pt>
                <c:pt idx="228">
                  <c:v>155.59241904653641</c:v>
                </c:pt>
                <c:pt idx="229">
                  <c:v>155.55381406142183</c:v>
                </c:pt>
                <c:pt idx="230">
                  <c:v>155.51955500338067</c:v>
                </c:pt>
                <c:pt idx="231">
                  <c:v>155.48928686581624</c:v>
                </c:pt>
                <c:pt idx="232">
                  <c:v>155.45888075842612</c:v>
                </c:pt>
                <c:pt idx="233">
                  <c:v>155.43601719557316</c:v>
                </c:pt>
                <c:pt idx="234">
                  <c:v>155.42446309963793</c:v>
                </c:pt>
                <c:pt idx="235">
                  <c:v>155.42383432045384</c:v>
                </c:pt>
                <c:pt idx="236">
                  <c:v>155.43231642712277</c:v>
                </c:pt>
                <c:pt idx="237">
                  <c:v>155.45220515711102</c:v>
                </c:pt>
                <c:pt idx="238">
                  <c:v>155.47069187089647</c:v>
                </c:pt>
                <c:pt idx="239">
                  <c:v>155.48076622440607</c:v>
                </c:pt>
                <c:pt idx="240">
                  <c:v>155.49758120395379</c:v>
                </c:pt>
                <c:pt idx="241">
                  <c:v>155.51916381031722</c:v>
                </c:pt>
                <c:pt idx="242">
                  <c:v>155.55501472932067</c:v>
                </c:pt>
                <c:pt idx="243">
                  <c:v>155.58429071036767</c:v>
                </c:pt>
                <c:pt idx="244">
                  <c:v>155.60860589305642</c:v>
                </c:pt>
                <c:pt idx="245">
                  <c:v>155.61686616785639</c:v>
                </c:pt>
                <c:pt idx="246">
                  <c:v>155.63122995952784</c:v>
                </c:pt>
                <c:pt idx="247">
                  <c:v>155.65805371468619</c:v>
                </c:pt>
                <c:pt idx="248">
                  <c:v>155.72124226932209</c:v>
                </c:pt>
                <c:pt idx="249">
                  <c:v>155.76279869395032</c:v>
                </c:pt>
                <c:pt idx="250">
                  <c:v>155.78960898287787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61-4D3F-9344-ED8F3F2E43C4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Data!$H$2:$H$252</c:f>
              <c:numCache>
                <c:formatCode>General</c:formatCode>
                <c:ptCount val="251"/>
                <c:pt idx="0">
                  <c:v>171.3</c:v>
                </c:pt>
                <c:pt idx="1">
                  <c:v>171.96841202890295</c:v>
                </c:pt>
                <c:pt idx="2">
                  <c:v>173.77276684368411</c:v>
                </c:pt>
                <c:pt idx="3">
                  <c:v>175.13803907052755</c:v>
                </c:pt>
                <c:pt idx="4">
                  <c:v>174.87774631136676</c:v>
                </c:pt>
                <c:pt idx="5">
                  <c:v>175.02726323687693</c:v>
                </c:pt>
                <c:pt idx="6">
                  <c:v>175.12148701904147</c:v>
                </c:pt>
                <c:pt idx="7">
                  <c:v>175.5762303016584</c:v>
                </c:pt>
                <c:pt idx="8">
                  <c:v>175.99470606253593</c:v>
                </c:pt>
                <c:pt idx="9">
                  <c:v>175.78304139387521</c:v>
                </c:pt>
                <c:pt idx="10">
                  <c:v>175.80880918077469</c:v>
                </c:pt>
                <c:pt idx="11">
                  <c:v>175.79422558466342</c:v>
                </c:pt>
                <c:pt idx="12">
                  <c:v>175.72836091350598</c:v>
                </c:pt>
                <c:pt idx="13">
                  <c:v>175.46962206586448</c:v>
                </c:pt>
                <c:pt idx="14">
                  <c:v>175.38798288213312</c:v>
                </c:pt>
                <c:pt idx="15">
                  <c:v>175.20637675944477</c:v>
                </c:pt>
                <c:pt idx="16">
                  <c:v>175.00917207115435</c:v>
                </c:pt>
                <c:pt idx="17">
                  <c:v>174.60482530711766</c:v>
                </c:pt>
                <c:pt idx="18">
                  <c:v>174.56184714140375</c:v>
                </c:pt>
                <c:pt idx="19">
                  <c:v>174.53392080956979</c:v>
                </c:pt>
                <c:pt idx="20">
                  <c:v>174.36701402349482</c:v>
                </c:pt>
                <c:pt idx="21">
                  <c:v>174.23664362858955</c:v>
                </c:pt>
                <c:pt idx="22">
                  <c:v>174.11682227770956</c:v>
                </c:pt>
                <c:pt idx="23">
                  <c:v>174.03746901048007</c:v>
                </c:pt>
                <c:pt idx="24">
                  <c:v>173.96878916017539</c:v>
                </c:pt>
                <c:pt idx="25">
                  <c:v>173.87663872237997</c:v>
                </c:pt>
                <c:pt idx="26">
                  <c:v>173.91620936551399</c:v>
                </c:pt>
                <c:pt idx="27">
                  <c:v>173.69522265683793</c:v>
                </c:pt>
                <c:pt idx="28">
                  <c:v>173.46504350305537</c:v>
                </c:pt>
                <c:pt idx="29">
                  <c:v>173.42666501440164</c:v>
                </c:pt>
                <c:pt idx="30">
                  <c:v>173.27621706070178</c:v>
                </c:pt>
                <c:pt idx="31">
                  <c:v>173.12121333433336</c:v>
                </c:pt>
                <c:pt idx="32">
                  <c:v>173.01790982072961</c:v>
                </c:pt>
                <c:pt idx="33">
                  <c:v>172.97050496024607</c:v>
                </c:pt>
                <c:pt idx="34">
                  <c:v>172.90521158921214</c:v>
                </c:pt>
                <c:pt idx="35">
                  <c:v>172.8251859778843</c:v>
                </c:pt>
                <c:pt idx="36">
                  <c:v>172.82248406833679</c:v>
                </c:pt>
                <c:pt idx="37">
                  <c:v>172.72927736552538</c:v>
                </c:pt>
                <c:pt idx="38">
                  <c:v>172.66320172248962</c:v>
                </c:pt>
                <c:pt idx="39">
                  <c:v>172.56618742274452</c:v>
                </c:pt>
                <c:pt idx="40">
                  <c:v>172.27745848341465</c:v>
                </c:pt>
                <c:pt idx="41">
                  <c:v>172.14460546937781</c:v>
                </c:pt>
                <c:pt idx="42">
                  <c:v>172.07985027743928</c:v>
                </c:pt>
                <c:pt idx="43">
                  <c:v>172.00625649897529</c:v>
                </c:pt>
                <c:pt idx="44">
                  <c:v>171.88068048407408</c:v>
                </c:pt>
                <c:pt idx="45">
                  <c:v>171.85970554057675</c:v>
                </c:pt>
                <c:pt idx="46">
                  <c:v>171.83725976251347</c:v>
                </c:pt>
                <c:pt idx="47">
                  <c:v>171.80909163157796</c:v>
                </c:pt>
                <c:pt idx="48">
                  <c:v>171.76289958031876</c:v>
                </c:pt>
                <c:pt idx="49">
                  <c:v>171.731525002278</c:v>
                </c:pt>
                <c:pt idx="50">
                  <c:v>171.69111270619686</c:v>
                </c:pt>
                <c:pt idx="51">
                  <c:v>171.67592909074318</c:v>
                </c:pt>
                <c:pt idx="52">
                  <c:v>171.6004798942781</c:v>
                </c:pt>
                <c:pt idx="53">
                  <c:v>171.53662965161925</c:v>
                </c:pt>
                <c:pt idx="54">
                  <c:v>171.50805700044884</c:v>
                </c:pt>
                <c:pt idx="55">
                  <c:v>171.41921424714207</c:v>
                </c:pt>
                <c:pt idx="56">
                  <c:v>171.3469173595698</c:v>
                </c:pt>
                <c:pt idx="57">
                  <c:v>171.28389984400738</c:v>
                </c:pt>
                <c:pt idx="58">
                  <c:v>171.23540983915333</c:v>
                </c:pt>
                <c:pt idx="59">
                  <c:v>171.18530683004647</c:v>
                </c:pt>
                <c:pt idx="60">
                  <c:v>171.13306296377414</c:v>
                </c:pt>
                <c:pt idx="61">
                  <c:v>171.09018381065511</c:v>
                </c:pt>
                <c:pt idx="62">
                  <c:v>171.09039046973783</c:v>
                </c:pt>
                <c:pt idx="63">
                  <c:v>171.06586837451519</c:v>
                </c:pt>
                <c:pt idx="64">
                  <c:v>171.05762761069172</c:v>
                </c:pt>
                <c:pt idx="65">
                  <c:v>171.12453093601081</c:v>
                </c:pt>
                <c:pt idx="66">
                  <c:v>171.11198649902326</c:v>
                </c:pt>
                <c:pt idx="67">
                  <c:v>171.08316115993392</c:v>
                </c:pt>
                <c:pt idx="68">
                  <c:v>171.04572740694599</c:v>
                </c:pt>
                <c:pt idx="69">
                  <c:v>170.96987210569293</c:v>
                </c:pt>
                <c:pt idx="70">
                  <c:v>170.92289042730025</c:v>
                </c:pt>
                <c:pt idx="71">
                  <c:v>170.87035212131127</c:v>
                </c:pt>
                <c:pt idx="72">
                  <c:v>170.81276661509963</c:v>
                </c:pt>
                <c:pt idx="73">
                  <c:v>170.76538712132893</c:v>
                </c:pt>
                <c:pt idx="74">
                  <c:v>170.71590659653711</c:v>
                </c:pt>
                <c:pt idx="75">
                  <c:v>170.66637431671663</c:v>
                </c:pt>
                <c:pt idx="76">
                  <c:v>170.62062624152304</c:v>
                </c:pt>
                <c:pt idx="77">
                  <c:v>170.58514425563345</c:v>
                </c:pt>
                <c:pt idx="78">
                  <c:v>170.54790223360041</c:v>
                </c:pt>
                <c:pt idx="79">
                  <c:v>170.41397554422917</c:v>
                </c:pt>
                <c:pt idx="80">
                  <c:v>170.36642113011627</c:v>
                </c:pt>
                <c:pt idx="81">
                  <c:v>170.31424392438439</c:v>
                </c:pt>
                <c:pt idx="82">
                  <c:v>170.28137245297197</c:v>
                </c:pt>
                <c:pt idx="83">
                  <c:v>170.23593705380574</c:v>
                </c:pt>
                <c:pt idx="84">
                  <c:v>170.09625585101995</c:v>
                </c:pt>
                <c:pt idx="85">
                  <c:v>170.01885977468905</c:v>
                </c:pt>
                <c:pt idx="86">
                  <c:v>169.95314186565656</c:v>
                </c:pt>
                <c:pt idx="87">
                  <c:v>169.89782925955828</c:v>
                </c:pt>
                <c:pt idx="88">
                  <c:v>169.85251228166001</c:v>
                </c:pt>
                <c:pt idx="89">
                  <c:v>169.8065094559872</c:v>
                </c:pt>
                <c:pt idx="90">
                  <c:v>169.72689880116727</c:v>
                </c:pt>
                <c:pt idx="91">
                  <c:v>169.58806053803448</c:v>
                </c:pt>
                <c:pt idx="92">
                  <c:v>169.54960646411962</c:v>
                </c:pt>
                <c:pt idx="93">
                  <c:v>169.51137055326689</c:v>
                </c:pt>
                <c:pt idx="94">
                  <c:v>169.45800860819332</c:v>
                </c:pt>
                <c:pt idx="95">
                  <c:v>169.44441488163162</c:v>
                </c:pt>
                <c:pt idx="96">
                  <c:v>169.42308882897291</c:v>
                </c:pt>
                <c:pt idx="97">
                  <c:v>169.38484391287889</c:v>
                </c:pt>
                <c:pt idx="98">
                  <c:v>169.3591761726876</c:v>
                </c:pt>
                <c:pt idx="99">
                  <c:v>169.34272915486278</c:v>
                </c:pt>
                <c:pt idx="100">
                  <c:v>169.29308114465093</c:v>
                </c:pt>
                <c:pt idx="101">
                  <c:v>169.26507375541982</c:v>
                </c:pt>
                <c:pt idx="102">
                  <c:v>169.22212700044585</c:v>
                </c:pt>
                <c:pt idx="103">
                  <c:v>169.18764028971191</c:v>
                </c:pt>
                <c:pt idx="104">
                  <c:v>169.14266206474244</c:v>
                </c:pt>
                <c:pt idx="105">
                  <c:v>169.071590086763</c:v>
                </c:pt>
                <c:pt idx="106">
                  <c:v>169.0490303032241</c:v>
                </c:pt>
                <c:pt idx="107">
                  <c:v>168.99816564230696</c:v>
                </c:pt>
                <c:pt idx="108">
                  <c:v>168.98676448253676</c:v>
                </c:pt>
                <c:pt idx="109">
                  <c:v>168.98229104787853</c:v>
                </c:pt>
                <c:pt idx="110">
                  <c:v>168.99000933977794</c:v>
                </c:pt>
                <c:pt idx="111">
                  <c:v>168.9632267103629</c:v>
                </c:pt>
                <c:pt idx="112">
                  <c:v>168.93718026821617</c:v>
                </c:pt>
                <c:pt idx="113">
                  <c:v>168.91852094198467</c:v>
                </c:pt>
                <c:pt idx="114">
                  <c:v>168.87736140006248</c:v>
                </c:pt>
                <c:pt idx="115">
                  <c:v>168.83864222046975</c:v>
                </c:pt>
                <c:pt idx="116">
                  <c:v>168.80684447189284</c:v>
                </c:pt>
                <c:pt idx="117">
                  <c:v>168.77868601063366</c:v>
                </c:pt>
                <c:pt idx="118">
                  <c:v>168.74017925307291</c:v>
                </c:pt>
                <c:pt idx="119">
                  <c:v>168.68964392577371</c:v>
                </c:pt>
                <c:pt idx="120">
                  <c:v>168.64354946174316</c:v>
                </c:pt>
                <c:pt idx="121">
                  <c:v>168.60142599643135</c:v>
                </c:pt>
                <c:pt idx="122">
                  <c:v>168.56233311737631</c:v>
                </c:pt>
                <c:pt idx="123">
                  <c:v>168.52573116366446</c:v>
                </c:pt>
                <c:pt idx="124">
                  <c:v>168.4981914434729</c:v>
                </c:pt>
                <c:pt idx="125">
                  <c:v>168.46118136284701</c:v>
                </c:pt>
                <c:pt idx="126">
                  <c:v>168.43184706151609</c:v>
                </c:pt>
                <c:pt idx="127">
                  <c:v>168.3985546523684</c:v>
                </c:pt>
                <c:pt idx="128">
                  <c:v>168.36528849676984</c:v>
                </c:pt>
                <c:pt idx="129">
                  <c:v>168.32698454666863</c:v>
                </c:pt>
                <c:pt idx="130">
                  <c:v>168.28857135744053</c:v>
                </c:pt>
                <c:pt idx="131">
                  <c:v>168.25146754985812</c:v>
                </c:pt>
                <c:pt idx="132">
                  <c:v>168.21848187578678</c:v>
                </c:pt>
                <c:pt idx="133">
                  <c:v>168.18094849802992</c:v>
                </c:pt>
                <c:pt idx="134">
                  <c:v>168.15045327800269</c:v>
                </c:pt>
                <c:pt idx="135">
                  <c:v>168.11473212337947</c:v>
                </c:pt>
                <c:pt idx="136">
                  <c:v>168.08140064892297</c:v>
                </c:pt>
                <c:pt idx="137">
                  <c:v>168.04727155503693</c:v>
                </c:pt>
                <c:pt idx="138">
                  <c:v>168.01336511424401</c:v>
                </c:pt>
                <c:pt idx="139">
                  <c:v>167.97768169023868</c:v>
                </c:pt>
                <c:pt idx="140">
                  <c:v>167.94793530472279</c:v>
                </c:pt>
                <c:pt idx="141">
                  <c:v>167.90786316683028</c:v>
                </c:pt>
                <c:pt idx="142">
                  <c:v>167.81911602313841</c:v>
                </c:pt>
                <c:pt idx="143">
                  <c:v>167.77701746051983</c:v>
                </c:pt>
                <c:pt idx="144">
                  <c:v>167.73539035247799</c:v>
                </c:pt>
                <c:pt idx="145">
                  <c:v>167.71227373182367</c:v>
                </c:pt>
                <c:pt idx="146">
                  <c:v>167.68176024735325</c:v>
                </c:pt>
                <c:pt idx="147">
                  <c:v>167.66291580554983</c:v>
                </c:pt>
                <c:pt idx="148">
                  <c:v>167.62284544829456</c:v>
                </c:pt>
                <c:pt idx="149">
                  <c:v>167.58502857325547</c:v>
                </c:pt>
                <c:pt idx="150">
                  <c:v>167.54958505942867</c:v>
                </c:pt>
                <c:pt idx="151">
                  <c:v>167.52264979242457</c:v>
                </c:pt>
                <c:pt idx="152">
                  <c:v>167.50666406315003</c:v>
                </c:pt>
                <c:pt idx="153">
                  <c:v>167.48800940699326</c:v>
                </c:pt>
                <c:pt idx="154">
                  <c:v>167.45809087317474</c:v>
                </c:pt>
                <c:pt idx="155">
                  <c:v>167.44889135825656</c:v>
                </c:pt>
                <c:pt idx="156">
                  <c:v>167.43207628671382</c:v>
                </c:pt>
                <c:pt idx="157">
                  <c:v>167.40857514497333</c:v>
                </c:pt>
                <c:pt idx="158">
                  <c:v>167.39644666064413</c:v>
                </c:pt>
                <c:pt idx="159">
                  <c:v>167.36263543520749</c:v>
                </c:pt>
                <c:pt idx="160">
                  <c:v>167.32250055484764</c:v>
                </c:pt>
                <c:pt idx="161">
                  <c:v>167.28375571723402</c:v>
                </c:pt>
                <c:pt idx="162">
                  <c:v>167.24139102979063</c:v>
                </c:pt>
                <c:pt idx="163">
                  <c:v>167.21790720393699</c:v>
                </c:pt>
                <c:pt idx="164">
                  <c:v>167.19260148419403</c:v>
                </c:pt>
                <c:pt idx="165">
                  <c:v>167.16280408996678</c:v>
                </c:pt>
                <c:pt idx="166">
                  <c:v>167.1216606685355</c:v>
                </c:pt>
                <c:pt idx="167">
                  <c:v>167.05824793220117</c:v>
                </c:pt>
                <c:pt idx="168">
                  <c:v>167.02100589602253</c:v>
                </c:pt>
                <c:pt idx="169">
                  <c:v>166.99730449569591</c:v>
                </c:pt>
                <c:pt idx="170">
                  <c:v>166.9717617559055</c:v>
                </c:pt>
                <c:pt idx="171">
                  <c:v>166.94734802990334</c:v>
                </c:pt>
                <c:pt idx="172">
                  <c:v>166.91131002019591</c:v>
                </c:pt>
                <c:pt idx="173">
                  <c:v>166.8743605079288</c:v>
                </c:pt>
                <c:pt idx="174">
                  <c:v>166.83711363416708</c:v>
                </c:pt>
                <c:pt idx="175">
                  <c:v>166.78642231977148</c:v>
                </c:pt>
                <c:pt idx="176">
                  <c:v>166.74548036500059</c:v>
                </c:pt>
                <c:pt idx="177">
                  <c:v>166.71454045499621</c:v>
                </c:pt>
                <c:pt idx="178">
                  <c:v>166.67317499435538</c:v>
                </c:pt>
                <c:pt idx="179">
                  <c:v>166.6447365890873</c:v>
                </c:pt>
                <c:pt idx="180">
                  <c:v>166.6137757371811</c:v>
                </c:pt>
                <c:pt idx="181">
                  <c:v>166.58484274325775</c:v>
                </c:pt>
                <c:pt idx="182">
                  <c:v>166.54401315084533</c:v>
                </c:pt>
                <c:pt idx="183">
                  <c:v>166.5021979783661</c:v>
                </c:pt>
                <c:pt idx="184">
                  <c:v>166.44990747726652</c:v>
                </c:pt>
                <c:pt idx="185">
                  <c:v>166.43286521126629</c:v>
                </c:pt>
                <c:pt idx="186">
                  <c:v>166.39112065912047</c:v>
                </c:pt>
                <c:pt idx="187">
                  <c:v>166.33104081583156</c:v>
                </c:pt>
                <c:pt idx="188">
                  <c:v>166.25497341565259</c:v>
                </c:pt>
                <c:pt idx="189">
                  <c:v>166.20374191653127</c:v>
                </c:pt>
                <c:pt idx="190">
                  <c:v>166.16131113247062</c:v>
                </c:pt>
                <c:pt idx="191">
                  <c:v>166.14961036868488</c:v>
                </c:pt>
                <c:pt idx="192">
                  <c:v>166.11543074268803</c:v>
                </c:pt>
                <c:pt idx="193">
                  <c:v>166.02061900542435</c:v>
                </c:pt>
                <c:pt idx="194">
                  <c:v>165.9820518905247</c:v>
                </c:pt>
                <c:pt idx="195">
                  <c:v>165.93608613199874</c:v>
                </c:pt>
                <c:pt idx="196">
                  <c:v>165.87438119184151</c:v>
                </c:pt>
                <c:pt idx="197">
                  <c:v>165.77438627446713</c:v>
                </c:pt>
                <c:pt idx="198">
                  <c:v>165.75138515237228</c:v>
                </c:pt>
                <c:pt idx="199">
                  <c:v>165.69025181463277</c:v>
                </c:pt>
                <c:pt idx="200">
                  <c:v>165.64461739805907</c:v>
                </c:pt>
                <c:pt idx="201">
                  <c:v>165.60555535993569</c:v>
                </c:pt>
                <c:pt idx="202">
                  <c:v>165.53421203940607</c:v>
                </c:pt>
                <c:pt idx="203">
                  <c:v>165.48947255863618</c:v>
                </c:pt>
                <c:pt idx="204">
                  <c:v>165.4449564878021</c:v>
                </c:pt>
                <c:pt idx="205">
                  <c:v>165.38643819707715</c:v>
                </c:pt>
                <c:pt idx="206">
                  <c:v>165.27724701358423</c:v>
                </c:pt>
                <c:pt idx="207">
                  <c:v>165.22711960501809</c:v>
                </c:pt>
                <c:pt idx="208">
                  <c:v>165.1930465033814</c:v>
                </c:pt>
                <c:pt idx="209">
                  <c:v>165.19925489489279</c:v>
                </c:pt>
                <c:pt idx="210">
                  <c:v>165.19341718807902</c:v>
                </c:pt>
                <c:pt idx="211">
                  <c:v>165.16746144974513</c:v>
                </c:pt>
                <c:pt idx="212">
                  <c:v>165.15452042527733</c:v>
                </c:pt>
                <c:pt idx="213">
                  <c:v>165.14946506306535</c:v>
                </c:pt>
                <c:pt idx="214">
                  <c:v>165.12129233238227</c:v>
                </c:pt>
                <c:pt idx="215">
                  <c:v>165.06807168602981</c:v>
                </c:pt>
                <c:pt idx="216">
                  <c:v>165.03278955505121</c:v>
                </c:pt>
                <c:pt idx="217">
                  <c:v>164.96492842205433</c:v>
                </c:pt>
                <c:pt idx="218">
                  <c:v>164.93300718739135</c:v>
                </c:pt>
                <c:pt idx="219">
                  <c:v>164.89792779800422</c:v>
                </c:pt>
                <c:pt idx="220">
                  <c:v>164.83693165093686</c:v>
                </c:pt>
                <c:pt idx="221">
                  <c:v>164.75950456729481</c:v>
                </c:pt>
                <c:pt idx="222">
                  <c:v>164.69852813108352</c:v>
                </c:pt>
                <c:pt idx="223">
                  <c:v>164.65556915246748</c:v>
                </c:pt>
                <c:pt idx="224">
                  <c:v>164.60328364363596</c:v>
                </c:pt>
                <c:pt idx="225">
                  <c:v>164.5477353998632</c:v>
                </c:pt>
                <c:pt idx="226">
                  <c:v>164.48513114307644</c:v>
                </c:pt>
                <c:pt idx="227">
                  <c:v>164.42220264984161</c:v>
                </c:pt>
                <c:pt idx="228">
                  <c:v>164.3723747647482</c:v>
                </c:pt>
                <c:pt idx="229">
                  <c:v>164.32621767021769</c:v>
                </c:pt>
                <c:pt idx="230">
                  <c:v>164.2885421697095</c:v>
                </c:pt>
                <c:pt idx="231">
                  <c:v>164.25887706153674</c:v>
                </c:pt>
                <c:pt idx="232">
                  <c:v>164.21940581584263</c:v>
                </c:pt>
                <c:pt idx="233">
                  <c:v>164.18258129812057</c:v>
                </c:pt>
                <c:pt idx="234">
                  <c:v>164.15457108675511</c:v>
                </c:pt>
                <c:pt idx="235">
                  <c:v>164.13560154059283</c:v>
                </c:pt>
                <c:pt idx="236">
                  <c:v>164.12580468175537</c:v>
                </c:pt>
                <c:pt idx="237">
                  <c:v>164.12884718209241</c:v>
                </c:pt>
                <c:pt idx="238">
                  <c:v>164.13131459646553</c:v>
                </c:pt>
                <c:pt idx="239">
                  <c:v>164.12363808658486</c:v>
                </c:pt>
                <c:pt idx="240">
                  <c:v>164.12449449112944</c:v>
                </c:pt>
                <c:pt idx="241">
                  <c:v>164.13166935281103</c:v>
                </c:pt>
                <c:pt idx="242">
                  <c:v>164.15570526111335</c:v>
                </c:pt>
                <c:pt idx="243">
                  <c:v>164.17081719619671</c:v>
                </c:pt>
                <c:pt idx="244">
                  <c:v>164.18015722939788</c:v>
                </c:pt>
                <c:pt idx="245">
                  <c:v>164.17105920600682</c:v>
                </c:pt>
                <c:pt idx="246">
                  <c:v>164.16932087048735</c:v>
                </c:pt>
                <c:pt idx="247">
                  <c:v>164.1836723976264</c:v>
                </c:pt>
                <c:pt idx="248">
                  <c:v>164.24818232110309</c:v>
                </c:pt>
                <c:pt idx="249">
                  <c:v>164.29135905311998</c:v>
                </c:pt>
                <c:pt idx="250">
                  <c:v>164.31262670835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61-4D3F-9344-ED8F3F2E43C4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Data!$I$2:$I$252</c:f>
              <c:numCache>
                <c:formatCode>General</c:formatCode>
                <c:ptCount val="251"/>
                <c:pt idx="0">
                  <c:v>171.3</c:v>
                </c:pt>
                <c:pt idx="1">
                  <c:v>171.29841202890293</c:v>
                </c:pt>
                <c:pt idx="2">
                  <c:v>171.62310020286122</c:v>
                </c:pt>
                <c:pt idx="3">
                  <c:v>171.78511497356385</c:v>
                </c:pt>
                <c:pt idx="4">
                  <c:v>171.8787971620813</c:v>
                </c:pt>
                <c:pt idx="5">
                  <c:v>172.08835754484346</c:v>
                </c:pt>
                <c:pt idx="6">
                  <c:v>172.26448130804732</c:v>
                </c:pt>
                <c:pt idx="7">
                  <c:v>172.48220783890864</c:v>
                </c:pt>
                <c:pt idx="8">
                  <c:v>172.71857766396076</c:v>
                </c:pt>
                <c:pt idx="9">
                  <c:v>172.61405669842466</c:v>
                </c:pt>
                <c:pt idx="10">
                  <c:v>171.36052192564694</c:v>
                </c:pt>
                <c:pt idx="11">
                  <c:v>170.73453521205499</c:v>
                </c:pt>
                <c:pt idx="12">
                  <c:v>170.1458688399353</c:v>
                </c:pt>
                <c:pt idx="13">
                  <c:v>169.87777504889198</c:v>
                </c:pt>
                <c:pt idx="14">
                  <c:v>169.47835593395214</c:v>
                </c:pt>
                <c:pt idx="15">
                  <c:v>169.22175493033143</c:v>
                </c:pt>
                <c:pt idx="16">
                  <c:v>168.84259018327424</c:v>
                </c:pt>
                <c:pt idx="17">
                  <c:v>168.18653614235819</c:v>
                </c:pt>
                <c:pt idx="18">
                  <c:v>167.80292149450713</c:v>
                </c:pt>
                <c:pt idx="19">
                  <c:v>167.02369451471026</c:v>
                </c:pt>
                <c:pt idx="20">
                  <c:v>166.82970076501456</c:v>
                </c:pt>
                <c:pt idx="21">
                  <c:v>166.83442305490439</c:v>
                </c:pt>
                <c:pt idx="22">
                  <c:v>166.81138033066844</c:v>
                </c:pt>
                <c:pt idx="23">
                  <c:v>166.88574549054758</c:v>
                </c:pt>
                <c:pt idx="24">
                  <c:v>166.96098213086873</c:v>
                </c:pt>
                <c:pt idx="25">
                  <c:v>166.99733518497422</c:v>
                </c:pt>
                <c:pt idx="26">
                  <c:v>167.11982397907602</c:v>
                </c:pt>
                <c:pt idx="27">
                  <c:v>166.58153238485431</c:v>
                </c:pt>
                <c:pt idx="28">
                  <c:v>165.59368716161185</c:v>
                </c:pt>
                <c:pt idx="29">
                  <c:v>164.66943904571343</c:v>
                </c:pt>
                <c:pt idx="30">
                  <c:v>164.30299413598809</c:v>
                </c:pt>
                <c:pt idx="31">
                  <c:v>164.07418414739166</c:v>
                </c:pt>
                <c:pt idx="32">
                  <c:v>164.0796989899296</c:v>
                </c:pt>
                <c:pt idx="33">
                  <c:v>164.16452254500254</c:v>
                </c:pt>
                <c:pt idx="34">
                  <c:v>164.22439955158265</c:v>
                </c:pt>
                <c:pt idx="35">
                  <c:v>164.22463512343319</c:v>
                </c:pt>
                <c:pt idx="36">
                  <c:v>164.31989806546073</c:v>
                </c:pt>
                <c:pt idx="37">
                  <c:v>164.27803206726236</c:v>
                </c:pt>
                <c:pt idx="38">
                  <c:v>164.31549407241127</c:v>
                </c:pt>
                <c:pt idx="39">
                  <c:v>164.26738485851877</c:v>
                </c:pt>
                <c:pt idx="40">
                  <c:v>163.60217527610962</c:v>
                </c:pt>
                <c:pt idx="41">
                  <c:v>163.27392154234414</c:v>
                </c:pt>
                <c:pt idx="42">
                  <c:v>163.09763505105025</c:v>
                </c:pt>
                <c:pt idx="43">
                  <c:v>162.95282725963534</c:v>
                </c:pt>
                <c:pt idx="44">
                  <c:v>162.78382594697521</c:v>
                </c:pt>
                <c:pt idx="45">
                  <c:v>162.56846352129483</c:v>
                </c:pt>
                <c:pt idx="46">
                  <c:v>162.41120241199874</c:v>
                </c:pt>
                <c:pt idx="47">
                  <c:v>162.15109465727963</c:v>
                </c:pt>
                <c:pt idx="48">
                  <c:v>161.92883604257881</c:v>
                </c:pt>
                <c:pt idx="49">
                  <c:v>161.74432234287431</c:v>
                </c:pt>
                <c:pt idx="50">
                  <c:v>161.52897884799091</c:v>
                </c:pt>
                <c:pt idx="51">
                  <c:v>161.29509391695655</c:v>
                </c:pt>
                <c:pt idx="52">
                  <c:v>161.19560459588646</c:v>
                </c:pt>
                <c:pt idx="53">
                  <c:v>161.01030633438853</c:v>
                </c:pt>
                <c:pt idx="54">
                  <c:v>160.83501759971642</c:v>
                </c:pt>
                <c:pt idx="55">
                  <c:v>160.79086066474514</c:v>
                </c:pt>
                <c:pt idx="56">
                  <c:v>160.78303908100204</c:v>
                </c:pt>
                <c:pt idx="57">
                  <c:v>160.80472840695498</c:v>
                </c:pt>
                <c:pt idx="58">
                  <c:v>160.84445308320753</c:v>
                </c:pt>
                <c:pt idx="59">
                  <c:v>160.87951116288261</c:v>
                </c:pt>
                <c:pt idx="60">
                  <c:v>160.90800118317389</c:v>
                </c:pt>
                <c:pt idx="61">
                  <c:v>160.94765454543028</c:v>
                </c:pt>
                <c:pt idx="62">
                  <c:v>161.02058565985965</c:v>
                </c:pt>
                <c:pt idx="63">
                  <c:v>161.07069024015962</c:v>
                </c:pt>
                <c:pt idx="64">
                  <c:v>161.12248167173328</c:v>
                </c:pt>
                <c:pt idx="65">
                  <c:v>161.22438285853625</c:v>
                </c:pt>
                <c:pt idx="66">
                  <c:v>161.27927907161114</c:v>
                </c:pt>
                <c:pt idx="67">
                  <c:v>161.32213485108321</c:v>
                </c:pt>
                <c:pt idx="68">
                  <c:v>161.35530552528954</c:v>
                </c:pt>
                <c:pt idx="69">
                  <c:v>161.31299060035369</c:v>
                </c:pt>
                <c:pt idx="70">
                  <c:v>161.31978067672614</c:v>
                </c:pt>
                <c:pt idx="71">
                  <c:v>161.29565998252849</c:v>
                </c:pt>
                <c:pt idx="72">
                  <c:v>161.27234474470049</c:v>
                </c:pt>
                <c:pt idx="73">
                  <c:v>161.24432204411571</c:v>
                </c:pt>
                <c:pt idx="74">
                  <c:v>161.23525553966223</c:v>
                </c:pt>
                <c:pt idx="75">
                  <c:v>161.1574007301322</c:v>
                </c:pt>
                <c:pt idx="76">
                  <c:v>161.10383422556936</c:v>
                </c:pt>
                <c:pt idx="77">
                  <c:v>160.98510431488813</c:v>
                </c:pt>
                <c:pt idx="78">
                  <c:v>160.85153633617634</c:v>
                </c:pt>
                <c:pt idx="79">
                  <c:v>160.6667403464923</c:v>
                </c:pt>
                <c:pt idx="80">
                  <c:v>160.62669276262787</c:v>
                </c:pt>
                <c:pt idx="81">
                  <c:v>160.56698427806683</c:v>
                </c:pt>
                <c:pt idx="82">
                  <c:v>160.4888590681642</c:v>
                </c:pt>
                <c:pt idx="83">
                  <c:v>160.39111269732393</c:v>
                </c:pt>
                <c:pt idx="84">
                  <c:v>160.23846170568677</c:v>
                </c:pt>
                <c:pt idx="85">
                  <c:v>160.13575192776662</c:v>
                </c:pt>
                <c:pt idx="86">
                  <c:v>160.09034515591077</c:v>
                </c:pt>
                <c:pt idx="87">
                  <c:v>160.05538566987408</c:v>
                </c:pt>
                <c:pt idx="88">
                  <c:v>160.02394222827579</c:v>
                </c:pt>
                <c:pt idx="89">
                  <c:v>159.98593502406928</c:v>
                </c:pt>
                <c:pt idx="90">
                  <c:v>159.84808992198592</c:v>
                </c:pt>
                <c:pt idx="91">
                  <c:v>159.64342386143892</c:v>
                </c:pt>
                <c:pt idx="92">
                  <c:v>159.57179015421212</c:v>
                </c:pt>
                <c:pt idx="93">
                  <c:v>159.46058095164273</c:v>
                </c:pt>
                <c:pt idx="94">
                  <c:v>159.21368181715127</c:v>
                </c:pt>
                <c:pt idx="95">
                  <c:v>158.97054168456341</c:v>
                </c:pt>
                <c:pt idx="96">
                  <c:v>158.78000384847931</c:v>
                </c:pt>
                <c:pt idx="97">
                  <c:v>158.65161365648467</c:v>
                </c:pt>
                <c:pt idx="98">
                  <c:v>158.52409003537898</c:v>
                </c:pt>
                <c:pt idx="99">
                  <c:v>158.40947827326309</c:v>
                </c:pt>
                <c:pt idx="100">
                  <c:v>158.3544137528074</c:v>
                </c:pt>
                <c:pt idx="101">
                  <c:v>158.32144102635183</c:v>
                </c:pt>
                <c:pt idx="102">
                  <c:v>158.28485650764085</c:v>
                </c:pt>
                <c:pt idx="103">
                  <c:v>158.24797569748</c:v>
                </c:pt>
                <c:pt idx="104">
                  <c:v>158.17643568563952</c:v>
                </c:pt>
                <c:pt idx="105">
                  <c:v>158.06903316202207</c:v>
                </c:pt>
                <c:pt idx="106">
                  <c:v>157.90063459774993</c:v>
                </c:pt>
                <c:pt idx="107">
                  <c:v>157.61871103285819</c:v>
                </c:pt>
                <c:pt idx="108">
                  <c:v>157.39725721676345</c:v>
                </c:pt>
                <c:pt idx="109">
                  <c:v>157.19905073527931</c:v>
                </c:pt>
                <c:pt idx="110">
                  <c:v>157.0144380492398</c:v>
                </c:pt>
                <c:pt idx="111">
                  <c:v>156.88473183357797</c:v>
                </c:pt>
                <c:pt idx="112">
                  <c:v>156.77911099399424</c:v>
                </c:pt>
                <c:pt idx="113">
                  <c:v>156.68560477241593</c:v>
                </c:pt>
                <c:pt idx="114">
                  <c:v>156.60924378170225</c:v>
                </c:pt>
                <c:pt idx="115">
                  <c:v>156.53991537878903</c:v>
                </c:pt>
                <c:pt idx="116">
                  <c:v>156.48612947166922</c:v>
                </c:pt>
                <c:pt idx="117">
                  <c:v>156.40072859703608</c:v>
                </c:pt>
                <c:pt idx="118">
                  <c:v>156.32227365638576</c:v>
                </c:pt>
                <c:pt idx="119">
                  <c:v>156.26125541063092</c:v>
                </c:pt>
                <c:pt idx="120">
                  <c:v>156.24437272739348</c:v>
                </c:pt>
                <c:pt idx="121">
                  <c:v>156.2416634640214</c:v>
                </c:pt>
                <c:pt idx="122">
                  <c:v>156.23486986704049</c:v>
                </c:pt>
                <c:pt idx="123">
                  <c:v>156.22983863188924</c:v>
                </c:pt>
                <c:pt idx="124">
                  <c:v>156.20134504449729</c:v>
                </c:pt>
                <c:pt idx="125">
                  <c:v>156.16129448395418</c:v>
                </c:pt>
                <c:pt idx="126">
                  <c:v>156.14441413701897</c:v>
                </c:pt>
                <c:pt idx="127">
                  <c:v>156.10432859655165</c:v>
                </c:pt>
                <c:pt idx="128">
                  <c:v>156.08555470570383</c:v>
                </c:pt>
                <c:pt idx="129">
                  <c:v>156.07300747073467</c:v>
                </c:pt>
                <c:pt idx="130">
                  <c:v>156.06213849243332</c:v>
                </c:pt>
                <c:pt idx="131">
                  <c:v>156.06108202791691</c:v>
                </c:pt>
                <c:pt idx="132">
                  <c:v>156.06887535470059</c:v>
                </c:pt>
                <c:pt idx="133">
                  <c:v>156.06546210695529</c:v>
                </c:pt>
                <c:pt idx="134">
                  <c:v>156.07190057625078</c:v>
                </c:pt>
                <c:pt idx="135">
                  <c:v>156.05438316677723</c:v>
                </c:pt>
                <c:pt idx="136">
                  <c:v>156.05167564810563</c:v>
                </c:pt>
                <c:pt idx="137">
                  <c:v>156.04155013577636</c:v>
                </c:pt>
                <c:pt idx="138">
                  <c:v>156.02001557950305</c:v>
                </c:pt>
                <c:pt idx="139">
                  <c:v>156.00981869326694</c:v>
                </c:pt>
                <c:pt idx="140">
                  <c:v>156.01983901265422</c:v>
                </c:pt>
                <c:pt idx="141">
                  <c:v>155.99777716621907</c:v>
                </c:pt>
                <c:pt idx="142">
                  <c:v>155.91181363494729</c:v>
                </c:pt>
                <c:pt idx="143">
                  <c:v>155.82342744192871</c:v>
                </c:pt>
                <c:pt idx="144">
                  <c:v>155.72590528934685</c:v>
                </c:pt>
                <c:pt idx="145">
                  <c:v>155.64756595780946</c:v>
                </c:pt>
                <c:pt idx="146">
                  <c:v>155.55852049058817</c:v>
                </c:pt>
                <c:pt idx="147">
                  <c:v>155.49063249435326</c:v>
                </c:pt>
                <c:pt idx="148">
                  <c:v>155.4225585335632</c:v>
                </c:pt>
                <c:pt idx="149">
                  <c:v>155.3601148377725</c:v>
                </c:pt>
                <c:pt idx="150">
                  <c:v>155.29326015574199</c:v>
                </c:pt>
                <c:pt idx="151">
                  <c:v>155.2154742067423</c:v>
                </c:pt>
                <c:pt idx="152">
                  <c:v>155.15488323996357</c:v>
                </c:pt>
                <c:pt idx="153">
                  <c:v>155.05539468043182</c:v>
                </c:pt>
                <c:pt idx="154">
                  <c:v>154.98987041513749</c:v>
                </c:pt>
                <c:pt idx="155">
                  <c:v>154.91103892955101</c:v>
                </c:pt>
                <c:pt idx="156">
                  <c:v>154.82494333196172</c:v>
                </c:pt>
                <c:pt idx="157">
                  <c:v>154.71572702682329</c:v>
                </c:pt>
                <c:pt idx="158">
                  <c:v>154.56839749262707</c:v>
                </c:pt>
                <c:pt idx="159">
                  <c:v>154.44450140054522</c:v>
                </c:pt>
                <c:pt idx="160">
                  <c:v>154.2766838996248</c:v>
                </c:pt>
                <c:pt idx="161">
                  <c:v>154.16433441511307</c:v>
                </c:pt>
                <c:pt idx="162">
                  <c:v>154.08452338294978</c:v>
                </c:pt>
                <c:pt idx="163">
                  <c:v>154.03415906048195</c:v>
                </c:pt>
                <c:pt idx="164">
                  <c:v>153.97779462120587</c:v>
                </c:pt>
                <c:pt idx="165">
                  <c:v>153.9271220141683</c:v>
                </c:pt>
                <c:pt idx="166">
                  <c:v>153.86625198270283</c:v>
                </c:pt>
                <c:pt idx="167">
                  <c:v>153.78803929826447</c:v>
                </c:pt>
                <c:pt idx="168">
                  <c:v>153.7260375013484</c:v>
                </c:pt>
                <c:pt idx="169">
                  <c:v>153.67304964724622</c:v>
                </c:pt>
                <c:pt idx="170">
                  <c:v>153.57390806690603</c:v>
                </c:pt>
                <c:pt idx="171">
                  <c:v>153.49359451399383</c:v>
                </c:pt>
                <c:pt idx="172">
                  <c:v>153.41711087816401</c:v>
                </c:pt>
                <c:pt idx="173">
                  <c:v>153.29856587821203</c:v>
                </c:pt>
                <c:pt idx="174">
                  <c:v>153.16511295397461</c:v>
                </c:pt>
                <c:pt idx="175">
                  <c:v>152.991304232385</c:v>
                </c:pt>
                <c:pt idx="176">
                  <c:v>152.83906589100283</c:v>
                </c:pt>
                <c:pt idx="177">
                  <c:v>152.71837481238657</c:v>
                </c:pt>
                <c:pt idx="178">
                  <c:v>152.55910920011021</c:v>
                </c:pt>
                <c:pt idx="179">
                  <c:v>152.47583304455287</c:v>
                </c:pt>
                <c:pt idx="180">
                  <c:v>152.38272907762067</c:v>
                </c:pt>
                <c:pt idx="181">
                  <c:v>152.29282893312785</c:v>
                </c:pt>
                <c:pt idx="182">
                  <c:v>152.18798023636873</c:v>
                </c:pt>
                <c:pt idx="183">
                  <c:v>152.0495607771511</c:v>
                </c:pt>
                <c:pt idx="184">
                  <c:v>151.9259029182783</c:v>
                </c:pt>
                <c:pt idx="185">
                  <c:v>151.83977553826747</c:v>
                </c:pt>
                <c:pt idx="186">
                  <c:v>151.75112140451137</c:v>
                </c:pt>
                <c:pt idx="187">
                  <c:v>151.68286441323164</c:v>
                </c:pt>
                <c:pt idx="188">
                  <c:v>151.54271514194696</c:v>
                </c:pt>
                <c:pt idx="189">
                  <c:v>151.45330829090369</c:v>
                </c:pt>
                <c:pt idx="190">
                  <c:v>151.37045904368077</c:v>
                </c:pt>
                <c:pt idx="191">
                  <c:v>151.31835472687357</c:v>
                </c:pt>
                <c:pt idx="192">
                  <c:v>151.23420869612266</c:v>
                </c:pt>
                <c:pt idx="193">
                  <c:v>151.06495520821153</c:v>
                </c:pt>
                <c:pt idx="194">
                  <c:v>150.96843348031933</c:v>
                </c:pt>
                <c:pt idx="195">
                  <c:v>150.84357323853399</c:v>
                </c:pt>
                <c:pt idx="196">
                  <c:v>150.66961954872528</c:v>
                </c:pt>
                <c:pt idx="197">
                  <c:v>150.34389827928658</c:v>
                </c:pt>
                <c:pt idx="198">
                  <c:v>150.13509210536245</c:v>
                </c:pt>
                <c:pt idx="199">
                  <c:v>149.89878024799273</c:v>
                </c:pt>
                <c:pt idx="200">
                  <c:v>149.70447913264255</c:v>
                </c:pt>
                <c:pt idx="201">
                  <c:v>149.5627839161823</c:v>
                </c:pt>
                <c:pt idx="202">
                  <c:v>149.43071673999779</c:v>
                </c:pt>
                <c:pt idx="203">
                  <c:v>149.32827298719809</c:v>
                </c:pt>
                <c:pt idx="204">
                  <c:v>149.26300056008316</c:v>
                </c:pt>
                <c:pt idx="205">
                  <c:v>149.15423049373902</c:v>
                </c:pt>
                <c:pt idx="206">
                  <c:v>148.98036276445399</c:v>
                </c:pt>
                <c:pt idx="207">
                  <c:v>148.83830788277416</c:v>
                </c:pt>
                <c:pt idx="208">
                  <c:v>148.72322395696986</c:v>
                </c:pt>
                <c:pt idx="209">
                  <c:v>148.67124301236092</c:v>
                </c:pt>
                <c:pt idx="210">
                  <c:v>148.61253151837252</c:v>
                </c:pt>
                <c:pt idx="211">
                  <c:v>148.53278297536855</c:v>
                </c:pt>
                <c:pt idx="212">
                  <c:v>148.46001043463298</c:v>
                </c:pt>
                <c:pt idx="213">
                  <c:v>148.38565033351057</c:v>
                </c:pt>
                <c:pt idx="214">
                  <c:v>148.26561916340296</c:v>
                </c:pt>
                <c:pt idx="215">
                  <c:v>148.09831126971559</c:v>
                </c:pt>
                <c:pt idx="216">
                  <c:v>147.94378201909419</c:v>
                </c:pt>
                <c:pt idx="217">
                  <c:v>147.72433073685059</c:v>
                </c:pt>
                <c:pt idx="218">
                  <c:v>147.60771919787004</c:v>
                </c:pt>
                <c:pt idx="219">
                  <c:v>147.49558218356771</c:v>
                </c:pt>
                <c:pt idx="220">
                  <c:v>147.38269385271818</c:v>
                </c:pt>
                <c:pt idx="221">
                  <c:v>147.26506818175523</c:v>
                </c:pt>
                <c:pt idx="222">
                  <c:v>147.18942019604324</c:v>
                </c:pt>
                <c:pt idx="223">
                  <c:v>147.11306849285404</c:v>
                </c:pt>
                <c:pt idx="224">
                  <c:v>147.0271857739736</c:v>
                </c:pt>
                <c:pt idx="225">
                  <c:v>146.96552832901949</c:v>
                </c:pt>
                <c:pt idx="226">
                  <c:v>146.8879828849112</c:v>
                </c:pt>
                <c:pt idx="227">
                  <c:v>146.84296354910902</c:v>
                </c:pt>
                <c:pt idx="228">
                  <c:v>146.81246332832461</c:v>
                </c:pt>
                <c:pt idx="229">
                  <c:v>146.78141045262598</c:v>
                </c:pt>
                <c:pt idx="230">
                  <c:v>146.75056783705185</c:v>
                </c:pt>
                <c:pt idx="231">
                  <c:v>146.71969667009574</c:v>
                </c:pt>
                <c:pt idx="232">
                  <c:v>146.6983557010096</c:v>
                </c:pt>
                <c:pt idx="233">
                  <c:v>146.68945309302575</c:v>
                </c:pt>
                <c:pt idx="234">
                  <c:v>146.69435511252075</c:v>
                </c:pt>
                <c:pt idx="235">
                  <c:v>146.71206710031484</c:v>
                </c:pt>
                <c:pt idx="236">
                  <c:v>146.73882817249017</c:v>
                </c:pt>
                <c:pt idx="237">
                  <c:v>146.77556313212963</c:v>
                </c:pt>
                <c:pt idx="238">
                  <c:v>146.81006914532742</c:v>
                </c:pt>
                <c:pt idx="239">
                  <c:v>146.83789436222727</c:v>
                </c:pt>
                <c:pt idx="240">
                  <c:v>146.87066791677813</c:v>
                </c:pt>
                <c:pt idx="241">
                  <c:v>146.90665826782342</c:v>
                </c:pt>
                <c:pt idx="242">
                  <c:v>146.954324197528</c:v>
                </c:pt>
                <c:pt idx="243">
                  <c:v>146.99776422453863</c:v>
                </c:pt>
                <c:pt idx="244">
                  <c:v>147.03705455671496</c:v>
                </c:pt>
                <c:pt idx="245">
                  <c:v>147.06267312970596</c:v>
                </c:pt>
                <c:pt idx="246">
                  <c:v>147.09313904856833</c:v>
                </c:pt>
                <c:pt idx="247">
                  <c:v>147.13243503174598</c:v>
                </c:pt>
                <c:pt idx="248">
                  <c:v>147.19430221754109</c:v>
                </c:pt>
                <c:pt idx="249">
                  <c:v>147.23423833478066</c:v>
                </c:pt>
                <c:pt idx="250">
                  <c:v>147.26659125740574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61-4D3F-9344-ED8F3F2E4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091376"/>
        <c:axId val="1233099056"/>
      </c:lineChart>
      <c:dateAx>
        <c:axId val="1233091376"/>
        <c:scaling>
          <c:orientation val="minMax"/>
          <c:min val="4595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99056"/>
        <c:crosses val="autoZero"/>
        <c:auto val="1"/>
        <c:lblOffset val="100"/>
        <c:baseTimeUnit val="days"/>
      </c:dateAx>
      <c:valAx>
        <c:axId val="1233099056"/>
        <c:scaling>
          <c:orientation val="minMax"/>
          <c:max val="175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9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Data!$C$2:$C$252</c:f>
              <c:numCache>
                <c:formatCode>_([$$-409]* #,##0.00_);_([$$-409]* \(#,##0.00\);_([$$-409]* "-"??_);_(@_)</c:formatCode>
                <c:ptCount val="251"/>
                <c:pt idx="0">
                  <c:v>171.3</c:v>
                </c:pt>
                <c:pt idx="1">
                  <c:v>171.97</c:v>
                </c:pt>
                <c:pt idx="2">
                  <c:v>173.84</c:v>
                </c:pt>
                <c:pt idx="3">
                  <c:v>175.59</c:v>
                </c:pt>
                <c:pt idx="4">
                  <c:v>173.18</c:v>
                </c:pt>
                <c:pt idx="5">
                  <c:v>174.61</c:v>
                </c:pt>
                <c:pt idx="6">
                  <c:v>174.66</c:v>
                </c:pt>
                <c:pt idx="7">
                  <c:v>175.95</c:v>
                </c:pt>
                <c:pt idx="8">
                  <c:v>176.26</c:v>
                </c:pt>
                <c:pt idx="9">
                  <c:v>173.12</c:v>
                </c:pt>
                <c:pt idx="10">
                  <c:v>168.37</c:v>
                </c:pt>
                <c:pt idx="11">
                  <c:v>168.59</c:v>
                </c:pt>
                <c:pt idx="12">
                  <c:v>167.97</c:v>
                </c:pt>
                <c:pt idx="13">
                  <c:v>169.76</c:v>
                </c:pt>
                <c:pt idx="14">
                  <c:v>167.71</c:v>
                </c:pt>
                <c:pt idx="15">
                  <c:v>168.57</c:v>
                </c:pt>
                <c:pt idx="16">
                  <c:v>167.55</c:v>
                </c:pt>
                <c:pt idx="17">
                  <c:v>166.69</c:v>
                </c:pt>
                <c:pt idx="18">
                  <c:v>165.65</c:v>
                </c:pt>
                <c:pt idx="19">
                  <c:v>162.85</c:v>
                </c:pt>
                <c:pt idx="20">
                  <c:v>166.58</c:v>
                </c:pt>
                <c:pt idx="21">
                  <c:v>168.71</c:v>
                </c:pt>
                <c:pt idx="22">
                  <c:v>168.03</c:v>
                </c:pt>
                <c:pt idx="23">
                  <c:v>170.42</c:v>
                </c:pt>
                <c:pt idx="24">
                  <c:v>170.56</c:v>
                </c:pt>
                <c:pt idx="25">
                  <c:v>169.5</c:v>
                </c:pt>
                <c:pt idx="26">
                  <c:v>172.39</c:v>
                </c:pt>
                <c:pt idx="27">
                  <c:v>163.75</c:v>
                </c:pt>
                <c:pt idx="28">
                  <c:v>160.22999999999999</c:v>
                </c:pt>
                <c:pt idx="29">
                  <c:v>158.38999999999999</c:v>
                </c:pt>
                <c:pt idx="30">
                  <c:v>162.32</c:v>
                </c:pt>
                <c:pt idx="31">
                  <c:v>163.56</c:v>
                </c:pt>
                <c:pt idx="32">
                  <c:v>166.91</c:v>
                </c:pt>
                <c:pt idx="33">
                  <c:v>169.13</c:v>
                </c:pt>
                <c:pt idx="34">
                  <c:v>168.47</c:v>
                </c:pt>
                <c:pt idx="35">
                  <c:v>166.39</c:v>
                </c:pt>
                <c:pt idx="36">
                  <c:v>170.63</c:v>
                </c:pt>
                <c:pt idx="37">
                  <c:v>165.75</c:v>
                </c:pt>
                <c:pt idx="38">
                  <c:v>167.88</c:v>
                </c:pt>
                <c:pt idx="39">
                  <c:v>165.73</c:v>
                </c:pt>
                <c:pt idx="40">
                  <c:v>159.53</c:v>
                </c:pt>
                <c:pt idx="41">
                  <c:v>161.02000000000001</c:v>
                </c:pt>
                <c:pt idx="42">
                  <c:v>161.85</c:v>
                </c:pt>
                <c:pt idx="43">
                  <c:v>162.26</c:v>
                </c:pt>
                <c:pt idx="44">
                  <c:v>162.57</c:v>
                </c:pt>
                <c:pt idx="45">
                  <c:v>159.97999999999999</c:v>
                </c:pt>
                <c:pt idx="46">
                  <c:v>160.52000000000001</c:v>
                </c:pt>
                <c:pt idx="47">
                  <c:v>158.83000000000001</c:v>
                </c:pt>
                <c:pt idx="48">
                  <c:v>159.25</c:v>
                </c:pt>
                <c:pt idx="49">
                  <c:v>159.29</c:v>
                </c:pt>
                <c:pt idx="50">
                  <c:v>158.65</c:v>
                </c:pt>
                <c:pt idx="51">
                  <c:v>157.66</c:v>
                </c:pt>
                <c:pt idx="52">
                  <c:v>160.9</c:v>
                </c:pt>
                <c:pt idx="53">
                  <c:v>158.72999999999999</c:v>
                </c:pt>
                <c:pt idx="54">
                  <c:v>158.02000000000001</c:v>
                </c:pt>
                <c:pt idx="55">
                  <c:v>162.41</c:v>
                </c:pt>
                <c:pt idx="56">
                  <c:v>163.28</c:v>
                </c:pt>
                <c:pt idx="57">
                  <c:v>164.77</c:v>
                </c:pt>
                <c:pt idx="58">
                  <c:v>165.64</c:v>
                </c:pt>
                <c:pt idx="59">
                  <c:v>165.43</c:v>
                </c:pt>
                <c:pt idx="60">
                  <c:v>165.03</c:v>
                </c:pt>
                <c:pt idx="61">
                  <c:v>165.86</c:v>
                </c:pt>
                <c:pt idx="62">
                  <c:v>167.76</c:v>
                </c:pt>
                <c:pt idx="63">
                  <c:v>167.36</c:v>
                </c:pt>
                <c:pt idx="64">
                  <c:v>168.56</c:v>
                </c:pt>
                <c:pt idx="65">
                  <c:v>169.89</c:v>
                </c:pt>
                <c:pt idx="66">
                  <c:v>167.78</c:v>
                </c:pt>
                <c:pt idx="67">
                  <c:v>166.85</c:v>
                </c:pt>
                <c:pt idx="68">
                  <c:v>165.95</c:v>
                </c:pt>
                <c:pt idx="69">
                  <c:v>162.80000000000001</c:v>
                </c:pt>
                <c:pt idx="70">
                  <c:v>164.02</c:v>
                </c:pt>
                <c:pt idx="71">
                  <c:v>162.56</c:v>
                </c:pt>
                <c:pt idx="72">
                  <c:v>162.84</c:v>
                </c:pt>
                <c:pt idx="73">
                  <c:v>162.11000000000001</c:v>
                </c:pt>
                <c:pt idx="74">
                  <c:v>163.18</c:v>
                </c:pt>
                <c:pt idx="75">
                  <c:v>160.28</c:v>
                </c:pt>
                <c:pt idx="76">
                  <c:v>160.88</c:v>
                </c:pt>
                <c:pt idx="77">
                  <c:v>158.52000000000001</c:v>
                </c:pt>
                <c:pt idx="78">
                  <c:v>158.02000000000001</c:v>
                </c:pt>
                <c:pt idx="79">
                  <c:v>159.08000000000001</c:v>
                </c:pt>
                <c:pt idx="80">
                  <c:v>161.03</c:v>
                </c:pt>
                <c:pt idx="81">
                  <c:v>160.36000000000001</c:v>
                </c:pt>
                <c:pt idx="82">
                  <c:v>158.97</c:v>
                </c:pt>
                <c:pt idx="83">
                  <c:v>158.63</c:v>
                </c:pt>
                <c:pt idx="84">
                  <c:v>159.86000000000001</c:v>
                </c:pt>
                <c:pt idx="85">
                  <c:v>159.32</c:v>
                </c:pt>
                <c:pt idx="86">
                  <c:v>161.22</c:v>
                </c:pt>
                <c:pt idx="87">
                  <c:v>161.19999999999999</c:v>
                </c:pt>
                <c:pt idx="88">
                  <c:v>160.83000000000001</c:v>
                </c:pt>
                <c:pt idx="89">
                  <c:v>160.5</c:v>
                </c:pt>
                <c:pt idx="90">
                  <c:v>157.88999999999999</c:v>
                </c:pt>
                <c:pt idx="91">
                  <c:v>157.52000000000001</c:v>
                </c:pt>
                <c:pt idx="92">
                  <c:v>158.49</c:v>
                </c:pt>
                <c:pt idx="93">
                  <c:v>157.05000000000001</c:v>
                </c:pt>
                <c:pt idx="94">
                  <c:v>153.76</c:v>
                </c:pt>
                <c:pt idx="95">
                  <c:v>152.68</c:v>
                </c:pt>
                <c:pt idx="96">
                  <c:v>153.72999999999999</c:v>
                </c:pt>
                <c:pt idx="97">
                  <c:v>155.62</c:v>
                </c:pt>
                <c:pt idx="98">
                  <c:v>155.1</c:v>
                </c:pt>
                <c:pt idx="99">
                  <c:v>155.03</c:v>
                </c:pt>
                <c:pt idx="100">
                  <c:v>158.32</c:v>
                </c:pt>
                <c:pt idx="101">
                  <c:v>158.28</c:v>
                </c:pt>
                <c:pt idx="102">
                  <c:v>158.81</c:v>
                </c:pt>
                <c:pt idx="103">
                  <c:v>158.30000000000001</c:v>
                </c:pt>
                <c:pt idx="104">
                  <c:v>157.11000000000001</c:v>
                </c:pt>
                <c:pt idx="105">
                  <c:v>156.61000000000001</c:v>
                </c:pt>
                <c:pt idx="106">
                  <c:v>152.88</c:v>
                </c:pt>
                <c:pt idx="107">
                  <c:v>150.47</c:v>
                </c:pt>
                <c:pt idx="108">
                  <c:v>150.65</c:v>
                </c:pt>
                <c:pt idx="109">
                  <c:v>150.76</c:v>
                </c:pt>
                <c:pt idx="110">
                  <c:v>150.51</c:v>
                </c:pt>
                <c:pt idx="111">
                  <c:v>152.86000000000001</c:v>
                </c:pt>
                <c:pt idx="112">
                  <c:v>153.49</c:v>
                </c:pt>
                <c:pt idx="113">
                  <c:v>153.51</c:v>
                </c:pt>
                <c:pt idx="114">
                  <c:v>154.97999999999999</c:v>
                </c:pt>
                <c:pt idx="115">
                  <c:v>155.09</c:v>
                </c:pt>
                <c:pt idx="116">
                  <c:v>155.41</c:v>
                </c:pt>
                <c:pt idx="117">
                  <c:v>153.74</c:v>
                </c:pt>
                <c:pt idx="118">
                  <c:v>154.36000000000001</c:v>
                </c:pt>
                <c:pt idx="119">
                  <c:v>155.72</c:v>
                </c:pt>
                <c:pt idx="120">
                  <c:v>158.4</c:v>
                </c:pt>
                <c:pt idx="121">
                  <c:v>159.51</c:v>
                </c:pt>
                <c:pt idx="122">
                  <c:v>158.72999999999999</c:v>
                </c:pt>
                <c:pt idx="123">
                  <c:v>158.66999999999999</c:v>
                </c:pt>
                <c:pt idx="124">
                  <c:v>156.15</c:v>
                </c:pt>
                <c:pt idx="125">
                  <c:v>155.97</c:v>
                </c:pt>
                <c:pt idx="126">
                  <c:v>156.96</c:v>
                </c:pt>
                <c:pt idx="127">
                  <c:v>155.65</c:v>
                </c:pt>
                <c:pt idx="128">
                  <c:v>157.04</c:v>
                </c:pt>
                <c:pt idx="129">
                  <c:v>157.99</c:v>
                </c:pt>
                <c:pt idx="130">
                  <c:v>158.16999999999999</c:v>
                </c:pt>
                <c:pt idx="131">
                  <c:v>159.19</c:v>
                </c:pt>
                <c:pt idx="132">
                  <c:v>160.02000000000001</c:v>
                </c:pt>
                <c:pt idx="133">
                  <c:v>159.01</c:v>
                </c:pt>
                <c:pt idx="134">
                  <c:v>159.46</c:v>
                </c:pt>
                <c:pt idx="135">
                  <c:v>157.35</c:v>
                </c:pt>
                <c:pt idx="136">
                  <c:v>158.63</c:v>
                </c:pt>
                <c:pt idx="137">
                  <c:v>157.9</c:v>
                </c:pt>
                <c:pt idx="138">
                  <c:v>156.83000000000001</c:v>
                </c:pt>
                <c:pt idx="139">
                  <c:v>158.05000000000001</c:v>
                </c:pt>
                <c:pt idx="140">
                  <c:v>160.33000000000001</c:v>
                </c:pt>
                <c:pt idx="141">
                  <c:v>157.32</c:v>
                </c:pt>
                <c:pt idx="142">
                  <c:v>156.04</c:v>
                </c:pt>
                <c:pt idx="143">
                  <c:v>153.07</c:v>
                </c:pt>
                <c:pt idx="144">
                  <c:v>152.5</c:v>
                </c:pt>
                <c:pt idx="145">
                  <c:v>152.41999999999999</c:v>
                </c:pt>
                <c:pt idx="146">
                  <c:v>152.15</c:v>
                </c:pt>
                <c:pt idx="147">
                  <c:v>152.5</c:v>
                </c:pt>
                <c:pt idx="148">
                  <c:v>153.53</c:v>
                </c:pt>
                <c:pt idx="149">
                  <c:v>153.65</c:v>
                </c:pt>
                <c:pt idx="150">
                  <c:v>153.18</c:v>
                </c:pt>
                <c:pt idx="151">
                  <c:v>152.05000000000001</c:v>
                </c:pt>
                <c:pt idx="152">
                  <c:v>152.27000000000001</c:v>
                </c:pt>
                <c:pt idx="153">
                  <c:v>150.41</c:v>
                </c:pt>
                <c:pt idx="154">
                  <c:v>152.54</c:v>
                </c:pt>
                <c:pt idx="155">
                  <c:v>150.69</c:v>
                </c:pt>
                <c:pt idx="156">
                  <c:v>150.58000000000001</c:v>
                </c:pt>
                <c:pt idx="157">
                  <c:v>149.69</c:v>
                </c:pt>
                <c:pt idx="158">
                  <c:v>147.49</c:v>
                </c:pt>
                <c:pt idx="159">
                  <c:v>149.16</c:v>
                </c:pt>
                <c:pt idx="160">
                  <c:v>147.41999999999999</c:v>
                </c:pt>
                <c:pt idx="161">
                  <c:v>149.6</c:v>
                </c:pt>
                <c:pt idx="162">
                  <c:v>151.4</c:v>
                </c:pt>
                <c:pt idx="163">
                  <c:v>151.96</c:v>
                </c:pt>
                <c:pt idx="164">
                  <c:v>151.62</c:v>
                </c:pt>
                <c:pt idx="165">
                  <c:v>152.19999999999999</c:v>
                </c:pt>
                <c:pt idx="166">
                  <c:v>152.21</c:v>
                </c:pt>
                <c:pt idx="167">
                  <c:v>152.49</c:v>
                </c:pt>
                <c:pt idx="168">
                  <c:v>151.74</c:v>
                </c:pt>
                <c:pt idx="169">
                  <c:v>151.37</c:v>
                </c:pt>
                <c:pt idx="170">
                  <c:v>148.77000000000001</c:v>
                </c:pt>
                <c:pt idx="171">
                  <c:v>149.58000000000001</c:v>
                </c:pt>
                <c:pt idx="172">
                  <c:v>150.37</c:v>
                </c:pt>
                <c:pt idx="173">
                  <c:v>148.02000000000001</c:v>
                </c:pt>
                <c:pt idx="174">
                  <c:v>147.16999999999999</c:v>
                </c:pt>
                <c:pt idx="175">
                  <c:v>145.79</c:v>
                </c:pt>
                <c:pt idx="176">
                  <c:v>146.13</c:v>
                </c:pt>
                <c:pt idx="177">
                  <c:v>146.97999999999999</c:v>
                </c:pt>
                <c:pt idx="178">
                  <c:v>145.5</c:v>
                </c:pt>
                <c:pt idx="179">
                  <c:v>148.54</c:v>
                </c:pt>
                <c:pt idx="180">
                  <c:v>148.01</c:v>
                </c:pt>
                <c:pt idx="181">
                  <c:v>147.96</c:v>
                </c:pt>
                <c:pt idx="182">
                  <c:v>147.66999999999999</c:v>
                </c:pt>
                <c:pt idx="183">
                  <c:v>145.82</c:v>
                </c:pt>
                <c:pt idx="184">
                  <c:v>146.99</c:v>
                </c:pt>
                <c:pt idx="185">
                  <c:v>146.99</c:v>
                </c:pt>
                <c:pt idx="186">
                  <c:v>148.19</c:v>
                </c:pt>
                <c:pt idx="187">
                  <c:v>150.91999999999999</c:v>
                </c:pt>
                <c:pt idx="188">
                  <c:v>146.97999999999999</c:v>
                </c:pt>
                <c:pt idx="189">
                  <c:v>148.49</c:v>
                </c:pt>
                <c:pt idx="190">
                  <c:v>148.25</c:v>
                </c:pt>
                <c:pt idx="191">
                  <c:v>148.16</c:v>
                </c:pt>
                <c:pt idx="192">
                  <c:v>147.44</c:v>
                </c:pt>
                <c:pt idx="193">
                  <c:v>145.86000000000001</c:v>
                </c:pt>
                <c:pt idx="194">
                  <c:v>146.71</c:v>
                </c:pt>
                <c:pt idx="195">
                  <c:v>145.36000000000001</c:v>
                </c:pt>
                <c:pt idx="196">
                  <c:v>143.44999999999999</c:v>
                </c:pt>
                <c:pt idx="197">
                  <c:v>138.34</c:v>
                </c:pt>
                <c:pt idx="198">
                  <c:v>139.63</c:v>
                </c:pt>
                <c:pt idx="199">
                  <c:v>139.82</c:v>
                </c:pt>
                <c:pt idx="200">
                  <c:v>140.76</c:v>
                </c:pt>
                <c:pt idx="201">
                  <c:v>142.84</c:v>
                </c:pt>
                <c:pt idx="202">
                  <c:v>145.13</c:v>
                </c:pt>
                <c:pt idx="203">
                  <c:v>145.21</c:v>
                </c:pt>
                <c:pt idx="204">
                  <c:v>147.81</c:v>
                </c:pt>
                <c:pt idx="205">
                  <c:v>145.52000000000001</c:v>
                </c:pt>
                <c:pt idx="206">
                  <c:v>144.46</c:v>
                </c:pt>
                <c:pt idx="207">
                  <c:v>142.69</c:v>
                </c:pt>
                <c:pt idx="208">
                  <c:v>143.18</c:v>
                </c:pt>
                <c:pt idx="209">
                  <c:v>144.49</c:v>
                </c:pt>
                <c:pt idx="210">
                  <c:v>144.74</c:v>
                </c:pt>
                <c:pt idx="211">
                  <c:v>144.57</c:v>
                </c:pt>
                <c:pt idx="212">
                  <c:v>144.05000000000001</c:v>
                </c:pt>
                <c:pt idx="213">
                  <c:v>143.31</c:v>
                </c:pt>
                <c:pt idx="214">
                  <c:v>141.79</c:v>
                </c:pt>
                <c:pt idx="215">
                  <c:v>140.37</c:v>
                </c:pt>
                <c:pt idx="216">
                  <c:v>139.91</c:v>
                </c:pt>
                <c:pt idx="217">
                  <c:v>138.04</c:v>
                </c:pt>
                <c:pt idx="218">
                  <c:v>141.53</c:v>
                </c:pt>
                <c:pt idx="219">
                  <c:v>141.87</c:v>
                </c:pt>
                <c:pt idx="220">
                  <c:v>143.46</c:v>
                </c:pt>
                <c:pt idx="221">
                  <c:v>144.24</c:v>
                </c:pt>
                <c:pt idx="222">
                  <c:v>146.35</c:v>
                </c:pt>
                <c:pt idx="223">
                  <c:v>144.63</c:v>
                </c:pt>
                <c:pt idx="224">
                  <c:v>144.53</c:v>
                </c:pt>
                <c:pt idx="225">
                  <c:v>147</c:v>
                </c:pt>
                <c:pt idx="226">
                  <c:v>146.06</c:v>
                </c:pt>
                <c:pt idx="227">
                  <c:v>149.93</c:v>
                </c:pt>
                <c:pt idx="228">
                  <c:v>150.15</c:v>
                </c:pt>
                <c:pt idx="229">
                  <c:v>149.49</c:v>
                </c:pt>
                <c:pt idx="230">
                  <c:v>148.34</c:v>
                </c:pt>
                <c:pt idx="231">
                  <c:v>147.34</c:v>
                </c:pt>
                <c:pt idx="232">
                  <c:v>149.9</c:v>
                </c:pt>
                <c:pt idx="233">
                  <c:v>151.77000000000001</c:v>
                </c:pt>
                <c:pt idx="234">
                  <c:v>153.19</c:v>
                </c:pt>
                <c:pt idx="235">
                  <c:v>155.32</c:v>
                </c:pt>
                <c:pt idx="236">
                  <c:v>156.87</c:v>
                </c:pt>
                <c:pt idx="237">
                  <c:v>158.61000000000001</c:v>
                </c:pt>
                <c:pt idx="238">
                  <c:v>159.16999999999999</c:v>
                </c:pt>
                <c:pt idx="239">
                  <c:v>157.33000000000001</c:v>
                </c:pt>
                <c:pt idx="240">
                  <c:v>159.08000000000001</c:v>
                </c:pt>
                <c:pt idx="241">
                  <c:v>160</c:v>
                </c:pt>
                <c:pt idx="242">
                  <c:v>161.21</c:v>
                </c:pt>
                <c:pt idx="243">
                  <c:v>160.07</c:v>
                </c:pt>
                <c:pt idx="244">
                  <c:v>159.55000000000001</c:v>
                </c:pt>
                <c:pt idx="245">
                  <c:v>156.86000000000001</c:v>
                </c:pt>
                <c:pt idx="246">
                  <c:v>158.56</c:v>
                </c:pt>
                <c:pt idx="247">
                  <c:v>160.78</c:v>
                </c:pt>
                <c:pt idx="248">
                  <c:v>165.17</c:v>
                </c:pt>
                <c:pt idx="249">
                  <c:v>165.28</c:v>
                </c:pt>
                <c:pt idx="250">
                  <c:v>163.38999999999999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5-4FE6-B2E9-42ADF206E129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Data!$J$2:$J$252</c:f>
              <c:numCache>
                <c:formatCode>General</c:formatCode>
                <c:ptCount val="251"/>
                <c:pt idx="19">
                  <c:v>170.70950000000002</c:v>
                </c:pt>
                <c:pt idx="20">
                  <c:v>170.4735</c:v>
                </c:pt>
                <c:pt idx="21">
                  <c:v>170.31049999999999</c:v>
                </c:pt>
                <c:pt idx="22">
                  <c:v>170.02</c:v>
                </c:pt>
                <c:pt idx="23">
                  <c:v>169.76150000000001</c:v>
                </c:pt>
                <c:pt idx="24">
                  <c:v>169.63050000000001</c:v>
                </c:pt>
                <c:pt idx="25">
                  <c:v>169.375</c:v>
                </c:pt>
                <c:pt idx="26">
                  <c:v>169.26150000000001</c:v>
                </c:pt>
                <c:pt idx="27">
                  <c:v>168.6515</c:v>
                </c:pt>
                <c:pt idx="28">
                  <c:v>167.85</c:v>
                </c:pt>
                <c:pt idx="29">
                  <c:v>167.11349999999999</c:v>
                </c:pt>
                <c:pt idx="30">
                  <c:v>166.81099999999998</c:v>
                </c:pt>
                <c:pt idx="31">
                  <c:v>166.55950000000001</c:v>
                </c:pt>
                <c:pt idx="32">
                  <c:v>166.50649999999999</c:v>
                </c:pt>
                <c:pt idx="33">
                  <c:v>166.47499999999999</c:v>
                </c:pt>
                <c:pt idx="34">
                  <c:v>166.51299999999998</c:v>
                </c:pt>
                <c:pt idx="35">
                  <c:v>166.404</c:v>
                </c:pt>
                <c:pt idx="36">
                  <c:v>166.55799999999999</c:v>
                </c:pt>
                <c:pt idx="37">
                  <c:v>166.511</c:v>
                </c:pt>
                <c:pt idx="38">
                  <c:v>166.6225</c:v>
                </c:pt>
                <c:pt idx="39">
                  <c:v>166.76650000000001</c:v>
                </c:pt>
                <c:pt idx="40">
                  <c:v>166.41400000000002</c:v>
                </c:pt>
                <c:pt idx="41">
                  <c:v>166.02950000000001</c:v>
                </c:pt>
                <c:pt idx="42">
                  <c:v>165.72050000000002</c:v>
                </c:pt>
                <c:pt idx="43">
                  <c:v>165.31250000000006</c:v>
                </c:pt>
                <c:pt idx="44">
                  <c:v>164.91300000000004</c:v>
                </c:pt>
                <c:pt idx="45">
                  <c:v>164.43700000000004</c:v>
                </c:pt>
                <c:pt idx="46">
                  <c:v>163.84350000000001</c:v>
                </c:pt>
                <c:pt idx="47">
                  <c:v>163.59750000000003</c:v>
                </c:pt>
                <c:pt idx="48">
                  <c:v>163.54850000000005</c:v>
                </c:pt>
                <c:pt idx="49">
                  <c:v>163.59350000000001</c:v>
                </c:pt>
                <c:pt idx="50">
                  <c:v>163.41000000000003</c:v>
                </c:pt>
                <c:pt idx="51">
                  <c:v>163.11499999999998</c:v>
                </c:pt>
                <c:pt idx="52">
                  <c:v>162.81449999999998</c:v>
                </c:pt>
                <c:pt idx="53">
                  <c:v>162.2945</c:v>
                </c:pt>
                <c:pt idx="54">
                  <c:v>161.77199999999999</c:v>
                </c:pt>
                <c:pt idx="55">
                  <c:v>161.57299999999998</c:v>
                </c:pt>
                <c:pt idx="56">
                  <c:v>161.2055</c:v>
                </c:pt>
                <c:pt idx="57">
                  <c:v>161.15649999999999</c:v>
                </c:pt>
                <c:pt idx="58">
                  <c:v>161.0445</c:v>
                </c:pt>
                <c:pt idx="59">
                  <c:v>161.02949999999998</c:v>
                </c:pt>
                <c:pt idx="60">
                  <c:v>161.30450000000002</c:v>
                </c:pt>
                <c:pt idx="61">
                  <c:v>161.54650000000001</c:v>
                </c:pt>
                <c:pt idx="62">
                  <c:v>161.84200000000001</c:v>
                </c:pt>
                <c:pt idx="63">
                  <c:v>162.09700000000001</c:v>
                </c:pt>
                <c:pt idx="64">
                  <c:v>162.3965</c:v>
                </c:pt>
                <c:pt idx="65">
                  <c:v>162.892</c:v>
                </c:pt>
                <c:pt idx="66">
                  <c:v>163.25500000000002</c:v>
                </c:pt>
                <c:pt idx="67">
                  <c:v>163.65600000000001</c:v>
                </c:pt>
                <c:pt idx="68">
                  <c:v>163.99100000000001</c:v>
                </c:pt>
                <c:pt idx="69">
                  <c:v>164.16650000000001</c:v>
                </c:pt>
                <c:pt idx="70">
                  <c:v>164.435</c:v>
                </c:pt>
                <c:pt idx="71">
                  <c:v>164.68</c:v>
                </c:pt>
                <c:pt idx="72">
                  <c:v>164.77699999999999</c:v>
                </c:pt>
                <c:pt idx="73">
                  <c:v>164.946</c:v>
                </c:pt>
                <c:pt idx="74">
                  <c:v>165.20400000000001</c:v>
                </c:pt>
                <c:pt idx="75">
                  <c:v>165.09750000000003</c:v>
                </c:pt>
                <c:pt idx="76">
                  <c:v>164.97750000000002</c:v>
                </c:pt>
                <c:pt idx="77">
                  <c:v>164.66500000000002</c:v>
                </c:pt>
                <c:pt idx="78">
                  <c:v>164.28400000000002</c:v>
                </c:pt>
                <c:pt idx="79">
                  <c:v>163.9665</c:v>
                </c:pt>
                <c:pt idx="80">
                  <c:v>163.76650000000001</c:v>
                </c:pt>
                <c:pt idx="81">
                  <c:v>163.4915</c:v>
                </c:pt>
                <c:pt idx="82">
                  <c:v>163.05199999999999</c:v>
                </c:pt>
                <c:pt idx="83">
                  <c:v>162.6155</c:v>
                </c:pt>
                <c:pt idx="84">
                  <c:v>162.18049999999999</c:v>
                </c:pt>
                <c:pt idx="85">
                  <c:v>161.65200000000002</c:v>
                </c:pt>
                <c:pt idx="86">
                  <c:v>161.32400000000001</c:v>
                </c:pt>
                <c:pt idx="87">
                  <c:v>161.04149999999998</c:v>
                </c:pt>
                <c:pt idx="88">
                  <c:v>160.78549999999998</c:v>
                </c:pt>
                <c:pt idx="89">
                  <c:v>160.67049999999998</c:v>
                </c:pt>
                <c:pt idx="90">
                  <c:v>160.36399999999998</c:v>
                </c:pt>
                <c:pt idx="91">
                  <c:v>160.11199999999999</c:v>
                </c:pt>
                <c:pt idx="92">
                  <c:v>159.89449999999997</c:v>
                </c:pt>
                <c:pt idx="93">
                  <c:v>159.64150000000001</c:v>
                </c:pt>
                <c:pt idx="94">
                  <c:v>159.1705</c:v>
                </c:pt>
                <c:pt idx="95">
                  <c:v>158.79050000000001</c:v>
                </c:pt>
                <c:pt idx="96">
                  <c:v>158.43299999999999</c:v>
                </c:pt>
                <c:pt idx="97">
                  <c:v>158.28800000000001</c:v>
                </c:pt>
                <c:pt idx="98">
                  <c:v>158.142</c:v>
                </c:pt>
                <c:pt idx="99">
                  <c:v>157.93950000000001</c:v>
                </c:pt>
                <c:pt idx="100">
                  <c:v>157.80400000000003</c:v>
                </c:pt>
                <c:pt idx="101">
                  <c:v>157.69999999999999</c:v>
                </c:pt>
                <c:pt idx="102">
                  <c:v>157.69200000000001</c:v>
                </c:pt>
                <c:pt idx="103">
                  <c:v>157.6755</c:v>
                </c:pt>
                <c:pt idx="104">
                  <c:v>157.53800000000004</c:v>
                </c:pt>
                <c:pt idx="105">
                  <c:v>157.40250000000006</c:v>
                </c:pt>
                <c:pt idx="106">
                  <c:v>156.98550000000003</c:v>
                </c:pt>
                <c:pt idx="107">
                  <c:v>156.44900000000001</c:v>
                </c:pt>
                <c:pt idx="108">
                  <c:v>155.94000000000003</c:v>
                </c:pt>
                <c:pt idx="109">
                  <c:v>155.45300000000003</c:v>
                </c:pt>
                <c:pt idx="110">
                  <c:v>155.084</c:v>
                </c:pt>
                <c:pt idx="111">
                  <c:v>154.851</c:v>
                </c:pt>
                <c:pt idx="112">
                  <c:v>154.60100000000003</c:v>
                </c:pt>
                <c:pt idx="113">
                  <c:v>154.42400000000004</c:v>
                </c:pt>
                <c:pt idx="114">
                  <c:v>154.48500000000007</c:v>
                </c:pt>
                <c:pt idx="115">
                  <c:v>154.60550000000006</c:v>
                </c:pt>
                <c:pt idx="116">
                  <c:v>154.68950000000001</c:v>
                </c:pt>
                <c:pt idx="117">
                  <c:v>154.59550000000004</c:v>
                </c:pt>
                <c:pt idx="118">
                  <c:v>154.55850000000004</c:v>
                </c:pt>
                <c:pt idx="119">
                  <c:v>154.59299999999999</c:v>
                </c:pt>
                <c:pt idx="120">
                  <c:v>154.59700000000001</c:v>
                </c:pt>
                <c:pt idx="121">
                  <c:v>154.6585</c:v>
                </c:pt>
                <c:pt idx="122">
                  <c:v>154.65449999999998</c:v>
                </c:pt>
                <c:pt idx="123">
                  <c:v>154.67299999999997</c:v>
                </c:pt>
                <c:pt idx="124">
                  <c:v>154.625</c:v>
                </c:pt>
                <c:pt idx="125">
                  <c:v>154.59300000000002</c:v>
                </c:pt>
                <c:pt idx="126">
                  <c:v>154.797</c:v>
                </c:pt>
                <c:pt idx="127">
                  <c:v>155.05600000000001</c:v>
                </c:pt>
                <c:pt idx="128">
                  <c:v>155.37550000000002</c:v>
                </c:pt>
                <c:pt idx="129">
                  <c:v>155.73700000000002</c:v>
                </c:pt>
                <c:pt idx="130">
                  <c:v>156.12000000000003</c:v>
                </c:pt>
                <c:pt idx="131">
                  <c:v>156.4365</c:v>
                </c:pt>
                <c:pt idx="132">
                  <c:v>156.76300000000001</c:v>
                </c:pt>
                <c:pt idx="133">
                  <c:v>157.03800000000001</c:v>
                </c:pt>
                <c:pt idx="134">
                  <c:v>157.26200000000003</c:v>
                </c:pt>
                <c:pt idx="135">
                  <c:v>157.37500000000003</c:v>
                </c:pt>
                <c:pt idx="136">
                  <c:v>157.53600000000003</c:v>
                </c:pt>
                <c:pt idx="137">
                  <c:v>157.744</c:v>
                </c:pt>
                <c:pt idx="138">
                  <c:v>157.86750000000001</c:v>
                </c:pt>
                <c:pt idx="139">
                  <c:v>157.98400000000001</c:v>
                </c:pt>
                <c:pt idx="140">
                  <c:v>158.08050000000003</c:v>
                </c:pt>
                <c:pt idx="141">
                  <c:v>157.97100000000003</c:v>
                </c:pt>
                <c:pt idx="142">
                  <c:v>157.83650000000003</c:v>
                </c:pt>
                <c:pt idx="143">
                  <c:v>157.55650000000003</c:v>
                </c:pt>
                <c:pt idx="144">
                  <c:v>157.37400000000002</c:v>
                </c:pt>
                <c:pt idx="145">
                  <c:v>157.19650000000001</c:v>
                </c:pt>
                <c:pt idx="146">
                  <c:v>156.95600000000002</c:v>
                </c:pt>
                <c:pt idx="147">
                  <c:v>156.79850000000002</c:v>
                </c:pt>
                <c:pt idx="148">
                  <c:v>156.62300000000002</c:v>
                </c:pt>
                <c:pt idx="149">
                  <c:v>156.40600000000001</c:v>
                </c:pt>
                <c:pt idx="150">
                  <c:v>156.15649999999999</c:v>
                </c:pt>
                <c:pt idx="151">
                  <c:v>155.79950000000002</c:v>
                </c:pt>
                <c:pt idx="152">
                  <c:v>155.41200000000001</c:v>
                </c:pt>
                <c:pt idx="153">
                  <c:v>154.98200000000003</c:v>
                </c:pt>
                <c:pt idx="154">
                  <c:v>154.63600000000002</c:v>
                </c:pt>
                <c:pt idx="155">
                  <c:v>154.303</c:v>
                </c:pt>
                <c:pt idx="156">
                  <c:v>153.90050000000002</c:v>
                </c:pt>
                <c:pt idx="157">
                  <c:v>153.49</c:v>
                </c:pt>
                <c:pt idx="158">
                  <c:v>153.023</c:v>
                </c:pt>
                <c:pt idx="159">
                  <c:v>152.57849999999999</c:v>
                </c:pt>
                <c:pt idx="160">
                  <c:v>151.93299999999999</c:v>
                </c:pt>
                <c:pt idx="161">
                  <c:v>151.547</c:v>
                </c:pt>
                <c:pt idx="162">
                  <c:v>151.315</c:v>
                </c:pt>
                <c:pt idx="163">
                  <c:v>151.25949999999997</c:v>
                </c:pt>
                <c:pt idx="164">
                  <c:v>151.21549999999999</c:v>
                </c:pt>
                <c:pt idx="165">
                  <c:v>151.2045</c:v>
                </c:pt>
                <c:pt idx="166">
                  <c:v>151.20749999999998</c:v>
                </c:pt>
                <c:pt idx="167">
                  <c:v>151.20700000000002</c:v>
                </c:pt>
                <c:pt idx="168">
                  <c:v>151.11749999999998</c:v>
                </c:pt>
                <c:pt idx="169">
                  <c:v>151.00349999999997</c:v>
                </c:pt>
                <c:pt idx="170">
                  <c:v>150.78299999999996</c:v>
                </c:pt>
                <c:pt idx="171">
                  <c:v>150.65950000000001</c:v>
                </c:pt>
                <c:pt idx="172">
                  <c:v>150.56449999999998</c:v>
                </c:pt>
                <c:pt idx="173">
                  <c:v>150.44499999999999</c:v>
                </c:pt>
                <c:pt idx="174">
                  <c:v>150.17649999999998</c:v>
                </c:pt>
                <c:pt idx="175">
                  <c:v>149.9315</c:v>
                </c:pt>
                <c:pt idx="176">
                  <c:v>149.709</c:v>
                </c:pt>
                <c:pt idx="177">
                  <c:v>149.57350000000002</c:v>
                </c:pt>
                <c:pt idx="178">
                  <c:v>149.47399999999999</c:v>
                </c:pt>
                <c:pt idx="179">
                  <c:v>149.44300000000001</c:v>
                </c:pt>
                <c:pt idx="180">
                  <c:v>149.4725</c:v>
                </c:pt>
                <c:pt idx="181">
                  <c:v>149.39050000000003</c:v>
                </c:pt>
                <c:pt idx="182">
                  <c:v>149.20400000000001</c:v>
                </c:pt>
                <c:pt idx="183">
                  <c:v>148.89699999999999</c:v>
                </c:pt>
                <c:pt idx="184">
                  <c:v>148.66550000000001</c:v>
                </c:pt>
                <c:pt idx="185">
                  <c:v>148.40500000000003</c:v>
                </c:pt>
                <c:pt idx="186">
                  <c:v>148.20400000000001</c:v>
                </c:pt>
                <c:pt idx="187">
                  <c:v>148.12549999999999</c:v>
                </c:pt>
                <c:pt idx="188">
                  <c:v>147.88749999999999</c:v>
                </c:pt>
                <c:pt idx="189">
                  <c:v>147.74349999999998</c:v>
                </c:pt>
                <c:pt idx="190">
                  <c:v>147.71749999999997</c:v>
                </c:pt>
                <c:pt idx="191">
                  <c:v>147.6465</c:v>
                </c:pt>
                <c:pt idx="192">
                  <c:v>147.50000000000003</c:v>
                </c:pt>
                <c:pt idx="193">
                  <c:v>147.392</c:v>
                </c:pt>
                <c:pt idx="194">
                  <c:v>147.369</c:v>
                </c:pt>
                <c:pt idx="195">
                  <c:v>147.34750000000003</c:v>
                </c:pt>
                <c:pt idx="196">
                  <c:v>147.21350000000001</c:v>
                </c:pt>
                <c:pt idx="197">
                  <c:v>146.78150000000002</c:v>
                </c:pt>
                <c:pt idx="198">
                  <c:v>146.48800000000003</c:v>
                </c:pt>
                <c:pt idx="199">
                  <c:v>146.05200000000005</c:v>
                </c:pt>
                <c:pt idx="200">
                  <c:v>145.68950000000004</c:v>
                </c:pt>
                <c:pt idx="201">
                  <c:v>145.43350000000004</c:v>
                </c:pt>
                <c:pt idx="202">
                  <c:v>145.30650000000006</c:v>
                </c:pt>
                <c:pt idx="203">
                  <c:v>145.27600000000001</c:v>
                </c:pt>
                <c:pt idx="204">
                  <c:v>145.31700000000004</c:v>
                </c:pt>
                <c:pt idx="205">
                  <c:v>145.24350000000001</c:v>
                </c:pt>
                <c:pt idx="206">
                  <c:v>145.05700000000002</c:v>
                </c:pt>
                <c:pt idx="207">
                  <c:v>144.6455</c:v>
                </c:pt>
                <c:pt idx="208">
                  <c:v>144.45549999999997</c:v>
                </c:pt>
                <c:pt idx="209">
                  <c:v>144.25549999999998</c:v>
                </c:pt>
                <c:pt idx="210">
                  <c:v>144.07999999999998</c:v>
                </c:pt>
                <c:pt idx="211">
                  <c:v>143.90049999999999</c:v>
                </c:pt>
                <c:pt idx="212">
                  <c:v>143.73100000000002</c:v>
                </c:pt>
                <c:pt idx="213">
                  <c:v>143.6035</c:v>
                </c:pt>
                <c:pt idx="214">
                  <c:v>143.35750000000002</c:v>
                </c:pt>
                <c:pt idx="215">
                  <c:v>143.108</c:v>
                </c:pt>
                <c:pt idx="216">
                  <c:v>142.93099999999998</c:v>
                </c:pt>
                <c:pt idx="217">
                  <c:v>142.916</c:v>
                </c:pt>
                <c:pt idx="218">
                  <c:v>143.011</c:v>
                </c:pt>
                <c:pt idx="219">
                  <c:v>143.11349999999999</c:v>
                </c:pt>
                <c:pt idx="220">
                  <c:v>143.24849999999998</c:v>
                </c:pt>
                <c:pt idx="221">
                  <c:v>143.3185</c:v>
                </c:pt>
                <c:pt idx="222">
                  <c:v>143.37950000000004</c:v>
                </c:pt>
                <c:pt idx="223">
                  <c:v>143.35049999999998</c:v>
                </c:pt>
                <c:pt idx="224">
                  <c:v>143.18650000000002</c:v>
                </c:pt>
                <c:pt idx="225">
                  <c:v>143.26050000000001</c:v>
                </c:pt>
                <c:pt idx="226">
                  <c:v>143.34049999999999</c:v>
                </c:pt>
                <c:pt idx="227">
                  <c:v>143.70250000000001</c:v>
                </c:pt>
                <c:pt idx="228">
                  <c:v>144.05099999999999</c:v>
                </c:pt>
                <c:pt idx="229">
                  <c:v>144.30099999999999</c:v>
                </c:pt>
                <c:pt idx="230">
                  <c:v>144.48099999999999</c:v>
                </c:pt>
                <c:pt idx="231">
                  <c:v>144.61950000000002</c:v>
                </c:pt>
                <c:pt idx="232">
                  <c:v>144.91200000000001</c:v>
                </c:pt>
                <c:pt idx="233">
                  <c:v>145.33500000000004</c:v>
                </c:pt>
                <c:pt idx="234">
                  <c:v>145.90500000000003</c:v>
                </c:pt>
                <c:pt idx="235">
                  <c:v>146.65250000000003</c:v>
                </c:pt>
                <c:pt idx="236">
                  <c:v>147.50050000000002</c:v>
                </c:pt>
                <c:pt idx="237">
                  <c:v>148.52900000000002</c:v>
                </c:pt>
                <c:pt idx="238">
                  <c:v>149.411</c:v>
                </c:pt>
                <c:pt idx="239">
                  <c:v>150.18400000000003</c:v>
                </c:pt>
                <c:pt idx="240">
                  <c:v>150.965</c:v>
                </c:pt>
                <c:pt idx="241">
                  <c:v>151.75299999999999</c:v>
                </c:pt>
                <c:pt idx="242">
                  <c:v>152.49600000000001</c:v>
                </c:pt>
                <c:pt idx="243">
                  <c:v>153.268</c:v>
                </c:pt>
                <c:pt idx="244">
                  <c:v>154.01900000000003</c:v>
                </c:pt>
                <c:pt idx="245">
                  <c:v>154.51200000000003</c:v>
                </c:pt>
                <c:pt idx="246">
                  <c:v>155.13700000000003</c:v>
                </c:pt>
                <c:pt idx="247">
                  <c:v>155.67950000000002</c:v>
                </c:pt>
                <c:pt idx="248">
                  <c:v>156.43050000000002</c:v>
                </c:pt>
                <c:pt idx="249">
                  <c:v>157.22000000000006</c:v>
                </c:pt>
                <c:pt idx="250">
                  <c:v>157.97250000000003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5-4FE6-B2E9-42ADF206E129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Data!$L$2:$L$252</c:f>
              <c:numCache>
                <c:formatCode>General</c:formatCode>
                <c:ptCount val="251"/>
                <c:pt idx="19">
                  <c:v>178.41482959778662</c:v>
                </c:pt>
                <c:pt idx="20">
                  <c:v>178.38894333299751</c:v>
                </c:pt>
                <c:pt idx="21">
                  <c:v>178.23045075742266</c:v>
                </c:pt>
                <c:pt idx="22">
                  <c:v>177.82016464063759</c:v>
                </c:pt>
                <c:pt idx="23">
                  <c:v>177.1142775632571</c:v>
                </c:pt>
                <c:pt idx="24">
                  <c:v>176.81834200101665</c:v>
                </c:pt>
                <c:pt idx="25">
                  <c:v>176.17012363854829</c:v>
                </c:pt>
                <c:pt idx="26">
                  <c:v>175.75402939113386</c:v>
                </c:pt>
                <c:pt idx="27">
                  <c:v>174.78037995262463</c:v>
                </c:pt>
                <c:pt idx="28">
                  <c:v>173.9820452499446</c:v>
                </c:pt>
                <c:pt idx="29">
                  <c:v>174.06414487731362</c:v>
                </c:pt>
                <c:pt idx="30">
                  <c:v>174.05193887486101</c:v>
                </c:pt>
                <c:pt idx="31">
                  <c:v>173.88914126357025</c:v>
                </c:pt>
                <c:pt idx="32">
                  <c:v>173.8084745707294</c:v>
                </c:pt>
                <c:pt idx="33">
                  <c:v>173.72311554456525</c:v>
                </c:pt>
                <c:pt idx="34">
                  <c:v>173.79626155972502</c:v>
                </c:pt>
                <c:pt idx="35">
                  <c:v>173.6226057846155</c:v>
                </c:pt>
                <c:pt idx="36">
                  <c:v>174.00727718146638</c:v>
                </c:pt>
                <c:pt idx="37">
                  <c:v>173.96862739185792</c:v>
                </c:pt>
                <c:pt idx="38">
                  <c:v>174.09259723039659</c:v>
                </c:pt>
                <c:pt idx="39">
                  <c:v>174.03881599973491</c:v>
                </c:pt>
                <c:pt idx="40">
                  <c:v>174.37519906335194</c:v>
                </c:pt>
                <c:pt idx="41">
                  <c:v>174.26197861889275</c:v>
                </c:pt>
                <c:pt idx="42">
                  <c:v>174.0994422143597</c:v>
                </c:pt>
                <c:pt idx="43">
                  <c:v>173.52086768182329</c:v>
                </c:pt>
                <c:pt idx="44">
                  <c:v>172.81816446781207</c:v>
                </c:pt>
                <c:pt idx="45">
                  <c:v>172.32566768819282</c:v>
                </c:pt>
                <c:pt idx="46">
                  <c:v>170.96123847880293</c:v>
                </c:pt>
                <c:pt idx="47">
                  <c:v>171.06055391138312</c:v>
                </c:pt>
                <c:pt idx="48">
                  <c:v>171.11677526760994</c:v>
                </c:pt>
                <c:pt idx="49">
                  <c:v>171.04239189922339</c:v>
                </c:pt>
                <c:pt idx="50">
                  <c:v>171.16549245102431</c:v>
                </c:pt>
                <c:pt idx="51">
                  <c:v>171.28427362615227</c:v>
                </c:pt>
                <c:pt idx="52">
                  <c:v>170.83682536179666</c:v>
                </c:pt>
                <c:pt idx="53">
                  <c:v>169.93220005337099</c:v>
                </c:pt>
                <c:pt idx="54">
                  <c:v>169.05229958897729</c:v>
                </c:pt>
                <c:pt idx="55">
                  <c:v>168.53231363826845</c:v>
                </c:pt>
                <c:pt idx="56">
                  <c:v>166.79186865386112</c:v>
                </c:pt>
                <c:pt idx="57">
                  <c:v>166.59013511162792</c:v>
                </c:pt>
                <c:pt idx="58">
                  <c:v>165.96248621602913</c:v>
                </c:pt>
                <c:pt idx="59">
                  <c:v>165.88879375418625</c:v>
                </c:pt>
                <c:pt idx="60">
                  <c:v>166.42213709867008</c:v>
                </c:pt>
                <c:pt idx="61">
                  <c:v>167.05063920800089</c:v>
                </c:pt>
                <c:pt idx="62">
                  <c:v>168.00936606749806</c:v>
                </c:pt>
                <c:pt idx="63">
                  <c:v>168.74049337401087</c:v>
                </c:pt>
                <c:pt idx="64">
                  <c:v>169.64253201759419</c:v>
                </c:pt>
                <c:pt idx="65">
                  <c:v>170.77003502083315</c:v>
                </c:pt>
                <c:pt idx="66">
                  <c:v>171.33918989854826</c:v>
                </c:pt>
                <c:pt idx="67">
                  <c:v>171.61060118422037</c:v>
                </c:pt>
                <c:pt idx="68">
                  <c:v>171.72560549124927</c:v>
                </c:pt>
                <c:pt idx="69">
                  <c:v>171.60562353354672</c:v>
                </c:pt>
                <c:pt idx="70">
                  <c:v>171.40886851792197</c:v>
                </c:pt>
                <c:pt idx="71">
                  <c:v>170.9616357239513</c:v>
                </c:pt>
                <c:pt idx="72">
                  <c:v>170.86994708745499</c:v>
                </c:pt>
                <c:pt idx="73">
                  <c:v>170.49604940708213</c:v>
                </c:pt>
                <c:pt idx="74">
                  <c:v>169.79535297110374</c:v>
                </c:pt>
                <c:pt idx="75">
                  <c:v>170.04660890437546</c:v>
                </c:pt>
                <c:pt idx="76">
                  <c:v>170.21985734439346</c:v>
                </c:pt>
                <c:pt idx="77">
                  <c:v>170.65172390860769</c:v>
                </c:pt>
                <c:pt idx="78">
                  <c:v>170.94174230738761</c:v>
                </c:pt>
                <c:pt idx="79">
                  <c:v>170.98974643781744</c:v>
                </c:pt>
                <c:pt idx="80">
                  <c:v>170.88933880426751</c:v>
                </c:pt>
                <c:pt idx="81">
                  <c:v>170.69821404791537</c:v>
                </c:pt>
                <c:pt idx="82">
                  <c:v>170.23472957938179</c:v>
                </c:pt>
                <c:pt idx="83">
                  <c:v>169.7568502335269</c:v>
                </c:pt>
                <c:pt idx="84">
                  <c:v>168.84092348898562</c:v>
                </c:pt>
                <c:pt idx="85">
                  <c:v>167.34365076415031</c:v>
                </c:pt>
                <c:pt idx="86">
                  <c:v>166.23067172005844</c:v>
                </c:pt>
                <c:pt idx="87">
                  <c:v>165.20249317597688</c:v>
                </c:pt>
                <c:pt idx="88">
                  <c:v>164.24599874713851</c:v>
                </c:pt>
                <c:pt idx="89">
                  <c:v>163.99948894086791</c:v>
                </c:pt>
                <c:pt idx="90">
                  <c:v>163.51872844773482</c:v>
                </c:pt>
                <c:pt idx="91">
                  <c:v>163.33263478541926</c:v>
                </c:pt>
                <c:pt idx="92">
                  <c:v>162.92112205315289</c:v>
                </c:pt>
                <c:pt idx="93">
                  <c:v>162.73358344001258</c:v>
                </c:pt>
                <c:pt idx="94">
                  <c:v>162.81377484263092</c:v>
                </c:pt>
                <c:pt idx="95">
                  <c:v>163.40298865353049</c:v>
                </c:pt>
                <c:pt idx="96">
                  <c:v>163.45386216123339</c:v>
                </c:pt>
                <c:pt idx="97">
                  <c:v>163.46340580661632</c:v>
                </c:pt>
                <c:pt idx="98">
                  <c:v>163.51038934975159</c:v>
                </c:pt>
                <c:pt idx="99">
                  <c:v>163.46223187547804</c:v>
                </c:pt>
                <c:pt idx="100">
                  <c:v>163.1371945595981</c:v>
                </c:pt>
                <c:pt idx="101">
                  <c:v>162.90285751446157</c:v>
                </c:pt>
                <c:pt idx="102">
                  <c:v>162.88712159829322</c:v>
                </c:pt>
                <c:pt idx="103">
                  <c:v>162.86016351747861</c:v>
                </c:pt>
                <c:pt idx="104">
                  <c:v>162.62364791711366</c:v>
                </c:pt>
                <c:pt idx="105">
                  <c:v>162.43233885898636</c:v>
                </c:pt>
                <c:pt idx="106">
                  <c:v>162.06535691883047</c:v>
                </c:pt>
                <c:pt idx="107">
                  <c:v>161.9071003057262</c:v>
                </c:pt>
                <c:pt idx="108">
                  <c:v>161.57373672385253</c:v>
                </c:pt>
                <c:pt idx="109">
                  <c:v>161.11088913586019</c:v>
                </c:pt>
                <c:pt idx="110">
                  <c:v>161.02806701102696</c:v>
                </c:pt>
                <c:pt idx="111">
                  <c:v>160.75822982543647</c:v>
                </c:pt>
                <c:pt idx="112">
                  <c:v>160.27852688931966</c:v>
                </c:pt>
                <c:pt idx="113">
                  <c:v>159.99987057163088</c:v>
                </c:pt>
                <c:pt idx="114">
                  <c:v>160.05697687681763</c:v>
                </c:pt>
                <c:pt idx="115">
                  <c:v>160.11702849178795</c:v>
                </c:pt>
                <c:pt idx="116">
                  <c:v>160.19605293837787</c:v>
                </c:pt>
                <c:pt idx="117">
                  <c:v>160.09935692516004</c:v>
                </c:pt>
                <c:pt idx="118">
                  <c:v>160.05802447705113</c:v>
                </c:pt>
                <c:pt idx="119">
                  <c:v>160.11359531496186</c:v>
                </c:pt>
                <c:pt idx="120">
                  <c:v>160.12906956610368</c:v>
                </c:pt>
                <c:pt idx="121">
                  <c:v>160.38683134516501</c:v>
                </c:pt>
                <c:pt idx="122">
                  <c:v>160.37072427831518</c:v>
                </c:pt>
                <c:pt idx="123">
                  <c:v>160.44106124502119</c:v>
                </c:pt>
                <c:pt idx="124">
                  <c:v>160.32322687102612</c:v>
                </c:pt>
                <c:pt idx="125">
                  <c:v>160.25133935095153</c:v>
                </c:pt>
                <c:pt idx="126">
                  <c:v>160.48939233770088</c:v>
                </c:pt>
                <c:pt idx="127">
                  <c:v>160.3788184065844</c:v>
                </c:pt>
                <c:pt idx="128">
                  <c:v>160.33980829442586</c:v>
                </c:pt>
                <c:pt idx="129">
                  <c:v>160.32485169310158</c:v>
                </c:pt>
                <c:pt idx="130">
                  <c:v>160.11062058226275</c:v>
                </c:pt>
                <c:pt idx="131">
                  <c:v>160.34163440701366</c:v>
                </c:pt>
                <c:pt idx="132">
                  <c:v>160.72241037609336</c:v>
                </c:pt>
                <c:pt idx="133">
                  <c:v>160.80544838961612</c:v>
                </c:pt>
                <c:pt idx="134">
                  <c:v>161.04693189815674</c:v>
                </c:pt>
                <c:pt idx="135">
                  <c:v>161.01922831337447</c:v>
                </c:pt>
                <c:pt idx="136">
                  <c:v>161.09829612528361</c:v>
                </c:pt>
                <c:pt idx="137">
                  <c:v>160.82654440357311</c:v>
                </c:pt>
                <c:pt idx="138">
                  <c:v>160.55132190169169</c:v>
                </c:pt>
                <c:pt idx="139">
                  <c:v>160.47033655680085</c:v>
                </c:pt>
                <c:pt idx="140">
                  <c:v>160.77584862504398</c:v>
                </c:pt>
                <c:pt idx="141">
                  <c:v>160.59892213294881</c:v>
                </c:pt>
                <c:pt idx="142">
                  <c:v>160.57393079701043</c:v>
                </c:pt>
                <c:pt idx="143">
                  <c:v>160.99164513598237</c:v>
                </c:pt>
                <c:pt idx="144">
                  <c:v>161.45153485899459</c:v>
                </c:pt>
                <c:pt idx="145">
                  <c:v>161.80577337577537</c:v>
                </c:pt>
                <c:pt idx="146">
                  <c:v>162.08938054204771</c:v>
                </c:pt>
                <c:pt idx="147">
                  <c:v>162.28195367542452</c:v>
                </c:pt>
                <c:pt idx="148">
                  <c:v>162.29533396685872</c:v>
                </c:pt>
                <c:pt idx="149">
                  <c:v>162.18912026504725</c:v>
                </c:pt>
                <c:pt idx="150">
                  <c:v>162.04871886541011</c:v>
                </c:pt>
                <c:pt idx="151">
                  <c:v>161.78235084307863</c:v>
                </c:pt>
                <c:pt idx="152">
                  <c:v>161.24593917655898</c:v>
                </c:pt>
                <c:pt idx="153">
                  <c:v>160.96516796917558</c:v>
                </c:pt>
                <c:pt idx="154">
                  <c:v>160.32178060187269</c:v>
                </c:pt>
                <c:pt idx="155">
                  <c:v>160.09856672674991</c:v>
                </c:pt>
                <c:pt idx="156">
                  <c:v>159.54698926791082</c:v>
                </c:pt>
                <c:pt idx="157">
                  <c:v>159.10587224326122</c:v>
                </c:pt>
                <c:pt idx="158">
                  <c:v>159.01049960993296</c:v>
                </c:pt>
                <c:pt idx="159">
                  <c:v>158.30909480700782</c:v>
                </c:pt>
                <c:pt idx="160">
                  <c:v>156.83583741692931</c:v>
                </c:pt>
                <c:pt idx="161">
                  <c:v>155.84198655104811</c:v>
                </c:pt>
                <c:pt idx="162">
                  <c:v>155.05330527322067</c:v>
                </c:pt>
                <c:pt idx="163">
                  <c:v>154.92025330182764</c:v>
                </c:pt>
                <c:pt idx="164">
                  <c:v>154.83438889607089</c:v>
                </c:pt>
                <c:pt idx="165">
                  <c:v>154.80928322583526</c:v>
                </c:pt>
                <c:pt idx="166">
                  <c:v>154.81569462072829</c:v>
                </c:pt>
                <c:pt idx="167">
                  <c:v>154.81444318261421</c:v>
                </c:pt>
                <c:pt idx="168">
                  <c:v>154.56766780675039</c:v>
                </c:pt>
                <c:pt idx="169">
                  <c:v>154.24574272606736</c:v>
                </c:pt>
                <c:pt idx="170">
                  <c:v>154.00174836739862</c:v>
                </c:pt>
                <c:pt idx="171">
                  <c:v>153.86306692651044</c:v>
                </c:pt>
                <c:pt idx="172">
                  <c:v>153.67841089349574</c:v>
                </c:pt>
                <c:pt idx="173">
                  <c:v>153.76077092726641</c:v>
                </c:pt>
                <c:pt idx="174">
                  <c:v>153.64418100882236</c:v>
                </c:pt>
                <c:pt idx="175">
                  <c:v>153.90231603703825</c:v>
                </c:pt>
                <c:pt idx="176">
                  <c:v>154.01164985671315</c:v>
                </c:pt>
                <c:pt idx="177">
                  <c:v>154.04600442028558</c:v>
                </c:pt>
                <c:pt idx="178">
                  <c:v>154.22174361920315</c:v>
                </c:pt>
                <c:pt idx="179">
                  <c:v>154.20744330431165</c:v>
                </c:pt>
                <c:pt idx="180">
                  <c:v>154.19129054531206</c:v>
                </c:pt>
                <c:pt idx="181">
                  <c:v>154.15672094591338</c:v>
                </c:pt>
                <c:pt idx="182">
                  <c:v>153.93088792692237</c:v>
                </c:pt>
                <c:pt idx="183">
                  <c:v>153.6675769263818</c:v>
                </c:pt>
                <c:pt idx="184">
                  <c:v>153.32783496956421</c:v>
                </c:pt>
                <c:pt idx="185">
                  <c:v>152.8109744128077</c:v>
                </c:pt>
                <c:pt idx="186">
                  <c:v>152.22944747430907</c:v>
                </c:pt>
                <c:pt idx="187">
                  <c:v>151.84893064786678</c:v>
                </c:pt>
                <c:pt idx="188">
                  <c:v>151.22684676877159</c:v>
                </c:pt>
                <c:pt idx="189">
                  <c:v>150.67388007234914</c:v>
                </c:pt>
                <c:pt idx="190">
                  <c:v>150.61861321646307</c:v>
                </c:pt>
                <c:pt idx="191">
                  <c:v>150.4224969285589</c:v>
                </c:pt>
                <c:pt idx="192">
                  <c:v>149.96235659480917</c:v>
                </c:pt>
                <c:pt idx="193">
                  <c:v>149.9460935151655</c:v>
                </c:pt>
                <c:pt idx="194">
                  <c:v>149.93974144537083</c:v>
                </c:pt>
                <c:pt idx="195">
                  <c:v>149.98028819585068</c:v>
                </c:pt>
                <c:pt idx="196">
                  <c:v>150.33470270341252</c:v>
                </c:pt>
                <c:pt idx="197">
                  <c:v>151.83335854283771</c:v>
                </c:pt>
                <c:pt idx="198">
                  <c:v>152.4528959050343</c:v>
                </c:pt>
                <c:pt idx="199">
                  <c:v>152.62874563579095</c:v>
                </c:pt>
                <c:pt idx="200">
                  <c:v>152.60246105343552</c:v>
                </c:pt>
                <c:pt idx="201">
                  <c:v>152.37159703926923</c:v>
                </c:pt>
                <c:pt idx="202">
                  <c:v>152.16475288477901</c:v>
                </c:pt>
                <c:pt idx="203">
                  <c:v>152.13006187676524</c:v>
                </c:pt>
                <c:pt idx="204">
                  <c:v>152.22383902108325</c:v>
                </c:pt>
                <c:pt idx="205">
                  <c:v>152.10652457490789</c:v>
                </c:pt>
                <c:pt idx="206">
                  <c:v>151.78426768653634</c:v>
                </c:pt>
                <c:pt idx="207">
                  <c:v>150.84919830275288</c:v>
                </c:pt>
                <c:pt idx="208">
                  <c:v>150.59053648168279</c:v>
                </c:pt>
                <c:pt idx="209">
                  <c:v>150.09020010053283</c:v>
                </c:pt>
                <c:pt idx="210">
                  <c:v>149.61211485210151</c:v>
                </c:pt>
                <c:pt idx="211">
                  <c:v>149.09806410557667</c:v>
                </c:pt>
                <c:pt idx="212">
                  <c:v>148.65653774782646</c:v>
                </c:pt>
                <c:pt idx="213">
                  <c:v>148.42797390096086</c:v>
                </c:pt>
                <c:pt idx="214">
                  <c:v>148.01383637327169</c:v>
                </c:pt>
                <c:pt idx="215">
                  <c:v>147.84657895642943</c:v>
                </c:pt>
                <c:pt idx="216">
                  <c:v>147.87576395051531</c:v>
                </c:pt>
                <c:pt idx="217">
                  <c:v>147.92085827129895</c:v>
                </c:pt>
                <c:pt idx="218">
                  <c:v>147.82159313554882</c:v>
                </c:pt>
                <c:pt idx="219">
                  <c:v>147.72088206291644</c:v>
                </c:pt>
                <c:pt idx="220">
                  <c:v>147.72179985345798</c:v>
                </c:pt>
                <c:pt idx="221">
                  <c:v>147.80866832412187</c:v>
                </c:pt>
                <c:pt idx="222">
                  <c:v>148.00441411015558</c:v>
                </c:pt>
                <c:pt idx="223">
                  <c:v>147.934175725648</c:v>
                </c:pt>
                <c:pt idx="224">
                  <c:v>147.30996443507988</c:v>
                </c:pt>
                <c:pt idx="225">
                  <c:v>147.60735839368354</c:v>
                </c:pt>
                <c:pt idx="226">
                  <c:v>147.83663857718633</c:v>
                </c:pt>
                <c:pt idx="227">
                  <c:v>149.06121105868999</c:v>
                </c:pt>
                <c:pt idx="228">
                  <c:v>150.12541883726553</c:v>
                </c:pt>
                <c:pt idx="229">
                  <c:v>150.84491127207895</c:v>
                </c:pt>
                <c:pt idx="230">
                  <c:v>151.26924029596694</c:v>
                </c:pt>
                <c:pt idx="231">
                  <c:v>151.52736424454426</c:v>
                </c:pt>
                <c:pt idx="232">
                  <c:v>152.20311239798156</c:v>
                </c:pt>
                <c:pt idx="233">
                  <c:v>153.19427142732846</c:v>
                </c:pt>
                <c:pt idx="234">
                  <c:v>154.3159540105996</c:v>
                </c:pt>
                <c:pt idx="235">
                  <c:v>155.63043288833063</c:v>
                </c:pt>
                <c:pt idx="236">
                  <c:v>156.98643967822628</c:v>
                </c:pt>
                <c:pt idx="237">
                  <c:v>158.15553328867122</c:v>
                </c:pt>
                <c:pt idx="238">
                  <c:v>159.55594512449167</c:v>
                </c:pt>
                <c:pt idx="239">
                  <c:v>160.2653833637213</c:v>
                </c:pt>
                <c:pt idx="240">
                  <c:v>161.27075005569836</c:v>
                </c:pt>
                <c:pt idx="241">
                  <c:v>162.30090595331603</c:v>
                </c:pt>
                <c:pt idx="242">
                  <c:v>163.52398812591233</c:v>
                </c:pt>
                <c:pt idx="243">
                  <c:v>164.13804885477813</c:v>
                </c:pt>
                <c:pt idx="244">
                  <c:v>164.41212708121654</c:v>
                </c:pt>
                <c:pt idx="245">
                  <c:v>164.4276985580814</c:v>
                </c:pt>
                <c:pt idx="246">
                  <c:v>164.36125429877242</c:v>
                </c:pt>
                <c:pt idx="247">
                  <c:v>164.89055851394772</c:v>
                </c:pt>
                <c:pt idx="248">
                  <c:v>166.17698433241986</c:v>
                </c:pt>
                <c:pt idx="249">
                  <c:v>167.15556291944833</c:v>
                </c:pt>
                <c:pt idx="250">
                  <c:v>167.33971690960445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45-4FE6-B2E9-42ADF206E129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Data!$M$2:$M$252</c:f>
              <c:numCache>
                <c:formatCode>General</c:formatCode>
                <c:ptCount val="251"/>
                <c:pt idx="19">
                  <c:v>163.00417040221342</c:v>
                </c:pt>
                <c:pt idx="20">
                  <c:v>162.55805666700249</c:v>
                </c:pt>
                <c:pt idx="21">
                  <c:v>162.39054924257732</c:v>
                </c:pt>
                <c:pt idx="22">
                  <c:v>162.21983535936243</c:v>
                </c:pt>
                <c:pt idx="23">
                  <c:v>162.40872243674292</c:v>
                </c:pt>
                <c:pt idx="24">
                  <c:v>162.44265799898338</c:v>
                </c:pt>
                <c:pt idx="25">
                  <c:v>162.57987636145171</c:v>
                </c:pt>
                <c:pt idx="26">
                  <c:v>162.76897060886617</c:v>
                </c:pt>
                <c:pt idx="27">
                  <c:v>162.52262004737537</c:v>
                </c:pt>
                <c:pt idx="28">
                  <c:v>161.71795475005538</c:v>
                </c:pt>
                <c:pt idx="29">
                  <c:v>160.16285512268635</c:v>
                </c:pt>
                <c:pt idx="30">
                  <c:v>159.57006112513895</c:v>
                </c:pt>
                <c:pt idx="31">
                  <c:v>159.22985873642978</c:v>
                </c:pt>
                <c:pt idx="32">
                  <c:v>159.20452542927057</c:v>
                </c:pt>
                <c:pt idx="33">
                  <c:v>159.22688445543474</c:v>
                </c:pt>
                <c:pt idx="34">
                  <c:v>159.22973844027493</c:v>
                </c:pt>
                <c:pt idx="35">
                  <c:v>159.18539421538449</c:v>
                </c:pt>
                <c:pt idx="36">
                  <c:v>159.10872281853361</c:v>
                </c:pt>
                <c:pt idx="37">
                  <c:v>159.05337260814207</c:v>
                </c:pt>
                <c:pt idx="38">
                  <c:v>159.15240276960341</c:v>
                </c:pt>
                <c:pt idx="39">
                  <c:v>159.49418400026511</c:v>
                </c:pt>
                <c:pt idx="40">
                  <c:v>158.45280093664809</c:v>
                </c:pt>
                <c:pt idx="41">
                  <c:v>157.79702138110727</c:v>
                </c:pt>
                <c:pt idx="42">
                  <c:v>157.34155778564033</c:v>
                </c:pt>
                <c:pt idx="43">
                  <c:v>157.10413231817682</c:v>
                </c:pt>
                <c:pt idx="44">
                  <c:v>157.00783553218801</c:v>
                </c:pt>
                <c:pt idx="45">
                  <c:v>156.54833231180726</c:v>
                </c:pt>
                <c:pt idx="46">
                  <c:v>156.72576152119709</c:v>
                </c:pt>
                <c:pt idx="47">
                  <c:v>156.13444608861693</c:v>
                </c:pt>
                <c:pt idx="48">
                  <c:v>155.98022473239016</c:v>
                </c:pt>
                <c:pt idx="49">
                  <c:v>156.14460810077662</c:v>
                </c:pt>
                <c:pt idx="50">
                  <c:v>155.65450754897574</c:v>
                </c:pt>
                <c:pt idx="51">
                  <c:v>154.94572637384769</c:v>
                </c:pt>
                <c:pt idx="52">
                  <c:v>154.79217463820331</c:v>
                </c:pt>
                <c:pt idx="53">
                  <c:v>154.65679994662901</c:v>
                </c:pt>
                <c:pt idx="54">
                  <c:v>154.49170041102269</c:v>
                </c:pt>
                <c:pt idx="55">
                  <c:v>154.61368636173151</c:v>
                </c:pt>
                <c:pt idx="56">
                  <c:v>155.61913134613889</c:v>
                </c:pt>
                <c:pt idx="57">
                  <c:v>155.72286488837207</c:v>
                </c:pt>
                <c:pt idx="58">
                  <c:v>156.12651378397086</c:v>
                </c:pt>
                <c:pt idx="59">
                  <c:v>156.17020624581372</c:v>
                </c:pt>
                <c:pt idx="60">
                  <c:v>156.18686290132996</c:v>
                </c:pt>
                <c:pt idx="61">
                  <c:v>156.04236079199913</c:v>
                </c:pt>
                <c:pt idx="62">
                  <c:v>155.67463393250196</c:v>
                </c:pt>
                <c:pt idx="63">
                  <c:v>155.45350662598915</c:v>
                </c:pt>
                <c:pt idx="64">
                  <c:v>155.15046798240581</c:v>
                </c:pt>
                <c:pt idx="65">
                  <c:v>155.01396497916684</c:v>
                </c:pt>
                <c:pt idx="66">
                  <c:v>155.17081010145179</c:v>
                </c:pt>
                <c:pt idx="67">
                  <c:v>155.70139881577964</c:v>
                </c:pt>
                <c:pt idx="68">
                  <c:v>156.25639450875076</c:v>
                </c:pt>
                <c:pt idx="69">
                  <c:v>156.72737646645331</c:v>
                </c:pt>
                <c:pt idx="70">
                  <c:v>157.46113148207803</c:v>
                </c:pt>
                <c:pt idx="71">
                  <c:v>158.39836427604871</c:v>
                </c:pt>
                <c:pt idx="72">
                  <c:v>158.68405291254498</c:v>
                </c:pt>
                <c:pt idx="73">
                  <c:v>159.39595059291787</c:v>
                </c:pt>
                <c:pt idx="74">
                  <c:v>160.61264702889628</c:v>
                </c:pt>
                <c:pt idx="75">
                  <c:v>160.14839109562459</c:v>
                </c:pt>
                <c:pt idx="76">
                  <c:v>159.73514265560658</c:v>
                </c:pt>
                <c:pt idx="77">
                  <c:v>158.67827609139235</c:v>
                </c:pt>
                <c:pt idx="78">
                  <c:v>157.62625769261243</c:v>
                </c:pt>
                <c:pt idx="79">
                  <c:v>156.94325356218255</c:v>
                </c:pt>
                <c:pt idx="80">
                  <c:v>156.64366119573251</c:v>
                </c:pt>
                <c:pt idx="81">
                  <c:v>156.28478595208463</c:v>
                </c:pt>
                <c:pt idx="82">
                  <c:v>155.86927042061819</c:v>
                </c:pt>
                <c:pt idx="83">
                  <c:v>155.47414976647309</c:v>
                </c:pt>
                <c:pt idx="84">
                  <c:v>155.52007651101437</c:v>
                </c:pt>
                <c:pt idx="85">
                  <c:v>155.96034923584972</c:v>
                </c:pt>
                <c:pt idx="86">
                  <c:v>156.41732827994159</c:v>
                </c:pt>
                <c:pt idx="87">
                  <c:v>156.88050682402309</c:v>
                </c:pt>
                <c:pt idx="88">
                  <c:v>157.32500125286145</c:v>
                </c:pt>
                <c:pt idx="89">
                  <c:v>157.34151105913205</c:v>
                </c:pt>
                <c:pt idx="90">
                  <c:v>157.20927155226514</c:v>
                </c:pt>
                <c:pt idx="91">
                  <c:v>156.89136521458073</c:v>
                </c:pt>
                <c:pt idx="92">
                  <c:v>156.86787794684705</c:v>
                </c:pt>
                <c:pt idx="93">
                  <c:v>156.54941655998743</c:v>
                </c:pt>
                <c:pt idx="94">
                  <c:v>155.52722515736909</c:v>
                </c:pt>
                <c:pt idx="95">
                  <c:v>154.17801134646953</c:v>
                </c:pt>
                <c:pt idx="96">
                  <c:v>153.4121378387666</c:v>
                </c:pt>
                <c:pt idx="97">
                  <c:v>153.1125941933837</c:v>
                </c:pt>
                <c:pt idx="98">
                  <c:v>152.7736106502484</c:v>
                </c:pt>
                <c:pt idx="99">
                  <c:v>152.41676812452198</c:v>
                </c:pt>
                <c:pt idx="100">
                  <c:v>152.47080544040196</c:v>
                </c:pt>
                <c:pt idx="101">
                  <c:v>152.4971424855384</c:v>
                </c:pt>
                <c:pt idx="102">
                  <c:v>152.49687840170679</c:v>
                </c:pt>
                <c:pt idx="103">
                  <c:v>152.49083648252139</c:v>
                </c:pt>
                <c:pt idx="104">
                  <c:v>152.45235208288642</c:v>
                </c:pt>
                <c:pt idx="105">
                  <c:v>152.37266114101377</c:v>
                </c:pt>
                <c:pt idx="106">
                  <c:v>151.90564308116959</c:v>
                </c:pt>
                <c:pt idx="107">
                  <c:v>150.99089969427382</c:v>
                </c:pt>
                <c:pt idx="108">
                  <c:v>150.30626327614752</c:v>
                </c:pt>
                <c:pt idx="109">
                  <c:v>149.79511086413987</c:v>
                </c:pt>
                <c:pt idx="110">
                  <c:v>149.13993298897304</c:v>
                </c:pt>
                <c:pt idx="111">
                  <c:v>148.94377017456353</c:v>
                </c:pt>
                <c:pt idx="112">
                  <c:v>148.92347311068039</c:v>
                </c:pt>
                <c:pt idx="113">
                  <c:v>148.84812942836919</c:v>
                </c:pt>
                <c:pt idx="114">
                  <c:v>148.91302312318251</c:v>
                </c:pt>
                <c:pt idx="115">
                  <c:v>149.09397150821218</c:v>
                </c:pt>
                <c:pt idx="116">
                  <c:v>149.18294706162214</c:v>
                </c:pt>
                <c:pt idx="117">
                  <c:v>149.09164307484005</c:v>
                </c:pt>
                <c:pt idx="118">
                  <c:v>149.05897552294894</c:v>
                </c:pt>
                <c:pt idx="119">
                  <c:v>149.07240468503812</c:v>
                </c:pt>
                <c:pt idx="120">
                  <c:v>149.06493043389634</c:v>
                </c:pt>
                <c:pt idx="121">
                  <c:v>148.930168654835</c:v>
                </c:pt>
                <c:pt idx="122">
                  <c:v>148.93827572168479</c:v>
                </c:pt>
                <c:pt idx="123">
                  <c:v>148.90493875497876</c:v>
                </c:pt>
                <c:pt idx="124">
                  <c:v>148.92677312897388</c:v>
                </c:pt>
                <c:pt idx="125">
                  <c:v>148.93466064904851</c:v>
                </c:pt>
                <c:pt idx="126">
                  <c:v>149.10460766229912</c:v>
                </c:pt>
                <c:pt idx="127">
                  <c:v>149.73318159341562</c:v>
                </c:pt>
                <c:pt idx="128">
                  <c:v>150.41119170557417</c:v>
                </c:pt>
                <c:pt idx="129">
                  <c:v>151.14914830689847</c:v>
                </c:pt>
                <c:pt idx="130">
                  <c:v>152.12937941773731</c:v>
                </c:pt>
                <c:pt idx="131">
                  <c:v>152.53136559298633</c:v>
                </c:pt>
                <c:pt idx="132">
                  <c:v>152.80358962390665</c:v>
                </c:pt>
                <c:pt idx="133">
                  <c:v>153.2705516103839</c:v>
                </c:pt>
                <c:pt idx="134">
                  <c:v>153.47706810184332</c:v>
                </c:pt>
                <c:pt idx="135">
                  <c:v>153.73077168662559</c:v>
                </c:pt>
                <c:pt idx="136">
                  <c:v>153.97370387471645</c:v>
                </c:pt>
                <c:pt idx="137">
                  <c:v>154.66145559642689</c:v>
                </c:pt>
                <c:pt idx="138">
                  <c:v>155.18367809830832</c:v>
                </c:pt>
                <c:pt idx="139">
                  <c:v>155.49766344319917</c:v>
                </c:pt>
                <c:pt idx="140">
                  <c:v>155.38515137495608</c:v>
                </c:pt>
                <c:pt idx="141">
                  <c:v>155.34307786705125</c:v>
                </c:pt>
                <c:pt idx="142">
                  <c:v>155.09906920298963</c:v>
                </c:pt>
                <c:pt idx="143">
                  <c:v>154.12135486401769</c:v>
                </c:pt>
                <c:pt idx="144">
                  <c:v>153.29646514100546</c:v>
                </c:pt>
                <c:pt idx="145">
                  <c:v>152.58722662422466</c:v>
                </c:pt>
                <c:pt idx="146">
                  <c:v>151.82261945795233</c:v>
                </c:pt>
                <c:pt idx="147">
                  <c:v>151.31504632457552</c:v>
                </c:pt>
                <c:pt idx="148">
                  <c:v>150.95066603314132</c:v>
                </c:pt>
                <c:pt idx="149">
                  <c:v>150.62287973495276</c:v>
                </c:pt>
                <c:pt idx="150">
                  <c:v>150.26428113458988</c:v>
                </c:pt>
                <c:pt idx="151">
                  <c:v>149.81664915692141</c:v>
                </c:pt>
                <c:pt idx="152">
                  <c:v>149.57806082344104</c:v>
                </c:pt>
                <c:pt idx="153">
                  <c:v>148.99883203082447</c:v>
                </c:pt>
                <c:pt idx="154">
                  <c:v>148.95021939812736</c:v>
                </c:pt>
                <c:pt idx="155">
                  <c:v>148.50743327325009</c:v>
                </c:pt>
                <c:pt idx="156">
                  <c:v>148.25401073208923</c:v>
                </c:pt>
                <c:pt idx="157">
                  <c:v>147.8741277567388</c:v>
                </c:pt>
                <c:pt idx="158">
                  <c:v>147.03550039006703</c:v>
                </c:pt>
                <c:pt idx="159">
                  <c:v>146.84790519299216</c:v>
                </c:pt>
                <c:pt idx="160">
                  <c:v>147.03016258307068</c:v>
                </c:pt>
                <c:pt idx="161">
                  <c:v>147.25201344895189</c:v>
                </c:pt>
                <c:pt idx="162">
                  <c:v>147.57669472677932</c:v>
                </c:pt>
                <c:pt idx="163">
                  <c:v>147.59874669817231</c:v>
                </c:pt>
                <c:pt idx="164">
                  <c:v>147.59661110392909</c:v>
                </c:pt>
                <c:pt idx="165">
                  <c:v>147.59971677416473</c:v>
                </c:pt>
                <c:pt idx="166">
                  <c:v>147.59930537927167</c:v>
                </c:pt>
                <c:pt idx="167">
                  <c:v>147.59955681738583</c:v>
                </c:pt>
                <c:pt idx="168">
                  <c:v>147.66733219324956</c:v>
                </c:pt>
                <c:pt idx="169">
                  <c:v>147.76125727393259</c:v>
                </c:pt>
                <c:pt idx="170">
                  <c:v>147.5642516326013</c:v>
                </c:pt>
                <c:pt idx="171">
                  <c:v>147.45593307348958</c:v>
                </c:pt>
                <c:pt idx="172">
                  <c:v>147.45058910650422</c:v>
                </c:pt>
                <c:pt idx="173">
                  <c:v>147.12922907273358</c:v>
                </c:pt>
                <c:pt idx="174">
                  <c:v>146.70881899117759</c:v>
                </c:pt>
                <c:pt idx="175">
                  <c:v>145.96068396296175</c:v>
                </c:pt>
                <c:pt idx="176">
                  <c:v>145.40635014328686</c:v>
                </c:pt>
                <c:pt idx="177">
                  <c:v>145.10099557971446</c:v>
                </c:pt>
                <c:pt idx="178">
                  <c:v>144.72625638079683</c:v>
                </c:pt>
                <c:pt idx="179">
                  <c:v>144.67855669568837</c:v>
                </c:pt>
                <c:pt idx="180">
                  <c:v>144.75370945468794</c:v>
                </c:pt>
                <c:pt idx="181">
                  <c:v>144.62427905408668</c:v>
                </c:pt>
                <c:pt idx="182">
                  <c:v>144.47711207307765</c:v>
                </c:pt>
                <c:pt idx="183">
                  <c:v>144.12642307361818</c:v>
                </c:pt>
                <c:pt idx="184">
                  <c:v>144.00316503043581</c:v>
                </c:pt>
                <c:pt idx="185">
                  <c:v>143.99902558719236</c:v>
                </c:pt>
                <c:pt idx="186">
                  <c:v>144.17855252569095</c:v>
                </c:pt>
                <c:pt idx="187">
                  <c:v>144.4020693521332</c:v>
                </c:pt>
                <c:pt idx="188">
                  <c:v>144.54815323122838</c:v>
                </c:pt>
                <c:pt idx="189">
                  <c:v>144.81311992765083</c:v>
                </c:pt>
                <c:pt idx="190">
                  <c:v>144.81638678353687</c:v>
                </c:pt>
                <c:pt idx="191">
                  <c:v>144.87050307144111</c:v>
                </c:pt>
                <c:pt idx="192">
                  <c:v>145.03764340519089</c:v>
                </c:pt>
                <c:pt idx="193">
                  <c:v>144.83790648483449</c:v>
                </c:pt>
                <c:pt idx="194">
                  <c:v>144.79825855462917</c:v>
                </c:pt>
                <c:pt idx="195">
                  <c:v>144.71471180414937</c:v>
                </c:pt>
                <c:pt idx="196">
                  <c:v>144.0922972965875</c:v>
                </c:pt>
                <c:pt idx="197">
                  <c:v>141.72964145716233</c:v>
                </c:pt>
                <c:pt idx="198">
                  <c:v>140.52310409496576</c:v>
                </c:pt>
                <c:pt idx="199">
                  <c:v>139.47525436420915</c:v>
                </c:pt>
                <c:pt idx="200">
                  <c:v>138.77653894656456</c:v>
                </c:pt>
                <c:pt idx="201">
                  <c:v>138.49540296073084</c:v>
                </c:pt>
                <c:pt idx="202">
                  <c:v>138.44824711522111</c:v>
                </c:pt>
                <c:pt idx="203">
                  <c:v>138.42193812323478</c:v>
                </c:pt>
                <c:pt idx="204">
                  <c:v>138.41016097891682</c:v>
                </c:pt>
                <c:pt idx="205">
                  <c:v>138.38047542509213</c:v>
                </c:pt>
                <c:pt idx="206">
                  <c:v>138.32973231346369</c:v>
                </c:pt>
                <c:pt idx="207">
                  <c:v>138.44180169724712</c:v>
                </c:pt>
                <c:pt idx="208">
                  <c:v>138.32046351831715</c:v>
                </c:pt>
                <c:pt idx="209">
                  <c:v>138.42079989946714</c:v>
                </c:pt>
                <c:pt idx="210">
                  <c:v>138.54788514789846</c:v>
                </c:pt>
                <c:pt idx="211">
                  <c:v>138.70293589442332</c:v>
                </c:pt>
                <c:pt idx="212">
                  <c:v>138.80546225217358</c:v>
                </c:pt>
                <c:pt idx="213">
                  <c:v>138.77902609903913</c:v>
                </c:pt>
                <c:pt idx="214">
                  <c:v>138.70116362672834</c:v>
                </c:pt>
                <c:pt idx="215">
                  <c:v>138.36942104357058</c:v>
                </c:pt>
                <c:pt idx="216">
                  <c:v>137.98623604948466</c:v>
                </c:pt>
                <c:pt idx="217">
                  <c:v>137.91114172870104</c:v>
                </c:pt>
                <c:pt idx="218">
                  <c:v>138.20040686445117</c:v>
                </c:pt>
                <c:pt idx="219">
                  <c:v>138.50611793708353</c:v>
                </c:pt>
                <c:pt idx="220">
                  <c:v>138.77520014654198</c:v>
                </c:pt>
                <c:pt idx="221">
                  <c:v>138.82833167587813</c:v>
                </c:pt>
                <c:pt idx="222">
                  <c:v>138.75458588984449</c:v>
                </c:pt>
                <c:pt idx="223">
                  <c:v>138.76682427435196</c:v>
                </c:pt>
                <c:pt idx="224">
                  <c:v>139.06303556492017</c:v>
                </c:pt>
                <c:pt idx="225">
                  <c:v>138.91364160631647</c:v>
                </c:pt>
                <c:pt idx="226">
                  <c:v>138.84436142281365</c:v>
                </c:pt>
                <c:pt idx="227">
                  <c:v>138.34378894131004</c:v>
                </c:pt>
                <c:pt idx="228">
                  <c:v>137.97658116273445</c:v>
                </c:pt>
                <c:pt idx="229">
                  <c:v>137.75708872792103</c:v>
                </c:pt>
                <c:pt idx="230">
                  <c:v>137.69275970403305</c:v>
                </c:pt>
                <c:pt idx="231">
                  <c:v>137.71163575545577</c:v>
                </c:pt>
                <c:pt idx="232">
                  <c:v>137.62088760201846</c:v>
                </c:pt>
                <c:pt idx="233">
                  <c:v>137.47572857267161</c:v>
                </c:pt>
                <c:pt idx="234">
                  <c:v>137.49404598940046</c:v>
                </c:pt>
                <c:pt idx="235">
                  <c:v>137.67456711166943</c:v>
                </c:pt>
                <c:pt idx="236">
                  <c:v>138.01456032177376</c:v>
                </c:pt>
                <c:pt idx="237">
                  <c:v>138.90246671132883</c:v>
                </c:pt>
                <c:pt idx="238">
                  <c:v>139.26605487550833</c:v>
                </c:pt>
                <c:pt idx="239">
                  <c:v>140.10261663627875</c:v>
                </c:pt>
                <c:pt idx="240">
                  <c:v>140.65924994430165</c:v>
                </c:pt>
                <c:pt idx="241">
                  <c:v>141.20509404668394</c:v>
                </c:pt>
                <c:pt idx="242">
                  <c:v>141.46801187408769</c:v>
                </c:pt>
                <c:pt idx="243">
                  <c:v>142.39795114522187</c:v>
                </c:pt>
                <c:pt idx="244">
                  <c:v>143.62587291878353</c:v>
                </c:pt>
                <c:pt idx="245">
                  <c:v>144.59630144191865</c:v>
                </c:pt>
                <c:pt idx="246">
                  <c:v>145.91274570122764</c:v>
                </c:pt>
                <c:pt idx="247">
                  <c:v>146.46844148605231</c:v>
                </c:pt>
                <c:pt idx="248">
                  <c:v>146.68401566758018</c:v>
                </c:pt>
                <c:pt idx="249">
                  <c:v>147.28443708055178</c:v>
                </c:pt>
                <c:pt idx="250">
                  <c:v>148.6052830903956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45-4FE6-B2E9-42ADF206E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166000"/>
        <c:axId val="1355168880"/>
      </c:lineChart>
      <c:dateAx>
        <c:axId val="1355166000"/>
        <c:scaling>
          <c:orientation val="minMax"/>
          <c:min val="4595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68880"/>
        <c:crosses val="autoZero"/>
        <c:auto val="1"/>
        <c:lblOffset val="100"/>
        <c:baseTimeUnit val="days"/>
      </c:dateAx>
      <c:valAx>
        <c:axId val="1355168880"/>
        <c:scaling>
          <c:orientation val="minMax"/>
          <c:max val="175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6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Data!$AA$2:$AA$252</c:f>
              <c:numCache>
                <c:formatCode>General</c:formatCode>
                <c:ptCount val="251"/>
                <c:pt idx="35">
                  <c:v>0.88577963216508193</c:v>
                </c:pt>
                <c:pt idx="36">
                  <c:v>0.68215357804217525</c:v>
                </c:pt>
                <c:pt idx="37">
                  <c:v>0.66936706956514636</c:v>
                </c:pt>
                <c:pt idx="38">
                  <c:v>0.50220015693551456</c:v>
                </c:pt>
                <c:pt idx="39">
                  <c:v>-1.2572390585115167E-2</c:v>
                </c:pt>
                <c:pt idx="40">
                  <c:v>-0.22744569847377116</c:v>
                </c:pt>
                <c:pt idx="41">
                  <c:v>-0.28468522247934391</c:v>
                </c:pt>
                <c:pt idx="42">
                  <c:v>-0.26627691778417439</c:v>
                </c:pt>
                <c:pt idx="43">
                  <c:v>-0.20719388077561041</c:v>
                </c:pt>
                <c:pt idx="44">
                  <c:v>-0.31031292828950341</c:v>
                </c:pt>
                <c:pt idx="45">
                  <c:v>-0.30923487545594353</c:v>
                </c:pt>
                <c:pt idx="46">
                  <c:v>-0.38451319354932223</c:v>
                </c:pt>
                <c:pt idx="47">
                  <c:v>-0.36817233784259829</c:v>
                </c:pt>
                <c:pt idx="48">
                  <c:v>-0.31867454663359096</c:v>
                </c:pt>
                <c:pt idx="49">
                  <c:v>-0.29365907425774607</c:v>
                </c:pt>
                <c:pt idx="50">
                  <c:v>-0.30696687132805156</c:v>
                </c:pt>
                <c:pt idx="51">
                  <c:v>-7.2948976988113312E-2</c:v>
                </c:pt>
                <c:pt idx="52">
                  <c:v>-4.1267031263632958E-2</c:v>
                </c:pt>
                <c:pt idx="53">
                  <c:v>-4.4798313093818098E-2</c:v>
                </c:pt>
                <c:pt idx="54">
                  <c:v>0.25535674175435163</c:v>
                </c:pt>
                <c:pt idx="55">
                  <c:v>0.50490169878666835</c:v>
                </c:pt>
                <c:pt idx="56">
                  <c:v>0.74805984645171342</c:v>
                </c:pt>
                <c:pt idx="57">
                  <c:v>0.93319618256404335</c:v>
                </c:pt>
                <c:pt idx="58">
                  <c:v>1.0012103988127798</c:v>
                </c:pt>
                <c:pt idx="59">
                  <c:v>0.97784200461134629</c:v>
                </c:pt>
                <c:pt idx="60">
                  <c:v>0.9746887971637076</c:v>
                </c:pt>
                <c:pt idx="61">
                  <c:v>1.0504347608418128</c:v>
                </c:pt>
                <c:pt idx="62">
                  <c:v>1.0224876877886253</c:v>
                </c:pt>
                <c:pt idx="63">
                  <c:v>1.0307906657698249</c:v>
                </c:pt>
                <c:pt idx="64">
                  <c:v>1.0673261334948481</c:v>
                </c:pt>
                <c:pt idx="65">
                  <c:v>0.89767651355807865</c:v>
                </c:pt>
                <c:pt idx="66">
                  <c:v>0.68094624550280702</c:v>
                </c:pt>
                <c:pt idx="67">
                  <c:v>0.44643061377155169</c:v>
                </c:pt>
                <c:pt idx="68">
                  <c:v>6.8453908319882406E-2</c:v>
                </c:pt>
                <c:pt idx="69">
                  <c:v>-0.10090008478094803</c:v>
                </c:pt>
                <c:pt idx="70">
                  <c:v>-0.30141695463936613</c:v>
                </c:pt>
                <c:pt idx="71">
                  <c:v>-0.3992249610151033</c:v>
                </c:pt>
                <c:pt idx="72">
                  <c:v>-0.49107571026172181</c:v>
                </c:pt>
                <c:pt idx="73">
                  <c:v>-0.45838654234948711</c:v>
                </c:pt>
                <c:pt idx="74">
                  <c:v>-0.60166315700352024</c:v>
                </c:pt>
                <c:pt idx="75">
                  <c:v>-0.62298778285226497</c:v>
                </c:pt>
                <c:pt idx="76">
                  <c:v>-0.75423776232193085</c:v>
                </c:pt>
                <c:pt idx="77">
                  <c:v>-0.82708656790125246</c:v>
                </c:pt>
                <c:pt idx="78">
                  <c:v>-0.75807114119328789</c:v>
                </c:pt>
                <c:pt idx="79">
                  <c:v>-0.54523034649460311</c:v>
                </c:pt>
                <c:pt idx="80">
                  <c:v>-0.41935965261443275</c:v>
                </c:pt>
                <c:pt idx="81">
                  <c:v>-0.39959139527378573</c:v>
                </c:pt>
                <c:pt idx="82">
                  <c:v>-0.37944307769827046</c:v>
                </c:pt>
                <c:pt idx="83">
                  <c:v>-0.25905419411009323</c:v>
                </c:pt>
                <c:pt idx="84">
                  <c:v>-0.1945142779861504</c:v>
                </c:pt>
                <c:pt idx="85">
                  <c:v>-1.2204264644019913E-2</c:v>
                </c:pt>
                <c:pt idx="86">
                  <c:v>0.11186267335397648</c:v>
                </c:pt>
                <c:pt idx="87">
                  <c:v>0.1703290461851743</c:v>
                </c:pt>
                <c:pt idx="88">
                  <c:v>0.18677784399146802</c:v>
                </c:pt>
                <c:pt idx="89">
                  <c:v>3.0098588634510204E-2</c:v>
                </c:pt>
                <c:pt idx="90">
                  <c:v>-8.3997624751684707E-2</c:v>
                </c:pt>
                <c:pt idx="91">
                  <c:v>-7.9715383267020101E-2</c:v>
                </c:pt>
                <c:pt idx="92">
                  <c:v>-0.1550791841330621</c:v>
                </c:pt>
                <c:pt idx="93">
                  <c:v>-0.39412210760290556</c:v>
                </c:pt>
                <c:pt idx="94">
                  <c:v>-0.58128958803827824</c:v>
                </c:pt>
                <c:pt idx="95">
                  <c:v>-0.58887441668438534</c:v>
                </c:pt>
                <c:pt idx="96">
                  <c:v>-0.42855370751263555</c:v>
                </c:pt>
                <c:pt idx="97">
                  <c:v>-0.32422114581331796</c:v>
                </c:pt>
                <c:pt idx="98">
                  <c:v>-0.23099324127224974</c:v>
                </c:pt>
                <c:pt idx="99">
                  <c:v>6.5341149236447293E-2</c:v>
                </c:pt>
                <c:pt idx="100">
                  <c:v>0.26078266569422937</c:v>
                </c:pt>
                <c:pt idx="101">
                  <c:v>0.41852280800224562</c:v>
                </c:pt>
                <c:pt idx="102">
                  <c:v>0.47703919196887479</c:v>
                </c:pt>
                <c:pt idx="103">
                  <c:v>0.42581324073986826</c:v>
                </c:pt>
                <c:pt idx="104">
                  <c:v>0.35155194240828513</c:v>
                </c:pt>
                <c:pt idx="105">
                  <c:v>5.9813122631675153E-2</c:v>
                </c:pt>
                <c:pt idx="106">
                  <c:v>-0.26883997330481169</c:v>
                </c:pt>
                <c:pt idx="107">
                  <c:v>-0.43750119405981769</c:v>
                </c:pt>
                <c:pt idx="108">
                  <c:v>-0.50051118986593601</c:v>
                </c:pt>
                <c:pt idx="109">
                  <c:v>-0.51583154930883968</c:v>
                </c:pt>
                <c:pt idx="110">
                  <c:v>-0.33335623965456085</c:v>
                </c:pt>
                <c:pt idx="111">
                  <c:v>-0.14547868927247509</c:v>
                </c:pt>
                <c:pt idx="112">
                  <c:v>-2.6611702735936937E-3</c:v>
                </c:pt>
                <c:pt idx="113">
                  <c:v>0.19696854155247689</c:v>
                </c:pt>
                <c:pt idx="114">
                  <c:v>0.33450116190030976</c:v>
                </c:pt>
                <c:pt idx="115">
                  <c:v>0.43854215470073865</c:v>
                </c:pt>
                <c:pt idx="116">
                  <c:v>0.38814056615724257</c:v>
                </c:pt>
                <c:pt idx="117">
                  <c:v>0.3888372935129687</c:v>
                </c:pt>
                <c:pt idx="118">
                  <c:v>0.46786376411559294</c:v>
                </c:pt>
                <c:pt idx="119">
                  <c:v>0.67501606219381194</c:v>
                </c:pt>
                <c:pt idx="120">
                  <c:v>0.84988365061458915</c:v>
                </c:pt>
                <c:pt idx="121">
                  <c:v>0.87279651917191581</c:v>
                </c:pt>
                <c:pt idx="122">
                  <c:v>0.84322542087243346</c:v>
                </c:pt>
                <c:pt idx="123">
                  <c:v>0.62339522047467799</c:v>
                </c:pt>
                <c:pt idx="124">
                  <c:v>0.44375065269604269</c:v>
                </c:pt>
                <c:pt idx="125">
                  <c:v>0.3723661951772016</c:v>
                </c:pt>
                <c:pt idx="126">
                  <c:v>0.22494984398131923</c:v>
                </c:pt>
                <c:pt idx="127">
                  <c:v>0.20940096964544502</c:v>
                </c:pt>
                <c:pt idx="128">
                  <c:v>0.24876213354681459</c:v>
                </c:pt>
                <c:pt idx="129">
                  <c:v>0.27076988801674906</c:v>
                </c:pt>
                <c:pt idx="130">
                  <c:v>0.33373687705201682</c:v>
                </c:pt>
                <c:pt idx="131">
                  <c:v>0.40618947721115861</c:v>
                </c:pt>
                <c:pt idx="132">
                  <c:v>0.36243910022657361</c:v>
                </c:pt>
                <c:pt idx="133">
                  <c:v>0.34049613260013389</c:v>
                </c:pt>
                <c:pt idx="134">
                  <c:v>0.16922263436698337</c:v>
                </c:pt>
                <c:pt idx="135">
                  <c:v>0.12928628008404097</c:v>
                </c:pt>
                <c:pt idx="136">
                  <c:v>4.5194859031240542E-2</c:v>
                </c:pt>
                <c:pt idx="137">
                  <c:v>-8.3964905124765288E-2</c:v>
                </c:pt>
                <c:pt idx="138">
                  <c:v>-8.8268042209897812E-2</c:v>
                </c:pt>
                <c:pt idx="139">
                  <c:v>5.376001760446858E-2</c:v>
                </c:pt>
                <c:pt idx="140">
                  <c:v>-5.7657680406765E-2</c:v>
                </c:pt>
                <c:pt idx="141">
                  <c:v>-0.21155359760288273</c:v>
                </c:pt>
                <c:pt idx="142">
                  <c:v>-0.49137623977389611</c:v>
                </c:pt>
                <c:pt idx="143">
                  <c:v>-0.68117620925747568</c:v>
                </c:pt>
                <c:pt idx="144">
                  <c:v>-0.77177888986027743</c:v>
                </c:pt>
                <c:pt idx="145">
                  <c:v>-0.80582340525301543</c:v>
                </c:pt>
                <c:pt idx="146">
                  <c:v>-0.76123010254420365</c:v>
                </c:pt>
                <c:pt idx="147">
                  <c:v>-0.62455478475121706</c:v>
                </c:pt>
                <c:pt idx="148">
                  <c:v>-0.4939795772176967</c:v>
                </c:pt>
                <c:pt idx="149">
                  <c:v>-0.41059931103441971</c:v>
                </c:pt>
                <c:pt idx="150">
                  <c:v>-0.40235467033831085</c:v>
                </c:pt>
                <c:pt idx="151">
                  <c:v>-0.35456488793196206</c:v>
                </c:pt>
                <c:pt idx="152">
                  <c:v>-0.4164268118210015</c:v>
                </c:pt>
                <c:pt idx="153">
                  <c:v>-0.28819179706609099</c:v>
                </c:pt>
                <c:pt idx="154">
                  <c:v>-0.30086744992419212</c:v>
                </c:pt>
                <c:pt idx="155">
                  <c:v>-0.28947022786016552</c:v>
                </c:pt>
                <c:pt idx="156">
                  <c:v>-0.31270007195232763</c:v>
                </c:pt>
                <c:pt idx="157">
                  <c:v>-0.4393041763451091</c:v>
                </c:pt>
                <c:pt idx="158">
                  <c:v>-0.37608884599206194</c:v>
                </c:pt>
                <c:pt idx="159">
                  <c:v>-0.41397327449263077</c:v>
                </c:pt>
                <c:pt idx="160">
                  <c:v>-0.26213033787584905</c:v>
                </c:pt>
                <c:pt idx="161">
                  <c:v>-2.2983086266506803E-2</c:v>
                </c:pt>
                <c:pt idx="162">
                  <c:v>0.17926680448175603</c:v>
                </c:pt>
                <c:pt idx="163">
                  <c:v>0.28994338804254793</c:v>
                </c:pt>
                <c:pt idx="164">
                  <c:v>0.39547315841479325</c:v>
                </c:pt>
                <c:pt idx="165">
                  <c:v>0.45496752934806617</c:v>
                </c:pt>
                <c:pt idx="166">
                  <c:v>0.49868281673372961</c:v>
                </c:pt>
                <c:pt idx="167">
                  <c:v>0.46334765989782589</c:v>
                </c:pt>
                <c:pt idx="168">
                  <c:v>0.40351219260361826</c:v>
                </c:pt>
                <c:pt idx="169">
                  <c:v>0.1882240032105108</c:v>
                </c:pt>
                <c:pt idx="170">
                  <c:v>0.10397605490150286</c:v>
                </c:pt>
                <c:pt idx="171">
                  <c:v>0.10476467195847605</c:v>
                </c:pt>
                <c:pt idx="172">
                  <c:v>-4.1815024121014011E-2</c:v>
                </c:pt>
                <c:pt idx="173">
                  <c:v>-0.17725657337105627</c:v>
                </c:pt>
                <c:pt idx="174">
                  <c:v>-0.33203623638923063</c:v>
                </c:pt>
                <c:pt idx="175">
                  <c:v>-0.38029968926596358</c:v>
                </c:pt>
                <c:pt idx="176">
                  <c:v>-0.32585700677099916</c:v>
                </c:pt>
                <c:pt idx="177">
                  <c:v>-0.35784654641481395</c:v>
                </c:pt>
                <c:pt idx="178">
                  <c:v>-0.15306173877643903</c:v>
                </c:pt>
                <c:pt idx="179">
                  <c:v>-3.808671651545037E-2</c:v>
                </c:pt>
                <c:pt idx="180">
                  <c:v>4.5289377485131066E-2</c:v>
                </c:pt>
                <c:pt idx="181">
                  <c:v>8.9069699836464178E-2</c:v>
                </c:pt>
                <c:pt idx="182">
                  <c:v>5.9785593559522621E-3</c:v>
                </c:pt>
                <c:pt idx="183">
                  <c:v>4.0438337149975911E-2</c:v>
                </c:pt>
                <c:pt idx="184">
                  <c:v>7.2011480867817834E-2</c:v>
                </c:pt>
                <c:pt idx="185">
                  <c:v>0.17653728975417637</c:v>
                </c:pt>
                <c:pt idx="186">
                  <c:v>0.41854766166545443</c:v>
                </c:pt>
                <c:pt idx="187">
                  <c:v>0.30742633811516762</c:v>
                </c:pt>
                <c:pt idx="188">
                  <c:v>0.32789965354291173</c:v>
                </c:pt>
                <c:pt idx="189">
                  <c:v>0.31735243292639348</c:v>
                </c:pt>
                <c:pt idx="190">
                  <c:v>0.29676438320235154</c:v>
                </c:pt>
                <c:pt idx="191">
                  <c:v>0.23008068163986228</c:v>
                </c:pt>
                <c:pt idx="192">
                  <c:v>8.2593197054530165E-2</c:v>
                </c:pt>
                <c:pt idx="193">
                  <c:v>4.7079680827342041E-2</c:v>
                </c:pt>
                <c:pt idx="194">
                  <c:v>-5.6895208640033723E-2</c:v>
                </c:pt>
                <c:pt idx="195">
                  <c:v>-0.23393804106957927</c:v>
                </c:pt>
                <c:pt idx="196">
                  <c:v>-0.65118089886126507</c:v>
                </c:pt>
                <c:pt idx="197">
                  <c:v>-0.7871866976136932</c:v>
                </c:pt>
                <c:pt idx="198">
                  <c:v>-0.80819418000210286</c:v>
                </c:pt>
                <c:pt idx="199">
                  <c:v>-0.70631641276080348</c:v>
                </c:pt>
                <c:pt idx="200">
                  <c:v>-0.45839517790834972</c:v>
                </c:pt>
                <c:pt idx="201">
                  <c:v>-0.11748668295480713</c:v>
                </c:pt>
                <c:pt idx="202">
                  <c:v>0.12306417741605036</c:v>
                </c:pt>
                <c:pt idx="203">
                  <c:v>0.44864276775568568</c:v>
                </c:pt>
                <c:pt idx="204">
                  <c:v>0.49735680059299026</c:v>
                </c:pt>
                <c:pt idx="205">
                  <c:v>0.44734597219039163</c:v>
                </c:pt>
                <c:pt idx="206">
                  <c:v>0.29174783037494834</c:v>
                </c:pt>
                <c:pt idx="207">
                  <c:v>0.22168928569416568</c:v>
                </c:pt>
                <c:pt idx="208">
                  <c:v>0.26074309760369729</c:v>
                </c:pt>
                <c:pt idx="209">
                  <c:v>0.29789814550372573</c:v>
                </c:pt>
                <c:pt idx="210">
                  <c:v>0.30443296696537581</c:v>
                </c:pt>
                <c:pt idx="211">
                  <c:v>0.26840301092017593</c:v>
                </c:pt>
                <c:pt idx="212">
                  <c:v>0.1929313959889285</c:v>
                </c:pt>
                <c:pt idx="213">
                  <c:v>4.6477352690163842E-2</c:v>
                </c:pt>
                <c:pt idx="214">
                  <c:v>-0.13051390350407011</c:v>
                </c:pt>
                <c:pt idx="215">
                  <c:v>-0.25580469417186846</c:v>
                </c:pt>
                <c:pt idx="216">
                  <c:v>-0.43152255971308229</c:v>
                </c:pt>
                <c:pt idx="217">
                  <c:v>-0.2865895127141429</c:v>
                </c:pt>
                <c:pt idx="218">
                  <c:v>-0.14864876114478309</c:v>
                </c:pt>
                <c:pt idx="219">
                  <c:v>5.7789153346335276E-2</c:v>
                </c:pt>
                <c:pt idx="220">
                  <c:v>0.24451392508378911</c:v>
                </c:pt>
                <c:pt idx="221">
                  <c:v>0.49341465594991019</c:v>
                </c:pt>
                <c:pt idx="222">
                  <c:v>0.52269204161831717</c:v>
                </c:pt>
                <c:pt idx="223">
                  <c:v>0.51497229488479968</c:v>
                </c:pt>
                <c:pt idx="224">
                  <c:v>0.64730581417851474</c:v>
                </c:pt>
                <c:pt idx="225">
                  <c:v>0.64139129107803017</c:v>
                </c:pt>
                <c:pt idx="226">
                  <c:v>0.85463672485922793</c:v>
                </c:pt>
                <c:pt idx="227">
                  <c:v>0.95918633286409682</c:v>
                </c:pt>
                <c:pt idx="228">
                  <c:v>0.93178111601320435</c:v>
                </c:pt>
                <c:pt idx="229">
                  <c:v>0.78971142517076975</c:v>
                </c:pt>
                <c:pt idx="230">
                  <c:v>0.59099252889596232</c:v>
                </c:pt>
                <c:pt idx="231">
                  <c:v>0.59302807271577285</c:v>
                </c:pt>
                <c:pt idx="232">
                  <c:v>0.67540008478733093</c:v>
                </c:pt>
                <c:pt idx="233">
                  <c:v>0.7735500396663868</c:v>
                </c:pt>
                <c:pt idx="234">
                  <c:v>0.91999158490486721</c:v>
                </c:pt>
                <c:pt idx="235">
                  <c:v>1.0499135637010371</c:v>
                </c:pt>
                <c:pt idx="236">
                  <c:v>1.1724030642119465</c:v>
                </c:pt>
                <c:pt idx="237">
                  <c:v>1.2058359422626816</c:v>
                </c:pt>
                <c:pt idx="238">
                  <c:v>1.0257865107658866</c:v>
                </c:pt>
                <c:pt idx="239">
                  <c:v>0.94813643035307971</c:v>
                </c:pt>
                <c:pt idx="240">
                  <c:v>0.88360916923881394</c:v>
                </c:pt>
                <c:pt idx="241">
                  <c:v>0.84718286115812935</c:v>
                </c:pt>
                <c:pt idx="242">
                  <c:v>0.67837680221461838</c:v>
                </c:pt>
                <c:pt idx="243">
                  <c:v>0.47346756621402886</c:v>
                </c:pt>
                <c:pt idx="244">
                  <c:v>0.11710778017607204</c:v>
                </c:pt>
                <c:pt idx="245">
                  <c:v>-3.560467585982563E-2</c:v>
                </c:pt>
                <c:pt idx="246">
                  <c:v>-1.9403156020447732E-2</c:v>
                </c:pt>
                <c:pt idx="247">
                  <c:v>0.24034961525003151</c:v>
                </c:pt>
                <c:pt idx="248">
                  <c:v>0.36545151652414276</c:v>
                </c:pt>
                <c:pt idx="249">
                  <c:v>0.2711305471547889</c:v>
                </c:pt>
                <c:pt idx="250">
                  <c:v>-2.9464187656590481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5-43D0-BB64-1E84AFC92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355154480"/>
        <c:axId val="1355164560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Data!$Y$2:$Y$252</c:f>
              <c:numCache>
                <c:formatCode>General</c:formatCode>
                <c:ptCount val="251"/>
                <c:pt idx="25">
                  <c:v>-1.0565216295089215</c:v>
                </c:pt>
                <c:pt idx="26">
                  <c:v>-1.4293766309641853</c:v>
                </c:pt>
                <c:pt idx="27">
                  <c:v>-1.9860080237742466</c:v>
                </c:pt>
                <c:pt idx="28">
                  <c:v>-2.5462632970724712</c:v>
                </c:pt>
                <c:pt idx="29">
                  <c:v>-2.6426882172112869</c:v>
                </c:pt>
                <c:pt idx="30">
                  <c:v>-2.5892013231068063</c:v>
                </c:pt>
                <c:pt idx="31">
                  <c:v>-2.2505526018214539</c:v>
                </c:pt>
                <c:pt idx="32">
                  <c:v>-1.7824881893976112</c:v>
                </c:pt>
                <c:pt idx="33">
                  <c:v>-1.4481073740866748</c:v>
                </c:pt>
                <c:pt idx="34">
                  <c:v>-1.3355513806198189</c:v>
                </c:pt>
                <c:pt idx="35">
                  <c:v>-0.89391290846637617</c:v>
                </c:pt>
                <c:pt idx="36">
                  <c:v>-0.92700056807873921</c:v>
                </c:pt>
                <c:pt idx="37">
                  <c:v>-0.77244530916448184</c:v>
                </c:pt>
                <c:pt idx="38">
                  <c:v>-0.81406218256023521</c:v>
                </c:pt>
                <c:pt idx="39">
                  <c:v>-1.3319778277271439</c:v>
                </c:pt>
                <c:pt idx="40">
                  <c:v>-1.6037125602342428</c:v>
                </c:pt>
                <c:pt idx="41">
                  <c:v>-1.7321233898596518</c:v>
                </c:pt>
                <c:pt idx="42">
                  <c:v>-1.7802843146105261</c:v>
                </c:pt>
                <c:pt idx="43">
                  <c:v>-1.7729997477958648</c:v>
                </c:pt>
                <c:pt idx="44">
                  <c:v>-1.9536970273821339</c:v>
                </c:pt>
                <c:pt idx="45">
                  <c:v>-2.0299276934125601</c:v>
                </c:pt>
                <c:pt idx="46">
                  <c:v>-2.2013343098932694</c:v>
                </c:pt>
                <c:pt idx="47">
                  <c:v>-2.2770365386471951</c:v>
                </c:pt>
                <c:pt idx="48">
                  <c:v>-2.3072073840965857</c:v>
                </c:pt>
                <c:pt idx="49">
                  <c:v>-2.3556066802851774</c:v>
                </c:pt>
                <c:pt idx="50">
                  <c:v>-2.445656195187496</c:v>
                </c:pt>
                <c:pt idx="51">
                  <c:v>-2.2298755450945862</c:v>
                </c:pt>
                <c:pt idx="52">
                  <c:v>-2.2085103571860145</c:v>
                </c:pt>
                <c:pt idx="53">
                  <c:v>-2.2232412172896545</c:v>
                </c:pt>
                <c:pt idx="54">
                  <c:v>-1.859246977002897</c:v>
                </c:pt>
                <c:pt idx="55">
                  <c:v>-1.4834765952739133</c:v>
                </c:pt>
                <c:pt idx="56">
                  <c:v>-1.05330348599594</c:v>
                </c:pt>
                <c:pt idx="57">
                  <c:v>-0.63486810424259943</c:v>
                </c:pt>
                <c:pt idx="58">
                  <c:v>-0.31655128829066825</c:v>
                </c:pt>
                <c:pt idx="59">
                  <c:v>-9.5459181339265342E-2</c:v>
                </c:pt>
                <c:pt idx="60">
                  <c:v>0.14505981050402283</c:v>
                </c:pt>
                <c:pt idx="61">
                  <c:v>0.48341446439258107</c:v>
                </c:pt>
                <c:pt idx="62">
                  <c:v>0.7110893132865499</c:v>
                </c:pt>
                <c:pt idx="63">
                  <c:v>0.97708995771020568</c:v>
                </c:pt>
                <c:pt idx="64">
                  <c:v>1.2804569588089407</c:v>
                </c:pt>
                <c:pt idx="65">
                  <c:v>1.3352264672616911</c:v>
                </c:pt>
                <c:pt idx="66">
                  <c:v>1.2887327605821213</c:v>
                </c:pt>
                <c:pt idx="67">
                  <c:v>1.165824782293754</c:v>
                </c:pt>
                <c:pt idx="68">
                  <c:v>0.80496155392205537</c:v>
                </c:pt>
                <c:pt idx="69">
                  <c:v>0.61038253962598787</c:v>
                </c:pt>
                <c:pt idx="70">
                  <c:v>0.33451143110772819</c:v>
                </c:pt>
                <c:pt idx="71">
                  <c:v>0.13689718447821519</c:v>
                </c:pt>
                <c:pt idx="72">
                  <c:v>-7.772249233383377E-2</c:v>
                </c:pt>
                <c:pt idx="73">
                  <c:v>-0.15962996000897078</c:v>
                </c:pt>
                <c:pt idx="74">
                  <c:v>-0.45332236391388392</c:v>
                </c:pt>
                <c:pt idx="75">
                  <c:v>-0.63039393547569489</c:v>
                </c:pt>
                <c:pt idx="76">
                  <c:v>-0.95020335552584356</c:v>
                </c:pt>
                <c:pt idx="77">
                  <c:v>-1.2298238030804782</c:v>
                </c:pt>
                <c:pt idx="78">
                  <c:v>-1.3503261616708357</c:v>
                </c:pt>
                <c:pt idx="79">
                  <c:v>-1.2737929535958017</c:v>
                </c:pt>
                <c:pt idx="80">
                  <c:v>-1.2527621728692395</c:v>
                </c:pt>
                <c:pt idx="81">
                  <c:v>-1.332891764347039</c:v>
                </c:pt>
                <c:pt idx="82">
                  <c:v>-1.4076042161960913</c:v>
                </c:pt>
                <c:pt idx="83">
                  <c:v>-1.3519788811354374</c:v>
                </c:pt>
                <c:pt idx="84">
                  <c:v>-1.3360675345080324</c:v>
                </c:pt>
                <c:pt idx="85">
                  <c:v>-1.1568085873269069</c:v>
                </c:pt>
                <c:pt idx="86">
                  <c:v>-1.0047759809904164</c:v>
                </c:pt>
                <c:pt idx="87">
                  <c:v>-0.90372734661292498</c:v>
                </c:pt>
                <c:pt idx="88">
                  <c:v>-0.84058408780876448</c:v>
                </c:pt>
                <c:pt idx="89">
                  <c:v>-0.98973869600709463</c:v>
                </c:pt>
                <c:pt idx="90">
                  <c:v>-1.1248343155812108</c:v>
                </c:pt>
                <c:pt idx="91">
                  <c:v>-1.1404809199133012</c:v>
                </c:pt>
                <c:pt idx="92">
                  <c:v>-1.2546145168126088</c:v>
                </c:pt>
                <c:pt idx="93">
                  <c:v>-1.5921879671831789</c:v>
                </c:pt>
                <c:pt idx="94">
                  <c:v>-1.9246778446281212</c:v>
                </c:pt>
                <c:pt idx="95">
                  <c:v>-2.0794812774453248</c:v>
                </c:pt>
                <c:pt idx="96">
                  <c:v>-2.0262989951517341</c:v>
                </c:pt>
                <c:pt idx="97">
                  <c:v>-2.0030217199057461</c:v>
                </c:pt>
                <c:pt idx="98">
                  <c:v>-1.9675421256827406</c:v>
                </c:pt>
                <c:pt idx="99">
                  <c:v>-1.6548724478649319</c:v>
                </c:pt>
                <c:pt idx="100">
                  <c:v>-1.3942352649835925</c:v>
                </c:pt>
                <c:pt idx="101">
                  <c:v>-1.131864420675015</c:v>
                </c:pt>
                <c:pt idx="102">
                  <c:v>-0.95408823871616733</c:v>
                </c:pt>
                <c:pt idx="103">
                  <c:v>-0.8988608797602069</c:v>
                </c:pt>
                <c:pt idx="104">
                  <c:v>-0.88523419248971891</c:v>
                </c:pt>
                <c:pt idx="105">
                  <c:v>-1.1620197316084102</c:v>
                </c:pt>
                <c:pt idx="106">
                  <c:v>-1.5578828208711002</c:v>
                </c:pt>
                <c:pt idx="107">
                  <c:v>-1.8359193401410607</c:v>
                </c:pt>
                <c:pt idx="108">
                  <c:v>-2.0240571334136632</c:v>
                </c:pt>
                <c:pt idx="109">
                  <c:v>-2.1683353801837768</c:v>
                </c:pt>
                <c:pt idx="110">
                  <c:v>-2.0691991304431383</c:v>
                </c:pt>
                <c:pt idx="111">
                  <c:v>-1.9176912523791714</c:v>
                </c:pt>
                <c:pt idx="112">
                  <c:v>-1.7755390259486887</c:v>
                </c:pt>
                <c:pt idx="113">
                  <c:v>-1.526667178734499</c:v>
                </c:pt>
                <c:pt idx="114">
                  <c:v>-1.3055092679115887</c:v>
                </c:pt>
                <c:pt idx="115">
                  <c:v>-1.0918327364359754</c:v>
                </c:pt>
                <c:pt idx="116">
                  <c:v>-1.0451991834401611</c:v>
                </c:pt>
                <c:pt idx="117">
                  <c:v>-0.94729313270619286</c:v>
                </c:pt>
                <c:pt idx="118">
                  <c:v>-0.75130072107467072</c:v>
                </c:pt>
                <c:pt idx="119">
                  <c:v>-0.3753944074479989</c:v>
                </c:pt>
                <c:pt idx="120">
                  <c:v>1.1944093626425456E-2</c:v>
                </c:pt>
                <c:pt idx="121">
                  <c:v>0.25305609197673107</c:v>
                </c:pt>
                <c:pt idx="122">
                  <c:v>0.43429134889535703</c:v>
                </c:pt>
                <c:pt idx="123">
                  <c:v>0.37030995361627106</c:v>
                </c:pt>
                <c:pt idx="124">
                  <c:v>0.30160304901164636</c:v>
                </c:pt>
                <c:pt idx="125">
                  <c:v>0.3233101402871057</c:v>
                </c:pt>
                <c:pt idx="126">
                  <c:v>0.23213125008655311</c:v>
                </c:pt>
                <c:pt idx="127">
                  <c:v>0.26893261816204017</c:v>
                </c:pt>
                <c:pt idx="128">
                  <c:v>0.3704843154501134</c:v>
                </c:pt>
                <c:pt idx="129">
                  <c:v>0.46018454192423519</c:v>
                </c:pt>
                <c:pt idx="130">
                  <c:v>0.60658575022250716</c:v>
                </c:pt>
                <c:pt idx="131">
                  <c:v>0.78058571968443857</c:v>
                </c:pt>
                <c:pt idx="132">
                  <c:v>0.82744511775649698</c:v>
                </c:pt>
                <c:pt idx="133">
                  <c:v>0.8906261832800908</c:v>
                </c:pt>
                <c:pt idx="134">
                  <c:v>0.76165834363868612</c:v>
                </c:pt>
                <c:pt idx="135">
                  <c:v>0.75404355937675405</c:v>
                </c:pt>
                <c:pt idx="136">
                  <c:v>0.68125085308176381</c:v>
                </c:pt>
                <c:pt idx="137">
                  <c:v>0.53109986264456666</c:v>
                </c:pt>
                <c:pt idx="138">
                  <c:v>0.50472971500695962</c:v>
                </c:pt>
                <c:pt idx="139">
                  <c:v>0.66019777922244316</c:v>
                </c:pt>
                <c:pt idx="140">
                  <c:v>0.53436566110951844</c:v>
                </c:pt>
                <c:pt idx="141">
                  <c:v>0.32758134451268006</c:v>
                </c:pt>
                <c:pt idx="142">
                  <c:v>-7.5085357601807345E-2</c:v>
                </c:pt>
                <c:pt idx="143">
                  <c:v>-0.43517937939975582</c:v>
                </c:pt>
                <c:pt idx="144">
                  <c:v>-0.71872678246762689</c:v>
                </c:pt>
                <c:pt idx="145">
                  <c:v>-0.95422714917361873</c:v>
                </c:pt>
                <c:pt idx="146">
                  <c:v>-1.099941372100858</c:v>
                </c:pt>
                <c:pt idx="147">
                  <c:v>-1.1194047504956757</c:v>
                </c:pt>
                <c:pt idx="148">
                  <c:v>-1.1123244372665795</c:v>
                </c:pt>
                <c:pt idx="149">
                  <c:v>-1.1315939988419075</c:v>
                </c:pt>
                <c:pt idx="150">
                  <c:v>-1.2239380257303765</c:v>
                </c:pt>
                <c:pt idx="151">
                  <c:v>-1.2647894653070182</c:v>
                </c:pt>
                <c:pt idx="152">
                  <c:v>-1.4307580921513079</c:v>
                </c:pt>
                <c:pt idx="153">
                  <c:v>-1.3745710266629203</c:v>
                </c:pt>
                <c:pt idx="154">
                  <c:v>-1.4624635420020695</c:v>
                </c:pt>
                <c:pt idx="155">
                  <c:v>-1.5234338769030842</c:v>
                </c:pt>
                <c:pt idx="156">
                  <c:v>-1.6248387389833283</c:v>
                </c:pt>
                <c:pt idx="157">
                  <c:v>-1.8612688874623871</c:v>
                </c:pt>
                <c:pt idx="158">
                  <c:v>-1.8920757686073557</c:v>
                </c:pt>
                <c:pt idx="159">
                  <c:v>-2.0334535157310825</c:v>
                </c:pt>
                <c:pt idx="160">
                  <c:v>-1.947143163583263</c:v>
                </c:pt>
                <c:pt idx="161">
                  <c:v>-1.7137416835405475</c:v>
                </c:pt>
                <c:pt idx="162">
                  <c:v>-1.4666750916718456</c:v>
                </c:pt>
                <c:pt idx="163">
                  <c:v>-1.2835126611004171</c:v>
                </c:pt>
                <c:pt idx="164">
                  <c:v>-1.0791146011244734</c:v>
                </c:pt>
                <c:pt idx="165">
                  <c:v>-0.90587834785418409</c:v>
                </c:pt>
                <c:pt idx="166">
                  <c:v>-0.73749235628508814</c:v>
                </c:pt>
                <c:pt idx="167">
                  <c:v>-0.65699059814653538</c:v>
                </c:pt>
                <c:pt idx="168">
                  <c:v>-0.61594801728983839</c:v>
                </c:pt>
                <c:pt idx="169">
                  <c:v>-0.78418020588031823</c:v>
                </c:pt>
                <c:pt idx="170">
                  <c:v>-0.8424341404639506</c:v>
                </c:pt>
                <c:pt idx="171">
                  <c:v>-0.81545435541735856</c:v>
                </c:pt>
                <c:pt idx="172">
                  <c:v>-0.97248780752710218</c:v>
                </c:pt>
                <c:pt idx="173">
                  <c:v>-1.1522435001199085</c:v>
                </c:pt>
                <c:pt idx="174">
                  <c:v>-1.3900322222353907</c:v>
                </c:pt>
                <c:pt idx="175">
                  <c:v>-1.5333705974286147</c:v>
                </c:pt>
                <c:pt idx="176">
                  <c:v>-1.5603921666264</c:v>
                </c:pt>
                <c:pt idx="177">
                  <c:v>-1.6818433428739183</c:v>
                </c:pt>
                <c:pt idx="178">
                  <c:v>-1.5153239699296535</c:v>
                </c:pt>
                <c:pt idx="179">
                  <c:v>-1.4098706267975274</c:v>
                </c:pt>
                <c:pt idx="180">
                  <c:v>-1.3151721884256631</c:v>
                </c:pt>
                <c:pt idx="181">
                  <c:v>-1.2491244411152138</c:v>
                </c:pt>
                <c:pt idx="182">
                  <c:v>-1.3307209417567378</c:v>
                </c:pt>
                <c:pt idx="183">
                  <c:v>-1.2861515796752201</c:v>
                </c:pt>
                <c:pt idx="184">
                  <c:v>-1.2365755657404236</c:v>
                </c:pt>
                <c:pt idx="185">
                  <c:v>-1.0879154344155211</c:v>
                </c:pt>
                <c:pt idx="186">
                  <c:v>-0.74126814708787947</c:v>
                </c:pt>
                <c:pt idx="187">
                  <c:v>-0.77553288610937443</c:v>
                </c:pt>
                <c:pt idx="188">
                  <c:v>-0.67308465729590239</c:v>
                </c:pt>
                <c:pt idx="189">
                  <c:v>-0.60429376968082238</c:v>
                </c:pt>
                <c:pt idx="190">
                  <c:v>-0.5506907236042764</c:v>
                </c:pt>
                <c:pt idx="191">
                  <c:v>-0.55985425475680017</c:v>
                </c:pt>
                <c:pt idx="192">
                  <c:v>-0.68669344007849986</c:v>
                </c:pt>
                <c:pt idx="193">
                  <c:v>-0.71043703609885256</c:v>
                </c:pt>
                <c:pt idx="194">
                  <c:v>-0.82863572772623684</c:v>
                </c:pt>
                <c:pt idx="195">
                  <c:v>-1.0641630704231773</c:v>
                </c:pt>
                <c:pt idx="196">
                  <c:v>-1.6442011529301794</c:v>
                </c:pt>
                <c:pt idx="197">
                  <c:v>-1.9770036260860309</c:v>
                </c:pt>
                <c:pt idx="198">
                  <c:v>-2.2000596534749661</c:v>
                </c:pt>
                <c:pt idx="199">
                  <c:v>-2.2747609894238678</c:v>
                </c:pt>
                <c:pt idx="200">
                  <c:v>-2.1414385490485017</c:v>
                </c:pt>
                <c:pt idx="201">
                  <c:v>-1.8299017248336611</c:v>
                </c:pt>
                <c:pt idx="202">
                  <c:v>-1.5585848201087913</c:v>
                </c:pt>
                <c:pt idx="203">
                  <c:v>-1.1208455378302347</c:v>
                </c:pt>
                <c:pt idx="204">
                  <c:v>-0.94779230484468258</c:v>
                </c:pt>
                <c:pt idx="205">
                  <c:v>-0.8859666401996833</c:v>
                </c:pt>
                <c:pt idx="206">
                  <c:v>-0.96862782442138951</c:v>
                </c:pt>
                <c:pt idx="207">
                  <c:v>-0.98326404767863096</c:v>
                </c:pt>
                <c:pt idx="208">
                  <c:v>-0.87902446136817503</c:v>
                </c:pt>
                <c:pt idx="209">
                  <c:v>-0.76739487709221521</c:v>
                </c:pt>
                <c:pt idx="210">
                  <c:v>-0.68475181388922124</c:v>
                </c:pt>
                <c:pt idx="211">
                  <c:v>-0.65368101720437721</c:v>
                </c:pt>
                <c:pt idx="212">
                  <c:v>-0.68091978313839263</c:v>
                </c:pt>
                <c:pt idx="213">
                  <c:v>-0.81575448826461638</c:v>
                </c:pt>
                <c:pt idx="214">
                  <c:v>-1.0253742203348679</c:v>
                </c:pt>
                <c:pt idx="215">
                  <c:v>-1.2146161845456334</c:v>
                </c:pt>
                <c:pt idx="216">
                  <c:v>-1.4982146900151179</c:v>
                </c:pt>
                <c:pt idx="217">
                  <c:v>-1.4249290211947141</c:v>
                </c:pt>
                <c:pt idx="218">
                  <c:v>-1.3241504599115501</c:v>
                </c:pt>
                <c:pt idx="219">
                  <c:v>-1.1032652570838479</c:v>
                </c:pt>
                <c:pt idx="220">
                  <c:v>-0.85541200407544693</c:v>
                </c:pt>
                <c:pt idx="221">
                  <c:v>-0.48315760922184836</c:v>
                </c:pt>
                <c:pt idx="222">
                  <c:v>-0.32320721314886214</c:v>
                </c:pt>
                <c:pt idx="223">
                  <c:v>-0.20218388616117977</c:v>
                </c:pt>
                <c:pt idx="224">
                  <c:v>9.1976086677163948E-2</c:v>
                </c:pt>
                <c:pt idx="225">
                  <c:v>0.24640938634618692</c:v>
                </c:pt>
                <c:pt idx="226">
                  <c:v>0.67331400134219166</c:v>
                </c:pt>
                <c:pt idx="227">
                  <c:v>1.0176601925630848</c:v>
                </c:pt>
                <c:pt idx="228">
                  <c:v>1.2232002547154934</c:v>
                </c:pt>
                <c:pt idx="229">
                  <c:v>1.2785584201657514</c:v>
                </c:pt>
                <c:pt idx="230">
                  <c:v>1.2275876561149346</c:v>
                </c:pt>
                <c:pt idx="231">
                  <c:v>1.3778802181136882</c:v>
                </c:pt>
                <c:pt idx="232">
                  <c:v>1.6291022513820792</c:v>
                </c:pt>
                <c:pt idx="233">
                  <c:v>1.9206397161777318</c:v>
                </c:pt>
                <c:pt idx="234">
                  <c:v>2.297079157642429</c:v>
                </c:pt>
                <c:pt idx="235">
                  <c:v>2.6894795273638579</c:v>
                </c:pt>
                <c:pt idx="236">
                  <c:v>3.1050697939277541</c:v>
                </c:pt>
                <c:pt idx="237">
                  <c:v>3.4399616575441598</c:v>
                </c:pt>
                <c:pt idx="238">
                  <c:v>3.5163588537388364</c:v>
                </c:pt>
                <c:pt idx="239">
                  <c:v>3.6757428809142993</c:v>
                </c:pt>
                <c:pt idx="240">
                  <c:v>3.8321179121097373</c:v>
                </c:pt>
                <c:pt idx="241">
                  <c:v>4.0074873193185852</c:v>
                </c:pt>
                <c:pt idx="242">
                  <c:v>4.0082754609287292</c:v>
                </c:pt>
                <c:pt idx="243">
                  <c:v>3.9217331164816471</c:v>
                </c:pt>
                <c:pt idx="244">
                  <c:v>3.5946502754877088</c:v>
                </c:pt>
                <c:pt idx="245">
                  <c:v>3.433036650486855</c:v>
                </c:pt>
                <c:pt idx="246">
                  <c:v>3.4443873813211212</c:v>
                </c:pt>
                <c:pt idx="247">
                  <c:v>3.7642275564041086</c:v>
                </c:pt>
                <c:pt idx="248">
                  <c:v>3.9806923368092555</c:v>
                </c:pt>
                <c:pt idx="249">
                  <c:v>3.9541540042285988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5-43D0-BB64-1E84AFC92331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Data!$B$2:$B$252</c:f>
              <c:numCache>
                <c:formatCode>m/d/yyyy</c:formatCode>
                <c:ptCount val="251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45719</c:v>
                </c:pt>
                <c:pt idx="4">
                  <c:v>45720</c:v>
                </c:pt>
                <c:pt idx="5">
                  <c:v>45721</c:v>
                </c:pt>
                <c:pt idx="6">
                  <c:v>45722</c:v>
                </c:pt>
                <c:pt idx="7">
                  <c:v>45723</c:v>
                </c:pt>
                <c:pt idx="8">
                  <c:v>45726</c:v>
                </c:pt>
                <c:pt idx="9">
                  <c:v>45727</c:v>
                </c:pt>
                <c:pt idx="10">
                  <c:v>45728</c:v>
                </c:pt>
                <c:pt idx="11">
                  <c:v>45729</c:v>
                </c:pt>
                <c:pt idx="12">
                  <c:v>45730</c:v>
                </c:pt>
                <c:pt idx="13">
                  <c:v>45733</c:v>
                </c:pt>
                <c:pt idx="14">
                  <c:v>45734</c:v>
                </c:pt>
                <c:pt idx="15">
                  <c:v>45735</c:v>
                </c:pt>
                <c:pt idx="16">
                  <c:v>45736</c:v>
                </c:pt>
                <c:pt idx="17">
                  <c:v>45737</c:v>
                </c:pt>
                <c:pt idx="18">
                  <c:v>45740</c:v>
                </c:pt>
                <c:pt idx="19">
                  <c:v>45741</c:v>
                </c:pt>
                <c:pt idx="20">
                  <c:v>45742</c:v>
                </c:pt>
                <c:pt idx="21">
                  <c:v>45743</c:v>
                </c:pt>
                <c:pt idx="22">
                  <c:v>45744</c:v>
                </c:pt>
                <c:pt idx="23">
                  <c:v>45747</c:v>
                </c:pt>
                <c:pt idx="24">
                  <c:v>45748</c:v>
                </c:pt>
                <c:pt idx="25">
                  <c:v>45749</c:v>
                </c:pt>
                <c:pt idx="26">
                  <c:v>45750</c:v>
                </c:pt>
                <c:pt idx="27">
                  <c:v>45751</c:v>
                </c:pt>
                <c:pt idx="28">
                  <c:v>45754</c:v>
                </c:pt>
                <c:pt idx="29">
                  <c:v>45755</c:v>
                </c:pt>
                <c:pt idx="30">
                  <c:v>45756</c:v>
                </c:pt>
                <c:pt idx="31">
                  <c:v>45757</c:v>
                </c:pt>
                <c:pt idx="32">
                  <c:v>45758</c:v>
                </c:pt>
                <c:pt idx="33">
                  <c:v>45761</c:v>
                </c:pt>
                <c:pt idx="34">
                  <c:v>45762</c:v>
                </c:pt>
                <c:pt idx="35">
                  <c:v>45763</c:v>
                </c:pt>
                <c:pt idx="36">
                  <c:v>45764</c:v>
                </c:pt>
                <c:pt idx="37">
                  <c:v>45768</c:v>
                </c:pt>
                <c:pt idx="38">
                  <c:v>45769</c:v>
                </c:pt>
                <c:pt idx="39">
                  <c:v>45770</c:v>
                </c:pt>
                <c:pt idx="40">
                  <c:v>45771</c:v>
                </c:pt>
                <c:pt idx="41">
                  <c:v>45772</c:v>
                </c:pt>
                <c:pt idx="42">
                  <c:v>45775</c:v>
                </c:pt>
                <c:pt idx="43">
                  <c:v>45776</c:v>
                </c:pt>
                <c:pt idx="44">
                  <c:v>45777</c:v>
                </c:pt>
                <c:pt idx="45">
                  <c:v>45778</c:v>
                </c:pt>
                <c:pt idx="46">
                  <c:v>45779</c:v>
                </c:pt>
                <c:pt idx="47">
                  <c:v>45782</c:v>
                </c:pt>
                <c:pt idx="48">
                  <c:v>45783</c:v>
                </c:pt>
                <c:pt idx="49">
                  <c:v>45784</c:v>
                </c:pt>
                <c:pt idx="50">
                  <c:v>45785</c:v>
                </c:pt>
                <c:pt idx="51">
                  <c:v>45786</c:v>
                </c:pt>
                <c:pt idx="52">
                  <c:v>45789</c:v>
                </c:pt>
                <c:pt idx="53">
                  <c:v>45790</c:v>
                </c:pt>
                <c:pt idx="54">
                  <c:v>45791</c:v>
                </c:pt>
                <c:pt idx="55">
                  <c:v>45792</c:v>
                </c:pt>
                <c:pt idx="56">
                  <c:v>45793</c:v>
                </c:pt>
                <c:pt idx="57">
                  <c:v>45796</c:v>
                </c:pt>
                <c:pt idx="58">
                  <c:v>45797</c:v>
                </c:pt>
                <c:pt idx="59">
                  <c:v>45798</c:v>
                </c:pt>
                <c:pt idx="60">
                  <c:v>45799</c:v>
                </c:pt>
                <c:pt idx="61">
                  <c:v>45800</c:v>
                </c:pt>
                <c:pt idx="62">
                  <c:v>45804</c:v>
                </c:pt>
                <c:pt idx="63">
                  <c:v>45805</c:v>
                </c:pt>
                <c:pt idx="64">
                  <c:v>45806</c:v>
                </c:pt>
                <c:pt idx="65">
                  <c:v>45807</c:v>
                </c:pt>
                <c:pt idx="66">
                  <c:v>45810</c:v>
                </c:pt>
                <c:pt idx="67">
                  <c:v>45811</c:v>
                </c:pt>
                <c:pt idx="68">
                  <c:v>45812</c:v>
                </c:pt>
                <c:pt idx="69">
                  <c:v>45813</c:v>
                </c:pt>
                <c:pt idx="70">
                  <c:v>45814</c:v>
                </c:pt>
                <c:pt idx="71">
                  <c:v>45817</c:v>
                </c:pt>
                <c:pt idx="72">
                  <c:v>45818</c:v>
                </c:pt>
                <c:pt idx="73">
                  <c:v>45819</c:v>
                </c:pt>
                <c:pt idx="74">
                  <c:v>45820</c:v>
                </c:pt>
                <c:pt idx="75">
                  <c:v>45821</c:v>
                </c:pt>
                <c:pt idx="76">
                  <c:v>45824</c:v>
                </c:pt>
                <c:pt idx="77">
                  <c:v>45825</c:v>
                </c:pt>
                <c:pt idx="78">
                  <c:v>45826</c:v>
                </c:pt>
                <c:pt idx="79">
                  <c:v>45828</c:v>
                </c:pt>
                <c:pt idx="80">
                  <c:v>45831</c:v>
                </c:pt>
                <c:pt idx="81">
                  <c:v>45832</c:v>
                </c:pt>
                <c:pt idx="82">
                  <c:v>45833</c:v>
                </c:pt>
                <c:pt idx="83">
                  <c:v>45834</c:v>
                </c:pt>
                <c:pt idx="84">
                  <c:v>45835</c:v>
                </c:pt>
                <c:pt idx="85">
                  <c:v>45838</c:v>
                </c:pt>
                <c:pt idx="86">
                  <c:v>45839</c:v>
                </c:pt>
                <c:pt idx="87">
                  <c:v>45840</c:v>
                </c:pt>
                <c:pt idx="88">
                  <c:v>45841</c:v>
                </c:pt>
                <c:pt idx="89">
                  <c:v>45845</c:v>
                </c:pt>
                <c:pt idx="90">
                  <c:v>45846</c:v>
                </c:pt>
                <c:pt idx="91">
                  <c:v>45847</c:v>
                </c:pt>
                <c:pt idx="92">
                  <c:v>45848</c:v>
                </c:pt>
                <c:pt idx="93">
                  <c:v>45849</c:v>
                </c:pt>
                <c:pt idx="94">
                  <c:v>45852</c:v>
                </c:pt>
                <c:pt idx="95">
                  <c:v>45853</c:v>
                </c:pt>
                <c:pt idx="96">
                  <c:v>45854</c:v>
                </c:pt>
                <c:pt idx="97">
                  <c:v>45855</c:v>
                </c:pt>
                <c:pt idx="98">
                  <c:v>45856</c:v>
                </c:pt>
                <c:pt idx="99">
                  <c:v>45859</c:v>
                </c:pt>
                <c:pt idx="100">
                  <c:v>45860</c:v>
                </c:pt>
                <c:pt idx="101">
                  <c:v>45861</c:v>
                </c:pt>
                <c:pt idx="102">
                  <c:v>45862</c:v>
                </c:pt>
                <c:pt idx="103">
                  <c:v>45863</c:v>
                </c:pt>
                <c:pt idx="104">
                  <c:v>45866</c:v>
                </c:pt>
                <c:pt idx="105">
                  <c:v>45867</c:v>
                </c:pt>
                <c:pt idx="106">
                  <c:v>45868</c:v>
                </c:pt>
                <c:pt idx="107">
                  <c:v>45869</c:v>
                </c:pt>
                <c:pt idx="108">
                  <c:v>45870</c:v>
                </c:pt>
                <c:pt idx="109">
                  <c:v>45873</c:v>
                </c:pt>
                <c:pt idx="110">
                  <c:v>45874</c:v>
                </c:pt>
                <c:pt idx="111">
                  <c:v>45875</c:v>
                </c:pt>
                <c:pt idx="112">
                  <c:v>45876</c:v>
                </c:pt>
                <c:pt idx="113">
                  <c:v>45877</c:v>
                </c:pt>
                <c:pt idx="114">
                  <c:v>45880</c:v>
                </c:pt>
                <c:pt idx="115">
                  <c:v>45881</c:v>
                </c:pt>
                <c:pt idx="116">
                  <c:v>45882</c:v>
                </c:pt>
                <c:pt idx="117">
                  <c:v>45883</c:v>
                </c:pt>
                <c:pt idx="118">
                  <c:v>45884</c:v>
                </c:pt>
                <c:pt idx="119">
                  <c:v>45887</c:v>
                </c:pt>
                <c:pt idx="120">
                  <c:v>45888</c:v>
                </c:pt>
                <c:pt idx="121">
                  <c:v>45889</c:v>
                </c:pt>
                <c:pt idx="122">
                  <c:v>45890</c:v>
                </c:pt>
                <c:pt idx="123">
                  <c:v>45891</c:v>
                </c:pt>
                <c:pt idx="124">
                  <c:v>45894</c:v>
                </c:pt>
                <c:pt idx="125">
                  <c:v>45895</c:v>
                </c:pt>
                <c:pt idx="126">
                  <c:v>45896</c:v>
                </c:pt>
                <c:pt idx="127">
                  <c:v>45897</c:v>
                </c:pt>
                <c:pt idx="128">
                  <c:v>45898</c:v>
                </c:pt>
                <c:pt idx="129">
                  <c:v>45902</c:v>
                </c:pt>
                <c:pt idx="130">
                  <c:v>45903</c:v>
                </c:pt>
                <c:pt idx="131">
                  <c:v>45904</c:v>
                </c:pt>
                <c:pt idx="132">
                  <c:v>45905</c:v>
                </c:pt>
                <c:pt idx="133">
                  <c:v>45908</c:v>
                </c:pt>
                <c:pt idx="134">
                  <c:v>45909</c:v>
                </c:pt>
                <c:pt idx="135">
                  <c:v>45910</c:v>
                </c:pt>
                <c:pt idx="136">
                  <c:v>45911</c:v>
                </c:pt>
                <c:pt idx="137">
                  <c:v>45912</c:v>
                </c:pt>
                <c:pt idx="138">
                  <c:v>45915</c:v>
                </c:pt>
                <c:pt idx="139">
                  <c:v>45916</c:v>
                </c:pt>
                <c:pt idx="140">
                  <c:v>45917</c:v>
                </c:pt>
                <c:pt idx="141">
                  <c:v>45918</c:v>
                </c:pt>
                <c:pt idx="142">
                  <c:v>45919</c:v>
                </c:pt>
                <c:pt idx="143">
                  <c:v>45922</c:v>
                </c:pt>
                <c:pt idx="144">
                  <c:v>45923</c:v>
                </c:pt>
                <c:pt idx="145">
                  <c:v>45924</c:v>
                </c:pt>
                <c:pt idx="146">
                  <c:v>45925</c:v>
                </c:pt>
                <c:pt idx="147">
                  <c:v>45926</c:v>
                </c:pt>
                <c:pt idx="148">
                  <c:v>45929</c:v>
                </c:pt>
                <c:pt idx="149">
                  <c:v>45930</c:v>
                </c:pt>
                <c:pt idx="150">
                  <c:v>45931</c:v>
                </c:pt>
                <c:pt idx="151">
                  <c:v>45932</c:v>
                </c:pt>
                <c:pt idx="152">
                  <c:v>45933</c:v>
                </c:pt>
                <c:pt idx="153">
                  <c:v>45936</c:v>
                </c:pt>
                <c:pt idx="154">
                  <c:v>45937</c:v>
                </c:pt>
                <c:pt idx="155">
                  <c:v>45938</c:v>
                </c:pt>
                <c:pt idx="156">
                  <c:v>45939</c:v>
                </c:pt>
                <c:pt idx="157">
                  <c:v>45940</c:v>
                </c:pt>
                <c:pt idx="158">
                  <c:v>45943</c:v>
                </c:pt>
                <c:pt idx="159">
                  <c:v>45944</c:v>
                </c:pt>
                <c:pt idx="160">
                  <c:v>45945</c:v>
                </c:pt>
                <c:pt idx="161">
                  <c:v>45946</c:v>
                </c:pt>
                <c:pt idx="162">
                  <c:v>45947</c:v>
                </c:pt>
                <c:pt idx="163">
                  <c:v>45950</c:v>
                </c:pt>
                <c:pt idx="164">
                  <c:v>45951</c:v>
                </c:pt>
                <c:pt idx="165">
                  <c:v>45952</c:v>
                </c:pt>
                <c:pt idx="166">
                  <c:v>45953</c:v>
                </c:pt>
                <c:pt idx="167">
                  <c:v>45954</c:v>
                </c:pt>
                <c:pt idx="168">
                  <c:v>45957</c:v>
                </c:pt>
                <c:pt idx="169">
                  <c:v>45958</c:v>
                </c:pt>
                <c:pt idx="170">
                  <c:v>45959</c:v>
                </c:pt>
                <c:pt idx="171">
                  <c:v>45960</c:v>
                </c:pt>
                <c:pt idx="172">
                  <c:v>45961</c:v>
                </c:pt>
                <c:pt idx="173">
                  <c:v>45964</c:v>
                </c:pt>
                <c:pt idx="174">
                  <c:v>45965</c:v>
                </c:pt>
                <c:pt idx="175">
                  <c:v>45966</c:v>
                </c:pt>
                <c:pt idx="176">
                  <c:v>45967</c:v>
                </c:pt>
                <c:pt idx="177">
                  <c:v>45968</c:v>
                </c:pt>
                <c:pt idx="178">
                  <c:v>45971</c:v>
                </c:pt>
                <c:pt idx="179">
                  <c:v>45972</c:v>
                </c:pt>
                <c:pt idx="180">
                  <c:v>45973</c:v>
                </c:pt>
                <c:pt idx="181">
                  <c:v>45974</c:v>
                </c:pt>
                <c:pt idx="182">
                  <c:v>45975</c:v>
                </c:pt>
                <c:pt idx="183">
                  <c:v>45978</c:v>
                </c:pt>
                <c:pt idx="184">
                  <c:v>45979</c:v>
                </c:pt>
                <c:pt idx="185">
                  <c:v>45980</c:v>
                </c:pt>
                <c:pt idx="186">
                  <c:v>45981</c:v>
                </c:pt>
                <c:pt idx="187">
                  <c:v>45982</c:v>
                </c:pt>
                <c:pt idx="188">
                  <c:v>45985</c:v>
                </c:pt>
                <c:pt idx="189">
                  <c:v>45986</c:v>
                </c:pt>
                <c:pt idx="190">
                  <c:v>45987</c:v>
                </c:pt>
                <c:pt idx="191">
                  <c:v>45989</c:v>
                </c:pt>
                <c:pt idx="192">
                  <c:v>45992</c:v>
                </c:pt>
                <c:pt idx="193">
                  <c:v>45993</c:v>
                </c:pt>
                <c:pt idx="194">
                  <c:v>45994</c:v>
                </c:pt>
                <c:pt idx="195">
                  <c:v>45995</c:v>
                </c:pt>
                <c:pt idx="196">
                  <c:v>45996</c:v>
                </c:pt>
                <c:pt idx="197">
                  <c:v>45999</c:v>
                </c:pt>
                <c:pt idx="198">
                  <c:v>46000</c:v>
                </c:pt>
                <c:pt idx="199">
                  <c:v>46001</c:v>
                </c:pt>
                <c:pt idx="200">
                  <c:v>46002</c:v>
                </c:pt>
                <c:pt idx="201">
                  <c:v>46003</c:v>
                </c:pt>
                <c:pt idx="202">
                  <c:v>46006</c:v>
                </c:pt>
                <c:pt idx="203">
                  <c:v>46007</c:v>
                </c:pt>
                <c:pt idx="204">
                  <c:v>46008</c:v>
                </c:pt>
                <c:pt idx="205">
                  <c:v>46009</c:v>
                </c:pt>
                <c:pt idx="206">
                  <c:v>46010</c:v>
                </c:pt>
                <c:pt idx="207">
                  <c:v>46013</c:v>
                </c:pt>
                <c:pt idx="208">
                  <c:v>46014</c:v>
                </c:pt>
                <c:pt idx="209">
                  <c:v>46015</c:v>
                </c:pt>
                <c:pt idx="210">
                  <c:v>46017</c:v>
                </c:pt>
                <c:pt idx="211">
                  <c:v>46020</c:v>
                </c:pt>
                <c:pt idx="212">
                  <c:v>46021</c:v>
                </c:pt>
                <c:pt idx="213">
                  <c:v>46022</c:v>
                </c:pt>
                <c:pt idx="214">
                  <c:v>46024</c:v>
                </c:pt>
                <c:pt idx="215">
                  <c:v>46027</c:v>
                </c:pt>
                <c:pt idx="216">
                  <c:v>46028</c:v>
                </c:pt>
                <c:pt idx="217">
                  <c:v>46029</c:v>
                </c:pt>
                <c:pt idx="218">
                  <c:v>46030</c:v>
                </c:pt>
                <c:pt idx="219">
                  <c:v>46031</c:v>
                </c:pt>
                <c:pt idx="220">
                  <c:v>46034</c:v>
                </c:pt>
                <c:pt idx="221">
                  <c:v>46035</c:v>
                </c:pt>
                <c:pt idx="222">
                  <c:v>46036</c:v>
                </c:pt>
                <c:pt idx="223">
                  <c:v>46037</c:v>
                </c:pt>
                <c:pt idx="224">
                  <c:v>46038</c:v>
                </c:pt>
                <c:pt idx="225">
                  <c:v>46042</c:v>
                </c:pt>
                <c:pt idx="226">
                  <c:v>46043</c:v>
                </c:pt>
                <c:pt idx="227">
                  <c:v>46044</c:v>
                </c:pt>
                <c:pt idx="228">
                  <c:v>46045</c:v>
                </c:pt>
                <c:pt idx="229">
                  <c:v>46048</c:v>
                </c:pt>
                <c:pt idx="230">
                  <c:v>46049</c:v>
                </c:pt>
                <c:pt idx="231">
                  <c:v>46050</c:v>
                </c:pt>
                <c:pt idx="232">
                  <c:v>46051</c:v>
                </c:pt>
                <c:pt idx="233">
                  <c:v>46052</c:v>
                </c:pt>
                <c:pt idx="234">
                  <c:v>46055</c:v>
                </c:pt>
                <c:pt idx="235">
                  <c:v>46056</c:v>
                </c:pt>
                <c:pt idx="236">
                  <c:v>46057</c:v>
                </c:pt>
                <c:pt idx="237">
                  <c:v>46058</c:v>
                </c:pt>
                <c:pt idx="238">
                  <c:v>46059</c:v>
                </c:pt>
                <c:pt idx="239">
                  <c:v>46062</c:v>
                </c:pt>
                <c:pt idx="240">
                  <c:v>46063</c:v>
                </c:pt>
                <c:pt idx="241">
                  <c:v>46064</c:v>
                </c:pt>
                <c:pt idx="242">
                  <c:v>46065</c:v>
                </c:pt>
                <c:pt idx="243">
                  <c:v>46066</c:v>
                </c:pt>
                <c:pt idx="244">
                  <c:v>46070</c:v>
                </c:pt>
                <c:pt idx="245">
                  <c:v>46071</c:v>
                </c:pt>
                <c:pt idx="246">
                  <c:v>46072</c:v>
                </c:pt>
                <c:pt idx="247">
                  <c:v>46073</c:v>
                </c:pt>
                <c:pt idx="248">
                  <c:v>46076</c:v>
                </c:pt>
                <c:pt idx="249">
                  <c:v>46077</c:v>
                </c:pt>
                <c:pt idx="250">
                  <c:v>46078</c:v>
                </c:pt>
              </c:numCache>
            </c:numRef>
          </c:cat>
          <c:val>
            <c:numRef>
              <c:f>Data!$Z$2:$Z$252</c:f>
              <c:numCache>
                <c:formatCode>General</c:formatCode>
                <c:ptCount val="251"/>
                <c:pt idx="34">
                  <c:v>-2.0011374486727282</c:v>
                </c:pt>
                <c:pt idx="35">
                  <c:v>-1.7796925406314581</c:v>
                </c:pt>
                <c:pt idx="36">
                  <c:v>-1.6091541461209145</c:v>
                </c:pt>
                <c:pt idx="37">
                  <c:v>-1.4418123787296282</c:v>
                </c:pt>
                <c:pt idx="38">
                  <c:v>-1.3162623394957498</c:v>
                </c:pt>
                <c:pt idx="39">
                  <c:v>-1.3194054371420287</c:v>
                </c:pt>
                <c:pt idx="40">
                  <c:v>-1.3762668617604716</c:v>
                </c:pt>
                <c:pt idx="41">
                  <c:v>-1.4474381673803078</c:v>
                </c:pt>
                <c:pt idx="42">
                  <c:v>-1.5140073968263517</c:v>
                </c:pt>
                <c:pt idx="43">
                  <c:v>-1.5658058670202544</c:v>
                </c:pt>
                <c:pt idx="44">
                  <c:v>-1.6433840990926305</c:v>
                </c:pt>
                <c:pt idx="45">
                  <c:v>-1.7206928179566165</c:v>
                </c:pt>
                <c:pt idx="46">
                  <c:v>-1.8168211163439472</c:v>
                </c:pt>
                <c:pt idx="47">
                  <c:v>-1.9088642008045968</c:v>
                </c:pt>
                <c:pt idx="48">
                  <c:v>-1.9885328374629947</c:v>
                </c:pt>
                <c:pt idx="49">
                  <c:v>-2.0619476060274313</c:v>
                </c:pt>
                <c:pt idx="50">
                  <c:v>-2.1386893238594444</c:v>
                </c:pt>
                <c:pt idx="51">
                  <c:v>-2.1569265681064729</c:v>
                </c:pt>
                <c:pt idx="52">
                  <c:v>-2.1672433259223816</c:v>
                </c:pt>
                <c:pt idx="53">
                  <c:v>-2.1784429041958364</c:v>
                </c:pt>
                <c:pt idx="54">
                  <c:v>-2.1146037187572486</c:v>
                </c:pt>
                <c:pt idx="55">
                  <c:v>-1.9883782940605816</c:v>
                </c:pt>
                <c:pt idx="56">
                  <c:v>-1.8013633324476535</c:v>
                </c:pt>
                <c:pt idx="57">
                  <c:v>-1.5680642868066428</c:v>
                </c:pt>
                <c:pt idx="58">
                  <c:v>-1.3177616871034481</c:v>
                </c:pt>
                <c:pt idx="59">
                  <c:v>-1.0733011859506116</c:v>
                </c:pt>
                <c:pt idx="60">
                  <c:v>-0.82962898665968476</c:v>
                </c:pt>
                <c:pt idx="61">
                  <c:v>-0.56702029644923169</c:v>
                </c:pt>
                <c:pt idx="62">
                  <c:v>-0.31139837450207541</c:v>
                </c:pt>
                <c:pt idx="63">
                  <c:v>-5.3700708059619184E-2</c:v>
                </c:pt>
                <c:pt idx="64">
                  <c:v>0.21313082531409278</c:v>
                </c:pt>
                <c:pt idx="65">
                  <c:v>0.43754995370361249</c:v>
                </c:pt>
                <c:pt idx="66">
                  <c:v>0.60778651507931425</c:v>
                </c:pt>
                <c:pt idx="67">
                  <c:v>0.71939416852220228</c:v>
                </c:pt>
                <c:pt idx="68">
                  <c:v>0.73650764560217297</c:v>
                </c:pt>
                <c:pt idx="69">
                  <c:v>0.7112826244069359</c:v>
                </c:pt>
                <c:pt idx="70">
                  <c:v>0.63592838574709432</c:v>
                </c:pt>
                <c:pt idx="71">
                  <c:v>0.53612214549331849</c:v>
                </c:pt>
                <c:pt idx="72">
                  <c:v>0.41335321792788804</c:v>
                </c:pt>
                <c:pt idx="73">
                  <c:v>0.29875658234051633</c:v>
                </c:pt>
                <c:pt idx="74">
                  <c:v>0.1483407930896363</c:v>
                </c:pt>
                <c:pt idx="75">
                  <c:v>-7.4061526234299319E-3</c:v>
                </c:pt>
                <c:pt idx="76">
                  <c:v>-0.19596559320391269</c:v>
                </c:pt>
                <c:pt idx="77">
                  <c:v>-0.40273723517922577</c:v>
                </c:pt>
                <c:pt idx="78">
                  <c:v>-0.59225502047754786</c:v>
                </c:pt>
                <c:pt idx="79">
                  <c:v>-0.72856260710119858</c:v>
                </c:pt>
                <c:pt idx="80">
                  <c:v>-0.83340252025480677</c:v>
                </c:pt>
                <c:pt idx="81">
                  <c:v>-0.93330036907325331</c:v>
                </c:pt>
                <c:pt idx="82">
                  <c:v>-1.0281611384978209</c:v>
                </c:pt>
                <c:pt idx="83">
                  <c:v>-1.0929246870253442</c:v>
                </c:pt>
                <c:pt idx="84">
                  <c:v>-1.141553256521882</c:v>
                </c:pt>
                <c:pt idx="85">
                  <c:v>-1.144604322682887</c:v>
                </c:pt>
                <c:pt idx="86">
                  <c:v>-1.1166386543443929</c:v>
                </c:pt>
                <c:pt idx="87">
                  <c:v>-1.0740563927980993</c:v>
                </c:pt>
                <c:pt idx="88">
                  <c:v>-1.0273619318002325</c:v>
                </c:pt>
                <c:pt idx="89">
                  <c:v>-1.0198372846416048</c:v>
                </c:pt>
                <c:pt idx="90">
                  <c:v>-1.0408366908295261</c:v>
                </c:pt>
                <c:pt idx="91">
                  <c:v>-1.0607655366462811</c:v>
                </c:pt>
                <c:pt idx="92">
                  <c:v>-1.0995353326795467</c:v>
                </c:pt>
                <c:pt idx="93">
                  <c:v>-1.1980658595802733</c:v>
                </c:pt>
                <c:pt idx="94">
                  <c:v>-1.343388256589843</c:v>
                </c:pt>
                <c:pt idx="95">
                  <c:v>-1.4906068607609395</c:v>
                </c:pt>
                <c:pt idx="96">
                  <c:v>-1.5977452876390985</c:v>
                </c:pt>
                <c:pt idx="97">
                  <c:v>-1.6788005740924281</c:v>
                </c:pt>
                <c:pt idx="98">
                  <c:v>-1.7365488844104908</c:v>
                </c:pt>
                <c:pt idx="99">
                  <c:v>-1.7202135971013792</c:v>
                </c:pt>
                <c:pt idx="100">
                  <c:v>-1.6550179306778219</c:v>
                </c:pt>
                <c:pt idx="101">
                  <c:v>-1.5503872286772606</c:v>
                </c:pt>
                <c:pt idx="102">
                  <c:v>-1.4311274306850421</c:v>
                </c:pt>
                <c:pt idx="103">
                  <c:v>-1.3246741205000752</c:v>
                </c:pt>
                <c:pt idx="104">
                  <c:v>-1.236786134898004</c:v>
                </c:pt>
                <c:pt idx="105">
                  <c:v>-1.2218328542400854</c:v>
                </c:pt>
                <c:pt idx="106">
                  <c:v>-1.2890428475662885</c:v>
                </c:pt>
                <c:pt idx="107">
                  <c:v>-1.398418146081243</c:v>
                </c:pt>
                <c:pt idx="108">
                  <c:v>-1.5235459435477272</c:v>
                </c:pt>
                <c:pt idx="109">
                  <c:v>-1.6525038308749371</c:v>
                </c:pt>
                <c:pt idx="110">
                  <c:v>-1.7358428907885775</c:v>
                </c:pt>
                <c:pt idx="111">
                  <c:v>-1.7722125631066963</c:v>
                </c:pt>
                <c:pt idx="112">
                  <c:v>-1.772877855675095</c:v>
                </c:pt>
                <c:pt idx="113">
                  <c:v>-1.7236357202869759</c:v>
                </c:pt>
                <c:pt idx="114">
                  <c:v>-1.6400104298118985</c:v>
                </c:pt>
                <c:pt idx="115">
                  <c:v>-1.5303748911367141</c:v>
                </c:pt>
                <c:pt idx="116">
                  <c:v>-1.4333397495974036</c:v>
                </c:pt>
                <c:pt idx="117">
                  <c:v>-1.3361304262191616</c:v>
                </c:pt>
                <c:pt idx="118">
                  <c:v>-1.2191644851902637</c:v>
                </c:pt>
                <c:pt idx="119">
                  <c:v>-1.0504104696418108</c:v>
                </c:pt>
                <c:pt idx="120">
                  <c:v>-0.83793955698816369</c:v>
                </c:pt>
                <c:pt idx="121">
                  <c:v>-0.61974042719518474</c:v>
                </c:pt>
                <c:pt idx="122">
                  <c:v>-0.40893407197707643</c:v>
                </c:pt>
                <c:pt idx="123">
                  <c:v>-0.25308526685840699</c:v>
                </c:pt>
                <c:pt idx="124">
                  <c:v>-0.14214760368439633</c:v>
                </c:pt>
                <c:pt idx="125">
                  <c:v>-4.9056054890095915E-2</c:v>
                </c:pt>
                <c:pt idx="126">
                  <c:v>7.1814061052338923E-3</c:v>
                </c:pt>
                <c:pt idx="127">
                  <c:v>5.9531648516595155E-2</c:v>
                </c:pt>
                <c:pt idx="128">
                  <c:v>0.12172218190329881</c:v>
                </c:pt>
                <c:pt idx="129">
                  <c:v>0.1894146539074861</c:v>
                </c:pt>
                <c:pt idx="130">
                  <c:v>0.27284887317049034</c:v>
                </c:pt>
                <c:pt idx="131">
                  <c:v>0.37439624247327996</c:v>
                </c:pt>
                <c:pt idx="132">
                  <c:v>0.46500601752992338</c:v>
                </c:pt>
                <c:pt idx="133">
                  <c:v>0.55013005067995691</c:v>
                </c:pt>
                <c:pt idx="134">
                  <c:v>0.59243570927170275</c:v>
                </c:pt>
                <c:pt idx="135">
                  <c:v>0.62475727929271307</c:v>
                </c:pt>
                <c:pt idx="136">
                  <c:v>0.63605599405052327</c:v>
                </c:pt>
                <c:pt idx="137">
                  <c:v>0.61506476776933194</c:v>
                </c:pt>
                <c:pt idx="138">
                  <c:v>0.59299775721685744</c:v>
                </c:pt>
                <c:pt idx="139">
                  <c:v>0.60643776161797458</c:v>
                </c:pt>
                <c:pt idx="140">
                  <c:v>0.59202334151628344</c:v>
                </c:pt>
                <c:pt idx="141">
                  <c:v>0.53913494211556279</c:v>
                </c:pt>
                <c:pt idx="142">
                  <c:v>0.41629088217208876</c:v>
                </c:pt>
                <c:pt idx="143">
                  <c:v>0.24599682985771987</c:v>
                </c:pt>
                <c:pt idx="144">
                  <c:v>5.3052107392650538E-2</c:v>
                </c:pt>
                <c:pt idx="145">
                  <c:v>-0.14840374392060332</c:v>
                </c:pt>
                <c:pt idx="146">
                  <c:v>-0.33871126955665426</c:v>
                </c:pt>
                <c:pt idx="147">
                  <c:v>-0.49484996574445861</c:v>
                </c:pt>
                <c:pt idx="148">
                  <c:v>-0.61834486004888278</c:v>
                </c:pt>
                <c:pt idx="149">
                  <c:v>-0.72099468780748777</c:v>
                </c:pt>
                <c:pt idx="150">
                  <c:v>-0.82158335539206562</c:v>
                </c:pt>
                <c:pt idx="151">
                  <c:v>-0.91022457737505613</c:v>
                </c:pt>
                <c:pt idx="152">
                  <c:v>-1.0143312803303064</c:v>
                </c:pt>
                <c:pt idx="153">
                  <c:v>-1.0863792295968293</c:v>
                </c:pt>
                <c:pt idx="154">
                  <c:v>-1.1615960920778774</c:v>
                </c:pt>
                <c:pt idx="155">
                  <c:v>-1.2339636490429187</c:v>
                </c:pt>
                <c:pt idx="156">
                  <c:v>-1.3121386670310007</c:v>
                </c:pt>
                <c:pt idx="157">
                  <c:v>-1.421964711117278</c:v>
                </c:pt>
                <c:pt idx="158">
                  <c:v>-1.5159869226152938</c:v>
                </c:pt>
                <c:pt idx="159">
                  <c:v>-1.6194802412384517</c:v>
                </c:pt>
                <c:pt idx="160">
                  <c:v>-1.685012825707414</c:v>
                </c:pt>
                <c:pt idx="161">
                  <c:v>-1.6907585972740407</c:v>
                </c:pt>
                <c:pt idx="162">
                  <c:v>-1.6459418961536016</c:v>
                </c:pt>
                <c:pt idx="163">
                  <c:v>-1.573456049142965</c:v>
                </c:pt>
                <c:pt idx="164">
                  <c:v>-1.4745877595392667</c:v>
                </c:pt>
                <c:pt idx="165">
                  <c:v>-1.3608458772022503</c:v>
                </c:pt>
                <c:pt idx="166">
                  <c:v>-1.2361751730188177</c:v>
                </c:pt>
                <c:pt idx="167">
                  <c:v>-1.1203382580443613</c:v>
                </c:pt>
                <c:pt idx="168">
                  <c:v>-1.0194602098934566</c:v>
                </c:pt>
                <c:pt idx="169">
                  <c:v>-0.97240420909082903</c:v>
                </c:pt>
                <c:pt idx="170">
                  <c:v>-0.94641019536545345</c:v>
                </c:pt>
                <c:pt idx="171">
                  <c:v>-0.92021902737583461</c:v>
                </c:pt>
                <c:pt idx="172">
                  <c:v>-0.93067278340608817</c:v>
                </c:pt>
                <c:pt idx="173">
                  <c:v>-0.97498692674885223</c:v>
                </c:pt>
                <c:pt idx="174">
                  <c:v>-1.0579959858461601</c:v>
                </c:pt>
                <c:pt idx="175">
                  <c:v>-1.1530709081626511</c:v>
                </c:pt>
                <c:pt idx="176">
                  <c:v>-1.2345351598554009</c:v>
                </c:pt>
                <c:pt idx="177">
                  <c:v>-1.3239967964591044</c:v>
                </c:pt>
                <c:pt idx="178">
                  <c:v>-1.3622622311532144</c:v>
                </c:pt>
                <c:pt idx="179">
                  <c:v>-1.371783910282077</c:v>
                </c:pt>
                <c:pt idx="180">
                  <c:v>-1.3604615659107941</c:v>
                </c:pt>
                <c:pt idx="181">
                  <c:v>-1.338194140951678</c:v>
                </c:pt>
                <c:pt idx="182">
                  <c:v>-1.3366995011126901</c:v>
                </c:pt>
                <c:pt idx="183">
                  <c:v>-1.326589916825196</c:v>
                </c:pt>
                <c:pt idx="184">
                  <c:v>-1.3085870466082414</c:v>
                </c:pt>
                <c:pt idx="185">
                  <c:v>-1.2644527241696975</c:v>
                </c:pt>
                <c:pt idx="186">
                  <c:v>-1.1598158087533339</c:v>
                </c:pt>
                <c:pt idx="187">
                  <c:v>-1.082959224224542</c:v>
                </c:pt>
                <c:pt idx="188">
                  <c:v>-1.0009843108388141</c:v>
                </c:pt>
                <c:pt idx="189">
                  <c:v>-0.92164620260721586</c:v>
                </c:pt>
                <c:pt idx="190">
                  <c:v>-0.84745510680662794</c:v>
                </c:pt>
                <c:pt idx="191">
                  <c:v>-0.78993493639666246</c:v>
                </c:pt>
                <c:pt idx="192">
                  <c:v>-0.76928663713303003</c:v>
                </c:pt>
                <c:pt idx="193">
                  <c:v>-0.7575167169261946</c:v>
                </c:pt>
                <c:pt idx="194">
                  <c:v>-0.77174051908620311</c:v>
                </c:pt>
                <c:pt idx="195">
                  <c:v>-0.83022502935359799</c:v>
                </c:pt>
                <c:pt idx="196">
                  <c:v>-0.99302025406891437</c:v>
                </c:pt>
                <c:pt idx="197">
                  <c:v>-1.1898169284723377</c:v>
                </c:pt>
                <c:pt idx="198">
                  <c:v>-1.3918654734728633</c:v>
                </c:pt>
                <c:pt idx="199">
                  <c:v>-1.5684445766630644</c:v>
                </c:pt>
                <c:pt idx="200">
                  <c:v>-1.683043371140152</c:v>
                </c:pt>
                <c:pt idx="201">
                  <c:v>-1.712415041878854</c:v>
                </c:pt>
                <c:pt idx="202">
                  <c:v>-1.6816489975248416</c:v>
                </c:pt>
                <c:pt idx="203">
                  <c:v>-1.5694883055859203</c:v>
                </c:pt>
                <c:pt idx="204">
                  <c:v>-1.4451491054376728</c:v>
                </c:pt>
                <c:pt idx="205">
                  <c:v>-1.3333126123900749</c:v>
                </c:pt>
                <c:pt idx="206">
                  <c:v>-1.2603756547963378</c:v>
                </c:pt>
                <c:pt idx="207">
                  <c:v>-1.2049533333727966</c:v>
                </c:pt>
                <c:pt idx="208">
                  <c:v>-1.1397675589718723</c:v>
                </c:pt>
                <c:pt idx="209">
                  <c:v>-1.0652930225959409</c:v>
                </c:pt>
                <c:pt idx="210">
                  <c:v>-0.98918478085459705</c:v>
                </c:pt>
                <c:pt idx="211">
                  <c:v>-0.92208402812455315</c:v>
                </c:pt>
                <c:pt idx="212">
                  <c:v>-0.87385117912732113</c:v>
                </c:pt>
                <c:pt idx="213">
                  <c:v>-0.86223184095478023</c:v>
                </c:pt>
                <c:pt idx="214">
                  <c:v>-0.89486031683079781</c:v>
                </c:pt>
                <c:pt idx="215">
                  <c:v>-0.9588114903737649</c:v>
                </c:pt>
                <c:pt idx="216">
                  <c:v>-1.0666921303020356</c:v>
                </c:pt>
                <c:pt idx="217">
                  <c:v>-1.1383395084805712</c:v>
                </c:pt>
                <c:pt idx="218">
                  <c:v>-1.175501698766767</c:v>
                </c:pt>
                <c:pt idx="219">
                  <c:v>-1.1610544104301832</c:v>
                </c:pt>
                <c:pt idx="220">
                  <c:v>-1.099925929159236</c:v>
                </c:pt>
                <c:pt idx="221">
                  <c:v>-0.97657226517175855</c:v>
                </c:pt>
                <c:pt idx="222">
                  <c:v>-0.84589925476717931</c:v>
                </c:pt>
                <c:pt idx="223">
                  <c:v>-0.71715618104597945</c:v>
                </c:pt>
                <c:pt idx="224">
                  <c:v>-0.55532972750135079</c:v>
                </c:pt>
                <c:pt idx="225">
                  <c:v>-0.39498190473184325</c:v>
                </c:pt>
                <c:pt idx="226">
                  <c:v>-0.18132272351703629</c:v>
                </c:pt>
                <c:pt idx="227">
                  <c:v>5.847385969898794E-2</c:v>
                </c:pt>
                <c:pt idx="228">
                  <c:v>0.29141913870228908</c:v>
                </c:pt>
                <c:pt idx="229">
                  <c:v>0.48884699499498158</c:v>
                </c:pt>
                <c:pt idx="230">
                  <c:v>0.63659512721897227</c:v>
                </c:pt>
                <c:pt idx="231">
                  <c:v>0.78485214539791537</c:v>
                </c:pt>
                <c:pt idx="232">
                  <c:v>0.95370216659474827</c:v>
                </c:pt>
                <c:pt idx="233">
                  <c:v>1.147089676511345</c:v>
                </c:pt>
                <c:pt idx="234">
                  <c:v>1.3770875727375618</c:v>
                </c:pt>
                <c:pt idx="235">
                  <c:v>1.6395659636628208</c:v>
                </c:pt>
                <c:pt idx="236">
                  <c:v>1.9326667297158076</c:v>
                </c:pt>
                <c:pt idx="237">
                  <c:v>2.2341257152814782</c:v>
                </c:pt>
                <c:pt idx="238">
                  <c:v>2.4905723429729498</c:v>
                </c:pt>
                <c:pt idx="239">
                  <c:v>2.7276064505612196</c:v>
                </c:pt>
                <c:pt idx="240">
                  <c:v>2.9485087428709233</c:v>
                </c:pt>
                <c:pt idx="241">
                  <c:v>3.1603044581604558</c:v>
                </c:pt>
                <c:pt idx="242">
                  <c:v>3.3298986587141108</c:v>
                </c:pt>
                <c:pt idx="243">
                  <c:v>3.4482655502676183</c:v>
                </c:pt>
                <c:pt idx="244">
                  <c:v>3.4775424953116367</c:v>
                </c:pt>
                <c:pt idx="245">
                  <c:v>3.4686413263466807</c:v>
                </c:pt>
                <c:pt idx="246">
                  <c:v>3.4637905373415689</c:v>
                </c:pt>
                <c:pt idx="247">
                  <c:v>3.523877941154077</c:v>
                </c:pt>
                <c:pt idx="248">
                  <c:v>3.6152408202851127</c:v>
                </c:pt>
                <c:pt idx="249">
                  <c:v>3.6830234570738098</c:v>
                </c:pt>
                <c:pt idx="250">
                  <c:v>2.9464187656590481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B5-43D0-BB64-1E84AFC92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5157360"/>
        <c:axId val="1355160720"/>
      </c:lineChart>
      <c:dateAx>
        <c:axId val="1355157360"/>
        <c:scaling>
          <c:orientation val="minMax"/>
          <c:max val="46076"/>
          <c:min val="45956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60720"/>
        <c:crosses val="autoZero"/>
        <c:auto val="1"/>
        <c:lblOffset val="100"/>
        <c:baseTimeUnit val="days"/>
      </c:dateAx>
      <c:valAx>
        <c:axId val="13551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57360"/>
        <c:crosses val="autoZero"/>
        <c:crossBetween val="between"/>
      </c:valAx>
      <c:valAx>
        <c:axId val="1355164560"/>
        <c:scaling>
          <c:orientation val="minMax"/>
          <c:min val="-0.9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54480"/>
        <c:crosses val="max"/>
        <c:crossBetween val="between"/>
      </c:valAx>
      <c:dateAx>
        <c:axId val="135515448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35516456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Excel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Forecast!$F$1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Forecast!$E$2:$E$59</c:f>
              <c:numCache>
                <c:formatCode>yyyy\-mm\-dd;@</c:formatCode>
                <c:ptCount val="58"/>
                <c:pt idx="0">
                  <c:v>45712</c:v>
                </c:pt>
                <c:pt idx="1">
                  <c:v>45719</c:v>
                </c:pt>
                <c:pt idx="2">
                  <c:v>45726</c:v>
                </c:pt>
                <c:pt idx="3">
                  <c:v>45733</c:v>
                </c:pt>
                <c:pt idx="4">
                  <c:v>45740</c:v>
                </c:pt>
                <c:pt idx="5">
                  <c:v>45747</c:v>
                </c:pt>
                <c:pt idx="6">
                  <c:v>45754</c:v>
                </c:pt>
                <c:pt idx="7">
                  <c:v>45761</c:v>
                </c:pt>
                <c:pt idx="8">
                  <c:v>45768</c:v>
                </c:pt>
                <c:pt idx="9">
                  <c:v>45775</c:v>
                </c:pt>
                <c:pt idx="10">
                  <c:v>45782</c:v>
                </c:pt>
                <c:pt idx="11">
                  <c:v>45789</c:v>
                </c:pt>
                <c:pt idx="12">
                  <c:v>45796</c:v>
                </c:pt>
                <c:pt idx="13">
                  <c:v>45803</c:v>
                </c:pt>
                <c:pt idx="14">
                  <c:v>45810</c:v>
                </c:pt>
                <c:pt idx="15">
                  <c:v>45817</c:v>
                </c:pt>
                <c:pt idx="16">
                  <c:v>45824</c:v>
                </c:pt>
                <c:pt idx="17">
                  <c:v>45831</c:v>
                </c:pt>
                <c:pt idx="18">
                  <c:v>45838</c:v>
                </c:pt>
                <c:pt idx="19">
                  <c:v>45845</c:v>
                </c:pt>
                <c:pt idx="20">
                  <c:v>45852</c:v>
                </c:pt>
                <c:pt idx="21">
                  <c:v>45859</c:v>
                </c:pt>
                <c:pt idx="22">
                  <c:v>45866</c:v>
                </c:pt>
                <c:pt idx="23">
                  <c:v>45873</c:v>
                </c:pt>
                <c:pt idx="24">
                  <c:v>45880</c:v>
                </c:pt>
                <c:pt idx="25">
                  <c:v>45887</c:v>
                </c:pt>
                <c:pt idx="26">
                  <c:v>45894</c:v>
                </c:pt>
                <c:pt idx="27">
                  <c:v>45901</c:v>
                </c:pt>
                <c:pt idx="28">
                  <c:v>45908</c:v>
                </c:pt>
                <c:pt idx="29">
                  <c:v>45915</c:v>
                </c:pt>
                <c:pt idx="30">
                  <c:v>45922</c:v>
                </c:pt>
                <c:pt idx="31">
                  <c:v>45929</c:v>
                </c:pt>
                <c:pt idx="32">
                  <c:v>45936</c:v>
                </c:pt>
                <c:pt idx="33">
                  <c:v>45943</c:v>
                </c:pt>
                <c:pt idx="34">
                  <c:v>45950</c:v>
                </c:pt>
                <c:pt idx="35">
                  <c:v>45957</c:v>
                </c:pt>
                <c:pt idx="36">
                  <c:v>45964</c:v>
                </c:pt>
                <c:pt idx="37">
                  <c:v>45971</c:v>
                </c:pt>
                <c:pt idx="38">
                  <c:v>45978</c:v>
                </c:pt>
                <c:pt idx="39">
                  <c:v>45985</c:v>
                </c:pt>
                <c:pt idx="40">
                  <c:v>45992</c:v>
                </c:pt>
                <c:pt idx="41">
                  <c:v>45999</c:v>
                </c:pt>
                <c:pt idx="42">
                  <c:v>46006</c:v>
                </c:pt>
                <c:pt idx="43">
                  <c:v>46013</c:v>
                </c:pt>
                <c:pt idx="44">
                  <c:v>46020</c:v>
                </c:pt>
                <c:pt idx="45">
                  <c:v>46027</c:v>
                </c:pt>
                <c:pt idx="46">
                  <c:v>46034</c:v>
                </c:pt>
                <c:pt idx="47">
                  <c:v>46041</c:v>
                </c:pt>
                <c:pt idx="48">
                  <c:v>46048</c:v>
                </c:pt>
                <c:pt idx="49">
                  <c:v>46055</c:v>
                </c:pt>
                <c:pt idx="50">
                  <c:v>46062</c:v>
                </c:pt>
                <c:pt idx="51">
                  <c:v>46069</c:v>
                </c:pt>
                <c:pt idx="52">
                  <c:v>46076</c:v>
                </c:pt>
                <c:pt idx="53">
                  <c:v>46083</c:v>
                </c:pt>
                <c:pt idx="54">
                  <c:v>46090</c:v>
                </c:pt>
                <c:pt idx="55">
                  <c:v>46097</c:v>
                </c:pt>
                <c:pt idx="56">
                  <c:v>46104</c:v>
                </c:pt>
                <c:pt idx="57">
                  <c:v>46111</c:v>
                </c:pt>
              </c:numCache>
            </c:numRef>
          </c:cat>
          <c:val>
            <c:numRef>
              <c:f>Forecast!$F$2:$F$59</c:f>
              <c:numCache>
                <c:formatCode>General</c:formatCode>
                <c:ptCount val="58"/>
                <c:pt idx="0">
                  <c:v>172.37</c:v>
                </c:pt>
                <c:pt idx="1">
                  <c:v>174.798</c:v>
                </c:pt>
                <c:pt idx="2">
                  <c:v>170.86199999999999</c:v>
                </c:pt>
                <c:pt idx="3">
                  <c:v>168.05600000000001</c:v>
                </c:pt>
                <c:pt idx="4">
                  <c:v>166.364</c:v>
                </c:pt>
                <c:pt idx="5">
                  <c:v>169.32399999999998</c:v>
                </c:pt>
                <c:pt idx="6">
                  <c:v>162.28199999999998</c:v>
                </c:pt>
                <c:pt idx="7">
                  <c:v>168.655</c:v>
                </c:pt>
                <c:pt idx="8">
                  <c:v>163.982</c:v>
                </c:pt>
                <c:pt idx="9">
                  <c:v>161.43600000000001</c:v>
                </c:pt>
                <c:pt idx="10">
                  <c:v>158.73599999999999</c:v>
                </c:pt>
                <c:pt idx="11">
                  <c:v>160.66800000000001</c:v>
                </c:pt>
                <c:pt idx="12">
                  <c:v>165.346</c:v>
                </c:pt>
                <c:pt idx="13">
                  <c:v>168.39249999999998</c:v>
                </c:pt>
                <c:pt idx="14">
                  <c:v>165.48</c:v>
                </c:pt>
                <c:pt idx="15">
                  <c:v>162.19400000000002</c:v>
                </c:pt>
                <c:pt idx="16">
                  <c:v>159.125</c:v>
                </c:pt>
                <c:pt idx="17">
                  <c:v>159.77000000000001</c:v>
                </c:pt>
                <c:pt idx="18">
                  <c:v>160.64249999999998</c:v>
                </c:pt>
                <c:pt idx="19">
                  <c:v>158.29</c:v>
                </c:pt>
                <c:pt idx="20">
                  <c:v>154.178</c:v>
                </c:pt>
                <c:pt idx="21">
                  <c:v>157.74799999999999</c:v>
                </c:pt>
                <c:pt idx="22">
                  <c:v>153.54400000000001</c:v>
                </c:pt>
                <c:pt idx="23">
                  <c:v>152.226</c:v>
                </c:pt>
                <c:pt idx="24">
                  <c:v>154.71600000000001</c:v>
                </c:pt>
                <c:pt idx="25">
                  <c:v>158.20599999999999</c:v>
                </c:pt>
                <c:pt idx="26">
                  <c:v>156.35400000000001</c:v>
                </c:pt>
                <c:pt idx="27">
                  <c:v>158.8425</c:v>
                </c:pt>
                <c:pt idx="28">
                  <c:v>158.47</c:v>
                </c:pt>
                <c:pt idx="29">
                  <c:v>157.714</c:v>
                </c:pt>
                <c:pt idx="30">
                  <c:v>152.52799999999999</c:v>
                </c:pt>
                <c:pt idx="31">
                  <c:v>152.93600000000001</c:v>
                </c:pt>
                <c:pt idx="32">
                  <c:v>150.78200000000001</c:v>
                </c:pt>
                <c:pt idx="33">
                  <c:v>149.01400000000001</c:v>
                </c:pt>
                <c:pt idx="34">
                  <c:v>152.096</c:v>
                </c:pt>
                <c:pt idx="35">
                  <c:v>150.36600000000001</c:v>
                </c:pt>
                <c:pt idx="36">
                  <c:v>146.81799999999998</c:v>
                </c:pt>
                <c:pt idx="37">
                  <c:v>147.536</c:v>
                </c:pt>
                <c:pt idx="38">
                  <c:v>147.78200000000001</c:v>
                </c:pt>
                <c:pt idx="39">
                  <c:v>147.97</c:v>
                </c:pt>
                <c:pt idx="40">
                  <c:v>145.76400000000001</c:v>
                </c:pt>
                <c:pt idx="41">
                  <c:v>140.27799999999999</c:v>
                </c:pt>
                <c:pt idx="42">
                  <c:v>145.626</c:v>
                </c:pt>
                <c:pt idx="43">
                  <c:v>143.77500000000001</c:v>
                </c:pt>
                <c:pt idx="44">
                  <c:v>143.43</c:v>
                </c:pt>
                <c:pt idx="45">
                  <c:v>140.34399999999999</c:v>
                </c:pt>
                <c:pt idx="46">
                  <c:v>144.642</c:v>
                </c:pt>
                <c:pt idx="47">
                  <c:v>148.285</c:v>
                </c:pt>
                <c:pt idx="48">
                  <c:v>149.36799999999999</c:v>
                </c:pt>
                <c:pt idx="49">
                  <c:v>156.63200000000001</c:v>
                </c:pt>
                <c:pt idx="50">
                  <c:v>159.53800000000001</c:v>
                </c:pt>
                <c:pt idx="51">
                  <c:v>158.9375</c:v>
                </c:pt>
                <c:pt idx="52">
                  <c:v>164.61333333333332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40-4C61-850A-83C67155E431}"/>
            </c:ext>
          </c:extLst>
        </c:ser>
        <c:ser>
          <c:idx val="1"/>
          <c:order val="1"/>
          <c:tx>
            <c:strRef>
              <c:f>Forecast!$G$1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Forecast!$E$2:$E$59</c:f>
              <c:numCache>
                <c:formatCode>yyyy\-mm\-dd;@</c:formatCode>
                <c:ptCount val="58"/>
                <c:pt idx="0">
                  <c:v>45712</c:v>
                </c:pt>
                <c:pt idx="1">
                  <c:v>45719</c:v>
                </c:pt>
                <c:pt idx="2">
                  <c:v>45726</c:v>
                </c:pt>
                <c:pt idx="3">
                  <c:v>45733</c:v>
                </c:pt>
                <c:pt idx="4">
                  <c:v>45740</c:v>
                </c:pt>
                <c:pt idx="5">
                  <c:v>45747</c:v>
                </c:pt>
                <c:pt idx="6">
                  <c:v>45754</c:v>
                </c:pt>
                <c:pt idx="7">
                  <c:v>45761</c:v>
                </c:pt>
                <c:pt idx="8">
                  <c:v>45768</c:v>
                </c:pt>
                <c:pt idx="9">
                  <c:v>45775</c:v>
                </c:pt>
                <c:pt idx="10">
                  <c:v>45782</c:v>
                </c:pt>
                <c:pt idx="11">
                  <c:v>45789</c:v>
                </c:pt>
                <c:pt idx="12">
                  <c:v>45796</c:v>
                </c:pt>
                <c:pt idx="13">
                  <c:v>45803</c:v>
                </c:pt>
                <c:pt idx="14">
                  <c:v>45810</c:v>
                </c:pt>
                <c:pt idx="15">
                  <c:v>45817</c:v>
                </c:pt>
                <c:pt idx="16">
                  <c:v>45824</c:v>
                </c:pt>
                <c:pt idx="17">
                  <c:v>45831</c:v>
                </c:pt>
                <c:pt idx="18">
                  <c:v>45838</c:v>
                </c:pt>
                <c:pt idx="19">
                  <c:v>45845</c:v>
                </c:pt>
                <c:pt idx="20">
                  <c:v>45852</c:v>
                </c:pt>
                <c:pt idx="21">
                  <c:v>45859</c:v>
                </c:pt>
                <c:pt idx="22">
                  <c:v>45866</c:v>
                </c:pt>
                <c:pt idx="23">
                  <c:v>45873</c:v>
                </c:pt>
                <c:pt idx="24">
                  <c:v>45880</c:v>
                </c:pt>
                <c:pt idx="25">
                  <c:v>45887</c:v>
                </c:pt>
                <c:pt idx="26">
                  <c:v>45894</c:v>
                </c:pt>
                <c:pt idx="27">
                  <c:v>45901</c:v>
                </c:pt>
                <c:pt idx="28">
                  <c:v>45908</c:v>
                </c:pt>
                <c:pt idx="29">
                  <c:v>45915</c:v>
                </c:pt>
                <c:pt idx="30">
                  <c:v>45922</c:v>
                </c:pt>
                <c:pt idx="31">
                  <c:v>45929</c:v>
                </c:pt>
                <c:pt idx="32">
                  <c:v>45936</c:v>
                </c:pt>
                <c:pt idx="33">
                  <c:v>45943</c:v>
                </c:pt>
                <c:pt idx="34">
                  <c:v>45950</c:v>
                </c:pt>
                <c:pt idx="35">
                  <c:v>45957</c:v>
                </c:pt>
                <c:pt idx="36">
                  <c:v>45964</c:v>
                </c:pt>
                <c:pt idx="37">
                  <c:v>45971</c:v>
                </c:pt>
                <c:pt idx="38">
                  <c:v>45978</c:v>
                </c:pt>
                <c:pt idx="39">
                  <c:v>45985</c:v>
                </c:pt>
                <c:pt idx="40">
                  <c:v>45992</c:v>
                </c:pt>
                <c:pt idx="41">
                  <c:v>45999</c:v>
                </c:pt>
                <c:pt idx="42">
                  <c:v>46006</c:v>
                </c:pt>
                <c:pt idx="43">
                  <c:v>46013</c:v>
                </c:pt>
                <c:pt idx="44">
                  <c:v>46020</c:v>
                </c:pt>
                <c:pt idx="45">
                  <c:v>46027</c:v>
                </c:pt>
                <c:pt idx="46">
                  <c:v>46034</c:v>
                </c:pt>
                <c:pt idx="47">
                  <c:v>46041</c:v>
                </c:pt>
                <c:pt idx="48">
                  <c:v>46048</c:v>
                </c:pt>
                <c:pt idx="49">
                  <c:v>46055</c:v>
                </c:pt>
                <c:pt idx="50">
                  <c:v>46062</c:v>
                </c:pt>
                <c:pt idx="51">
                  <c:v>46069</c:v>
                </c:pt>
                <c:pt idx="52">
                  <c:v>46076</c:v>
                </c:pt>
                <c:pt idx="53">
                  <c:v>46083</c:v>
                </c:pt>
                <c:pt idx="54">
                  <c:v>46090</c:v>
                </c:pt>
                <c:pt idx="55">
                  <c:v>46097</c:v>
                </c:pt>
                <c:pt idx="56">
                  <c:v>46104</c:v>
                </c:pt>
                <c:pt idx="57">
                  <c:v>46111</c:v>
                </c:pt>
              </c:numCache>
            </c:numRef>
          </c:cat>
          <c:val>
            <c:numRef>
              <c:f>Forecast!$G$2:$G$59</c:f>
              <c:numCache>
                <c:formatCode>General</c:formatCode>
                <c:ptCount val="58"/>
                <c:pt idx="53">
                  <c:v>147.48215351649787</c:v>
                </c:pt>
                <c:pt idx="54">
                  <c:v>148.40660184214821</c:v>
                </c:pt>
                <c:pt idx="55">
                  <c:v>146.92373020168509</c:v>
                </c:pt>
                <c:pt idx="56">
                  <c:v>163.06882881152455</c:v>
                </c:pt>
                <c:pt idx="57">
                  <c:v>162.7209662414966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40-4C61-850A-83C67155E431}"/>
            </c:ext>
          </c:extLst>
        </c:ser>
        <c:ser>
          <c:idx val="2"/>
          <c:order val="2"/>
          <c:tx>
            <c:strRef>
              <c:f>Forecast!$I$1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Forecast!$E$2:$E$59</c:f>
              <c:numCache>
                <c:formatCode>yyyy\-mm\-dd;@</c:formatCode>
                <c:ptCount val="58"/>
                <c:pt idx="0">
                  <c:v>45712</c:v>
                </c:pt>
                <c:pt idx="1">
                  <c:v>45719</c:v>
                </c:pt>
                <c:pt idx="2">
                  <c:v>45726</c:v>
                </c:pt>
                <c:pt idx="3">
                  <c:v>45733</c:v>
                </c:pt>
                <c:pt idx="4">
                  <c:v>45740</c:v>
                </c:pt>
                <c:pt idx="5">
                  <c:v>45747</c:v>
                </c:pt>
                <c:pt idx="6">
                  <c:v>45754</c:v>
                </c:pt>
                <c:pt idx="7">
                  <c:v>45761</c:v>
                </c:pt>
                <c:pt idx="8">
                  <c:v>45768</c:v>
                </c:pt>
                <c:pt idx="9">
                  <c:v>45775</c:v>
                </c:pt>
                <c:pt idx="10">
                  <c:v>45782</c:v>
                </c:pt>
                <c:pt idx="11">
                  <c:v>45789</c:v>
                </c:pt>
                <c:pt idx="12">
                  <c:v>45796</c:v>
                </c:pt>
                <c:pt idx="13">
                  <c:v>45803</c:v>
                </c:pt>
                <c:pt idx="14">
                  <c:v>45810</c:v>
                </c:pt>
                <c:pt idx="15">
                  <c:v>45817</c:v>
                </c:pt>
                <c:pt idx="16">
                  <c:v>45824</c:v>
                </c:pt>
                <c:pt idx="17">
                  <c:v>45831</c:v>
                </c:pt>
                <c:pt idx="18">
                  <c:v>45838</c:v>
                </c:pt>
                <c:pt idx="19">
                  <c:v>45845</c:v>
                </c:pt>
                <c:pt idx="20">
                  <c:v>45852</c:v>
                </c:pt>
                <c:pt idx="21">
                  <c:v>45859</c:v>
                </c:pt>
                <c:pt idx="22">
                  <c:v>45866</c:v>
                </c:pt>
                <c:pt idx="23">
                  <c:v>45873</c:v>
                </c:pt>
                <c:pt idx="24">
                  <c:v>45880</c:v>
                </c:pt>
                <c:pt idx="25">
                  <c:v>45887</c:v>
                </c:pt>
                <c:pt idx="26">
                  <c:v>45894</c:v>
                </c:pt>
                <c:pt idx="27">
                  <c:v>45901</c:v>
                </c:pt>
                <c:pt idx="28">
                  <c:v>45908</c:v>
                </c:pt>
                <c:pt idx="29">
                  <c:v>45915</c:v>
                </c:pt>
                <c:pt idx="30">
                  <c:v>45922</c:v>
                </c:pt>
                <c:pt idx="31">
                  <c:v>45929</c:v>
                </c:pt>
                <c:pt idx="32">
                  <c:v>45936</c:v>
                </c:pt>
                <c:pt idx="33">
                  <c:v>45943</c:v>
                </c:pt>
                <c:pt idx="34">
                  <c:v>45950</c:v>
                </c:pt>
                <c:pt idx="35">
                  <c:v>45957</c:v>
                </c:pt>
                <c:pt idx="36">
                  <c:v>45964</c:v>
                </c:pt>
                <c:pt idx="37">
                  <c:v>45971</c:v>
                </c:pt>
                <c:pt idx="38">
                  <c:v>45978</c:v>
                </c:pt>
                <c:pt idx="39">
                  <c:v>45985</c:v>
                </c:pt>
                <c:pt idx="40">
                  <c:v>45992</c:v>
                </c:pt>
                <c:pt idx="41">
                  <c:v>45999</c:v>
                </c:pt>
                <c:pt idx="42">
                  <c:v>46006</c:v>
                </c:pt>
                <c:pt idx="43">
                  <c:v>46013</c:v>
                </c:pt>
                <c:pt idx="44">
                  <c:v>46020</c:v>
                </c:pt>
                <c:pt idx="45">
                  <c:v>46027</c:v>
                </c:pt>
                <c:pt idx="46">
                  <c:v>46034</c:v>
                </c:pt>
                <c:pt idx="47">
                  <c:v>46041</c:v>
                </c:pt>
                <c:pt idx="48">
                  <c:v>46048</c:v>
                </c:pt>
                <c:pt idx="49">
                  <c:v>46055</c:v>
                </c:pt>
                <c:pt idx="50">
                  <c:v>46062</c:v>
                </c:pt>
                <c:pt idx="51">
                  <c:v>46069</c:v>
                </c:pt>
                <c:pt idx="52">
                  <c:v>46076</c:v>
                </c:pt>
                <c:pt idx="53">
                  <c:v>46083</c:v>
                </c:pt>
                <c:pt idx="54">
                  <c:v>46090</c:v>
                </c:pt>
                <c:pt idx="55">
                  <c:v>46097</c:v>
                </c:pt>
                <c:pt idx="56">
                  <c:v>46104</c:v>
                </c:pt>
                <c:pt idx="57">
                  <c:v>46111</c:v>
                </c:pt>
              </c:numCache>
            </c:numRef>
          </c:cat>
          <c:val>
            <c:numRef>
              <c:f>Forecast!$I$2:$I$59</c:f>
              <c:numCache>
                <c:formatCode>General</c:formatCode>
                <c:ptCount val="58"/>
                <c:pt idx="53">
                  <c:v>136.93287739730434</c:v>
                </c:pt>
                <c:pt idx="54">
                  <c:v>137.64086515135944</c:v>
                </c:pt>
                <c:pt idx="55">
                  <c:v>136.24141546155931</c:v>
                </c:pt>
                <c:pt idx="56">
                  <c:v>150.09618059728069</c:v>
                </c:pt>
                <c:pt idx="57">
                  <c:v>148.30343677175964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40-4C61-850A-83C67155E431}"/>
            </c:ext>
          </c:extLst>
        </c:ser>
        <c:ser>
          <c:idx val="3"/>
          <c:order val="3"/>
          <c:tx>
            <c:strRef>
              <c:f>Forecast!$J$1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Forecast!$E$2:$E$59</c:f>
              <c:numCache>
                <c:formatCode>yyyy\-mm\-dd;@</c:formatCode>
                <c:ptCount val="58"/>
                <c:pt idx="0">
                  <c:v>45712</c:v>
                </c:pt>
                <c:pt idx="1">
                  <c:v>45719</c:v>
                </c:pt>
                <c:pt idx="2">
                  <c:v>45726</c:v>
                </c:pt>
                <c:pt idx="3">
                  <c:v>45733</c:v>
                </c:pt>
                <c:pt idx="4">
                  <c:v>45740</c:v>
                </c:pt>
                <c:pt idx="5">
                  <c:v>45747</c:v>
                </c:pt>
                <c:pt idx="6">
                  <c:v>45754</c:v>
                </c:pt>
                <c:pt idx="7">
                  <c:v>45761</c:v>
                </c:pt>
                <c:pt idx="8">
                  <c:v>45768</c:v>
                </c:pt>
                <c:pt idx="9">
                  <c:v>45775</c:v>
                </c:pt>
                <c:pt idx="10">
                  <c:v>45782</c:v>
                </c:pt>
                <c:pt idx="11">
                  <c:v>45789</c:v>
                </c:pt>
                <c:pt idx="12">
                  <c:v>45796</c:v>
                </c:pt>
                <c:pt idx="13">
                  <c:v>45803</c:v>
                </c:pt>
                <c:pt idx="14">
                  <c:v>45810</c:v>
                </c:pt>
                <c:pt idx="15">
                  <c:v>45817</c:v>
                </c:pt>
                <c:pt idx="16">
                  <c:v>45824</c:v>
                </c:pt>
                <c:pt idx="17">
                  <c:v>45831</c:v>
                </c:pt>
                <c:pt idx="18">
                  <c:v>45838</c:v>
                </c:pt>
                <c:pt idx="19">
                  <c:v>45845</c:v>
                </c:pt>
                <c:pt idx="20">
                  <c:v>45852</c:v>
                </c:pt>
                <c:pt idx="21">
                  <c:v>45859</c:v>
                </c:pt>
                <c:pt idx="22">
                  <c:v>45866</c:v>
                </c:pt>
                <c:pt idx="23">
                  <c:v>45873</c:v>
                </c:pt>
                <c:pt idx="24">
                  <c:v>45880</c:v>
                </c:pt>
                <c:pt idx="25">
                  <c:v>45887</c:v>
                </c:pt>
                <c:pt idx="26">
                  <c:v>45894</c:v>
                </c:pt>
                <c:pt idx="27">
                  <c:v>45901</c:v>
                </c:pt>
                <c:pt idx="28">
                  <c:v>45908</c:v>
                </c:pt>
                <c:pt idx="29">
                  <c:v>45915</c:v>
                </c:pt>
                <c:pt idx="30">
                  <c:v>45922</c:v>
                </c:pt>
                <c:pt idx="31">
                  <c:v>45929</c:v>
                </c:pt>
                <c:pt idx="32">
                  <c:v>45936</c:v>
                </c:pt>
                <c:pt idx="33">
                  <c:v>45943</c:v>
                </c:pt>
                <c:pt idx="34">
                  <c:v>45950</c:v>
                </c:pt>
                <c:pt idx="35">
                  <c:v>45957</c:v>
                </c:pt>
                <c:pt idx="36">
                  <c:v>45964</c:v>
                </c:pt>
                <c:pt idx="37">
                  <c:v>45971</c:v>
                </c:pt>
                <c:pt idx="38">
                  <c:v>45978</c:v>
                </c:pt>
                <c:pt idx="39">
                  <c:v>45985</c:v>
                </c:pt>
                <c:pt idx="40">
                  <c:v>45992</c:v>
                </c:pt>
                <c:pt idx="41">
                  <c:v>45999</c:v>
                </c:pt>
                <c:pt idx="42">
                  <c:v>46006</c:v>
                </c:pt>
                <c:pt idx="43">
                  <c:v>46013</c:v>
                </c:pt>
                <c:pt idx="44">
                  <c:v>46020</c:v>
                </c:pt>
                <c:pt idx="45">
                  <c:v>46027</c:v>
                </c:pt>
                <c:pt idx="46">
                  <c:v>46034</c:v>
                </c:pt>
                <c:pt idx="47">
                  <c:v>46041</c:v>
                </c:pt>
                <c:pt idx="48">
                  <c:v>46048</c:v>
                </c:pt>
                <c:pt idx="49">
                  <c:v>46055</c:v>
                </c:pt>
                <c:pt idx="50">
                  <c:v>46062</c:v>
                </c:pt>
                <c:pt idx="51">
                  <c:v>46069</c:v>
                </c:pt>
                <c:pt idx="52">
                  <c:v>46076</c:v>
                </c:pt>
                <c:pt idx="53">
                  <c:v>46083</c:v>
                </c:pt>
                <c:pt idx="54">
                  <c:v>46090</c:v>
                </c:pt>
                <c:pt idx="55">
                  <c:v>46097</c:v>
                </c:pt>
                <c:pt idx="56">
                  <c:v>46104</c:v>
                </c:pt>
                <c:pt idx="57">
                  <c:v>46111</c:v>
                </c:pt>
              </c:numCache>
            </c:numRef>
          </c:cat>
          <c:val>
            <c:numRef>
              <c:f>Forecast!$J$2:$J$59</c:f>
              <c:numCache>
                <c:formatCode>General</c:formatCode>
                <c:ptCount val="58"/>
                <c:pt idx="53">
                  <c:v>158.03142963569141</c:v>
                </c:pt>
                <c:pt idx="54">
                  <c:v>159.17233853293698</c:v>
                </c:pt>
                <c:pt idx="55">
                  <c:v>157.60604494181086</c:v>
                </c:pt>
                <c:pt idx="56">
                  <c:v>176.04147702576842</c:v>
                </c:pt>
                <c:pt idx="57">
                  <c:v>177.13849571123356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40-4C61-850A-83C67155E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2052272"/>
        <c:axId val="1432049872"/>
      </c:lineChart>
      <c:dateAx>
        <c:axId val="1432052272"/>
        <c:scaling>
          <c:orientation val="minMax"/>
          <c:min val="45832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049872"/>
        <c:crosses val="autoZero"/>
        <c:auto val="1"/>
        <c:lblOffset val="100"/>
        <c:baseTimeUnit val="days"/>
      </c:dateAx>
      <c:valAx>
        <c:axId val="1432049872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05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openxmlformats.org/officeDocument/2006/relationships/image" Target="../media/image2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161924</xdr:colOff>
      <xdr:row>108</xdr:row>
      <xdr:rowOff>142875</xdr:rowOff>
    </xdr:from>
    <xdr:to>
      <xdr:col>12</xdr:col>
      <xdr:colOff>457199</xdr:colOff>
      <xdr:row>122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DA22AD-B848-454E-9FEA-86CBBC8C5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9524</xdr:colOff>
      <xdr:row>0</xdr:row>
      <xdr:rowOff>161925</xdr:rowOff>
    </xdr:from>
    <xdr:to>
      <xdr:col>12</xdr:col>
      <xdr:colOff>380999</xdr:colOff>
      <xdr:row>13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3A9DE-D617-493A-BC80-0FBB7E48A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15</xdr:row>
      <xdr:rowOff>161925</xdr:rowOff>
    </xdr:from>
    <xdr:to>
      <xdr:col>12</xdr:col>
      <xdr:colOff>352425</xdr:colOff>
      <xdr:row>27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200567-2D6C-4556-A951-32BA49A8D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38100</xdr:colOff>
      <xdr:row>30</xdr:row>
      <xdr:rowOff>114300</xdr:rowOff>
    </xdr:from>
    <xdr:to>
      <xdr:col>12</xdr:col>
      <xdr:colOff>371475</xdr:colOff>
      <xdr:row>43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A26C63-39CB-4B34-9F94-0201B2047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95249</xdr:colOff>
      <xdr:row>46</xdr:row>
      <xdr:rowOff>38100</xdr:rowOff>
    </xdr:from>
    <xdr:to>
      <xdr:col>12</xdr:col>
      <xdr:colOff>371474</xdr:colOff>
      <xdr:row>59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20E012-362D-4EAD-BB4D-15CB635B6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142876</xdr:colOff>
      <xdr:row>77</xdr:row>
      <xdr:rowOff>114300</xdr:rowOff>
    </xdr:from>
    <xdr:to>
      <xdr:col>12</xdr:col>
      <xdr:colOff>419100</xdr:colOff>
      <xdr:row>92</xdr:row>
      <xdr:rowOff>104775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C37F7166-4A29-28DC-E020-0E785D4B6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800476" y="14782800"/>
          <a:ext cx="3933824" cy="2847975"/>
        </a:xfrm>
        <a:prstGeom prst="rect">
          <a:avLst/>
        </a:prstGeom>
      </xdr:spPr>
    </xdr:pic>
    <xdr:clientData/>
  </xdr:twoCellAnchor>
  <xdr:twoCellAnchor>
    <xdr:from>
      <xdr:col>6</xdr:col>
      <xdr:colOff>123825</xdr:colOff>
      <xdr:row>60</xdr:row>
      <xdr:rowOff>180975</xdr:rowOff>
    </xdr:from>
    <xdr:to>
      <xdr:col>12</xdr:col>
      <xdr:colOff>381000</xdr:colOff>
      <xdr:row>73</xdr:row>
      <xdr:rowOff>66675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FD8F573-FE3E-4D66-B7EB-AFB4DD68F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6</xdr:col>
      <xdr:colOff>152400</xdr:colOff>
      <xdr:row>93</xdr:row>
      <xdr:rowOff>161925</xdr:rowOff>
    </xdr:from>
    <xdr:to>
      <xdr:col>12</xdr:col>
      <xdr:colOff>466725</xdr:colOff>
      <xdr:row>106</xdr:row>
      <xdr:rowOff>28575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A001570-E3C1-9AEC-A226-9964B867D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878425"/>
          <a:ext cx="3971925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BB2AE2-F8DA-4E29-9355-295DB35F4E03}" autoFormatId="16" applyNumberFormats="0" applyBorderFormats="0" applyFontFormats="0" applyPatternFormats="0" applyAlignmentFormats="0" applyWidthHeightFormats="0">
  <queryTableRefresh nextId="3">
    <queryTableFields count="2">
      <queryTableField id="1" name="Week" tableColumnId="1"/>
      <queryTableField id="2" name="Average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51">
    <v t="i">0</v>
    <v t="i">1</v>
    <v t="i">2</v>
    <v t="i">5</v>
    <v t="i">6</v>
    <v t="i">7</v>
    <v t="i">8</v>
    <v t="i">9</v>
    <v t="i">12</v>
    <v t="i">13</v>
    <v t="i">14</v>
    <v t="i">15</v>
    <v t="i">16</v>
    <v t="i">19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47</v>
    <v t="i">48</v>
    <v t="i">49</v>
    <v t="i">50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107</v>
    <v t="i">110</v>
    <v t="i">111</v>
    <v t="i">112</v>
    <v t="i">114</v>
    <v t="i">117</v>
    <v t="i">118</v>
    <v t="i">119</v>
    <v t="i">120</v>
    <v t="i">121</v>
    <v t="i">124</v>
    <v t="i">125</v>
    <v t="i">126</v>
    <v t="i">127</v>
    <v t="i">131</v>
    <v t="i">132</v>
    <v t="i">133</v>
    <v t="i">134</v>
    <v t="i">135</v>
    <v t="i">138</v>
    <v t="i">139</v>
    <v t="i">140</v>
    <v t="i">141</v>
    <v t="i">142</v>
    <v t="i">145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169</v>
    <v t="i">170</v>
    <v t="i">173</v>
    <v t="i">174</v>
    <v t="i">175</v>
    <v t="i">176</v>
    <v t="i">177</v>
    <v t="i">180</v>
    <v t="i">181</v>
    <v t="i">182</v>
    <v t="i">183</v>
    <v t="i">184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243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303</v>
    <v t="i">306</v>
    <v t="i">307</v>
    <v t="i">308</v>
    <v t="i">310</v>
    <v t="i">313</v>
    <v t="i">314</v>
    <v t="i">315</v>
    <v t="i">316</v>
    <v t="i">317</v>
    <v t="i">320</v>
    <v t="i">321</v>
    <v t="i">322</v>
    <v t="i">323</v>
    <v t="i">324</v>
    <v t="i">328</v>
    <v t="i">329</v>
    <v t="i">330</v>
    <v t="i">331</v>
    <v t="i">334</v>
    <v t="i">335</v>
    <v t="i">336</v>
    <v t="i">337</v>
    <v t="i">338</v>
    <v t="i">341</v>
    <v t="i">342</v>
    <v t="i">343</v>
    <v t="i">344</v>
    <v t="i">345</v>
    <v t="i">348</v>
    <v t="i">349</v>
    <v t="i">350</v>
    <v t="i">351</v>
    <v t="i">352</v>
    <v t="i">356</v>
    <v t="i">357</v>
    <v t="i">358</v>
    <v t="i">359</v>
    <v t="i">362</v>
    <v t="i">363</v>
    <v t="i">364</v>
  </a>
  <a r="1" c="251">
    <v>171.3</v>
    <v>171.97</v>
    <v>173.84</v>
    <v>175.59</v>
    <v>173.18</v>
    <v>174.61</v>
    <v>174.66</v>
    <v>175.95</v>
    <v>176.26</v>
    <v>173.12</v>
    <v>168.37</v>
    <v>168.59</v>
    <v>167.97</v>
    <v>169.76</v>
    <v>167.71</v>
    <v>168.57</v>
    <v>167.55</v>
    <v>166.69</v>
    <v>165.65</v>
    <v>162.85</v>
    <v>166.58</v>
    <v>168.71</v>
    <v>168.03</v>
    <v>170.42</v>
    <v>170.56</v>
    <v>169.5</v>
    <v>172.39</v>
    <v>163.75</v>
    <v>160.22999999999999</v>
    <v>158.38999999999999</v>
    <v>162.32</v>
    <v>163.56</v>
    <v>166.91</v>
    <v>169.13</v>
    <v>168.47</v>
    <v>166.39</v>
    <v>170.63</v>
    <v>165.75</v>
    <v>167.88</v>
    <v>165.73</v>
    <v>159.53</v>
    <v>161.02000000000001</v>
    <v>161.85</v>
    <v>162.26</v>
    <v>162.57</v>
    <v>159.97999999999999</v>
    <v>160.52000000000001</v>
    <v>158.83000000000001</v>
    <v>159.25</v>
    <v>159.29</v>
    <v>158.65</v>
    <v>157.66</v>
    <v>160.9</v>
    <v>158.72999999999999</v>
    <v>158.02000000000001</v>
    <v>162.41</v>
    <v>163.28</v>
    <v>164.77</v>
    <v>165.64</v>
    <v>165.43</v>
    <v>165.03</v>
    <v>165.86</v>
    <v>167.76</v>
    <v>167.36</v>
    <v>168.56</v>
    <v>169.89</v>
    <v>167.78</v>
    <v>166.85</v>
    <v>165.95</v>
    <v>162.80000000000001</v>
    <v>164.02</v>
    <v>162.56</v>
    <v>162.84</v>
    <v>162.11000000000001</v>
    <v>163.18</v>
    <v>160.28</v>
    <v>160.88</v>
    <v>158.52000000000001</v>
    <v>158.02000000000001</v>
    <v>159.08000000000001</v>
    <v>161.03</v>
    <v>160.36000000000001</v>
    <v>158.97</v>
    <v>158.63</v>
    <v>159.86000000000001</v>
    <v>159.32</v>
    <v>161.22</v>
    <v>161.19999999999999</v>
    <v>160.83000000000001</v>
    <v>160.5</v>
    <v>157.88999999999999</v>
    <v>157.52000000000001</v>
    <v>158.49</v>
    <v>157.05000000000001</v>
    <v>153.76</v>
    <v>152.68</v>
    <v>153.72999999999999</v>
    <v>155.62</v>
    <v>155.1</v>
    <v>155.03</v>
    <v>158.32</v>
    <v>158.28</v>
    <v>158.81</v>
    <v>158.30000000000001</v>
    <v>157.11000000000001</v>
    <v>156.61000000000001</v>
    <v>152.88</v>
    <v>150.47</v>
    <v>150.65</v>
    <v>150.76</v>
    <v>150.51</v>
    <v>152.86000000000001</v>
    <v>153.49</v>
    <v>153.51</v>
    <v>154.97999999999999</v>
    <v>155.09</v>
    <v>155.41</v>
    <v>153.74</v>
    <v>154.36000000000001</v>
    <v>155.72</v>
    <v>158.4</v>
    <v>159.51</v>
    <v>158.72999999999999</v>
    <v>158.66999999999999</v>
    <v>156.15</v>
    <v>155.97</v>
    <v>156.96</v>
    <v>155.65</v>
    <v>157.04</v>
    <v>157.99</v>
    <v>158.16999999999999</v>
    <v>159.19</v>
    <v>160.02000000000001</v>
    <v>159.01</v>
    <v>159.46</v>
    <v>157.35</v>
    <v>158.63</v>
    <v>157.9</v>
    <v>156.83000000000001</v>
    <v>158.05000000000001</v>
    <v>160.33000000000001</v>
    <v>157.32</v>
    <v>156.04</v>
    <v>153.07</v>
    <v>152.5</v>
    <v>152.41999999999999</v>
    <v>152.15</v>
    <v>152.5</v>
    <v>153.53</v>
    <v>153.65</v>
    <v>153.18</v>
    <v>152.05000000000001</v>
    <v>152.27000000000001</v>
    <v>150.41</v>
    <v>152.54</v>
    <v>150.69</v>
    <v>150.58000000000001</v>
    <v>149.69</v>
    <v>147.49</v>
    <v>149.16</v>
    <v>147.41999999999999</v>
    <v>149.6</v>
    <v>151.4</v>
    <v>151.96</v>
    <v>151.62</v>
    <v>152.19999999999999</v>
    <v>152.21</v>
    <v>152.49</v>
    <v>151.74</v>
    <v>151.37</v>
    <v>148.77000000000001</v>
    <v>149.58000000000001</v>
    <v>150.37</v>
    <v>148.02000000000001</v>
    <v>147.16999999999999</v>
    <v>145.79</v>
    <v>146.13</v>
    <v>146.97999999999999</v>
    <v>145.5</v>
    <v>148.54</v>
    <v>148.01</v>
    <v>147.96</v>
    <v>147.66999999999999</v>
    <v>145.82</v>
    <v>146.99</v>
    <v>146.99</v>
    <v>148.19</v>
    <v>150.91999999999999</v>
    <v>146.97999999999999</v>
    <v>148.49</v>
    <v>148.25</v>
    <v>148.16</v>
    <v>147.44</v>
    <v>145.86000000000001</v>
    <v>146.71</v>
    <v>145.36000000000001</v>
    <v>143.44999999999999</v>
    <v>138.34</v>
    <v>139.63</v>
    <v>139.82</v>
    <v>140.76</v>
    <v>142.84</v>
    <v>145.13</v>
    <v>145.21</v>
    <v>147.81</v>
    <v>145.52000000000001</v>
    <v>144.46</v>
    <v>142.69</v>
    <v>143.18</v>
    <v>144.49</v>
    <v>144.74</v>
    <v>144.57</v>
    <v>144.05000000000001</v>
    <v>143.31</v>
    <v>141.79</v>
    <v>140.37</v>
    <v>139.91</v>
    <v>138.04</v>
    <v>141.53</v>
    <v>141.87</v>
    <v>143.46</v>
    <v>144.24</v>
    <v>146.35</v>
    <v>144.63</v>
    <v>144.53</v>
    <v>147</v>
    <v>146.06</v>
    <v>149.93</v>
    <v>150.15</v>
    <v>149.49</v>
    <v>148.34</v>
    <v>147.34</v>
    <v>149.9</v>
    <v>151.77000000000001</v>
    <v>153.19</v>
    <v>155.32</v>
    <v>156.87</v>
    <v>158.61000000000001</v>
    <v>159.16999999999999</v>
    <v>157.33000000000001</v>
    <v>159.08000000000001</v>
    <v>160</v>
    <v>161.21</v>
    <v>160.07</v>
    <v>159.55000000000001</v>
    <v>156.86000000000001</v>
    <v>158.56</v>
    <v>160.78</v>
    <v>165.17</v>
    <v>165.28</v>
    <v>163.38999999999999</v>
  </a>
  <a r="1" c="251">
    <v>5519041</v>
    <v>5466965</v>
    <v>10240069</v>
    <v>7615570</v>
    <v>12118023</v>
    <v>6989086</v>
    <v>6702490</v>
    <v>9566763</v>
    <v>11047022</v>
    <v>11032285</v>
    <v>10159136</v>
    <v>6609126</v>
    <v>6790624</v>
    <v>9931678</v>
    <v>6100242</v>
    <v>7569165</v>
    <v>8789167</v>
    <v>16027251</v>
    <v>6102109</v>
    <v>8366736</v>
    <v>7757259</v>
    <v>6211735</v>
    <v>5479306</v>
    <v>11520451</v>
    <v>7021507</v>
    <v>6274548</v>
    <v>9393270</v>
    <v>13454205</v>
    <v>15708009</v>
    <v>11541114</v>
    <v>10670212</v>
    <v>10581571</v>
    <v>8603200</v>
    <v>9877411</v>
    <v>8764978</v>
    <v>5897634</v>
    <v>7227061</v>
    <v>8062360</v>
    <v>7907421</v>
    <v>9309164</v>
    <v>20077665</v>
    <v>12893200</v>
    <v>8126981</v>
    <v>8266154</v>
    <v>12475539</v>
    <v>6792815</v>
    <v>5750165</v>
    <v>7576219</v>
    <v>7703843</v>
    <v>6430156</v>
    <v>7230806</v>
    <v>6453232</v>
    <v>7378380</v>
    <v>7780827</v>
    <v>5988905</v>
    <v>8727316</v>
    <v>7100784</v>
    <v>8120219</v>
    <v>5576561</v>
    <v>6424153</v>
    <v>6245571</v>
    <v>5349868</v>
    <v>11423794</v>
    <v>5385942</v>
    <v>4842554</v>
    <v>12587537</v>
    <v>7574428</v>
    <v>6223447</v>
    <v>4939333</v>
    <v>10352288</v>
    <v>5697877</v>
    <v>6544199</v>
    <v>7680015</v>
    <v>5960052</v>
    <v>6509891</v>
    <v>7104547</v>
    <v>6331961</v>
    <v>6809747</v>
    <v>7211225</v>
    <v>16173371</v>
    <v>6588223</v>
    <v>7470052</v>
    <v>5933715</v>
    <v>7410446</v>
    <v>19256955</v>
    <v>11238201</v>
    <v>10664891</v>
    <v>8848744</v>
    <v>6999589</v>
    <v>7225695</v>
    <v>12034764</v>
    <v>18770894</v>
    <v>7201748</v>
    <v>8053808</v>
    <v>11491688</v>
    <v>9142615</v>
    <v>8478997</v>
    <v>8319996</v>
    <v>7337252</v>
    <v>6328370</v>
    <v>8186970</v>
    <v>4804795</v>
    <v>7027392</v>
    <v>5800248</v>
    <v>7885026</v>
    <v>11466058</v>
    <v>8162888</v>
    <v>11845443</v>
    <v>8594220</v>
    <v>7679361</v>
    <v>6670065</v>
    <v>7376213</v>
    <v>6719044</v>
    <v>5811281</v>
    <v>7331707</v>
    <v>6938336</v>
    <v>5812356</v>
    <v>6343715</v>
    <v>7121700</v>
    <v>8274726</v>
    <v>7868129</v>
    <v>7840355</v>
    <v>6417695</v>
    <v>5797325</v>
    <v>4692505</v>
    <v>6337977</v>
    <v>4551219</v>
    <v>5857727</v>
    <v>5318179</v>
    <v>6432837</v>
    <v>6592451</v>
    <v>6935245</v>
    <v>6436150</v>
    <v>7178356</v>
    <v>4984936</v>
    <v>6205463</v>
    <v>5819875</v>
    <v>5957021</v>
    <v>5994966</v>
    <v>6559608</v>
    <v>6764169</v>
    <v>7651487</v>
    <v>17224774</v>
    <v>8712910</v>
    <v>8853418</v>
    <v>6483264</v>
    <v>7511415</v>
    <v>5721092</v>
    <v>8139711</v>
    <v>7762609</v>
    <v>7566014</v>
    <v>6892089</v>
    <v>5212584</v>
    <v>6736960</v>
    <v>6844361</v>
    <v>5254728</v>
    <v>6134461</v>
    <v>7374046</v>
    <v>7511103</v>
    <v>8585346</v>
    <v>10003073</v>
    <v>8809673</v>
    <v>8612894</v>
    <v>5601287</v>
    <v>6013379</v>
    <v>6394378</v>
    <v>8205353</v>
    <v>11968491</v>
    <v>7775323</v>
    <v>5819257</v>
    <v>7405466</v>
    <v>6760702</v>
    <v>7930334</v>
    <v>8946383</v>
    <v>9295449</v>
    <v>11199878</v>
    <v>10024549</v>
    <v>8500097</v>
    <v>10208085</v>
    <v>7332540</v>
    <v>7851052</v>
    <v>7566789</v>
    <v>9151066</v>
    <v>9902310</v>
    <v>10735177</v>
    <v>6367038</v>
    <v>9021325</v>
    <v>12017986</v>
    <v>13846906</v>
    <v>10477661</v>
    <v>9238450</v>
    <v>4707161</v>
    <v>8240689</v>
    <v>16376769</v>
    <v>9125320</v>
    <v>10479267</v>
    <v>12791745</v>
    <v>17507504</v>
    <v>10375688</v>
    <v>13650378</v>
    <v>11797981</v>
    <v>10268768</v>
    <v>13877674</v>
    <v>10251720</v>
    <v>9833261</v>
    <v>12239860</v>
    <v>19345622</v>
    <v>11731360</v>
    <v>9541563</v>
    <v>3259209</v>
    <v>4711505</v>
    <v>7662127</v>
    <v>6006432</v>
    <v>5293220</v>
    <v>8946091</v>
    <v>12297334</v>
    <v>10421756</v>
    <v>14369142</v>
    <v>9297080</v>
    <v>9528476</v>
    <v>12812014</v>
    <v>15549150</v>
    <v>13474983</v>
    <v>10102757</v>
    <v>11729334</v>
    <v>12901430</v>
    <v>14126814</v>
    <v>18501854</v>
    <v>14562626</v>
    <v>12655663</v>
    <v>9546000</v>
    <v>7465812</v>
    <v>11035563</v>
    <v>12651426</v>
    <v>10554872</v>
    <v>12424740</v>
    <v>12178463</v>
    <v>13077657</v>
    <v>10441737</v>
    <v>11439942</v>
    <v>9910099</v>
    <v>10217309</v>
    <v>13512862</v>
    <v>13999208</v>
    <v>13319135</v>
    <v>14434308</v>
    <v>10724558</v>
    <v>11508133</v>
    <v>14772449</v>
    <v>9709847</v>
    <v>7878458</v>
  </a>
</arrayData>
</file>

<file path=xl/richData/rdrichvalue.xml><?xml version="1.0" encoding="utf-8"?>
<rvData xmlns="http://schemas.microsoft.com/office/spreadsheetml/2017/richdata" count="747">
  <rv s="0">
    <fb>45714</fb>
    <v>0</v>
  </rv>
  <rv s="0">
    <fb>171.3</fb>
    <v>1</v>
  </rv>
  <rv s="0">
    <fb>5519041</fb>
    <v>2</v>
  </rv>
  <rv s="0">
    <fb>45715</fb>
    <v>0</v>
  </rv>
  <rv s="0">
    <fb>171.97</fb>
    <v>1</v>
  </rv>
  <rv s="0">
    <fb>5466965</fb>
    <v>2</v>
  </rv>
  <rv s="0">
    <fb>45716</fb>
    <v>0</v>
  </rv>
  <rv s="0">
    <fb>173.84</fb>
    <v>1</v>
  </rv>
  <rv s="0">
    <fb>10240069</fb>
    <v>2</v>
  </rv>
  <rv s="0">
    <fb>45719</fb>
    <v>0</v>
  </rv>
  <rv s="0">
    <fb>175.59</fb>
    <v>1</v>
  </rv>
  <rv s="0">
    <fb>7615570</fb>
    <v>2</v>
  </rv>
  <rv s="0">
    <fb>45720</fb>
    <v>0</v>
  </rv>
  <rv s="0">
    <fb>173.18</fb>
    <v>1</v>
  </rv>
  <rv s="0">
    <fb>12118023</fb>
    <v>2</v>
  </rv>
  <rv s="0">
    <fb>45721</fb>
    <v>0</v>
  </rv>
  <rv s="0">
    <fb>174.61</fb>
    <v>1</v>
  </rv>
  <rv s="0">
    <fb>6989086</fb>
    <v>2</v>
  </rv>
  <rv s="0">
    <fb>45722</fb>
    <v>0</v>
  </rv>
  <rv s="0">
    <fb>174.66</fb>
    <v>1</v>
  </rv>
  <rv s="0">
    <fb>6702490</fb>
    <v>2</v>
  </rv>
  <rv s="0">
    <fb>45723</fb>
    <v>0</v>
  </rv>
  <rv s="0">
    <fb>175.95</fb>
    <v>1</v>
  </rv>
  <rv s="0">
    <fb>9566763</fb>
    <v>2</v>
  </rv>
  <rv s="0">
    <fb>45726</fb>
    <v>0</v>
  </rv>
  <rv s="0">
    <fb>176.26</fb>
    <v>1</v>
  </rv>
  <rv s="0">
    <fb>11047022</fb>
    <v>2</v>
  </rv>
  <rv s="0">
    <fb>45727</fb>
    <v>0</v>
  </rv>
  <rv s="0">
    <fb>173.12</fb>
    <v>1</v>
  </rv>
  <rv s="0">
    <fb>11032285</fb>
    <v>2</v>
  </rv>
  <rv s="0">
    <fb>45728</fb>
    <v>0</v>
  </rv>
  <rv s="0">
    <fb>168.37</fb>
    <v>1</v>
  </rv>
  <rv s="0">
    <fb>10159136</fb>
    <v>2</v>
  </rv>
  <rv s="0">
    <fb>45729</fb>
    <v>0</v>
  </rv>
  <rv s="0">
    <fb>168.59</fb>
    <v>1</v>
  </rv>
  <rv s="0">
    <fb>6609126</fb>
    <v>2</v>
  </rv>
  <rv s="0">
    <fb>45730</fb>
    <v>0</v>
  </rv>
  <rv s="0">
    <fb>167.97</fb>
    <v>1</v>
  </rv>
  <rv s="0">
    <fb>6790624</fb>
    <v>2</v>
  </rv>
  <rv s="0">
    <fb>45733</fb>
    <v>0</v>
  </rv>
  <rv s="0">
    <fb>169.76</fb>
    <v>1</v>
  </rv>
  <rv s="0">
    <fb>9931678</fb>
    <v>2</v>
  </rv>
  <rv s="0">
    <fb>45734</fb>
    <v>0</v>
  </rv>
  <rv s="0">
    <fb>167.71</fb>
    <v>1</v>
  </rv>
  <rv s="0">
    <fb>6100242</fb>
    <v>2</v>
  </rv>
  <rv s="0">
    <fb>45735</fb>
    <v>0</v>
  </rv>
  <rv s="0">
    <fb>168.57</fb>
    <v>1</v>
  </rv>
  <rv s="0">
    <fb>7569165</fb>
    <v>2</v>
  </rv>
  <rv s="0">
    <fb>45736</fb>
    <v>0</v>
  </rv>
  <rv s="0">
    <fb>167.55</fb>
    <v>1</v>
  </rv>
  <rv s="0">
    <fb>8789167</fb>
    <v>2</v>
  </rv>
  <rv s="0">
    <fb>45737</fb>
    <v>0</v>
  </rv>
  <rv s="0">
    <fb>166.69</fb>
    <v>1</v>
  </rv>
  <rv s="0">
    <fb>16027251</fb>
    <v>2</v>
  </rv>
  <rv s="0">
    <fb>45740</fb>
    <v>0</v>
  </rv>
  <rv s="0">
    <fb>165.65</fb>
    <v>1</v>
  </rv>
  <rv s="0">
    <fb>6102109</fb>
    <v>2</v>
  </rv>
  <rv s="0">
    <fb>45741</fb>
    <v>0</v>
  </rv>
  <rv s="0">
    <fb>162.85</fb>
    <v>1</v>
  </rv>
  <rv s="0">
    <fb>8366736</fb>
    <v>2</v>
  </rv>
  <rv s="0">
    <fb>45742</fb>
    <v>0</v>
  </rv>
  <rv s="0">
    <fb>166.58</fb>
    <v>1</v>
  </rv>
  <rv s="0">
    <fb>7757259</fb>
    <v>2</v>
  </rv>
  <rv s="0">
    <fb>45743</fb>
    <v>0</v>
  </rv>
  <rv s="0">
    <fb>168.71</fb>
    <v>1</v>
  </rv>
  <rv s="0">
    <fb>6211735</fb>
    <v>2</v>
  </rv>
  <rv s="0">
    <fb>45744</fb>
    <v>0</v>
  </rv>
  <rv s="0">
    <fb>168.03</fb>
    <v>1</v>
  </rv>
  <rv s="0">
    <fb>5479306</fb>
    <v>2</v>
  </rv>
  <rv s="0">
    <fb>45747</fb>
    <v>0</v>
  </rv>
  <rv s="0">
    <fb>170.42</fb>
    <v>1</v>
  </rv>
  <rv s="0">
    <fb>11520451</fb>
    <v>2</v>
  </rv>
  <rv s="0">
    <fb>45748</fb>
    <v>0</v>
  </rv>
  <rv s="0">
    <fb>170.56</fb>
    <v>1</v>
  </rv>
  <rv s="0">
    <fb>7021507</fb>
    <v>2</v>
  </rv>
  <rv s="0">
    <fb>45749</fb>
    <v>0</v>
  </rv>
  <rv s="0">
    <fb>169.5</fb>
    <v>1</v>
  </rv>
  <rv s="0">
    <fb>6274548</fb>
    <v>2</v>
  </rv>
  <rv s="0">
    <fb>45750</fb>
    <v>0</v>
  </rv>
  <rv s="0">
    <fb>172.39</fb>
    <v>1</v>
  </rv>
  <rv s="0">
    <fb>9393270</fb>
    <v>2</v>
  </rv>
  <rv s="0">
    <fb>45751</fb>
    <v>0</v>
  </rv>
  <rv s="0">
    <fb>163.75</fb>
    <v>1</v>
  </rv>
  <rv s="0">
    <fb>13454205</fb>
    <v>2</v>
  </rv>
  <rv s="0">
    <fb>45754</fb>
    <v>0</v>
  </rv>
  <rv s="0">
    <fb>160.22999999999999</fb>
    <v>1</v>
  </rv>
  <rv s="0">
    <fb>15708009</fb>
    <v>2</v>
  </rv>
  <rv s="0">
    <fb>45755</fb>
    <v>0</v>
  </rv>
  <rv s="0">
    <fb>158.38999999999999</fb>
    <v>1</v>
  </rv>
  <rv s="0">
    <fb>11541114</fb>
    <v>2</v>
  </rv>
  <rv s="0">
    <fb>45756</fb>
    <v>0</v>
  </rv>
  <rv s="0">
    <fb>162.32</fb>
    <v>1</v>
  </rv>
  <rv s="0">
    <fb>10670212</fb>
    <v>2</v>
  </rv>
  <rv s="0">
    <fb>45757</fb>
    <v>0</v>
  </rv>
  <rv s="0">
    <fb>163.56</fb>
    <v>1</v>
  </rv>
  <rv s="0">
    <fb>10581571</fb>
    <v>2</v>
  </rv>
  <rv s="0">
    <fb>45758</fb>
    <v>0</v>
  </rv>
  <rv s="0">
    <fb>166.91</fb>
    <v>1</v>
  </rv>
  <rv s="0">
    <fb>8603200</fb>
    <v>2</v>
  </rv>
  <rv s="0">
    <fb>45761</fb>
    <v>0</v>
  </rv>
  <rv s="0">
    <fb>169.13</fb>
    <v>1</v>
  </rv>
  <rv s="0">
    <fb>9877411</fb>
    <v>2</v>
  </rv>
  <rv s="0">
    <fb>45762</fb>
    <v>0</v>
  </rv>
  <rv s="0">
    <fb>168.47</fb>
    <v>1</v>
  </rv>
  <rv s="0">
    <fb>8764978</fb>
    <v>2</v>
  </rv>
  <rv s="0">
    <fb>45763</fb>
    <v>0</v>
  </rv>
  <rv s="0">
    <fb>166.39</fb>
    <v>1</v>
  </rv>
  <rv s="0">
    <fb>5897634</fb>
    <v>2</v>
  </rv>
  <rv s="0">
    <fb>45764</fb>
    <v>0</v>
  </rv>
  <rv s="0">
    <fb>170.63</fb>
    <v>1</v>
  </rv>
  <rv s="0">
    <fb>7227061</fb>
    <v>2</v>
  </rv>
  <rv s="0">
    <fb>45768</fb>
    <v>0</v>
  </rv>
  <rv s="0">
    <fb>165.75</fb>
    <v>1</v>
  </rv>
  <rv s="0">
    <fb>8062360</fb>
    <v>2</v>
  </rv>
  <rv s="0">
    <fb>45769</fb>
    <v>0</v>
  </rv>
  <rv s="0">
    <fb>167.88</fb>
    <v>1</v>
  </rv>
  <rv s="0">
    <fb>7907421</fb>
    <v>2</v>
  </rv>
  <rv s="0">
    <fb>45770</fb>
    <v>0</v>
  </rv>
  <rv s="0">
    <fb>165.73</fb>
    <v>1</v>
  </rv>
  <rv s="0">
    <fb>9309164</fb>
    <v>2</v>
  </rv>
  <rv s="0">
    <fb>45771</fb>
    <v>0</v>
  </rv>
  <rv s="0">
    <fb>159.53</fb>
    <v>1</v>
  </rv>
  <rv s="0">
    <fb>20077665</fb>
    <v>2</v>
  </rv>
  <rv s="0">
    <fb>45772</fb>
    <v>0</v>
  </rv>
  <rv s="0">
    <fb>161.02000000000001</fb>
    <v>1</v>
  </rv>
  <rv s="0">
    <fb>12893200</fb>
    <v>2</v>
  </rv>
  <rv s="0">
    <fb>45775</fb>
    <v>0</v>
  </rv>
  <rv s="0">
    <fb>161.85</fb>
    <v>1</v>
  </rv>
  <rv s="0">
    <fb>8126981</fb>
    <v>2</v>
  </rv>
  <rv s="0">
    <fb>45776</fb>
    <v>0</v>
  </rv>
  <rv s="0">
    <fb>162.26</fb>
    <v>1</v>
  </rv>
  <rv s="0">
    <fb>8266154</fb>
    <v>2</v>
  </rv>
  <rv s="0">
    <fb>45777</fb>
    <v>0</v>
  </rv>
  <rv s="0">
    <fb>162.57</fb>
    <v>1</v>
  </rv>
  <rv s="0">
    <fb>12475539</fb>
    <v>2</v>
  </rv>
  <rv s="0">
    <fb>45778</fb>
    <v>0</v>
  </rv>
  <rv s="0">
    <fb>159.97999999999999</fb>
    <v>1</v>
  </rv>
  <rv s="0">
    <fb>6792815</fb>
    <v>2</v>
  </rv>
  <rv s="0">
    <fb>45779</fb>
    <v>0</v>
  </rv>
  <rv s="0">
    <fb>160.52000000000001</fb>
    <v>1</v>
  </rv>
  <rv s="0">
    <fb>5750165</fb>
    <v>2</v>
  </rv>
  <rv s="0">
    <fb>45782</fb>
    <v>0</v>
  </rv>
  <rv s="0">
    <fb>158.83000000000001</fb>
    <v>1</v>
  </rv>
  <rv s="0">
    <fb>7576219</fb>
    <v>2</v>
  </rv>
  <rv s="0">
    <fb>45783</fb>
    <v>0</v>
  </rv>
  <rv s="0">
    <fb>159.25</fb>
    <v>1</v>
  </rv>
  <rv s="0">
    <fb>7703843</fb>
    <v>2</v>
  </rv>
  <rv s="0">
    <fb>45784</fb>
    <v>0</v>
  </rv>
  <rv s="0">
    <fb>159.29</fb>
    <v>1</v>
  </rv>
  <rv s="0">
    <fb>6430156</fb>
    <v>2</v>
  </rv>
  <rv s="0">
    <fb>45785</fb>
    <v>0</v>
  </rv>
  <rv s="0">
    <fb>158.65</fb>
    <v>1</v>
  </rv>
  <rv s="0">
    <fb>7230806</fb>
    <v>2</v>
  </rv>
  <rv s="0">
    <fb>45786</fb>
    <v>0</v>
  </rv>
  <rv s="0">
    <fb>157.66</fb>
    <v>1</v>
  </rv>
  <rv s="0">
    <fb>6453232</fb>
    <v>2</v>
  </rv>
  <rv s="0">
    <fb>45789</fb>
    <v>0</v>
  </rv>
  <rv s="0">
    <fb>160.9</fb>
    <v>1</v>
  </rv>
  <rv s="0">
    <fb>7378380</fb>
    <v>2</v>
  </rv>
  <rv s="0">
    <fb>45790</fb>
    <v>0</v>
  </rv>
  <rv s="0">
    <fb>158.72999999999999</fb>
    <v>1</v>
  </rv>
  <rv s="0">
    <fb>7780827</fb>
    <v>2</v>
  </rv>
  <rv s="0">
    <fb>45791</fb>
    <v>0</v>
  </rv>
  <rv s="0">
    <fb>158.02000000000001</fb>
    <v>1</v>
  </rv>
  <rv s="0">
    <fb>5988905</fb>
    <v>2</v>
  </rv>
  <rv s="0">
    <fb>45792</fb>
    <v>0</v>
  </rv>
  <rv s="0">
    <fb>162.41</fb>
    <v>1</v>
  </rv>
  <rv s="0">
    <fb>8727316</fb>
    <v>2</v>
  </rv>
  <rv s="0">
    <fb>45793</fb>
    <v>0</v>
  </rv>
  <rv s="0">
    <fb>163.28</fb>
    <v>1</v>
  </rv>
  <rv s="0">
    <fb>7100784</fb>
    <v>2</v>
  </rv>
  <rv s="0">
    <fb>45796</fb>
    <v>0</v>
  </rv>
  <rv s="0">
    <fb>164.77</fb>
    <v>1</v>
  </rv>
  <rv s="0">
    <fb>8120219</fb>
    <v>2</v>
  </rv>
  <rv s="0">
    <fb>45797</fb>
    <v>0</v>
  </rv>
  <rv s="0">
    <fb>165.64</fb>
    <v>1</v>
  </rv>
  <rv s="0">
    <fb>5576561</fb>
    <v>2</v>
  </rv>
  <rv s="0">
    <fb>45798</fb>
    <v>0</v>
  </rv>
  <rv s="0">
    <fb>165.43</fb>
    <v>1</v>
  </rv>
  <rv s="0">
    <fb>6424153</fb>
    <v>2</v>
  </rv>
  <rv s="0">
    <fb>45799</fb>
    <v>0</v>
  </rv>
  <rv s="0">
    <fb>165.03</fb>
    <v>1</v>
  </rv>
  <rv s="0">
    <fb>6245571</fb>
    <v>2</v>
  </rv>
  <rv s="0">
    <fb>45800</fb>
    <v>0</v>
  </rv>
  <rv s="0">
    <fb>165.86</fb>
    <v>1</v>
  </rv>
  <rv s="0">
    <fb>5349868</fb>
    <v>2</v>
  </rv>
  <rv s="0">
    <fb>45804</fb>
    <v>0</v>
  </rv>
  <rv s="0">
    <fb>167.76</fb>
    <v>1</v>
  </rv>
  <rv s="0">
    <fb>11423794</fb>
    <v>2</v>
  </rv>
  <rv s="0">
    <fb>45805</fb>
    <v>0</v>
  </rv>
  <rv s="0">
    <fb>167.36</fb>
    <v>1</v>
  </rv>
  <rv s="0">
    <fb>5385942</fb>
    <v>2</v>
  </rv>
  <rv s="0">
    <fb>45806</fb>
    <v>0</v>
  </rv>
  <rv s="0">
    <fb>168.56</fb>
    <v>1</v>
  </rv>
  <rv s="0">
    <fb>4842554</fb>
    <v>2</v>
  </rv>
  <rv s="0">
    <fb>45807</fb>
    <v>0</v>
  </rv>
  <rv s="0">
    <fb>169.89</fb>
    <v>1</v>
  </rv>
  <rv s="0">
    <fb>12587537</fb>
    <v>2</v>
  </rv>
  <rv s="0">
    <fb>45810</fb>
    <v>0</v>
  </rv>
  <rv s="0">
    <fb>167.78</fb>
    <v>1</v>
  </rv>
  <rv s="0">
    <fb>7574428</fb>
    <v>2</v>
  </rv>
  <rv s="0">
    <fb>45811</fb>
    <v>0</v>
  </rv>
  <rv s="0">
    <fb>166.85</fb>
    <v>1</v>
  </rv>
  <rv s="0">
    <fb>6223447</fb>
    <v>2</v>
  </rv>
  <rv s="0">
    <fb>45812</fb>
    <v>0</v>
  </rv>
  <rv s="0">
    <fb>165.95</fb>
    <v>1</v>
  </rv>
  <rv s="0">
    <fb>4939333</fb>
    <v>2</v>
  </rv>
  <rv s="0">
    <fb>45813</fb>
    <v>0</v>
  </rv>
  <rv s="0">
    <fb>162.80000000000001</fb>
    <v>1</v>
  </rv>
  <rv s="0">
    <fb>10352288</fb>
    <v>2</v>
  </rv>
  <rv s="0">
    <fb>45814</fb>
    <v>0</v>
  </rv>
  <rv s="0">
    <fb>164.02</fb>
    <v>1</v>
  </rv>
  <rv s="0">
    <fb>5697877</fb>
    <v>2</v>
  </rv>
  <rv s="0">
    <fb>45817</fb>
    <v>0</v>
  </rv>
  <rv s="0">
    <fb>162.56</fb>
    <v>1</v>
  </rv>
  <rv s="0">
    <fb>6544199</fb>
    <v>2</v>
  </rv>
  <rv s="0">
    <fb>45818</fb>
    <v>0</v>
  </rv>
  <rv s="0">
    <fb>162.84</fb>
    <v>1</v>
  </rv>
  <rv s="0">
    <fb>7680015</fb>
    <v>2</v>
  </rv>
  <rv s="0">
    <fb>45819</fb>
    <v>0</v>
  </rv>
  <rv s="0">
    <fb>162.11000000000001</fb>
    <v>1</v>
  </rv>
  <rv s="0">
    <fb>5960052</fb>
    <v>2</v>
  </rv>
  <rv s="0">
    <fb>45820</fb>
    <v>0</v>
  </rv>
  <rv s="0">
    <fb>163.18</fb>
    <v>1</v>
  </rv>
  <rv s="0">
    <fb>6509891</fb>
    <v>2</v>
  </rv>
  <rv s="0">
    <fb>45821</fb>
    <v>0</v>
  </rv>
  <rv s="0">
    <fb>160.28</fb>
    <v>1</v>
  </rv>
  <rv s="0">
    <fb>7104547</fb>
    <v>2</v>
  </rv>
  <rv s="0">
    <fb>45824</fb>
    <v>0</v>
  </rv>
  <rv s="0">
    <fb>160.88</fb>
    <v>1</v>
  </rv>
  <rv s="0">
    <fb>6331961</fb>
    <v>2</v>
  </rv>
  <rv s="0">
    <fb>45825</fb>
    <v>0</v>
  </rv>
  <rv s="0">
    <fb>158.52000000000001</fb>
    <v>1</v>
  </rv>
  <rv s="0">
    <fb>6809747</fb>
    <v>2</v>
  </rv>
  <rv s="0">
    <fb>45826</fb>
    <v>0</v>
  </rv>
  <rv s="0">
    <fb>7211225</fb>
    <v>2</v>
  </rv>
  <rv s="0">
    <fb>45828</fb>
    <v>0</v>
  </rv>
  <rv s="0">
    <fb>159.08000000000001</fb>
    <v>1</v>
  </rv>
  <rv s="0">
    <fb>16173371</fb>
    <v>2</v>
  </rv>
  <rv s="0">
    <fb>45831</fb>
    <v>0</v>
  </rv>
  <rv s="0">
    <fb>161.03</fb>
    <v>1</v>
  </rv>
  <rv s="0">
    <fb>6588223</fb>
    <v>2</v>
  </rv>
  <rv s="0">
    <fb>45832</fb>
    <v>0</v>
  </rv>
  <rv s="0">
    <fb>160.36000000000001</fb>
    <v>1</v>
  </rv>
  <rv s="0">
    <fb>7470052</fb>
    <v>2</v>
  </rv>
  <rv s="0">
    <fb>45833</fb>
    <v>0</v>
  </rv>
  <rv s="0">
    <fb>158.97</fb>
    <v>1</v>
  </rv>
  <rv s="0">
    <fb>5933715</fb>
    <v>2</v>
  </rv>
  <rv s="0">
    <fb>45834</fb>
    <v>0</v>
  </rv>
  <rv s="0">
    <fb>158.63</fb>
    <v>1</v>
  </rv>
  <rv s="0">
    <fb>7410446</fb>
    <v>2</v>
  </rv>
  <rv s="0">
    <fb>45835</fb>
    <v>0</v>
  </rv>
  <rv s="0">
    <fb>159.86000000000001</fb>
    <v>1</v>
  </rv>
  <rv s="0">
    <fb>19256955</fb>
    <v>2</v>
  </rv>
  <rv s="0">
    <fb>45838</fb>
    <v>0</v>
  </rv>
  <rv s="0">
    <fb>159.32</fb>
    <v>1</v>
  </rv>
  <rv s="0">
    <fb>11238201</fb>
    <v>2</v>
  </rv>
  <rv s="0">
    <fb>45839</fb>
    <v>0</v>
  </rv>
  <rv s="0">
    <fb>161.22</fb>
    <v>1</v>
  </rv>
  <rv s="0">
    <fb>10664891</fb>
    <v>2</v>
  </rv>
  <rv s="0">
    <fb>45840</fb>
    <v>0</v>
  </rv>
  <rv s="0">
    <fb>161.19999999999999</fb>
    <v>1</v>
  </rv>
  <rv s="0">
    <fb>8848744</fb>
    <v>2</v>
  </rv>
  <rv s="0">
    <fb>45841</fb>
    <v>0</v>
  </rv>
  <rv s="0">
    <fb>160.83000000000001</fb>
    <v>1</v>
  </rv>
  <rv s="0">
    <fb>6999589</fb>
    <v>2</v>
  </rv>
  <rv s="0">
    <fb>45845</fb>
    <v>0</v>
  </rv>
  <rv s="0">
    <fb>160.5</fb>
    <v>1</v>
  </rv>
  <rv s="0">
    <fb>7225695</fb>
    <v>2</v>
  </rv>
  <rv s="0">
    <fb>45846</fb>
    <v>0</v>
  </rv>
  <rv s="0">
    <fb>157.88999999999999</fb>
    <v>1</v>
  </rv>
  <rv s="0">
    <fb>12034764</fb>
    <v>2</v>
  </rv>
  <rv s="0">
    <fb>45847</fb>
    <v>0</v>
  </rv>
  <rv s="0">
    <fb>157.52000000000001</fb>
    <v>1</v>
  </rv>
  <rv s="0">
    <fb>18770894</fb>
    <v>2</v>
  </rv>
  <rv s="0">
    <fb>45848</fb>
    <v>0</v>
  </rv>
  <rv s="0">
    <fb>158.49</fb>
    <v>1</v>
  </rv>
  <rv s="0">
    <fb>7201748</fb>
    <v>2</v>
  </rv>
  <rv s="0">
    <fb>45849</fb>
    <v>0</v>
  </rv>
  <rv s="0">
    <fb>157.05000000000001</fb>
    <v>1</v>
  </rv>
  <rv s="0">
    <fb>8053808</fb>
    <v>2</v>
  </rv>
  <rv s="0">
    <fb>45852</fb>
    <v>0</v>
  </rv>
  <rv s="0">
    <fb>153.76</fb>
    <v>1</v>
  </rv>
  <rv s="0">
    <fb>11491688</fb>
    <v>2</v>
  </rv>
  <rv s="0">
    <fb>45853</fb>
    <v>0</v>
  </rv>
  <rv s="0">
    <fb>152.68</fb>
    <v>1</v>
  </rv>
  <rv s="0">
    <fb>9142615</fb>
    <v>2</v>
  </rv>
  <rv s="0">
    <fb>45854</fb>
    <v>0</v>
  </rv>
  <rv s="0">
    <fb>153.72999999999999</fb>
    <v>1</v>
  </rv>
  <rv s="0">
    <fb>8478997</fb>
    <v>2</v>
  </rv>
  <rv s="0">
    <fb>45855</fb>
    <v>0</v>
  </rv>
  <rv s="0">
    <fb>155.62</fb>
    <v>1</v>
  </rv>
  <rv s="0">
    <fb>8319996</fb>
    <v>2</v>
  </rv>
  <rv s="0">
    <fb>45856</fb>
    <v>0</v>
  </rv>
  <rv s="0">
    <fb>155.1</fb>
    <v>1</v>
  </rv>
  <rv s="0">
    <fb>7337252</fb>
    <v>2</v>
  </rv>
  <rv s="0">
    <fb>45859</fb>
    <v>0</v>
  </rv>
  <rv s="0">
    <fb>155.03</fb>
    <v>1</v>
  </rv>
  <rv s="0">
    <fb>6328370</fb>
    <v>2</v>
  </rv>
  <rv s="0">
    <fb>45860</fb>
    <v>0</v>
  </rv>
  <rv s="0">
    <fb>158.32</fb>
    <v>1</v>
  </rv>
  <rv s="0">
    <fb>8186970</fb>
    <v>2</v>
  </rv>
  <rv s="0">
    <fb>45861</fb>
    <v>0</v>
  </rv>
  <rv s="0">
    <fb>158.28</fb>
    <v>1</v>
  </rv>
  <rv s="0">
    <fb>4804795</fb>
    <v>2</v>
  </rv>
  <rv s="0">
    <fb>45862</fb>
    <v>0</v>
  </rv>
  <rv s="0">
    <fb>158.81</fb>
    <v>1</v>
  </rv>
  <rv s="0">
    <fb>7027392</fb>
    <v>2</v>
  </rv>
  <rv s="0">
    <fb>45863</fb>
    <v>0</v>
  </rv>
  <rv s="0">
    <fb>158.30000000000001</fb>
    <v>1</v>
  </rv>
  <rv s="0">
    <fb>5800248</fb>
    <v>2</v>
  </rv>
  <rv s="0">
    <fb>45866</fb>
    <v>0</v>
  </rv>
  <rv s="0">
    <fb>157.11000000000001</fb>
    <v>1</v>
  </rv>
  <rv s="0">
    <fb>7885026</fb>
    <v>2</v>
  </rv>
  <rv s="0">
    <fb>45867</fb>
    <v>0</v>
  </rv>
  <rv s="0">
    <fb>156.61000000000001</fb>
    <v>1</v>
  </rv>
  <rv s="0">
    <fb>11466058</fb>
    <v>2</v>
  </rv>
  <rv s="0">
    <fb>45868</fb>
    <v>0</v>
  </rv>
  <rv s="0">
    <fb>152.88</fb>
    <v>1</v>
  </rv>
  <rv s="0">
    <fb>8162888</fb>
    <v>2</v>
  </rv>
  <rv s="0">
    <fb>45869</fb>
    <v>0</v>
  </rv>
  <rv s="0">
    <fb>150.47</fb>
    <v>1</v>
  </rv>
  <rv s="0">
    <fb>11845443</fb>
    <v>2</v>
  </rv>
  <rv s="0">
    <fb>45870</fb>
    <v>0</v>
  </rv>
  <rv s="0">
    <fb>150.65</fb>
    <v>1</v>
  </rv>
  <rv s="0">
    <fb>8594220</fb>
    <v>2</v>
  </rv>
  <rv s="0">
    <fb>45873</fb>
    <v>0</v>
  </rv>
  <rv s="0">
    <fb>150.76</fb>
    <v>1</v>
  </rv>
  <rv s="0">
    <fb>7679361</fb>
    <v>2</v>
  </rv>
  <rv s="0">
    <fb>45874</fb>
    <v>0</v>
  </rv>
  <rv s="0">
    <fb>150.51</fb>
    <v>1</v>
  </rv>
  <rv s="0">
    <fb>6670065</fb>
    <v>2</v>
  </rv>
  <rv s="0">
    <fb>45875</fb>
    <v>0</v>
  </rv>
  <rv s="0">
    <fb>152.86000000000001</fb>
    <v>1</v>
  </rv>
  <rv s="0">
    <fb>7376213</fb>
    <v>2</v>
  </rv>
  <rv s="0">
    <fb>45876</fb>
    <v>0</v>
  </rv>
  <rv s="0">
    <fb>153.49</fb>
    <v>1</v>
  </rv>
  <rv s="0">
    <fb>6719044</fb>
    <v>2</v>
  </rv>
  <rv s="0">
    <fb>45877</fb>
    <v>0</v>
  </rv>
  <rv s="0">
    <fb>153.51</fb>
    <v>1</v>
  </rv>
  <rv s="0">
    <fb>5811281</fb>
    <v>2</v>
  </rv>
  <rv s="0">
    <fb>45880</fb>
    <v>0</v>
  </rv>
  <rv s="0">
    <fb>154.97999999999999</fb>
    <v>1</v>
  </rv>
  <rv s="0">
    <fb>7331707</fb>
    <v>2</v>
  </rv>
  <rv s="0">
    <fb>45881</fb>
    <v>0</v>
  </rv>
  <rv s="0">
    <fb>155.09</fb>
    <v>1</v>
  </rv>
  <rv s="0">
    <fb>6938336</fb>
    <v>2</v>
  </rv>
  <rv s="0">
    <fb>45882</fb>
    <v>0</v>
  </rv>
  <rv s="0">
    <fb>155.41</fb>
    <v>1</v>
  </rv>
  <rv s="0">
    <fb>5812356</fb>
    <v>2</v>
  </rv>
  <rv s="0">
    <fb>45883</fb>
    <v>0</v>
  </rv>
  <rv s="0">
    <fb>153.74</fb>
    <v>1</v>
  </rv>
  <rv s="0">
    <fb>6343715</fb>
    <v>2</v>
  </rv>
  <rv s="0">
    <fb>45884</fb>
    <v>0</v>
  </rv>
  <rv s="0">
    <fb>154.36000000000001</fb>
    <v>1</v>
  </rv>
  <rv s="0">
    <fb>7121700</fb>
    <v>2</v>
  </rv>
  <rv s="0">
    <fb>45887</fb>
    <v>0</v>
  </rv>
  <rv s="0">
    <fb>155.72</fb>
    <v>1</v>
  </rv>
  <rv s="0">
    <fb>8274726</fb>
    <v>2</v>
  </rv>
  <rv s="0">
    <fb>45888</fb>
    <v>0</v>
  </rv>
  <rv s="0">
    <fb>158.4</fb>
    <v>1</v>
  </rv>
  <rv s="0">
    <fb>7868129</fb>
    <v>2</v>
  </rv>
  <rv s="0">
    <fb>45889</fb>
    <v>0</v>
  </rv>
  <rv s="0">
    <fb>159.51</fb>
    <v>1</v>
  </rv>
  <rv s="0">
    <fb>7840355</fb>
    <v>2</v>
  </rv>
  <rv s="0">
    <fb>45890</fb>
    <v>0</v>
  </rv>
  <rv s="0">
    <fb>6417695</fb>
    <v>2</v>
  </rv>
  <rv s="0">
    <fb>45891</fb>
    <v>0</v>
  </rv>
  <rv s="0">
    <fb>158.66999999999999</fb>
    <v>1</v>
  </rv>
  <rv s="0">
    <fb>5797325</fb>
    <v>2</v>
  </rv>
  <rv s="0">
    <fb>45894</fb>
    <v>0</v>
  </rv>
  <rv s="0">
    <fb>156.15</fb>
    <v>1</v>
  </rv>
  <rv s="0">
    <fb>4692505</fb>
    <v>2</v>
  </rv>
  <rv s="0">
    <fb>45895</fb>
    <v>0</v>
  </rv>
  <rv s="0">
    <fb>155.97</fb>
    <v>1</v>
  </rv>
  <rv s="0">
    <fb>6337977</fb>
    <v>2</v>
  </rv>
  <rv s="0">
    <fb>45896</fb>
    <v>0</v>
  </rv>
  <rv s="0">
    <fb>156.96</fb>
    <v>1</v>
  </rv>
  <rv s="0">
    <fb>4551219</fb>
    <v>2</v>
  </rv>
  <rv s="0">
    <fb>45897</fb>
    <v>0</v>
  </rv>
  <rv s="0">
    <fb>155.65</fb>
    <v>1</v>
  </rv>
  <rv s="0">
    <fb>5857727</fb>
    <v>2</v>
  </rv>
  <rv s="0">
    <fb>45898</fb>
    <v>0</v>
  </rv>
  <rv s="0">
    <fb>157.04</fb>
    <v>1</v>
  </rv>
  <rv s="0">
    <fb>5318179</fb>
    <v>2</v>
  </rv>
  <rv s="0">
    <fb>45902</fb>
    <v>0</v>
  </rv>
  <rv s="0">
    <fb>157.99</fb>
    <v>1</v>
  </rv>
  <rv s="0">
    <fb>6432837</fb>
    <v>2</v>
  </rv>
  <rv s="0">
    <fb>45903</fb>
    <v>0</v>
  </rv>
  <rv s="0">
    <fb>158.16999999999999</fb>
    <v>1</v>
  </rv>
  <rv s="0">
    <fb>6592451</fb>
    <v>2</v>
  </rv>
  <rv s="0">
    <fb>45904</fb>
    <v>0</v>
  </rv>
  <rv s="0">
    <fb>159.19</fb>
    <v>1</v>
  </rv>
  <rv s="0">
    <fb>6935245</fb>
    <v>2</v>
  </rv>
  <rv s="0">
    <fb>45905</fb>
    <v>0</v>
  </rv>
  <rv s="0">
    <fb>160.02000000000001</fb>
    <v>1</v>
  </rv>
  <rv s="0">
    <fb>6436150</fb>
    <v>2</v>
  </rv>
  <rv s="0">
    <fb>45908</fb>
    <v>0</v>
  </rv>
  <rv s="0">
    <fb>159.01</fb>
    <v>1</v>
  </rv>
  <rv s="0">
    <fb>7178356</fb>
    <v>2</v>
  </rv>
  <rv s="0">
    <fb>45909</fb>
    <v>0</v>
  </rv>
  <rv s="0">
    <fb>159.46</fb>
    <v>1</v>
  </rv>
  <rv s="0">
    <fb>4984936</fb>
    <v>2</v>
  </rv>
  <rv s="0">
    <fb>45910</fb>
    <v>0</v>
  </rv>
  <rv s="0">
    <fb>157.35</fb>
    <v>1</v>
  </rv>
  <rv s="0">
    <fb>6205463</fb>
    <v>2</v>
  </rv>
  <rv s="0">
    <fb>45911</fb>
    <v>0</v>
  </rv>
  <rv s="0">
    <fb>5819875</fb>
    <v>2</v>
  </rv>
  <rv s="0">
    <fb>45912</fb>
    <v>0</v>
  </rv>
  <rv s="0">
    <fb>157.9</fb>
    <v>1</v>
  </rv>
  <rv s="0">
    <fb>5957021</fb>
    <v>2</v>
  </rv>
  <rv s="0">
    <fb>45915</fb>
    <v>0</v>
  </rv>
  <rv s="0">
    <fb>156.83000000000001</fb>
    <v>1</v>
  </rv>
  <rv s="0">
    <fb>5994966</fb>
    <v>2</v>
  </rv>
  <rv s="0">
    <fb>45916</fb>
    <v>0</v>
  </rv>
  <rv s="0">
    <fb>158.05000000000001</fb>
    <v>1</v>
  </rv>
  <rv s="0">
    <fb>6559608</fb>
    <v>2</v>
  </rv>
  <rv s="0">
    <fb>45917</fb>
    <v>0</v>
  </rv>
  <rv s="0">
    <fb>160.33000000000001</fb>
    <v>1</v>
  </rv>
  <rv s="0">
    <fb>6764169</fb>
    <v>2</v>
  </rv>
  <rv s="0">
    <fb>45918</fb>
    <v>0</v>
  </rv>
  <rv s="0">
    <fb>157.32</fb>
    <v>1</v>
  </rv>
  <rv s="0">
    <fb>7651487</fb>
    <v>2</v>
  </rv>
  <rv s="0">
    <fb>45919</fb>
    <v>0</v>
  </rv>
  <rv s="0">
    <fb>156.04</fb>
    <v>1</v>
  </rv>
  <rv s="0">
    <fb>17224774</fb>
    <v>2</v>
  </rv>
  <rv s="0">
    <fb>45922</fb>
    <v>0</v>
  </rv>
  <rv s="0">
    <fb>153.07</fb>
    <v>1</v>
  </rv>
  <rv s="0">
    <fb>8712910</fb>
    <v>2</v>
  </rv>
  <rv s="0">
    <fb>45923</fb>
    <v>0</v>
  </rv>
  <rv s="0">
    <fb>152.5</fb>
    <v>1</v>
  </rv>
  <rv s="0">
    <fb>8853418</fb>
    <v>2</v>
  </rv>
  <rv s="0">
    <fb>45924</fb>
    <v>0</v>
  </rv>
  <rv s="0">
    <fb>152.41999999999999</fb>
    <v>1</v>
  </rv>
  <rv s="0">
    <fb>6483264</fb>
    <v>2</v>
  </rv>
  <rv s="0">
    <fb>45925</fb>
    <v>0</v>
  </rv>
  <rv s="0">
    <fb>152.15</fb>
    <v>1</v>
  </rv>
  <rv s="0">
    <fb>7511415</fb>
    <v>2</v>
  </rv>
  <rv s="0">
    <fb>45926</fb>
    <v>0</v>
  </rv>
  <rv s="0">
    <fb>5721092</fb>
    <v>2</v>
  </rv>
  <rv s="0">
    <fb>45929</fb>
    <v>0</v>
  </rv>
  <rv s="0">
    <fb>153.53</fb>
    <v>1</v>
  </rv>
  <rv s="0">
    <fb>8139711</fb>
    <v>2</v>
  </rv>
  <rv s="0">
    <fb>45930</fb>
    <v>0</v>
  </rv>
  <rv s="0">
    <fb>153.65</fb>
    <v>1</v>
  </rv>
  <rv s="0">
    <fb>7762609</fb>
    <v>2</v>
  </rv>
  <rv s="0">
    <fb>45931</fb>
    <v>0</v>
  </rv>
  <rv s="0">
    <fb>153.18</fb>
    <v>1</v>
  </rv>
  <rv s="0">
    <fb>7566014</fb>
    <v>2</v>
  </rv>
  <rv s="0">
    <fb>45932</fb>
    <v>0</v>
  </rv>
  <rv s="0">
    <fb>152.05000000000001</fb>
    <v>1</v>
  </rv>
  <rv s="0">
    <fb>6892089</fb>
    <v>2</v>
  </rv>
  <rv s="0">
    <fb>45933</fb>
    <v>0</v>
  </rv>
  <rv s="0">
    <fb>152.27000000000001</fb>
    <v>1</v>
  </rv>
  <rv s="0">
    <fb>5212584</fb>
    <v>2</v>
  </rv>
  <rv s="0">
    <fb>45936</fb>
    <v>0</v>
  </rv>
  <rv s="0">
    <fb>150.41</fb>
    <v>1</v>
  </rv>
  <rv s="0">
    <fb>6736960</fb>
    <v>2</v>
  </rv>
  <rv s="0">
    <fb>45937</fb>
    <v>0</v>
  </rv>
  <rv s="0">
    <fb>152.54</fb>
    <v>1</v>
  </rv>
  <rv s="0">
    <fb>6844361</fb>
    <v>2</v>
  </rv>
  <rv s="0">
    <fb>45938</fb>
    <v>0</v>
  </rv>
  <rv s="0">
    <fb>150.69</fb>
    <v>1</v>
  </rv>
  <rv s="0">
    <fb>5254728</fb>
    <v>2</v>
  </rv>
  <rv s="0">
    <fb>45939</fb>
    <v>0</v>
  </rv>
  <rv s="0">
    <fb>150.58000000000001</fb>
    <v>1</v>
  </rv>
  <rv s="0">
    <fb>6134461</fb>
    <v>2</v>
  </rv>
  <rv s="0">
    <fb>45940</fb>
    <v>0</v>
  </rv>
  <rv s="0">
    <fb>149.69</fb>
    <v>1</v>
  </rv>
  <rv s="0">
    <fb>7374046</fb>
    <v>2</v>
  </rv>
  <rv s="0">
    <fb>45943</fb>
    <v>0</v>
  </rv>
  <rv s="0">
    <fb>147.49</fb>
    <v>1</v>
  </rv>
  <rv s="0">
    <fb>7511103</fb>
    <v>2</v>
  </rv>
  <rv s="0">
    <fb>45944</fb>
    <v>0</v>
  </rv>
  <rv s="0">
    <fb>149.16</fb>
    <v>1</v>
  </rv>
  <rv s="0">
    <fb>8585346</fb>
    <v>2</v>
  </rv>
  <rv s="0">
    <fb>45945</fb>
    <v>0</v>
  </rv>
  <rv s="0">
    <fb>147.41999999999999</fb>
    <v>1</v>
  </rv>
  <rv s="0">
    <fb>10003073</fb>
    <v>2</v>
  </rv>
  <rv s="0">
    <fb>45946</fb>
    <v>0</v>
  </rv>
  <rv s="0">
    <fb>149.6</fb>
    <v>1</v>
  </rv>
  <rv s="0">
    <fb>8809673</fb>
    <v>2</v>
  </rv>
  <rv s="0">
    <fb>45947</fb>
    <v>0</v>
  </rv>
  <rv s="0">
    <fb>151.4</fb>
    <v>1</v>
  </rv>
  <rv s="0">
    <fb>8612894</fb>
    <v>2</v>
  </rv>
  <rv s="0">
    <fb>45950</fb>
    <v>0</v>
  </rv>
  <rv s="0">
    <fb>151.96</fb>
    <v>1</v>
  </rv>
  <rv s="0">
    <fb>5601287</fb>
    <v>2</v>
  </rv>
  <rv s="0">
    <fb>45951</fb>
    <v>0</v>
  </rv>
  <rv s="0">
    <fb>151.62</fb>
    <v>1</v>
  </rv>
  <rv s="0">
    <fb>6013379</fb>
    <v>2</v>
  </rv>
  <rv s="0">
    <fb>45952</fb>
    <v>0</v>
  </rv>
  <rv s="0">
    <fb>152.19999999999999</fb>
    <v>1</v>
  </rv>
  <rv s="0">
    <fb>6394378</fb>
    <v>2</v>
  </rv>
  <rv s="0">
    <fb>45953</fb>
    <v>0</v>
  </rv>
  <rv s="0">
    <fb>152.21</fb>
    <v>1</v>
  </rv>
  <rv s="0">
    <fb>8205353</fb>
    <v>2</v>
  </rv>
  <rv s="0">
    <fb>45954</fb>
    <v>0</v>
  </rv>
  <rv s="0">
    <fb>152.49</fb>
    <v>1</v>
  </rv>
  <rv s="0">
    <fb>11968491</fb>
    <v>2</v>
  </rv>
  <rv s="0">
    <fb>45957</fb>
    <v>0</v>
  </rv>
  <rv s="0">
    <fb>151.74</fb>
    <v>1</v>
  </rv>
  <rv s="0">
    <fb>7775323</fb>
    <v>2</v>
  </rv>
  <rv s="0">
    <fb>45958</fb>
    <v>0</v>
  </rv>
  <rv s="0">
    <fb>151.37</fb>
    <v>1</v>
  </rv>
  <rv s="0">
    <fb>5819257</fb>
    <v>2</v>
  </rv>
  <rv s="0">
    <fb>45959</fb>
    <v>0</v>
  </rv>
  <rv s="0">
    <fb>148.77000000000001</fb>
    <v>1</v>
  </rv>
  <rv s="0">
    <fb>7405466</fb>
    <v>2</v>
  </rv>
  <rv s="0">
    <fb>45960</fb>
    <v>0</v>
  </rv>
  <rv s="0">
    <fb>149.58000000000001</fb>
    <v>1</v>
  </rv>
  <rv s="0">
    <fb>6760702</fb>
    <v>2</v>
  </rv>
  <rv s="0">
    <fb>45961</fb>
    <v>0</v>
  </rv>
  <rv s="0">
    <fb>150.37</fb>
    <v>1</v>
  </rv>
  <rv s="0">
    <fb>7930334</fb>
    <v>2</v>
  </rv>
  <rv s="0">
    <fb>45964</fb>
    <v>0</v>
  </rv>
  <rv s="0">
    <fb>148.02000000000001</fb>
    <v>1</v>
  </rv>
  <rv s="0">
    <fb>8946383</fb>
    <v>2</v>
  </rv>
  <rv s="0">
    <fb>45965</fb>
    <v>0</v>
  </rv>
  <rv s="0">
    <fb>147.16999999999999</fb>
    <v>1</v>
  </rv>
  <rv s="0">
    <fb>9295449</fb>
    <v>2</v>
  </rv>
  <rv s="0">
    <fb>45966</fb>
    <v>0</v>
  </rv>
  <rv s="0">
    <fb>145.79</fb>
    <v>1</v>
  </rv>
  <rv s="0">
    <fb>11199878</fb>
    <v>2</v>
  </rv>
  <rv s="0">
    <fb>45967</fb>
    <v>0</v>
  </rv>
  <rv s="0">
    <fb>146.13</fb>
    <v>1</v>
  </rv>
  <rv s="0">
    <fb>10024549</fb>
    <v>2</v>
  </rv>
  <rv s="0">
    <fb>45968</fb>
    <v>0</v>
  </rv>
  <rv s="0">
    <fb>146.97999999999999</fb>
    <v>1</v>
  </rv>
  <rv s="0">
    <fb>8500097</fb>
    <v>2</v>
  </rv>
  <rv s="0">
    <fb>45971</fb>
    <v>0</v>
  </rv>
  <rv s="0">
    <fb>145.5</fb>
    <v>1</v>
  </rv>
  <rv s="0">
    <fb>10208085</fb>
    <v>2</v>
  </rv>
  <rv s="0">
    <fb>45972</fb>
    <v>0</v>
  </rv>
  <rv s="0">
    <fb>148.54</fb>
    <v>1</v>
  </rv>
  <rv s="0">
    <fb>7332540</fb>
    <v>2</v>
  </rv>
  <rv s="0">
    <fb>45973</fb>
    <v>0</v>
  </rv>
  <rv s="0">
    <fb>148.01</fb>
    <v>1</v>
  </rv>
  <rv s="0">
    <fb>7851052</fb>
    <v>2</v>
  </rv>
  <rv s="0">
    <fb>45974</fb>
    <v>0</v>
  </rv>
  <rv s="0">
    <fb>147.96</fb>
    <v>1</v>
  </rv>
  <rv s="0">
    <fb>7566789</fb>
    <v>2</v>
  </rv>
  <rv s="0">
    <fb>45975</fb>
    <v>0</v>
  </rv>
  <rv s="0">
    <fb>147.66999999999999</fb>
    <v>1</v>
  </rv>
  <rv s="0">
    <fb>9151066</fb>
    <v>2</v>
  </rv>
  <rv s="0">
    <fb>45978</fb>
    <v>0</v>
  </rv>
  <rv s="0">
    <fb>145.82</fb>
    <v>1</v>
  </rv>
  <rv s="0">
    <fb>9902310</fb>
    <v>2</v>
  </rv>
  <rv s="0">
    <fb>45979</fb>
    <v>0</v>
  </rv>
  <rv s="0">
    <fb>146.99</fb>
    <v>1</v>
  </rv>
  <rv s="0">
    <fb>10735177</fb>
    <v>2</v>
  </rv>
  <rv s="0">
    <fb>45980</fb>
    <v>0</v>
  </rv>
  <rv s="0">
    <fb>6367038</fb>
    <v>2</v>
  </rv>
  <rv s="0">
    <fb>45981</fb>
    <v>0</v>
  </rv>
  <rv s="0">
    <fb>148.19</fb>
    <v>1</v>
  </rv>
  <rv s="0">
    <fb>9021325</fb>
    <v>2</v>
  </rv>
  <rv s="0">
    <fb>45982</fb>
    <v>0</v>
  </rv>
  <rv s="0">
    <fb>150.91999999999999</fb>
    <v>1</v>
  </rv>
  <rv s="0">
    <fb>12017986</fb>
    <v>2</v>
  </rv>
  <rv s="0">
    <fb>45985</fb>
    <v>0</v>
  </rv>
  <rv s="0">
    <fb>13846906</fb>
    <v>2</v>
  </rv>
  <rv s="0">
    <fb>45986</fb>
    <v>0</v>
  </rv>
  <rv s="0">
    <fb>148.49</fb>
    <v>1</v>
  </rv>
  <rv s="0">
    <fb>10477661</fb>
    <v>2</v>
  </rv>
  <rv s="0">
    <fb>45987</fb>
    <v>0</v>
  </rv>
  <rv s="0">
    <fb>148.25</fb>
    <v>1</v>
  </rv>
  <rv s="0">
    <fb>9238450</fb>
    <v>2</v>
  </rv>
  <rv s="0">
    <fb>45989</fb>
    <v>0</v>
  </rv>
  <rv s="0">
    <fb>148.16</fb>
    <v>1</v>
  </rv>
  <rv s="0">
    <fb>4707161</fb>
    <v>2</v>
  </rv>
  <rv s="0">
    <fb>45992</fb>
    <v>0</v>
  </rv>
  <rv s="0">
    <fb>147.44</fb>
    <v>1</v>
  </rv>
  <rv s="0">
    <fb>8240689</fb>
    <v>2</v>
  </rv>
  <rv s="0">
    <fb>45993</fb>
    <v>0</v>
  </rv>
  <rv s="0">
    <fb>145.86000000000001</fb>
    <v>1</v>
  </rv>
  <rv s="0">
    <fb>16376769</fb>
    <v>2</v>
  </rv>
  <rv s="0">
    <fb>45994</fb>
    <v>0</v>
  </rv>
  <rv s="0">
    <fb>146.71</fb>
    <v>1</v>
  </rv>
  <rv s="0">
    <fb>9125320</fb>
    <v>2</v>
  </rv>
  <rv s="0">
    <fb>45995</fb>
    <v>0</v>
  </rv>
  <rv s="0">
    <fb>145.36000000000001</fb>
    <v>1</v>
  </rv>
  <rv s="0">
    <fb>10479267</fb>
    <v>2</v>
  </rv>
  <rv s="0">
    <fb>45996</fb>
    <v>0</v>
  </rv>
  <rv s="0">
    <fb>143.44999999999999</fb>
    <v>1</v>
  </rv>
  <rv s="0">
    <fb>12791745</fb>
    <v>2</v>
  </rv>
  <rv s="0">
    <fb>45999</fb>
    <v>0</v>
  </rv>
  <rv s="0">
    <fb>138.34</fb>
    <v>1</v>
  </rv>
  <rv s="0">
    <fb>17507504</fb>
    <v>2</v>
  </rv>
  <rv s="0">
    <fb>46000</fb>
    <v>0</v>
  </rv>
  <rv s="0">
    <fb>139.63</fb>
    <v>1</v>
  </rv>
  <rv s="0">
    <fb>10375688</fb>
    <v>2</v>
  </rv>
  <rv s="0">
    <fb>46001</fb>
    <v>0</v>
  </rv>
  <rv s="0">
    <fb>139.82</fb>
    <v>1</v>
  </rv>
  <rv s="0">
    <fb>13650378</fb>
    <v>2</v>
  </rv>
  <rv s="0">
    <fb>46002</fb>
    <v>0</v>
  </rv>
  <rv s="0">
    <fb>140.76</fb>
    <v>1</v>
  </rv>
  <rv s="0">
    <fb>11797981</fb>
    <v>2</v>
  </rv>
  <rv s="0">
    <fb>46003</fb>
    <v>0</v>
  </rv>
  <rv s="0">
    <fb>142.84</fb>
    <v>1</v>
  </rv>
  <rv s="0">
    <fb>10268768</fb>
    <v>2</v>
  </rv>
  <rv s="0">
    <fb>46006</fb>
    <v>0</v>
  </rv>
  <rv s="0">
    <fb>145.13</fb>
    <v>1</v>
  </rv>
  <rv s="0">
    <fb>13877674</fb>
    <v>2</v>
  </rv>
  <rv s="0">
    <fb>46007</fb>
    <v>0</v>
  </rv>
  <rv s="0">
    <fb>145.21</fb>
    <v>1</v>
  </rv>
  <rv s="0">
    <fb>10251720</fb>
    <v>2</v>
  </rv>
  <rv s="0">
    <fb>46008</fb>
    <v>0</v>
  </rv>
  <rv s="0">
    <fb>147.81</fb>
    <v>1</v>
  </rv>
  <rv s="0">
    <fb>9833261</fb>
    <v>2</v>
  </rv>
  <rv s="0">
    <fb>46009</fb>
    <v>0</v>
  </rv>
  <rv s="0">
    <fb>145.52000000000001</fb>
    <v>1</v>
  </rv>
  <rv s="0">
    <fb>12239860</fb>
    <v>2</v>
  </rv>
  <rv s="0">
    <fb>46010</fb>
    <v>0</v>
  </rv>
  <rv s="0">
    <fb>144.46</fb>
    <v>1</v>
  </rv>
  <rv s="0">
    <fb>19345622</fb>
    <v>2</v>
  </rv>
  <rv s="0">
    <fb>46013</fb>
    <v>0</v>
  </rv>
  <rv s="0">
    <fb>142.69</fb>
    <v>1</v>
  </rv>
  <rv s="0">
    <fb>11731360</fb>
    <v>2</v>
  </rv>
  <rv s="0">
    <fb>46014</fb>
    <v>0</v>
  </rv>
  <rv s="0">
    <fb>143.18</fb>
    <v>1</v>
  </rv>
  <rv s="0">
    <fb>9541563</fb>
    <v>2</v>
  </rv>
  <rv s="0">
    <fb>46015</fb>
    <v>0</v>
  </rv>
  <rv s="0">
    <fb>144.49</fb>
    <v>1</v>
  </rv>
  <rv s="0">
    <fb>3259209</fb>
    <v>2</v>
  </rv>
  <rv s="0">
    <fb>46017</fb>
    <v>0</v>
  </rv>
  <rv s="0">
    <fb>144.74</fb>
    <v>1</v>
  </rv>
  <rv s="0">
    <fb>4711505</fb>
    <v>2</v>
  </rv>
  <rv s="0">
    <fb>46020</fb>
    <v>0</v>
  </rv>
  <rv s="0">
    <fb>144.57</fb>
    <v>1</v>
  </rv>
  <rv s="0">
    <fb>7662127</fb>
    <v>2</v>
  </rv>
  <rv s="0">
    <fb>46021</fb>
    <v>0</v>
  </rv>
  <rv s="0">
    <fb>144.05000000000001</fb>
    <v>1</v>
  </rv>
  <rv s="0">
    <fb>6006432</fb>
    <v>2</v>
  </rv>
  <rv s="0">
    <fb>46022</fb>
    <v>0</v>
  </rv>
  <rv s="0">
    <fb>143.31</fb>
    <v>1</v>
  </rv>
  <rv s="0">
    <fb>5293220</fb>
    <v>2</v>
  </rv>
  <rv s="0">
    <fb>46024</fb>
    <v>0</v>
  </rv>
  <rv s="0">
    <fb>141.79</fb>
    <v>1</v>
  </rv>
  <rv s="0">
    <fb>8946091</fb>
    <v>2</v>
  </rv>
  <rv s="0">
    <fb>46027</fb>
    <v>0</v>
  </rv>
  <rv s="0">
    <fb>140.37</fb>
    <v>1</v>
  </rv>
  <rv s="0">
    <fb>12297334</fb>
    <v>2</v>
  </rv>
  <rv s="0">
    <fb>46028</fb>
    <v>0</v>
  </rv>
  <rv s="0">
    <fb>139.91</fb>
    <v>1</v>
  </rv>
  <rv s="0">
    <fb>10421756</fb>
    <v>2</v>
  </rv>
  <rv s="0">
    <fb>46029</fb>
    <v>0</v>
  </rv>
  <rv s="0">
    <fb>138.04</fb>
    <v>1</v>
  </rv>
  <rv s="0">
    <fb>14369142</fb>
    <v>2</v>
  </rv>
  <rv s="0">
    <fb>46030</fb>
    <v>0</v>
  </rv>
  <rv s="0">
    <fb>141.53</fb>
    <v>1</v>
  </rv>
  <rv s="0">
    <fb>9297080</fb>
    <v>2</v>
  </rv>
  <rv s="0">
    <fb>46031</fb>
    <v>0</v>
  </rv>
  <rv s="0">
    <fb>141.87</fb>
    <v>1</v>
  </rv>
  <rv s="0">
    <fb>9528476</fb>
    <v>2</v>
  </rv>
  <rv s="0">
    <fb>46034</fb>
    <v>0</v>
  </rv>
  <rv s="0">
    <fb>143.46</fb>
    <v>1</v>
  </rv>
  <rv s="0">
    <fb>12812014</fb>
    <v>2</v>
  </rv>
  <rv s="0">
    <fb>46035</fb>
    <v>0</v>
  </rv>
  <rv s="0">
    <fb>144.24</fb>
    <v>1</v>
  </rv>
  <rv s="0">
    <fb>15549150</fb>
    <v>2</v>
  </rv>
  <rv s="0">
    <fb>46036</fb>
    <v>0</v>
  </rv>
  <rv s="0">
    <fb>146.35</fb>
    <v>1</v>
  </rv>
  <rv s="0">
    <fb>13474983</fb>
    <v>2</v>
  </rv>
  <rv s="0">
    <fb>46037</fb>
    <v>0</v>
  </rv>
  <rv s="0">
    <fb>144.63</fb>
    <v>1</v>
  </rv>
  <rv s="0">
    <fb>10102757</fb>
    <v>2</v>
  </rv>
  <rv s="0">
    <fb>46038</fb>
    <v>0</v>
  </rv>
  <rv s="0">
    <fb>144.53</fb>
    <v>1</v>
  </rv>
  <rv s="0">
    <fb>11729334</fb>
    <v>2</v>
  </rv>
  <rv s="0">
    <fb>46042</fb>
    <v>0</v>
  </rv>
  <rv s="0">
    <fb>147</fb>
    <v>1</v>
  </rv>
  <rv s="0">
    <fb>12901430</fb>
    <v>2</v>
  </rv>
  <rv s="0">
    <fb>46043</fb>
    <v>0</v>
  </rv>
  <rv s="0">
    <fb>146.06</fb>
    <v>1</v>
  </rv>
  <rv s="0">
    <fb>14126814</fb>
    <v>2</v>
  </rv>
  <rv s="0">
    <fb>46044</fb>
    <v>0</v>
  </rv>
  <rv s="0">
    <fb>149.93</fb>
    <v>1</v>
  </rv>
  <rv s="0">
    <fb>18501854</fb>
    <v>2</v>
  </rv>
  <rv s="0">
    <fb>46045</fb>
    <v>0</v>
  </rv>
  <rv s="0">
    <fb>150.15</fb>
    <v>1</v>
  </rv>
  <rv s="0">
    <fb>14562626</fb>
    <v>2</v>
  </rv>
  <rv s="0">
    <fb>46048</fb>
    <v>0</v>
  </rv>
  <rv s="0">
    <fb>149.49</fb>
    <v>1</v>
  </rv>
  <rv s="0">
    <fb>12655663</fb>
    <v>2</v>
  </rv>
  <rv s="0">
    <fb>46049</fb>
    <v>0</v>
  </rv>
  <rv s="0">
    <fb>148.34</fb>
    <v>1</v>
  </rv>
  <rv s="0">
    <fb>9546000</fb>
    <v>2</v>
  </rv>
  <rv s="0">
    <fb>46050</fb>
    <v>0</v>
  </rv>
  <rv s="0">
    <fb>147.34</fb>
    <v>1</v>
  </rv>
  <rv s="0">
    <fb>7465812</fb>
    <v>2</v>
  </rv>
  <rv s="0">
    <fb>46051</fb>
    <v>0</v>
  </rv>
  <rv s="0">
    <fb>149.9</fb>
    <v>1</v>
  </rv>
  <rv s="0">
    <fb>11035563</fb>
    <v>2</v>
  </rv>
  <rv s="0">
    <fb>46052</fb>
    <v>0</v>
  </rv>
  <rv s="0">
    <fb>151.77000000000001</fb>
    <v>1</v>
  </rv>
  <rv s="0">
    <fb>12651426</fb>
    <v>2</v>
  </rv>
  <rv s="0">
    <fb>46055</fb>
    <v>0</v>
  </rv>
  <rv s="0">
    <fb>153.19</fb>
    <v>1</v>
  </rv>
  <rv s="0">
    <fb>10554872</fb>
    <v>2</v>
  </rv>
  <rv s="0">
    <fb>46056</fb>
    <v>0</v>
  </rv>
  <rv s="0">
    <fb>155.32</fb>
    <v>1</v>
  </rv>
  <rv s="0">
    <fb>12424740</fb>
    <v>2</v>
  </rv>
  <rv s="0">
    <fb>46057</fb>
    <v>0</v>
  </rv>
  <rv s="0">
    <fb>156.87</fb>
    <v>1</v>
  </rv>
  <rv s="0">
    <fb>12178463</fb>
    <v>2</v>
  </rv>
  <rv s="0">
    <fb>46058</fb>
    <v>0</v>
  </rv>
  <rv s="0">
    <fb>158.61000000000001</fb>
    <v>1</v>
  </rv>
  <rv s="0">
    <fb>13077657</fb>
    <v>2</v>
  </rv>
  <rv s="0">
    <fb>46059</fb>
    <v>0</v>
  </rv>
  <rv s="0">
    <fb>159.16999999999999</fb>
    <v>1</v>
  </rv>
  <rv s="0">
    <fb>10441737</fb>
    <v>2</v>
  </rv>
  <rv s="0">
    <fb>46062</fb>
    <v>0</v>
  </rv>
  <rv s="0">
    <fb>157.33000000000001</fb>
    <v>1</v>
  </rv>
  <rv s="0">
    <fb>11439942</fb>
    <v>2</v>
  </rv>
  <rv s="0">
    <fb>46063</fb>
    <v>0</v>
  </rv>
  <rv s="0">
    <fb>9910099</fb>
    <v>2</v>
  </rv>
  <rv s="0">
    <fb>46064</fb>
    <v>0</v>
  </rv>
  <rv s="0">
    <fb>160</fb>
    <v>1</v>
  </rv>
  <rv s="0">
    <fb>10217309</fb>
    <v>2</v>
  </rv>
  <rv s="0">
    <fb>46065</fb>
    <v>0</v>
  </rv>
  <rv s="0">
    <fb>161.21</fb>
    <v>1</v>
  </rv>
  <rv s="0">
    <fb>13512862</fb>
    <v>2</v>
  </rv>
  <rv s="0">
    <fb>46066</fb>
    <v>0</v>
  </rv>
  <rv s="0">
    <fb>160.07</fb>
    <v>1</v>
  </rv>
  <rv s="0">
    <fb>13999208</fb>
    <v>2</v>
  </rv>
  <rv s="0">
    <fb>46070</fb>
    <v>0</v>
  </rv>
  <rv s="0">
    <fb>159.55000000000001</fb>
    <v>1</v>
  </rv>
  <rv s="0">
    <fb>13319135</fb>
    <v>2</v>
  </rv>
  <rv s="0">
    <fb>46071</fb>
    <v>0</v>
  </rv>
  <rv s="0">
    <fb>156.86000000000001</fb>
    <v>1</v>
  </rv>
  <rv s="0">
    <fb>14434308</fb>
    <v>2</v>
  </rv>
  <rv s="0">
    <fb>46072</fb>
    <v>0</v>
  </rv>
  <rv s="0">
    <fb>158.56</fb>
    <v>1</v>
  </rv>
  <rv s="0">
    <fb>10724558</fb>
    <v>2</v>
  </rv>
  <rv s="0">
    <fb>46073</fb>
    <v>0</v>
  </rv>
  <rv s="0">
    <fb>160.78</fb>
    <v>1</v>
  </rv>
  <rv s="0">
    <fb>11508133</fb>
    <v>2</v>
  </rv>
  <rv s="0">
    <fb>46076</fb>
    <v>0</v>
  </rv>
  <rv s="0">
    <fb>165.17</fb>
    <v>1</v>
  </rv>
  <rv s="0">
    <fb>14772449</fb>
    <v>2</v>
  </rv>
  <rv s="0">
    <fb>46077</fb>
    <v>0</v>
  </rv>
  <rv s="0">
    <fb>165.28</fb>
    <v>1</v>
  </rv>
  <rv s="0">
    <fb>9709847</fb>
    <v>2</v>
  </rv>
  <rv s="0">
    <fb>46078</fb>
    <v>0</v>
  </rv>
  <rv s="0">
    <fb>163.38999999999999</fb>
    <v>1</v>
  </rv>
  <rv s="0">
    <fb>7878458</fb>
    <v>2</v>
  </rv>
  <rv s="1">
    <v>3</v>
    <v>PG</v>
    <v>Daily</v>
    <v>45714</v>
    <v>46079</v>
    <v>0</v>
    <v>1</v>
    <v>639075744000000000,639077459817065885,0</v>
    <v>0</v>
    <v>a1zsjc</v>
    <v>XNYS:PG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0" formatCode="General"/>
    </x:dxf>
    <x:dxf>
      <x:numFmt numFmtId="19" formatCode="m/d/yyyy"/>
    </x:dxf>
    <x:dxf>
      <x:numFmt numFmtId="3" formatCode="#,##0"/>
    </x:dxf>
  </dxfs>
  <richProperties>
    <rPr n="NumberFormat" t="s"/>
  </richProperties>
  <richStyles>
    <rSty dxfid="1"/>
    <rSty dxfid="0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C94D04-4A67-4F24-9735-2EAFE11EF7BC}" name="Forecast" displayName="Forecast" ref="A1:B54" tableType="queryTable" totalsRowShown="0">
  <autoFilter ref="A1:B54" xr:uid="{2AC94D04-4A67-4F24-9735-2EAFE11EF7BC}"/>
  <tableColumns count="2">
    <tableColumn id="1" xr3:uid="{2C4DABE4-9340-4399-9A09-89A43CB8BFD8}" uniqueName="1" name="Week" queryTableFieldId="1" dataDxfId="0"/>
    <tableColumn id="2" xr3:uid="{C3DDE0AB-E165-4535-BB0F-46E5EE48AA01}" uniqueName="2" name="Averag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4D70F4-46C9-4A68-8A65-F9AC188A1A67}" name="Table3" displayName="Table3" ref="A1:B252" totalsRowShown="0">
  <autoFilter ref="A1:B252" xr:uid="{D74D70F4-46C9-4A68-8A65-F9AC188A1A67}"/>
  <tableColumns count="2">
    <tableColumn id="1" xr3:uid="{B6928467-3D59-4DF9-8933-6F6D09F10510}" name="Week" dataDxfId="1"/>
    <tableColumn id="2" xr3:uid="{312A41F4-F2DB-4C31-8C16-AFB714A8192C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F92:O127"/>
  <sheetViews>
    <sheetView tabSelected="1" topLeftCell="A105" workbookViewId="0">
      <selection activeCell="O104" sqref="O104"/>
    </sheetView>
  </sheetViews>
  <sheetFormatPr defaultRowHeight="15" x14ac:dyDescent="0.25"/>
  <cols>
    <col min="1" max="16384" width="9.140625" style="21"/>
  </cols>
  <sheetData>
    <row r="92" spans="15:15" x14ac:dyDescent="0.25">
      <c r="O92"/>
    </row>
    <row r="102" spans="6:6" x14ac:dyDescent="0.25">
      <c r="F102"/>
    </row>
    <row r="127" spans="8:8" x14ac:dyDescent="0.25">
      <c r="H12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252"/>
  <sheetViews>
    <sheetView zoomScale="70" zoomScaleNormal="70" workbookViewId="0">
      <selection activeCell="B1" sqref="B1"/>
    </sheetView>
  </sheetViews>
  <sheetFormatPr defaultRowHeight="15" x14ac:dyDescent="0.25"/>
  <cols>
    <col min="1" max="1" width="13.28515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252" ca="1">_xlfn.STOCKHISTORY("PG",TODAY()-365,TODAY(),0,1,0,1,5)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45712</v>
      </c>
      <c r="B2" vm="1">
        <f ca="1"/>
        <v>45714</v>
      </c>
      <c r="C2" vm="2">
        <f ca="1"/>
        <v>171.3</v>
      </c>
      <c r="D2" vm="3">
        <f ca="1"/>
        <v>5519041</v>
      </c>
      <c r="E2">
        <f ca="1">C2*D2</f>
        <v>945411723.30000007</v>
      </c>
      <c r="F2">
        <f ca="1">SUM($E$2:E2)/SUM($D$2:D2)</f>
        <v>171.3</v>
      </c>
      <c r="G2">
        <f ca="1">_xlfn.STDEV.P($C$2:C2)</f>
        <v>0</v>
      </c>
      <c r="H2">
        <f ca="1">F2 + G2</f>
        <v>171.3</v>
      </c>
      <c r="I2">
        <f ca="1">F2 - G2</f>
        <v>171.3</v>
      </c>
      <c r="AC2" t="s">
        <v>39</v>
      </c>
      <c r="AD2">
        <f ca="1">MIN(C:C)</f>
        <v>138.04</v>
      </c>
      <c r="AE2" s="18">
        <f ca="1">MIN(D:D)</f>
        <v>3259209</v>
      </c>
    </row>
    <row r="3" spans="1:31" x14ac:dyDescent="0.25">
      <c r="A3" s="20">
        <f t="shared" ref="A3:A66" ca="1" si="0">B3 - WEEKDAY(B3, 2) + 1</f>
        <v>45712</v>
      </c>
      <c r="B3" vm="4">
        <f ca="1"/>
        <v>45715</v>
      </c>
      <c r="C3" vm="5">
        <f ca="1"/>
        <v>171.97</v>
      </c>
      <c r="D3" vm="6">
        <f ca="1"/>
        <v>5466965</v>
      </c>
      <c r="E3">
        <f t="shared" ref="E3:E66" ca="1" si="1">C3*D3</f>
        <v>940153971.04999995</v>
      </c>
      <c r="F3">
        <f ca="1">SUM($E$2:E3)/SUM($D$2:D3)</f>
        <v>171.63341202890294</v>
      </c>
      <c r="G3">
        <f ca="1">_xlfn.STDEV.P($C$2:C3)</f>
        <v>0.33499999999999375</v>
      </c>
      <c r="H3">
        <f t="shared" ref="H3:H66" ca="1" si="2">F3 + G3</f>
        <v>171.96841202890295</v>
      </c>
      <c r="I3">
        <f t="shared" ref="I3:I66" ca="1" si="3">F3 - G3</f>
        <v>171.29841202890293</v>
      </c>
      <c r="N3">
        <f ca="1">C3-C2</f>
        <v>0.66999999999998749</v>
      </c>
      <c r="O3">
        <f ca="1">MAX(N3,0)</f>
        <v>0.66999999999998749</v>
      </c>
      <c r="P3">
        <f ca="1">MAX(-N3,0)</f>
        <v>0</v>
      </c>
      <c r="AC3" t="s">
        <v>40</v>
      </c>
      <c r="AD3">
        <f ca="1">MAX(C:C)</f>
        <v>176.26</v>
      </c>
      <c r="AE3" s="18">
        <f ca="1">MAX(D:D)</f>
        <v>20077665</v>
      </c>
    </row>
    <row r="4" spans="1:31" x14ac:dyDescent="0.25">
      <c r="A4" s="20">
        <f t="shared" ca="1" si="0"/>
        <v>45712</v>
      </c>
      <c r="B4" vm="7">
        <f ca="1"/>
        <v>45716</v>
      </c>
      <c r="C4" vm="8">
        <f ca="1"/>
        <v>173.84</v>
      </c>
      <c r="D4" vm="9">
        <f ca="1"/>
        <v>10240069</v>
      </c>
      <c r="E4">
        <f t="shared" ca="1" si="1"/>
        <v>1780133594.96</v>
      </c>
      <c r="F4">
        <f ca="1">SUM($E$2:E4)/SUM($D$2:D4)</f>
        <v>172.69793352327267</v>
      </c>
      <c r="G4">
        <f ca="1">_xlfn.STDEV.P($C$2:C4)</f>
        <v>1.0748333204114311</v>
      </c>
      <c r="H4">
        <f t="shared" ca="1" si="2"/>
        <v>173.77276684368411</v>
      </c>
      <c r="I4">
        <f t="shared" ca="1" si="3"/>
        <v>171.62310020286122</v>
      </c>
      <c r="N4">
        <f t="shared" ref="N4:N67" ca="1" si="4">C4-C3</f>
        <v>1.8700000000000045</v>
      </c>
      <c r="O4">
        <f t="shared" ref="O4:O67" ca="1" si="5">MAX(N4,0)</f>
        <v>1.8700000000000045</v>
      </c>
      <c r="P4">
        <f t="shared" ref="P4:P67" ca="1" si="6">MAX(-N4,0)</f>
        <v>0</v>
      </c>
      <c r="AC4" t="s">
        <v>41</v>
      </c>
      <c r="AD4">
        <f ca="1">MEDIAN(C:C)</f>
        <v>157.32</v>
      </c>
      <c r="AE4" s="18">
        <f ca="1">MEDIAN(D:D)</f>
        <v>8053808</v>
      </c>
    </row>
    <row r="5" spans="1:31" x14ac:dyDescent="0.25">
      <c r="A5" s="20">
        <f t="shared" ca="1" si="0"/>
        <v>45719</v>
      </c>
      <c r="B5" vm="10">
        <f ca="1"/>
        <v>45719</v>
      </c>
      <c r="C5" vm="11">
        <f ca="1"/>
        <v>175.59</v>
      </c>
      <c r="D5" vm="12">
        <f ca="1"/>
        <v>7615570</v>
      </c>
      <c r="E5">
        <f t="shared" ca="1" si="1"/>
        <v>1337217936.3</v>
      </c>
      <c r="F5">
        <f ca="1">SUM($E$2:E5)/SUM($D$2:D5)</f>
        <v>173.4615770220457</v>
      </c>
      <c r="G5">
        <f ca="1">_xlfn.STDEV.P($C$2:C5)</f>
        <v>1.6764620484818602</v>
      </c>
      <c r="H5">
        <f t="shared" ca="1" si="2"/>
        <v>175.13803907052755</v>
      </c>
      <c r="I5">
        <f t="shared" ca="1" si="3"/>
        <v>171.78511497356385</v>
      </c>
      <c r="N5">
        <f t="shared" ca="1" si="4"/>
        <v>1.75</v>
      </c>
      <c r="O5">
        <f t="shared" ca="1" si="5"/>
        <v>1.75</v>
      </c>
      <c r="P5">
        <f t="shared" ca="1" si="6"/>
        <v>0</v>
      </c>
      <c r="AC5" t="s">
        <v>42</v>
      </c>
      <c r="AD5">
        <f ca="1">AVERAGE(C:C)</f>
        <v>156.40294820717131</v>
      </c>
      <c r="AE5" s="18">
        <f ca="1">AVERAGE(D:D)</f>
        <v>8929583.8007968124</v>
      </c>
    </row>
    <row r="6" spans="1:31" x14ac:dyDescent="0.25">
      <c r="A6" s="20">
        <f t="shared" ca="1" si="0"/>
        <v>45719</v>
      </c>
      <c r="B6" vm="13">
        <f ca="1"/>
        <v>45720</v>
      </c>
      <c r="C6" vm="14">
        <f ca="1"/>
        <v>173.18</v>
      </c>
      <c r="D6" vm="15">
        <f ca="1"/>
        <v>12118023</v>
      </c>
      <c r="E6">
        <f t="shared" ca="1" si="1"/>
        <v>2098599223.1400001</v>
      </c>
      <c r="F6">
        <f ca="1">SUM($E$2:E6)/SUM($D$2:D6)</f>
        <v>173.37827173672403</v>
      </c>
      <c r="G6">
        <f ca="1">_xlfn.STDEV.P($C$2:C6)</f>
        <v>1.49947457464273</v>
      </c>
      <c r="H6">
        <f t="shared" ca="1" si="2"/>
        <v>174.87774631136676</v>
      </c>
      <c r="I6">
        <f t="shared" ca="1" si="3"/>
        <v>171.8787971620813</v>
      </c>
      <c r="N6">
        <f t="shared" ca="1" si="4"/>
        <v>-2.4099999999999966</v>
      </c>
      <c r="O6">
        <f t="shared" ca="1" si="5"/>
        <v>0</v>
      </c>
      <c r="P6">
        <f t="shared" ca="1" si="6"/>
        <v>2.4099999999999966</v>
      </c>
    </row>
    <row r="7" spans="1:31" x14ac:dyDescent="0.25">
      <c r="A7" s="20">
        <f t="shared" ca="1" si="0"/>
        <v>45719</v>
      </c>
      <c r="B7" vm="16">
        <f ca="1"/>
        <v>45721</v>
      </c>
      <c r="C7" vm="17">
        <f ca="1"/>
        <v>174.61</v>
      </c>
      <c r="D7" vm="18">
        <f ca="1"/>
        <v>6989086</v>
      </c>
      <c r="E7">
        <f t="shared" ca="1" si="1"/>
        <v>1220364306.46</v>
      </c>
      <c r="F7">
        <f ca="1">SUM($E$2:E7)/SUM($D$2:D7)</f>
        <v>173.5578103908602</v>
      </c>
      <c r="G7">
        <f ca="1">_xlfn.STDEV.P($C$2:C7)</f>
        <v>1.4694528460167298</v>
      </c>
      <c r="H7">
        <f t="shared" ca="1" si="2"/>
        <v>175.02726323687693</v>
      </c>
      <c r="I7">
        <f t="shared" ca="1" si="3"/>
        <v>172.08835754484346</v>
      </c>
      <c r="N7">
        <f t="shared" ca="1" si="4"/>
        <v>1.4300000000000068</v>
      </c>
      <c r="O7">
        <f t="shared" ca="1" si="5"/>
        <v>1.4300000000000068</v>
      </c>
      <c r="P7">
        <f t="shared" ca="1" si="6"/>
        <v>0</v>
      </c>
    </row>
    <row r="8" spans="1:31" x14ac:dyDescent="0.25">
      <c r="A8" s="20">
        <f t="shared" ca="1" si="0"/>
        <v>45719</v>
      </c>
      <c r="B8" vm="19">
        <f ca="1"/>
        <v>45722</v>
      </c>
      <c r="C8" vm="20">
        <f ca="1"/>
        <v>174.66</v>
      </c>
      <c r="D8" vm="21">
        <f ca="1"/>
        <v>6702490</v>
      </c>
      <c r="E8">
        <f t="shared" ca="1" si="1"/>
        <v>1170656903.4000001</v>
      </c>
      <c r="F8">
        <f ca="1">SUM($E$2:E8)/SUM($D$2:D8)</f>
        <v>173.69298416354439</v>
      </c>
      <c r="G8">
        <f ca="1">_xlfn.STDEV.P($C$2:C8)</f>
        <v>1.4285028554970629</v>
      </c>
      <c r="H8">
        <f t="shared" ca="1" si="2"/>
        <v>175.12148701904147</v>
      </c>
      <c r="I8">
        <f t="shared" ca="1" si="3"/>
        <v>172.26448130804732</v>
      </c>
      <c r="N8">
        <f t="shared" ca="1" si="4"/>
        <v>4.9999999999982947E-2</v>
      </c>
      <c r="O8">
        <f t="shared" ca="1" si="5"/>
        <v>4.9999999999982947E-2</v>
      </c>
      <c r="P8">
        <f t="shared" ca="1" si="6"/>
        <v>0</v>
      </c>
    </row>
    <row r="9" spans="1:31" x14ac:dyDescent="0.25">
      <c r="A9" s="20">
        <f t="shared" ca="1" si="0"/>
        <v>45719</v>
      </c>
      <c r="B9" vm="22">
        <f ca="1"/>
        <v>45723</v>
      </c>
      <c r="C9" vm="23">
        <f ca="1"/>
        <v>175.95</v>
      </c>
      <c r="D9" vm="24">
        <f ca="1"/>
        <v>9566763</v>
      </c>
      <c r="E9">
        <f t="shared" ca="1" si="1"/>
        <v>1683271949.8499999</v>
      </c>
      <c r="F9">
        <f ca="1">SUM($E$2:E9)/SUM($D$2:D9)</f>
        <v>174.02921907028352</v>
      </c>
      <c r="G9">
        <f ca="1">_xlfn.STDEV.P($C$2:C9)</f>
        <v>1.5470112313748692</v>
      </c>
      <c r="H9">
        <f t="shared" ca="1" si="2"/>
        <v>175.5762303016584</v>
      </c>
      <c r="I9">
        <f t="shared" ca="1" si="3"/>
        <v>172.48220783890864</v>
      </c>
      <c r="N9">
        <f t="shared" ca="1" si="4"/>
        <v>1.289999999999992</v>
      </c>
      <c r="O9">
        <f t="shared" ca="1" si="5"/>
        <v>1.289999999999992</v>
      </c>
      <c r="P9">
        <f t="shared" ca="1" si="6"/>
        <v>0</v>
      </c>
    </row>
    <row r="10" spans="1:31" x14ac:dyDescent="0.25">
      <c r="A10" s="20">
        <f t="shared" ca="1" si="0"/>
        <v>45726</v>
      </c>
      <c r="B10" vm="25">
        <f ca="1"/>
        <v>45726</v>
      </c>
      <c r="C10" vm="26">
        <f ca="1"/>
        <v>176.26</v>
      </c>
      <c r="D10" vm="27">
        <f ca="1"/>
        <v>11047022</v>
      </c>
      <c r="E10">
        <f t="shared" ca="1" si="1"/>
        <v>1947148097.7199998</v>
      </c>
      <c r="F10">
        <f ca="1">SUM($E$2:E10)/SUM($D$2:D10)</f>
        <v>174.35664186324834</v>
      </c>
      <c r="G10">
        <f ca="1">_xlfn.STDEV.P($C$2:C10)</f>
        <v>1.6380641992875735</v>
      </c>
      <c r="H10">
        <f t="shared" ca="1" si="2"/>
        <v>175.99470606253593</v>
      </c>
      <c r="I10">
        <f t="shared" ca="1" si="3"/>
        <v>172.71857766396076</v>
      </c>
      <c r="N10">
        <f t="shared" ca="1" si="4"/>
        <v>0.31000000000000227</v>
      </c>
      <c r="O10">
        <f t="shared" ca="1" si="5"/>
        <v>0.31000000000000227</v>
      </c>
      <c r="P10">
        <f t="shared" ca="1" si="6"/>
        <v>0</v>
      </c>
    </row>
    <row r="11" spans="1:31" x14ac:dyDescent="0.25">
      <c r="A11" s="20">
        <f t="shared" ca="1" si="0"/>
        <v>45726</v>
      </c>
      <c r="B11" vm="28">
        <f ca="1"/>
        <v>45727</v>
      </c>
      <c r="C11" vm="29">
        <f ca="1"/>
        <v>173.12</v>
      </c>
      <c r="D11" vm="30">
        <f ca="1"/>
        <v>11032285</v>
      </c>
      <c r="E11">
        <f t="shared" ca="1" si="1"/>
        <v>1909909179.2</v>
      </c>
      <c r="F11">
        <f ca="1">SUM($E$2:E11)/SUM($D$2:D11)</f>
        <v>174.19854904614994</v>
      </c>
      <c r="G11">
        <f ca="1">_xlfn.STDEV.P($C$2:C11)</f>
        <v>1.5844923477252852</v>
      </c>
      <c r="H11">
        <f t="shared" ca="1" si="2"/>
        <v>175.78304139387521</v>
      </c>
      <c r="I11">
        <f t="shared" ca="1" si="3"/>
        <v>172.61405669842466</v>
      </c>
      <c r="N11">
        <f t="shared" ca="1" si="4"/>
        <v>-3.1399999999999864</v>
      </c>
      <c r="O11">
        <f t="shared" ca="1" si="5"/>
        <v>0</v>
      </c>
      <c r="P11">
        <f t="shared" ca="1" si="6"/>
        <v>3.1399999999999864</v>
      </c>
    </row>
    <row r="12" spans="1:31" x14ac:dyDescent="0.25">
      <c r="A12" s="20">
        <f t="shared" ca="1" si="0"/>
        <v>45726</v>
      </c>
      <c r="B12" vm="31">
        <f ca="1"/>
        <v>45728</v>
      </c>
      <c r="C12" vm="32">
        <f ca="1"/>
        <v>168.37</v>
      </c>
      <c r="D12" vm="33">
        <f ca="1"/>
        <v>10159136</v>
      </c>
      <c r="E12">
        <f t="shared" ca="1" si="1"/>
        <v>1710493728.3199999</v>
      </c>
      <c r="F12">
        <f ca="1">SUM($E$2:E12)/SUM($D$2:D12)</f>
        <v>173.58466555321081</v>
      </c>
      <c r="G12">
        <f ca="1">_xlfn.STDEV.P($C$2:C12)</f>
        <v>2.2241436275638859</v>
      </c>
      <c r="H12">
        <f t="shared" ca="1" si="2"/>
        <v>175.80880918077469</v>
      </c>
      <c r="I12">
        <f t="shared" ca="1" si="3"/>
        <v>171.36052192564694</v>
      </c>
      <c r="N12">
        <f t="shared" ca="1" si="4"/>
        <v>-4.75</v>
      </c>
      <c r="O12">
        <f t="shared" ca="1" si="5"/>
        <v>0</v>
      </c>
      <c r="P12">
        <f t="shared" ca="1" si="6"/>
        <v>4.75</v>
      </c>
    </row>
    <row r="13" spans="1:31" x14ac:dyDescent="0.25">
      <c r="A13" s="20">
        <f t="shared" ca="1" si="0"/>
        <v>45726</v>
      </c>
      <c r="B13" vm="34">
        <f ca="1"/>
        <v>45729</v>
      </c>
      <c r="C13" vm="35">
        <f ca="1"/>
        <v>168.59</v>
      </c>
      <c r="D13" vm="36">
        <f ca="1"/>
        <v>6609126</v>
      </c>
      <c r="E13">
        <f t="shared" ca="1" si="1"/>
        <v>1114232552.3399999</v>
      </c>
      <c r="F13">
        <f ca="1">SUM($E$2:E13)/SUM($D$2:D13)</f>
        <v>173.26438039835921</v>
      </c>
      <c r="G13">
        <f ca="1">_xlfn.STDEV.P($C$2:C13)</f>
        <v>2.5298451863042235</v>
      </c>
      <c r="H13">
        <f t="shared" ca="1" si="2"/>
        <v>175.79422558466342</v>
      </c>
      <c r="I13">
        <f t="shared" ca="1" si="3"/>
        <v>170.73453521205499</v>
      </c>
      <c r="N13">
        <f t="shared" ca="1" si="4"/>
        <v>0.21999999999999886</v>
      </c>
      <c r="O13">
        <f t="shared" ca="1" si="5"/>
        <v>0.21999999999999886</v>
      </c>
      <c r="P13">
        <f t="shared" ca="1" si="6"/>
        <v>0</v>
      </c>
      <c r="W13" s="9">
        <f ca="1">AVERAGE(C2:C13)</f>
        <v>173.12000000000003</v>
      </c>
    </row>
    <row r="14" spans="1:31" x14ac:dyDescent="0.25">
      <c r="A14" s="20">
        <f t="shared" ca="1" si="0"/>
        <v>45726</v>
      </c>
      <c r="B14" vm="37">
        <f ca="1"/>
        <v>45730</v>
      </c>
      <c r="C14" vm="38">
        <f ca="1"/>
        <v>167.97</v>
      </c>
      <c r="D14" vm="39">
        <f ca="1"/>
        <v>6790624</v>
      </c>
      <c r="E14">
        <f t="shared" ca="1" si="1"/>
        <v>1140621113.28</v>
      </c>
      <c r="F14">
        <f ca="1">SUM($E$2:E14)/SUM($D$2:D14)</f>
        <v>172.93711487672064</v>
      </c>
      <c r="G14">
        <f ca="1">_xlfn.STDEV.P($C$2:C14)</f>
        <v>2.79124603678533</v>
      </c>
      <c r="H14">
        <f t="shared" ca="1" si="2"/>
        <v>175.72836091350598</v>
      </c>
      <c r="I14">
        <f t="shared" ca="1" si="3"/>
        <v>170.1458688399353</v>
      </c>
      <c r="N14">
        <f t="shared" ca="1" si="4"/>
        <v>-0.62000000000000455</v>
      </c>
      <c r="O14">
        <f t="shared" ca="1" si="5"/>
        <v>0</v>
      </c>
      <c r="P14">
        <f t="shared" ca="1" si="6"/>
        <v>0.62000000000000455</v>
      </c>
      <c r="W14">
        <f ca="1">C14*(2/(12+1)) + W13*(1-(2/(12+1)))</f>
        <v>172.32769230769236</v>
      </c>
    </row>
    <row r="15" spans="1:31" x14ac:dyDescent="0.25">
      <c r="A15" s="20">
        <f t="shared" ca="1" si="0"/>
        <v>45733</v>
      </c>
      <c r="B15" vm="40">
        <f ca="1"/>
        <v>45733</v>
      </c>
      <c r="C15" vm="41">
        <f ca="1"/>
        <v>169.76</v>
      </c>
      <c r="D15" vm="42">
        <f ca="1"/>
        <v>9931678</v>
      </c>
      <c r="E15">
        <f t="shared" ca="1" si="1"/>
        <v>1686001657.28</v>
      </c>
      <c r="F15">
        <f ca="1">SUM($E$2:E15)/SUM($D$2:D15)</f>
        <v>172.67369855737823</v>
      </c>
      <c r="G15">
        <f ca="1">_xlfn.STDEV.P($C$2:C15)</f>
        <v>2.7959235084862595</v>
      </c>
      <c r="H15">
        <f t="shared" ca="1" si="2"/>
        <v>175.46962206586448</v>
      </c>
      <c r="I15">
        <f t="shared" ca="1" si="3"/>
        <v>169.87777504889198</v>
      </c>
      <c r="N15">
        <f t="shared" ca="1" si="4"/>
        <v>1.789999999999992</v>
      </c>
      <c r="O15">
        <f t="shared" ca="1" si="5"/>
        <v>1.789999999999992</v>
      </c>
      <c r="P15">
        <f t="shared" ca="1" si="6"/>
        <v>0</v>
      </c>
      <c r="Q15" s="2">
        <f ca="1">AVERAGE(O3:O16)</f>
        <v>0.6699999999999976</v>
      </c>
      <c r="R15" s="2">
        <f ca="1">AVERAGE(P3:P16)</f>
        <v>0.92642857142856927</v>
      </c>
      <c r="S15">
        <f ca="1">IF(R15=0,NA(),Q15/R15)</f>
        <v>0.72320740169622111</v>
      </c>
      <c r="T15">
        <f ca="1">100-(100/(1+S15))</f>
        <v>41.968680089485424</v>
      </c>
      <c r="U15">
        <f>70</f>
        <v>70</v>
      </c>
      <c r="V15">
        <f>30</f>
        <v>30</v>
      </c>
      <c r="W15">
        <f t="shared" ref="W15:W78" ca="1" si="7">C15*(2/(12+1)) + W14*(1-(2/(12+1)))</f>
        <v>171.93266272189354</v>
      </c>
    </row>
    <row r="16" spans="1:31" x14ac:dyDescent="0.25">
      <c r="A16" s="20">
        <f t="shared" ca="1" si="0"/>
        <v>45733</v>
      </c>
      <c r="B16" vm="43">
        <f ca="1"/>
        <v>45734</v>
      </c>
      <c r="C16" vm="44">
        <f ca="1"/>
        <v>167.71</v>
      </c>
      <c r="D16" vm="45">
        <f ca="1"/>
        <v>6100242</v>
      </c>
      <c r="E16">
        <f t="shared" ca="1" si="1"/>
        <v>1023071585.8200001</v>
      </c>
      <c r="F16">
        <f ca="1">SUM($E$2:E16)/SUM($D$2:D16)</f>
        <v>172.43316940804263</v>
      </c>
      <c r="G16">
        <f ca="1">_xlfn.STDEV.P($C$2:C16)</f>
        <v>2.9548134740904808</v>
      </c>
      <c r="H16">
        <f t="shared" ca="1" si="2"/>
        <v>175.38798288213312</v>
      </c>
      <c r="I16">
        <f t="shared" ca="1" si="3"/>
        <v>169.47835593395214</v>
      </c>
      <c r="N16">
        <f t="shared" ca="1" si="4"/>
        <v>-2.0499999999999829</v>
      </c>
      <c r="O16">
        <f t="shared" ca="1" si="5"/>
        <v>0</v>
      </c>
      <c r="P16">
        <f t="shared" ca="1" si="6"/>
        <v>2.0499999999999829</v>
      </c>
      <c r="Q16">
        <f ca="1">(Q15*13+O16)/14</f>
        <v>0.62214285714285489</v>
      </c>
      <c r="R16">
        <f ca="1">(R15*13+P16)/14</f>
        <v>1.0066836734693845</v>
      </c>
      <c r="S16">
        <f t="shared" ref="S16:S79" ca="1" si="8">IF(R16=0,NA(),Q16/R16)</f>
        <v>0.61801226496376238</v>
      </c>
      <c r="T16">
        <f t="shared" ref="T16:T79" ca="1" si="9">100-(100/(1+S16))</f>
        <v>38.195771339075947</v>
      </c>
      <c r="U16">
        <f>70</f>
        <v>70</v>
      </c>
      <c r="V16">
        <f>30</f>
        <v>30</v>
      </c>
      <c r="W16">
        <f t="shared" ca="1" si="7"/>
        <v>171.28302230314068</v>
      </c>
    </row>
    <row r="17" spans="1:25" x14ac:dyDescent="0.25">
      <c r="A17" s="20">
        <f t="shared" ca="1" si="0"/>
        <v>45733</v>
      </c>
      <c r="B17" vm="46">
        <f ca="1"/>
        <v>45735</v>
      </c>
      <c r="C17" vm="47">
        <f ca="1"/>
        <v>168.57</v>
      </c>
      <c r="D17" vm="48">
        <f ca="1"/>
        <v>7569165</v>
      </c>
      <c r="E17">
        <f t="shared" ca="1" si="1"/>
        <v>1275934144.05</v>
      </c>
      <c r="F17">
        <f ca="1">SUM($E$2:E17)/SUM($D$2:D17)</f>
        <v>172.2140658448881</v>
      </c>
      <c r="G17">
        <f ca="1">_xlfn.STDEV.P($C$2:C17)</f>
        <v>2.9923109145566733</v>
      </c>
      <c r="H17">
        <f t="shared" ca="1" si="2"/>
        <v>175.20637675944477</v>
      </c>
      <c r="I17">
        <f t="shared" ca="1" si="3"/>
        <v>169.22175493033143</v>
      </c>
      <c r="N17">
        <f t="shared" ca="1" si="4"/>
        <v>0.85999999999998522</v>
      </c>
      <c r="O17">
        <f t="shared" ca="1" si="5"/>
        <v>0.85999999999998522</v>
      </c>
      <c r="P17">
        <f t="shared" ca="1" si="6"/>
        <v>0</v>
      </c>
      <c r="Q17">
        <f t="shared" ref="Q17:Q80" ca="1" si="10">(Q16*13+O17)/14</f>
        <v>0.63913265306122136</v>
      </c>
      <c r="R17">
        <f t="shared" ref="R17:R80" ca="1" si="11">(R16*13+P17)/14</f>
        <v>0.93477769679299982</v>
      </c>
      <c r="S17">
        <f t="shared" ca="1" si="8"/>
        <v>0.68372689598172232</v>
      </c>
      <c r="T17">
        <f t="shared" ca="1" si="9"/>
        <v>40.607945244176015</v>
      </c>
      <c r="U17">
        <f>70</f>
        <v>70</v>
      </c>
      <c r="V17">
        <f>30</f>
        <v>30</v>
      </c>
      <c r="W17">
        <f t="shared" ca="1" si="7"/>
        <v>170.86563425650365</v>
      </c>
    </row>
    <row r="18" spans="1:25" x14ac:dyDescent="0.25">
      <c r="A18" s="20">
        <f t="shared" ca="1" si="0"/>
        <v>45733</v>
      </c>
      <c r="B18" vm="49">
        <f ca="1"/>
        <v>45736</v>
      </c>
      <c r="C18" vm="50">
        <f ca="1"/>
        <v>167.55</v>
      </c>
      <c r="D18" vm="51">
        <f ca="1"/>
        <v>8789167</v>
      </c>
      <c r="E18">
        <f t="shared" ca="1" si="1"/>
        <v>1472624930.8500001</v>
      </c>
      <c r="F18">
        <f ca="1">SUM($E$2:E18)/SUM($D$2:D18)</f>
        <v>171.9258811272143</v>
      </c>
      <c r="G18">
        <f ca="1">_xlfn.STDEV.P($C$2:C18)</f>
        <v>3.0832909439400442</v>
      </c>
      <c r="H18">
        <f t="shared" ca="1" si="2"/>
        <v>175.00917207115435</v>
      </c>
      <c r="I18">
        <f t="shared" ca="1" si="3"/>
        <v>168.84259018327424</v>
      </c>
      <c r="N18">
        <f t="shared" ca="1" si="4"/>
        <v>-1.0199999999999818</v>
      </c>
      <c r="O18">
        <f t="shared" ca="1" si="5"/>
        <v>0</v>
      </c>
      <c r="P18">
        <f t="shared" ca="1" si="6"/>
        <v>1.0199999999999818</v>
      </c>
      <c r="Q18">
        <f t="shared" ca="1" si="10"/>
        <v>0.59348032069970558</v>
      </c>
      <c r="R18">
        <f t="shared" ca="1" si="11"/>
        <v>0.94086500416492702</v>
      </c>
      <c r="S18">
        <f t="shared" ca="1" si="8"/>
        <v>0.63078158723360556</v>
      </c>
      <c r="T18">
        <f t="shared" ca="1" si="9"/>
        <v>38.679709911591466</v>
      </c>
      <c r="U18">
        <f>70</f>
        <v>70</v>
      </c>
      <c r="V18">
        <f>30</f>
        <v>30</v>
      </c>
      <c r="W18">
        <f t="shared" ca="1" si="7"/>
        <v>170.35553667858002</v>
      </c>
    </row>
    <row r="19" spans="1:25" x14ac:dyDescent="0.25">
      <c r="A19" s="20">
        <f t="shared" ca="1" si="0"/>
        <v>45733</v>
      </c>
      <c r="B19" vm="52">
        <f ca="1"/>
        <v>45737</v>
      </c>
      <c r="C19" vm="53">
        <f ca="1"/>
        <v>166.69</v>
      </c>
      <c r="D19" vm="54">
        <f ca="1"/>
        <v>16027251</v>
      </c>
      <c r="E19">
        <f t="shared" ca="1" si="1"/>
        <v>2671582469.1900001</v>
      </c>
      <c r="F19">
        <f ca="1">SUM($E$2:E19)/SUM($D$2:D19)</f>
        <v>171.39568072473793</v>
      </c>
      <c r="G19">
        <f ca="1">_xlfn.STDEV.P($C$2:C19)</f>
        <v>3.209144582379746</v>
      </c>
      <c r="H19">
        <f t="shared" ca="1" si="2"/>
        <v>174.60482530711766</v>
      </c>
      <c r="I19">
        <f t="shared" ca="1" si="3"/>
        <v>168.18653614235819</v>
      </c>
      <c r="N19">
        <f t="shared" ca="1" si="4"/>
        <v>-0.86000000000001364</v>
      </c>
      <c r="O19">
        <f t="shared" ca="1" si="5"/>
        <v>0</v>
      </c>
      <c r="P19">
        <f t="shared" ca="1" si="6"/>
        <v>0.86000000000001364</v>
      </c>
      <c r="Q19">
        <f t="shared" ca="1" si="10"/>
        <v>0.55108886922115519</v>
      </c>
      <c r="R19">
        <f t="shared" ca="1" si="11"/>
        <v>0.93508893243886171</v>
      </c>
      <c r="S19">
        <f t="shared" ca="1" si="8"/>
        <v>0.58934380474788328</v>
      </c>
      <c r="T19">
        <f t="shared" ca="1" si="9"/>
        <v>37.080951458540504</v>
      </c>
      <c r="U19">
        <f>70</f>
        <v>70</v>
      </c>
      <c r="V19">
        <f>30</f>
        <v>30</v>
      </c>
      <c r="W19">
        <f t="shared" ca="1" si="7"/>
        <v>169.79160795879847</v>
      </c>
    </row>
    <row r="20" spans="1:25" x14ac:dyDescent="0.25">
      <c r="A20" s="20">
        <f t="shared" ca="1" si="0"/>
        <v>45740</v>
      </c>
      <c r="B20" vm="55">
        <f ca="1"/>
        <v>45740</v>
      </c>
      <c r="C20" vm="56">
        <f ca="1"/>
        <v>165.65</v>
      </c>
      <c r="D20" vm="57">
        <f ca="1"/>
        <v>6102109</v>
      </c>
      <c r="E20">
        <f t="shared" ca="1" si="1"/>
        <v>1010814355.85</v>
      </c>
      <c r="F20">
        <f ca="1">SUM($E$2:E20)/SUM($D$2:D20)</f>
        <v>171.18238431795544</v>
      </c>
      <c r="G20">
        <f ca="1">_xlfn.STDEV.P($C$2:C20)</f>
        <v>3.3794628234483128</v>
      </c>
      <c r="H20">
        <f t="shared" ca="1" si="2"/>
        <v>174.56184714140375</v>
      </c>
      <c r="I20">
        <f t="shared" ca="1" si="3"/>
        <v>167.80292149450713</v>
      </c>
      <c r="N20">
        <f t="shared" ca="1" si="4"/>
        <v>-1.039999999999992</v>
      </c>
      <c r="O20">
        <f t="shared" ca="1" si="5"/>
        <v>0</v>
      </c>
      <c r="P20">
        <f t="shared" ca="1" si="6"/>
        <v>1.039999999999992</v>
      </c>
      <c r="Q20">
        <f t="shared" ca="1" si="10"/>
        <v>0.51172537856250122</v>
      </c>
      <c r="R20">
        <f t="shared" ca="1" si="11"/>
        <v>0.94258258012179952</v>
      </c>
      <c r="S20">
        <f t="shared" ca="1" si="8"/>
        <v>0.54289713108890325</v>
      </c>
      <c r="T20">
        <f t="shared" ca="1" si="9"/>
        <v>35.186865031355154</v>
      </c>
      <c r="U20">
        <f>70</f>
        <v>70</v>
      </c>
      <c r="V20">
        <f>30</f>
        <v>30</v>
      </c>
      <c r="W20">
        <f t="shared" ca="1" si="7"/>
        <v>169.1544375035987</v>
      </c>
    </row>
    <row r="21" spans="1:25" x14ac:dyDescent="0.25">
      <c r="A21" s="20">
        <f t="shared" ca="1" si="0"/>
        <v>45740</v>
      </c>
      <c r="B21" vm="58">
        <f ca="1"/>
        <v>45741</v>
      </c>
      <c r="C21" vm="59">
        <f ca="1"/>
        <v>162.85</v>
      </c>
      <c r="D21" vm="60">
        <f ca="1"/>
        <v>8366736</v>
      </c>
      <c r="E21">
        <f t="shared" ca="1" si="1"/>
        <v>1362522957.5999999</v>
      </c>
      <c r="F21">
        <f ca="1">SUM($E$2:E21)/SUM($D$2:D21)</f>
        <v>170.77880766214003</v>
      </c>
      <c r="G21">
        <f ca="1">_xlfn.STDEV.P($C$2:C21)</f>
        <v>3.755113147429781</v>
      </c>
      <c r="H21">
        <f t="shared" ca="1" si="2"/>
        <v>174.53392080956979</v>
      </c>
      <c r="I21">
        <f t="shared" ca="1" si="3"/>
        <v>167.02369451471026</v>
      </c>
      <c r="J21">
        <f ca="1">AVERAGE(C2:C21)</f>
        <v>170.70950000000002</v>
      </c>
      <c r="K21">
        <f ca="1">_xlfn.STDEV.S(C2:C21)</f>
        <v>3.8526647988933029</v>
      </c>
      <c r="L21">
        <f ca="1">J21 + 2*K21</f>
        <v>178.41482959778662</v>
      </c>
      <c r="M21">
        <f ca="1">J21-2*K21</f>
        <v>163.00417040221342</v>
      </c>
      <c r="N21">
        <f t="shared" ca="1" si="4"/>
        <v>-2.8000000000000114</v>
      </c>
      <c r="O21">
        <f t="shared" ca="1" si="5"/>
        <v>0</v>
      </c>
      <c r="P21">
        <f t="shared" ca="1" si="6"/>
        <v>2.8000000000000114</v>
      </c>
      <c r="Q21">
        <f t="shared" ca="1" si="10"/>
        <v>0.47517356580803682</v>
      </c>
      <c r="R21">
        <f t="shared" ca="1" si="11"/>
        <v>1.0752552529702433</v>
      </c>
      <c r="S21">
        <f t="shared" ca="1" si="8"/>
        <v>0.44191699086838765</v>
      </c>
      <c r="T21">
        <f t="shared" ca="1" si="9"/>
        <v>30.647880125349332</v>
      </c>
      <c r="U21">
        <f>70</f>
        <v>70</v>
      </c>
      <c r="V21">
        <f>30</f>
        <v>30</v>
      </c>
      <c r="W21">
        <f t="shared" ca="1" si="7"/>
        <v>168.18452404150659</v>
      </c>
    </row>
    <row r="22" spans="1:25" x14ac:dyDescent="0.25">
      <c r="A22" s="20">
        <f t="shared" ca="1" si="0"/>
        <v>45740</v>
      </c>
      <c r="B22" vm="61">
        <f ca="1"/>
        <v>45742</v>
      </c>
      <c r="C22" vm="62">
        <f ca="1"/>
        <v>166.58</v>
      </c>
      <c r="D22" vm="63">
        <f ca="1"/>
        <v>7757259</v>
      </c>
      <c r="E22">
        <f t="shared" ca="1" si="1"/>
        <v>1292204204.22</v>
      </c>
      <c r="F22">
        <f ca="1">SUM($E$2:E22)/SUM($D$2:D22)</f>
        <v>170.59835739425469</v>
      </c>
      <c r="G22">
        <f ca="1">_xlfn.STDEV.P($C$2:C22)</f>
        <v>3.7686566292401378</v>
      </c>
      <c r="H22">
        <f t="shared" ca="1" si="2"/>
        <v>174.36701402349482</v>
      </c>
      <c r="I22">
        <f t="shared" ca="1" si="3"/>
        <v>166.82970076501456</v>
      </c>
      <c r="J22">
        <f t="shared" ref="J22:J85" ca="1" si="12">AVERAGE(C3:C22)</f>
        <v>170.4735</v>
      </c>
      <c r="K22">
        <f t="shared" ref="K22:K85" ca="1" si="13">_xlfn.STDEV.S(C3:C22)</f>
        <v>3.9577216664987538</v>
      </c>
      <c r="L22">
        <f t="shared" ref="L22:L85" ca="1" si="14">J22 + 2*K22</f>
        <v>178.38894333299751</v>
      </c>
      <c r="M22">
        <f t="shared" ref="M22:M85" ca="1" si="15">J22-2*K22</f>
        <v>162.55805666700249</v>
      </c>
      <c r="N22">
        <f t="shared" ca="1" si="4"/>
        <v>3.7300000000000182</v>
      </c>
      <c r="O22">
        <f t="shared" ca="1" si="5"/>
        <v>3.7300000000000182</v>
      </c>
      <c r="P22">
        <f t="shared" ca="1" si="6"/>
        <v>0</v>
      </c>
      <c r="Q22">
        <f t="shared" ca="1" si="10"/>
        <v>0.70766116825032122</v>
      </c>
      <c r="R22">
        <f t="shared" ca="1" si="11"/>
        <v>0.99845130632951162</v>
      </c>
      <c r="S22">
        <f t="shared" ca="1" si="8"/>
        <v>0.70875881854650702</v>
      </c>
      <c r="T22">
        <f t="shared" ca="1" si="9"/>
        <v>41.47799039008833</v>
      </c>
      <c r="U22">
        <f>70</f>
        <v>70</v>
      </c>
      <c r="V22">
        <f>30</f>
        <v>30</v>
      </c>
      <c r="W22">
        <f t="shared" ca="1" si="7"/>
        <v>167.93767418896712</v>
      </c>
    </row>
    <row r="23" spans="1:25" x14ac:dyDescent="0.25">
      <c r="A23" s="20">
        <f t="shared" ca="1" si="0"/>
        <v>45740</v>
      </c>
      <c r="B23" vm="64">
        <f ca="1"/>
        <v>45743</v>
      </c>
      <c r="C23" vm="65">
        <f ca="1"/>
        <v>168.71</v>
      </c>
      <c r="D23" vm="66">
        <f ca="1"/>
        <v>6211735</v>
      </c>
      <c r="E23">
        <f t="shared" ca="1" si="1"/>
        <v>1047981811.85</v>
      </c>
      <c r="F23">
        <f ca="1">SUM($E$2:E23)/SUM($D$2:D23)</f>
        <v>170.53553334174697</v>
      </c>
      <c r="G23">
        <f ca="1">_xlfn.STDEV.P($C$2:C23)</f>
        <v>3.7011102868425705</v>
      </c>
      <c r="H23">
        <f t="shared" ca="1" si="2"/>
        <v>174.23664362858955</v>
      </c>
      <c r="I23">
        <f t="shared" ca="1" si="3"/>
        <v>166.83442305490439</v>
      </c>
      <c r="J23">
        <f t="shared" ca="1" si="12"/>
        <v>170.31049999999999</v>
      </c>
      <c r="K23">
        <f t="shared" ca="1" si="13"/>
        <v>3.959975378711337</v>
      </c>
      <c r="L23">
        <f t="shared" ca="1" si="14"/>
        <v>178.23045075742266</v>
      </c>
      <c r="M23">
        <f t="shared" ca="1" si="15"/>
        <v>162.39054924257732</v>
      </c>
      <c r="N23">
        <f t="shared" ca="1" si="4"/>
        <v>2.1299999999999955</v>
      </c>
      <c r="O23">
        <f t="shared" ca="1" si="5"/>
        <v>2.1299999999999955</v>
      </c>
      <c r="P23">
        <f t="shared" ca="1" si="6"/>
        <v>0</v>
      </c>
      <c r="Q23">
        <f t="shared" ca="1" si="10"/>
        <v>0.80925679908958359</v>
      </c>
      <c r="R23">
        <f t="shared" ca="1" si="11"/>
        <v>0.92713335587740364</v>
      </c>
      <c r="S23">
        <f t="shared" ca="1" si="8"/>
        <v>0.8728591134807504</v>
      </c>
      <c r="T23">
        <f t="shared" ca="1" si="9"/>
        <v>46.605700727724376</v>
      </c>
      <c r="U23">
        <f>70</f>
        <v>70</v>
      </c>
      <c r="V23">
        <f>30</f>
        <v>30</v>
      </c>
      <c r="W23">
        <f t="shared" ca="1" si="7"/>
        <v>168.05649354451063</v>
      </c>
    </row>
    <row r="24" spans="1:25" x14ac:dyDescent="0.25">
      <c r="A24" s="20">
        <f t="shared" ca="1" si="0"/>
        <v>45740</v>
      </c>
      <c r="B24" vm="67">
        <f ca="1"/>
        <v>45744</v>
      </c>
      <c r="C24" vm="68">
        <f ca="1"/>
        <v>168.03</v>
      </c>
      <c r="D24" vm="69">
        <f ca="1"/>
        <v>5479306</v>
      </c>
      <c r="E24">
        <f t="shared" ca="1" si="1"/>
        <v>920687787.17999995</v>
      </c>
      <c r="F24">
        <f ca="1">SUM($E$2:E24)/SUM($D$2:D24)</f>
        <v>170.464101304189</v>
      </c>
      <c r="G24">
        <f ca="1">_xlfn.STDEV.P($C$2:C24)</f>
        <v>3.652720973520557</v>
      </c>
      <c r="H24">
        <f t="shared" ca="1" si="2"/>
        <v>174.11682227770956</v>
      </c>
      <c r="I24">
        <f t="shared" ca="1" si="3"/>
        <v>166.81138033066844</v>
      </c>
      <c r="J24">
        <f t="shared" ca="1" si="12"/>
        <v>170.02</v>
      </c>
      <c r="K24">
        <f t="shared" ca="1" si="13"/>
        <v>3.9000823203187833</v>
      </c>
      <c r="L24">
        <f t="shared" ca="1" si="14"/>
        <v>177.82016464063759</v>
      </c>
      <c r="M24">
        <f t="shared" ca="1" si="15"/>
        <v>162.21983535936243</v>
      </c>
      <c r="N24">
        <f t="shared" ca="1" si="4"/>
        <v>-0.68000000000000682</v>
      </c>
      <c r="O24">
        <f t="shared" ca="1" si="5"/>
        <v>0</v>
      </c>
      <c r="P24">
        <f t="shared" ca="1" si="6"/>
        <v>0.68000000000000682</v>
      </c>
      <c r="Q24">
        <f t="shared" ca="1" si="10"/>
        <v>0.75145274201175627</v>
      </c>
      <c r="R24">
        <f t="shared" ca="1" si="11"/>
        <v>0.90948097331473243</v>
      </c>
      <c r="S24">
        <f t="shared" ca="1" si="8"/>
        <v>0.82624349938072938</v>
      </c>
      <c r="T24">
        <f t="shared" ca="1" si="9"/>
        <v>45.242789346596155</v>
      </c>
      <c r="U24">
        <f>70</f>
        <v>70</v>
      </c>
      <c r="V24">
        <f>30</f>
        <v>30</v>
      </c>
      <c r="W24">
        <f t="shared" ca="1" si="7"/>
        <v>168.05241761458592</v>
      </c>
    </row>
    <row r="25" spans="1:25" x14ac:dyDescent="0.25">
      <c r="A25" s="20">
        <f t="shared" ca="1" si="0"/>
        <v>45747</v>
      </c>
      <c r="B25" vm="70">
        <f ca="1"/>
        <v>45747</v>
      </c>
      <c r="C25" vm="71">
        <f ca="1"/>
        <v>170.42</v>
      </c>
      <c r="D25" vm="72">
        <f ca="1"/>
        <v>11520451</v>
      </c>
      <c r="E25">
        <f t="shared" ca="1" si="1"/>
        <v>1963315259.4199998</v>
      </c>
      <c r="F25">
        <f ca="1">SUM($E$2:E25)/SUM($D$2:D25)</f>
        <v>170.46160725051382</v>
      </c>
      <c r="G25">
        <f ca="1">_xlfn.STDEV.P($C$2:C25)</f>
        <v>3.5758617599662434</v>
      </c>
      <c r="H25">
        <f t="shared" ca="1" si="2"/>
        <v>174.03746901048007</v>
      </c>
      <c r="I25">
        <f t="shared" ca="1" si="3"/>
        <v>166.88574549054758</v>
      </c>
      <c r="J25">
        <f t="shared" ca="1" si="12"/>
        <v>169.76150000000001</v>
      </c>
      <c r="K25">
        <f t="shared" ca="1" si="13"/>
        <v>3.6763887816285425</v>
      </c>
      <c r="L25">
        <f t="shared" ca="1" si="14"/>
        <v>177.1142775632571</v>
      </c>
      <c r="M25">
        <f t="shared" ca="1" si="15"/>
        <v>162.40872243674292</v>
      </c>
      <c r="N25">
        <f t="shared" ca="1" si="4"/>
        <v>2.3899999999999864</v>
      </c>
      <c r="O25">
        <f t="shared" ca="1" si="5"/>
        <v>2.3899999999999864</v>
      </c>
      <c r="P25">
        <f t="shared" ca="1" si="6"/>
        <v>0</v>
      </c>
      <c r="Q25">
        <f t="shared" ca="1" si="10"/>
        <v>0.86849183186805845</v>
      </c>
      <c r="R25">
        <f t="shared" ca="1" si="11"/>
        <v>0.84451804664939445</v>
      </c>
      <c r="S25">
        <f t="shared" ca="1" si="8"/>
        <v>1.0283875345397051</v>
      </c>
      <c r="T25">
        <f t="shared" ca="1" si="9"/>
        <v>50.699756187028314</v>
      </c>
      <c r="U25">
        <f>70</f>
        <v>70</v>
      </c>
      <c r="V25">
        <f>30</f>
        <v>30</v>
      </c>
      <c r="W25">
        <f t="shared" ca="1" si="7"/>
        <v>168.41666105849578</v>
      </c>
    </row>
    <row r="26" spans="1:25" x14ac:dyDescent="0.25">
      <c r="A26" s="20">
        <f t="shared" ca="1" si="0"/>
        <v>45747</v>
      </c>
      <c r="B26" vm="73">
        <f ca="1"/>
        <v>45748</v>
      </c>
      <c r="C26" vm="74">
        <f ca="1"/>
        <v>170.56</v>
      </c>
      <c r="D26" vm="75">
        <f ca="1"/>
        <v>7021507</v>
      </c>
      <c r="E26">
        <f t="shared" ca="1" si="1"/>
        <v>1197588233.9200001</v>
      </c>
      <c r="F26">
        <f ca="1">SUM($E$2:E26)/SUM($D$2:D26)</f>
        <v>170.46488564552206</v>
      </c>
      <c r="G26">
        <f ca="1">_xlfn.STDEV.P($C$2:C26)</f>
        <v>3.5039035146533348</v>
      </c>
      <c r="H26">
        <f t="shared" ca="1" si="2"/>
        <v>173.96878916017539</v>
      </c>
      <c r="I26">
        <f t="shared" ca="1" si="3"/>
        <v>166.96098213086873</v>
      </c>
      <c r="J26">
        <f t="shared" ca="1" si="12"/>
        <v>169.63050000000001</v>
      </c>
      <c r="K26">
        <f t="shared" ca="1" si="13"/>
        <v>3.5939210005083195</v>
      </c>
      <c r="L26">
        <f t="shared" ca="1" si="14"/>
        <v>176.81834200101665</v>
      </c>
      <c r="M26">
        <f t="shared" ca="1" si="15"/>
        <v>162.44265799898338</v>
      </c>
      <c r="N26">
        <f t="shared" ca="1" si="4"/>
        <v>0.14000000000001478</v>
      </c>
      <c r="O26">
        <f t="shared" ca="1" si="5"/>
        <v>0.14000000000001478</v>
      </c>
      <c r="P26">
        <f t="shared" ca="1" si="6"/>
        <v>0</v>
      </c>
      <c r="Q26">
        <f t="shared" ca="1" si="10"/>
        <v>0.81645670102034107</v>
      </c>
      <c r="R26">
        <f t="shared" ca="1" si="11"/>
        <v>0.78419532903158051</v>
      </c>
      <c r="S26">
        <f t="shared" ca="1" si="8"/>
        <v>1.0411394595127221</v>
      </c>
      <c r="T26">
        <f t="shared" ca="1" si="9"/>
        <v>51.007757194663796</v>
      </c>
      <c r="U26">
        <f>70</f>
        <v>70</v>
      </c>
      <c r="V26">
        <f>30</f>
        <v>30</v>
      </c>
      <c r="W26">
        <f t="shared" ca="1" si="7"/>
        <v>168.74640551103491</v>
      </c>
    </row>
    <row r="27" spans="1:25" x14ac:dyDescent="0.25">
      <c r="A27" s="20">
        <f t="shared" ca="1" si="0"/>
        <v>45747</v>
      </c>
      <c r="B27" vm="76">
        <f ca="1"/>
        <v>45749</v>
      </c>
      <c r="C27" vm="77">
        <f ca="1"/>
        <v>169.5</v>
      </c>
      <c r="D27" vm="78">
        <f ca="1"/>
        <v>6274548</v>
      </c>
      <c r="E27">
        <f t="shared" ca="1" si="1"/>
        <v>1063535886</v>
      </c>
      <c r="F27">
        <f ca="1">SUM($E$2:E27)/SUM($D$2:D27)</f>
        <v>170.43698695367709</v>
      </c>
      <c r="G27">
        <f ca="1">_xlfn.STDEV.P($C$2:C27)</f>
        <v>3.439651768702876</v>
      </c>
      <c r="H27">
        <f t="shared" ca="1" si="2"/>
        <v>173.87663872237997</v>
      </c>
      <c r="I27">
        <f t="shared" ca="1" si="3"/>
        <v>166.99733518497422</v>
      </c>
      <c r="J27">
        <f t="shared" ca="1" si="12"/>
        <v>169.375</v>
      </c>
      <c r="K27">
        <f t="shared" ca="1" si="13"/>
        <v>3.3975618192741468</v>
      </c>
      <c r="L27">
        <f t="shared" ca="1" si="14"/>
        <v>176.17012363854829</v>
      </c>
      <c r="M27">
        <f t="shared" ca="1" si="15"/>
        <v>162.57987636145171</v>
      </c>
      <c r="N27">
        <f t="shared" ca="1" si="4"/>
        <v>-1.0600000000000023</v>
      </c>
      <c r="O27">
        <f t="shared" ca="1" si="5"/>
        <v>0</v>
      </c>
      <c r="P27">
        <f t="shared" ca="1" si="6"/>
        <v>1.0600000000000023</v>
      </c>
      <c r="Q27">
        <f t="shared" ca="1" si="10"/>
        <v>0.75813836523317391</v>
      </c>
      <c r="R27">
        <f t="shared" ca="1" si="11"/>
        <v>0.80389566267218204</v>
      </c>
      <c r="S27">
        <f t="shared" ca="1" si="8"/>
        <v>0.94308055191278306</v>
      </c>
      <c r="T27">
        <f t="shared" ca="1" si="9"/>
        <v>48.535329684835119</v>
      </c>
      <c r="U27">
        <f>70</f>
        <v>70</v>
      </c>
      <c r="V27">
        <f>30</f>
        <v>30</v>
      </c>
      <c r="W27">
        <f t="shared" ca="1" si="7"/>
        <v>168.86234312472183</v>
      </c>
      <c r="X27" s="9">
        <f ca="1">AVERAGE(C2:C27)</f>
        <v>170.30730769230772</v>
      </c>
      <c r="Y27">
        <f ca="1">W28-X28</f>
        <v>-1.0565216295089215</v>
      </c>
    </row>
    <row r="28" spans="1:25" x14ac:dyDescent="0.25">
      <c r="A28" s="20">
        <f t="shared" ca="1" si="0"/>
        <v>45747</v>
      </c>
      <c r="B28" vm="79">
        <f ca="1"/>
        <v>45750</v>
      </c>
      <c r="C28" vm="80">
        <f ca="1"/>
        <v>172.39</v>
      </c>
      <c r="D28" vm="81">
        <f ca="1"/>
        <v>9393270</v>
      </c>
      <c r="E28">
        <f t="shared" ca="1" si="1"/>
        <v>1619305815.3</v>
      </c>
      <c r="F28">
        <f ca="1">SUM($E$2:E28)/SUM($D$2:D28)</f>
        <v>170.518016672295</v>
      </c>
      <c r="G28">
        <f ca="1">_xlfn.STDEV.P($C$2:C28)</f>
        <v>3.3981926932189861</v>
      </c>
      <c r="H28">
        <f t="shared" ca="1" si="2"/>
        <v>173.91620936551399</v>
      </c>
      <c r="I28">
        <f t="shared" ca="1" si="3"/>
        <v>167.11982397907602</v>
      </c>
      <c r="J28">
        <f t="shared" ca="1" si="12"/>
        <v>169.26150000000001</v>
      </c>
      <c r="K28">
        <f t="shared" ca="1" si="13"/>
        <v>3.2462646955669197</v>
      </c>
      <c r="L28">
        <f t="shared" ca="1" si="14"/>
        <v>175.75402939113386</v>
      </c>
      <c r="M28">
        <f t="shared" ca="1" si="15"/>
        <v>162.76897060886617</v>
      </c>
      <c r="N28">
        <f t="shared" ca="1" si="4"/>
        <v>2.8899999999999864</v>
      </c>
      <c r="O28">
        <f t="shared" ca="1" si="5"/>
        <v>2.8899999999999864</v>
      </c>
      <c r="P28">
        <f t="shared" ca="1" si="6"/>
        <v>0</v>
      </c>
      <c r="Q28">
        <f t="shared" ca="1" si="10"/>
        <v>0.91041419628794618</v>
      </c>
      <c r="R28">
        <f t="shared" ca="1" si="11"/>
        <v>0.74647454390988333</v>
      </c>
      <c r="S28">
        <f t="shared" ca="1" si="8"/>
        <v>1.2196185438814564</v>
      </c>
      <c r="T28">
        <f t="shared" ca="1" si="9"/>
        <v>54.947213666214211</v>
      </c>
      <c r="U28">
        <f>70</f>
        <v>70</v>
      </c>
      <c r="V28">
        <f>30</f>
        <v>30</v>
      </c>
      <c r="W28">
        <f t="shared" ca="1" si="7"/>
        <v>169.4050595670723</v>
      </c>
      <c r="X28">
        <f ca="1">C28*(2/(26+1)) + X27*(1-(2/(26+1)))</f>
        <v>170.46158119658122</v>
      </c>
      <c r="Y28">
        <f t="shared" ref="Y28:Y91" ca="1" si="16">W29-X29</f>
        <v>-1.4293766309641853</v>
      </c>
    </row>
    <row r="29" spans="1:25" x14ac:dyDescent="0.25">
      <c r="A29" s="20">
        <f t="shared" ca="1" si="0"/>
        <v>45747</v>
      </c>
      <c r="B29" vm="82">
        <f ca="1"/>
        <v>45751</v>
      </c>
      <c r="C29" vm="83">
        <f ca="1"/>
        <v>163.75</v>
      </c>
      <c r="D29" vm="84">
        <f ca="1"/>
        <v>13454205</v>
      </c>
      <c r="E29">
        <f t="shared" ca="1" si="1"/>
        <v>2203126068.75</v>
      </c>
      <c r="F29">
        <f ca="1">SUM($E$2:E29)/SUM($D$2:D29)</f>
        <v>170.13837752084612</v>
      </c>
      <c r="G29">
        <f ca="1">_xlfn.STDEV.P($C$2:C29)</f>
        <v>3.5568451359918054</v>
      </c>
      <c r="H29">
        <f t="shared" ca="1" si="2"/>
        <v>173.69522265683793</v>
      </c>
      <c r="I29">
        <f t="shared" ca="1" si="3"/>
        <v>166.58153238485431</v>
      </c>
      <c r="J29">
        <f t="shared" ca="1" si="12"/>
        <v>168.6515</v>
      </c>
      <c r="K29">
        <f t="shared" ca="1" si="13"/>
        <v>3.0644399763123173</v>
      </c>
      <c r="L29">
        <f t="shared" ca="1" si="14"/>
        <v>174.78037995262463</v>
      </c>
      <c r="M29">
        <f t="shared" ca="1" si="15"/>
        <v>162.52262004737537</v>
      </c>
      <c r="N29">
        <f t="shared" ca="1" si="4"/>
        <v>-8.6399999999999864</v>
      </c>
      <c r="O29">
        <f t="shared" ca="1" si="5"/>
        <v>0</v>
      </c>
      <c r="P29">
        <f t="shared" ca="1" si="6"/>
        <v>8.6399999999999864</v>
      </c>
      <c r="Q29">
        <f t="shared" ca="1" si="10"/>
        <v>0.84538461083880712</v>
      </c>
      <c r="R29">
        <f t="shared" ca="1" si="11"/>
        <v>1.3102977907734623</v>
      </c>
      <c r="S29">
        <f t="shared" ca="1" si="8"/>
        <v>0.64518509974727256</v>
      </c>
      <c r="T29">
        <f t="shared" ca="1" si="9"/>
        <v>39.216565956401112</v>
      </c>
      <c r="U29">
        <f>70</f>
        <v>70</v>
      </c>
      <c r="V29">
        <f>30</f>
        <v>30</v>
      </c>
      <c r="W29">
        <f t="shared" ca="1" si="7"/>
        <v>168.5350504029073</v>
      </c>
      <c r="X29">
        <f t="shared" ref="X29:X92" ca="1" si="17">C29*(2/(26+1)) + X28*(1-(2/(26+1)))</f>
        <v>169.96442703387149</v>
      </c>
      <c r="Y29">
        <f t="shared" ca="1" si="16"/>
        <v>-1.9860080237742466</v>
      </c>
    </row>
    <row r="30" spans="1:25" x14ac:dyDescent="0.25">
      <c r="A30" s="20">
        <f t="shared" ca="1" si="0"/>
        <v>45754</v>
      </c>
      <c r="B30" vm="85">
        <f ca="1"/>
        <v>45754</v>
      </c>
      <c r="C30" vm="86">
        <f ca="1"/>
        <v>160.22999999999999</v>
      </c>
      <c r="D30" vm="87">
        <f ca="1"/>
        <v>15708009</v>
      </c>
      <c r="E30">
        <f t="shared" ca="1" si="1"/>
        <v>2516894282.0699997</v>
      </c>
      <c r="F30">
        <f ca="1">SUM($E$2:E30)/SUM($D$2:D30)</f>
        <v>169.52936533233361</v>
      </c>
      <c r="G30">
        <f ca="1">_xlfn.STDEV.P($C$2:C30)</f>
        <v>3.9356781707217672</v>
      </c>
      <c r="H30">
        <f t="shared" ca="1" si="2"/>
        <v>173.46504350305537</v>
      </c>
      <c r="I30">
        <f t="shared" ca="1" si="3"/>
        <v>165.59368716161185</v>
      </c>
      <c r="J30">
        <f t="shared" ca="1" si="12"/>
        <v>167.85</v>
      </c>
      <c r="K30">
        <f t="shared" ca="1" si="13"/>
        <v>3.0660226249723119</v>
      </c>
      <c r="L30">
        <f t="shared" ca="1" si="14"/>
        <v>173.9820452499446</v>
      </c>
      <c r="M30">
        <f t="shared" ca="1" si="15"/>
        <v>161.71795475005538</v>
      </c>
      <c r="N30">
        <f t="shared" ca="1" si="4"/>
        <v>-3.5200000000000102</v>
      </c>
      <c r="O30">
        <f t="shared" ca="1" si="5"/>
        <v>0</v>
      </c>
      <c r="P30">
        <f t="shared" ca="1" si="6"/>
        <v>3.5200000000000102</v>
      </c>
      <c r="Q30">
        <f t="shared" ca="1" si="10"/>
        <v>0.78499999577889235</v>
      </c>
      <c r="R30">
        <f t="shared" ca="1" si="11"/>
        <v>1.4681336628610728</v>
      </c>
      <c r="S30">
        <f t="shared" ca="1" si="8"/>
        <v>0.53469245725835224</v>
      </c>
      <c r="T30">
        <f t="shared" ca="1" si="9"/>
        <v>34.84036522949701</v>
      </c>
      <c r="U30">
        <f>70</f>
        <v>70</v>
      </c>
      <c r="V30">
        <f>30</f>
        <v>30</v>
      </c>
      <c r="W30">
        <f t="shared" ca="1" si="7"/>
        <v>167.25735034092156</v>
      </c>
      <c r="X30">
        <f t="shared" ca="1" si="17"/>
        <v>169.24335836469581</v>
      </c>
      <c r="Y30">
        <f t="shared" ca="1" si="16"/>
        <v>-2.5462632970724712</v>
      </c>
    </row>
    <row r="31" spans="1:25" x14ac:dyDescent="0.25">
      <c r="A31" s="20">
        <f t="shared" ca="1" si="0"/>
        <v>45754</v>
      </c>
      <c r="B31" vm="88">
        <f ca="1"/>
        <v>45755</v>
      </c>
      <c r="C31" vm="89">
        <f ca="1"/>
        <v>158.38999999999999</v>
      </c>
      <c r="D31" vm="90">
        <f ca="1"/>
        <v>11541114</v>
      </c>
      <c r="E31">
        <f t="shared" ca="1" si="1"/>
        <v>1827997046.4599998</v>
      </c>
      <c r="F31">
        <f ca="1">SUM($E$2:E31)/SUM($D$2:D31)</f>
        <v>169.04805203005753</v>
      </c>
      <c r="G31">
        <f ca="1">_xlfn.STDEV.P($C$2:C31)</f>
        <v>4.378612984344092</v>
      </c>
      <c r="H31">
        <f t="shared" ca="1" si="2"/>
        <v>173.42666501440164</v>
      </c>
      <c r="I31">
        <f t="shared" ca="1" si="3"/>
        <v>164.66943904571343</v>
      </c>
      <c r="J31">
        <f t="shared" ca="1" si="12"/>
        <v>167.11349999999999</v>
      </c>
      <c r="K31">
        <f t="shared" ca="1" si="13"/>
        <v>3.4753224386568204</v>
      </c>
      <c r="L31">
        <f t="shared" ca="1" si="14"/>
        <v>174.06414487731362</v>
      </c>
      <c r="M31">
        <f t="shared" ca="1" si="15"/>
        <v>160.16285512268635</v>
      </c>
      <c r="N31">
        <f t="shared" ca="1" si="4"/>
        <v>-1.8400000000000034</v>
      </c>
      <c r="O31">
        <f t="shared" ca="1" si="5"/>
        <v>0</v>
      </c>
      <c r="P31">
        <f t="shared" ca="1" si="6"/>
        <v>1.8400000000000034</v>
      </c>
      <c r="Q31">
        <f t="shared" ca="1" si="10"/>
        <v>0.72892856750897139</v>
      </c>
      <c r="R31">
        <f t="shared" ca="1" si="11"/>
        <v>1.494695544085282</v>
      </c>
      <c r="S31">
        <f t="shared" ca="1" si="8"/>
        <v>0.4876769522686028</v>
      </c>
      <c r="T31">
        <f t="shared" ca="1" si="9"/>
        <v>32.781105570327597</v>
      </c>
      <c r="U31">
        <f>70</f>
        <v>70</v>
      </c>
      <c r="V31">
        <f>30</f>
        <v>30</v>
      </c>
      <c r="W31">
        <f t="shared" ca="1" si="7"/>
        <v>165.89314259616438</v>
      </c>
      <c r="X31">
        <f t="shared" ca="1" si="17"/>
        <v>168.43940589323685</v>
      </c>
      <c r="Y31">
        <f t="shared" ca="1" si="16"/>
        <v>-2.6426882172112869</v>
      </c>
    </row>
    <row r="32" spans="1:25" x14ac:dyDescent="0.25">
      <c r="A32" s="20">
        <f t="shared" ca="1" si="0"/>
        <v>45754</v>
      </c>
      <c r="B32" vm="91">
        <f ca="1"/>
        <v>45756</v>
      </c>
      <c r="C32" vm="92">
        <f ca="1"/>
        <v>162.32</v>
      </c>
      <c r="D32" vm="93">
        <f ca="1"/>
        <v>10670212</v>
      </c>
      <c r="E32">
        <f t="shared" ca="1" si="1"/>
        <v>1731988811.8399999</v>
      </c>
      <c r="F32">
        <f ca="1">SUM($E$2:E32)/SUM($D$2:D32)</f>
        <v>168.78960559834493</v>
      </c>
      <c r="G32">
        <f ca="1">_xlfn.STDEV.P($C$2:C32)</f>
        <v>4.4866114623568576</v>
      </c>
      <c r="H32">
        <f t="shared" ca="1" si="2"/>
        <v>173.27621706070178</v>
      </c>
      <c r="I32">
        <f t="shared" ca="1" si="3"/>
        <v>164.30299413598809</v>
      </c>
      <c r="J32">
        <f t="shared" ca="1" si="12"/>
        <v>166.81099999999998</v>
      </c>
      <c r="K32">
        <f t="shared" ca="1" si="13"/>
        <v>3.6204694374305153</v>
      </c>
      <c r="L32">
        <f t="shared" ca="1" si="14"/>
        <v>174.05193887486101</v>
      </c>
      <c r="M32">
        <f t="shared" ca="1" si="15"/>
        <v>159.57006112513895</v>
      </c>
      <c r="N32">
        <f t="shared" ca="1" si="4"/>
        <v>3.9300000000000068</v>
      </c>
      <c r="O32">
        <f t="shared" ca="1" si="5"/>
        <v>3.9300000000000068</v>
      </c>
      <c r="P32">
        <f t="shared" ca="1" si="6"/>
        <v>0</v>
      </c>
      <c r="Q32">
        <f t="shared" ca="1" si="10"/>
        <v>0.95757652697261686</v>
      </c>
      <c r="R32">
        <f t="shared" ca="1" si="11"/>
        <v>1.3879315766506191</v>
      </c>
      <c r="S32">
        <f t="shared" ca="1" si="8"/>
        <v>0.68993064433583784</v>
      </c>
      <c r="T32">
        <f t="shared" ca="1" si="9"/>
        <v>40.825973932615952</v>
      </c>
      <c r="U32">
        <f>70</f>
        <v>70</v>
      </c>
      <c r="V32">
        <f>30</f>
        <v>30</v>
      </c>
      <c r="W32">
        <f t="shared" ca="1" si="7"/>
        <v>165.34342835060062</v>
      </c>
      <c r="X32">
        <f t="shared" ca="1" si="17"/>
        <v>167.98611656781191</v>
      </c>
      <c r="Y32">
        <f t="shared" ca="1" si="16"/>
        <v>-2.5892013231068063</v>
      </c>
    </row>
    <row r="33" spans="1:27" x14ac:dyDescent="0.25">
      <c r="A33" s="20">
        <f t="shared" ca="1" si="0"/>
        <v>45754</v>
      </c>
      <c r="B33" vm="94">
        <f ca="1"/>
        <v>45757</v>
      </c>
      <c r="C33" vm="95">
        <f ca="1"/>
        <v>163.56</v>
      </c>
      <c r="D33" vm="96">
        <f ca="1"/>
        <v>10581571</v>
      </c>
      <c r="E33">
        <f t="shared" ca="1" si="1"/>
        <v>1730721752.76</v>
      </c>
      <c r="F33">
        <f ca="1">SUM($E$2:E33)/SUM($D$2:D33)</f>
        <v>168.59769874086251</v>
      </c>
      <c r="G33">
        <f ca="1">_xlfn.STDEV.P($C$2:C33)</f>
        <v>4.5235145934708516</v>
      </c>
      <c r="H33">
        <f t="shared" ca="1" si="2"/>
        <v>173.12121333433336</v>
      </c>
      <c r="I33">
        <f t="shared" ca="1" si="3"/>
        <v>164.07418414739166</v>
      </c>
      <c r="J33">
        <f t="shared" ca="1" si="12"/>
        <v>166.55950000000001</v>
      </c>
      <c r="K33">
        <f t="shared" ca="1" si="13"/>
        <v>3.6648206317851222</v>
      </c>
      <c r="L33">
        <f t="shared" ca="1" si="14"/>
        <v>173.88914126357025</v>
      </c>
      <c r="M33">
        <f t="shared" ca="1" si="15"/>
        <v>159.22985873642978</v>
      </c>
      <c r="N33">
        <f t="shared" ca="1" si="4"/>
        <v>1.2400000000000091</v>
      </c>
      <c r="O33">
        <f t="shared" ca="1" si="5"/>
        <v>1.2400000000000091</v>
      </c>
      <c r="P33">
        <f t="shared" ca="1" si="6"/>
        <v>0</v>
      </c>
      <c r="Q33">
        <f t="shared" ca="1" si="10"/>
        <v>0.97774963218885913</v>
      </c>
      <c r="R33">
        <f t="shared" ca="1" si="11"/>
        <v>1.2887936068898607</v>
      </c>
      <c r="S33">
        <f t="shared" ca="1" si="8"/>
        <v>0.75865493664915185</v>
      </c>
      <c r="T33">
        <f t="shared" ca="1" si="9"/>
        <v>43.13836221303611</v>
      </c>
      <c r="U33">
        <f>70</f>
        <v>70</v>
      </c>
      <c r="V33">
        <f>30</f>
        <v>30</v>
      </c>
      <c r="W33">
        <f t="shared" ca="1" si="7"/>
        <v>165.06905475820051</v>
      </c>
      <c r="X33">
        <f t="shared" ca="1" si="17"/>
        <v>167.65825608130731</v>
      </c>
      <c r="Y33">
        <f t="shared" ca="1" si="16"/>
        <v>-2.2505526018214539</v>
      </c>
    </row>
    <row r="34" spans="1:27" x14ac:dyDescent="0.25">
      <c r="A34" s="20">
        <f t="shared" ca="1" si="0"/>
        <v>45754</v>
      </c>
      <c r="B34" vm="97">
        <f ca="1"/>
        <v>45758</v>
      </c>
      <c r="C34" vm="98">
        <f ca="1"/>
        <v>166.91</v>
      </c>
      <c r="D34" vm="99">
        <f ca="1"/>
        <v>8603200</v>
      </c>
      <c r="E34">
        <f t="shared" ca="1" si="1"/>
        <v>1435960112</v>
      </c>
      <c r="F34">
        <f ca="1">SUM($E$2:E34)/SUM($D$2:D34)</f>
        <v>168.54880440532961</v>
      </c>
      <c r="G34">
        <f ca="1">_xlfn.STDEV.P($C$2:C34)</f>
        <v>4.4691054154000183</v>
      </c>
      <c r="H34">
        <f t="shared" ca="1" si="2"/>
        <v>173.01790982072961</v>
      </c>
      <c r="I34">
        <f t="shared" ca="1" si="3"/>
        <v>164.0796989899296</v>
      </c>
      <c r="J34">
        <f t="shared" ca="1" si="12"/>
        <v>166.50649999999999</v>
      </c>
      <c r="K34">
        <f t="shared" ca="1" si="13"/>
        <v>3.6509872853647063</v>
      </c>
      <c r="L34">
        <f t="shared" ca="1" si="14"/>
        <v>173.8084745707294</v>
      </c>
      <c r="M34">
        <f t="shared" ca="1" si="15"/>
        <v>159.20452542927057</v>
      </c>
      <c r="N34">
        <f t="shared" ca="1" si="4"/>
        <v>3.3499999999999943</v>
      </c>
      <c r="O34">
        <f t="shared" ca="1" si="5"/>
        <v>3.3499999999999943</v>
      </c>
      <c r="P34">
        <f t="shared" ca="1" si="6"/>
        <v>0</v>
      </c>
      <c r="Q34">
        <f t="shared" ca="1" si="10"/>
        <v>1.1471960870325115</v>
      </c>
      <c r="R34">
        <f t="shared" ca="1" si="11"/>
        <v>1.196736920683442</v>
      </c>
      <c r="S34">
        <f t="shared" ca="1" si="8"/>
        <v>0.95860340498007013</v>
      </c>
      <c r="T34">
        <f t="shared" ca="1" si="9"/>
        <v>48.943211399646493</v>
      </c>
      <c r="U34">
        <f>70</f>
        <v>70</v>
      </c>
      <c r="V34">
        <f>30</f>
        <v>30</v>
      </c>
      <c r="W34">
        <f t="shared" ca="1" si="7"/>
        <v>165.35227710309272</v>
      </c>
      <c r="X34">
        <f t="shared" ca="1" si="17"/>
        <v>167.60282970491417</v>
      </c>
      <c r="Y34">
        <f t="shared" ca="1" si="16"/>
        <v>-1.7824881893976112</v>
      </c>
    </row>
    <row r="35" spans="1:27" x14ac:dyDescent="0.25">
      <c r="A35" s="20">
        <f t="shared" ca="1" si="0"/>
        <v>45761</v>
      </c>
      <c r="B35" vm="100">
        <f ca="1"/>
        <v>45761</v>
      </c>
      <c r="C35" vm="101">
        <f ca="1"/>
        <v>169.13</v>
      </c>
      <c r="D35" vm="102">
        <f ca="1"/>
        <v>9877411</v>
      </c>
      <c r="E35">
        <f t="shared" ca="1" si="1"/>
        <v>1670566522.4300001</v>
      </c>
      <c r="F35">
        <f ca="1">SUM($E$2:E35)/SUM($D$2:D35)</f>
        <v>168.56751375262431</v>
      </c>
      <c r="G35">
        <f ca="1">_xlfn.STDEV.P($C$2:C35)</f>
        <v>4.4029912076217537</v>
      </c>
      <c r="H35">
        <f t="shared" ca="1" si="2"/>
        <v>172.97050496024607</v>
      </c>
      <c r="I35">
        <f t="shared" ca="1" si="3"/>
        <v>164.16452254500254</v>
      </c>
      <c r="J35">
        <f t="shared" ca="1" si="12"/>
        <v>166.47499999999999</v>
      </c>
      <c r="K35">
        <f t="shared" ca="1" si="13"/>
        <v>3.6240577722826268</v>
      </c>
      <c r="L35">
        <f t="shared" ca="1" si="14"/>
        <v>173.72311554456525</v>
      </c>
      <c r="M35">
        <f t="shared" ca="1" si="15"/>
        <v>159.22688445543474</v>
      </c>
      <c r="N35">
        <f t="shared" ca="1" si="4"/>
        <v>2.2199999999999989</v>
      </c>
      <c r="O35">
        <f t="shared" ca="1" si="5"/>
        <v>2.2199999999999989</v>
      </c>
      <c r="P35">
        <f t="shared" ca="1" si="6"/>
        <v>0</v>
      </c>
      <c r="Q35">
        <f t="shared" ca="1" si="10"/>
        <v>1.2238249379587605</v>
      </c>
      <c r="R35">
        <f t="shared" ca="1" si="11"/>
        <v>1.1112557120631961</v>
      </c>
      <c r="S35">
        <f t="shared" ca="1" si="8"/>
        <v>1.1012991201517106</v>
      </c>
      <c r="T35">
        <f t="shared" ca="1" si="9"/>
        <v>52.410392675184603</v>
      </c>
      <c r="U35">
        <f>70</f>
        <v>70</v>
      </c>
      <c r="V35">
        <f>30</f>
        <v>30</v>
      </c>
      <c r="W35">
        <f t="shared" ca="1" si="7"/>
        <v>165.93346524107847</v>
      </c>
      <c r="X35">
        <f t="shared" ca="1" si="17"/>
        <v>167.71595343047608</v>
      </c>
      <c r="Y35">
        <f t="shared" ca="1" si="16"/>
        <v>-1.4481073740866748</v>
      </c>
    </row>
    <row r="36" spans="1:27" x14ac:dyDescent="0.25">
      <c r="A36" s="20">
        <f t="shared" ca="1" si="0"/>
        <v>45761</v>
      </c>
      <c r="B36" vm="103">
        <f ca="1"/>
        <v>45762</v>
      </c>
      <c r="C36" vm="104">
        <f ca="1"/>
        <v>168.47</v>
      </c>
      <c r="D36" vm="105">
        <f ca="1"/>
        <v>8764978</v>
      </c>
      <c r="E36">
        <f t="shared" ca="1" si="1"/>
        <v>1476635843.6600001</v>
      </c>
      <c r="F36">
        <f ca="1">SUM($E$2:E36)/SUM($D$2:D36)</f>
        <v>168.5648055703974</v>
      </c>
      <c r="G36">
        <f ca="1">_xlfn.STDEV.P($C$2:C36)</f>
        <v>4.3404060188147469</v>
      </c>
      <c r="H36">
        <f t="shared" ca="1" si="2"/>
        <v>172.90521158921214</v>
      </c>
      <c r="I36">
        <f t="shared" ca="1" si="3"/>
        <v>164.22439955158265</v>
      </c>
      <c r="J36">
        <f t="shared" ca="1" si="12"/>
        <v>166.51299999999998</v>
      </c>
      <c r="K36">
        <f t="shared" ca="1" si="13"/>
        <v>3.6416307798625214</v>
      </c>
      <c r="L36">
        <f t="shared" ca="1" si="14"/>
        <v>173.79626155972502</v>
      </c>
      <c r="M36">
        <f t="shared" ca="1" si="15"/>
        <v>159.22973844027493</v>
      </c>
      <c r="N36">
        <f t="shared" ca="1" si="4"/>
        <v>-0.65999999999999659</v>
      </c>
      <c r="O36">
        <f t="shared" ca="1" si="5"/>
        <v>0</v>
      </c>
      <c r="P36">
        <f t="shared" ca="1" si="6"/>
        <v>0.65999999999999659</v>
      </c>
      <c r="Q36">
        <f t="shared" ca="1" si="10"/>
        <v>1.1364088709617062</v>
      </c>
      <c r="R36">
        <f t="shared" ca="1" si="11"/>
        <v>1.0790231612015391</v>
      </c>
      <c r="S36">
        <f t="shared" ca="1" si="8"/>
        <v>1.0531830194416454</v>
      </c>
      <c r="T36">
        <f t="shared" ca="1" si="9"/>
        <v>51.295135868016978</v>
      </c>
      <c r="U36">
        <f>70</f>
        <v>70</v>
      </c>
      <c r="V36">
        <f>30</f>
        <v>30</v>
      </c>
      <c r="W36">
        <f t="shared" ca="1" si="7"/>
        <v>166.32370135783563</v>
      </c>
      <c r="X36">
        <f t="shared" ca="1" si="17"/>
        <v>167.77180873192231</v>
      </c>
      <c r="Y36">
        <f t="shared" ca="1" si="16"/>
        <v>-1.3355513806198189</v>
      </c>
      <c r="Z36" s="9">
        <f ca="1">AVERAGE(Y28:Y36)</f>
        <v>-2.0011374486727282</v>
      </c>
    </row>
    <row r="37" spans="1:27" x14ac:dyDescent="0.25">
      <c r="A37" s="20">
        <f t="shared" ca="1" si="0"/>
        <v>45761</v>
      </c>
      <c r="B37" vm="106">
        <f ca="1"/>
        <v>45763</v>
      </c>
      <c r="C37" vm="107">
        <f ca="1"/>
        <v>166.39</v>
      </c>
      <c r="D37" vm="108">
        <f ca="1"/>
        <v>5897634</v>
      </c>
      <c r="E37">
        <f t="shared" ca="1" si="1"/>
        <v>981307321.25999987</v>
      </c>
      <c r="F37">
        <f ca="1">SUM($E$2:E37)/SUM($D$2:D37)</f>
        <v>168.52491055065875</v>
      </c>
      <c r="G37">
        <f ca="1">_xlfn.STDEV.P($C$2:C37)</f>
        <v>4.3002754272255643</v>
      </c>
      <c r="H37">
        <f t="shared" ca="1" si="2"/>
        <v>172.8251859778843</v>
      </c>
      <c r="I37">
        <f t="shared" ca="1" si="3"/>
        <v>164.22463512343319</v>
      </c>
      <c r="J37">
        <f t="shared" ca="1" si="12"/>
        <v>166.404</v>
      </c>
      <c r="K37">
        <f t="shared" ca="1" si="13"/>
        <v>3.6093028923077464</v>
      </c>
      <c r="L37">
        <f t="shared" ca="1" si="14"/>
        <v>173.6226057846155</v>
      </c>
      <c r="M37">
        <f t="shared" ca="1" si="15"/>
        <v>159.18539421538449</v>
      </c>
      <c r="N37">
        <f t="shared" ca="1" si="4"/>
        <v>-2.0800000000000125</v>
      </c>
      <c r="O37">
        <f t="shared" ca="1" si="5"/>
        <v>0</v>
      </c>
      <c r="P37">
        <f t="shared" ca="1" si="6"/>
        <v>2.0800000000000125</v>
      </c>
      <c r="Q37">
        <f t="shared" ca="1" si="10"/>
        <v>1.0552368087501558</v>
      </c>
      <c r="R37">
        <f t="shared" ca="1" si="11"/>
        <v>1.1505215068300014</v>
      </c>
      <c r="S37">
        <f t="shared" ca="1" si="8"/>
        <v>0.91718129777305879</v>
      </c>
      <c r="T37">
        <f t="shared" ca="1" si="9"/>
        <v>47.840092057982702</v>
      </c>
      <c r="U37">
        <f>70</f>
        <v>70</v>
      </c>
      <c r="V37">
        <f>30</f>
        <v>30</v>
      </c>
      <c r="W37">
        <f t="shared" ca="1" si="7"/>
        <v>166.33390114893785</v>
      </c>
      <c r="X37">
        <f t="shared" ca="1" si="17"/>
        <v>167.66945252955767</v>
      </c>
      <c r="Y37">
        <f t="shared" ca="1" si="16"/>
        <v>-0.89391290846637617</v>
      </c>
      <c r="Z37">
        <f ca="1">Y37*(2/(9+1)) + Z36*(1-(2/(9+1)))</f>
        <v>-1.7796925406314581</v>
      </c>
      <c r="AA37">
        <f ca="1">Y37-Z37</f>
        <v>0.88577963216508193</v>
      </c>
    </row>
    <row r="38" spans="1:27" x14ac:dyDescent="0.25">
      <c r="A38" s="20">
        <f t="shared" ca="1" si="0"/>
        <v>45761</v>
      </c>
      <c r="B38" vm="109">
        <f ca="1"/>
        <v>45764</v>
      </c>
      <c r="C38" vm="110">
        <f ca="1"/>
        <v>170.63</v>
      </c>
      <c r="D38" vm="111">
        <f ca="1"/>
        <v>7227061</v>
      </c>
      <c r="E38">
        <f t="shared" ca="1" si="1"/>
        <v>1233153418.4300001</v>
      </c>
      <c r="F38">
        <f ca="1">SUM($E$2:E38)/SUM($D$2:D38)</f>
        <v>168.57119106689876</v>
      </c>
      <c r="G38">
        <f ca="1">_xlfn.STDEV.P($C$2:C38)</f>
        <v>4.2512930014380315</v>
      </c>
      <c r="H38">
        <f t="shared" ca="1" si="2"/>
        <v>172.82248406833679</v>
      </c>
      <c r="I38">
        <f t="shared" ca="1" si="3"/>
        <v>164.31989806546073</v>
      </c>
      <c r="J38">
        <f t="shared" ca="1" si="12"/>
        <v>166.55799999999999</v>
      </c>
      <c r="K38">
        <f t="shared" ca="1" si="13"/>
        <v>3.7246385907331945</v>
      </c>
      <c r="L38">
        <f t="shared" ca="1" si="14"/>
        <v>174.00727718146638</v>
      </c>
      <c r="M38">
        <f t="shared" ca="1" si="15"/>
        <v>159.10872281853361</v>
      </c>
      <c r="N38">
        <f t="shared" ca="1" si="4"/>
        <v>4.2400000000000091</v>
      </c>
      <c r="O38">
        <f t="shared" ca="1" si="5"/>
        <v>4.2400000000000091</v>
      </c>
      <c r="P38">
        <f t="shared" ca="1" si="6"/>
        <v>0</v>
      </c>
      <c r="Q38">
        <f t="shared" ca="1" si="10"/>
        <v>1.2827198938394311</v>
      </c>
      <c r="R38">
        <f t="shared" ca="1" si="11"/>
        <v>1.0683413991992869</v>
      </c>
      <c r="S38">
        <f t="shared" ca="1" si="8"/>
        <v>1.2006647826254968</v>
      </c>
      <c r="T38">
        <f t="shared" ca="1" si="9"/>
        <v>54.559185574508398</v>
      </c>
      <c r="U38">
        <f>70</f>
        <v>70</v>
      </c>
      <c r="V38">
        <f>30</f>
        <v>30</v>
      </c>
      <c r="W38">
        <f t="shared" ca="1" si="7"/>
        <v>166.99483943371666</v>
      </c>
      <c r="X38">
        <f t="shared" ca="1" si="17"/>
        <v>167.88875234218304</v>
      </c>
      <c r="Y38">
        <f t="shared" ca="1" si="16"/>
        <v>-0.92700056807873921</v>
      </c>
      <c r="Z38">
        <f t="shared" ref="Z38:Z101" ca="1" si="18">Y38*(2/(9+1)) + Z37*(1-(2/(9+1)))</f>
        <v>-1.6091541461209145</v>
      </c>
      <c r="AA38">
        <f t="shared" ref="AA38:AA101" ca="1" si="19">Y38-Z38</f>
        <v>0.68215357804217525</v>
      </c>
    </row>
    <row r="39" spans="1:27" x14ac:dyDescent="0.25">
      <c r="A39" s="20">
        <f t="shared" ca="1" si="0"/>
        <v>45768</v>
      </c>
      <c r="B39" vm="112">
        <f ca="1"/>
        <v>45768</v>
      </c>
      <c r="C39" vm="113">
        <f ca="1"/>
        <v>165.75</v>
      </c>
      <c r="D39" vm="114">
        <f ca="1"/>
        <v>8062360</v>
      </c>
      <c r="E39">
        <f t="shared" ca="1" si="1"/>
        <v>1336336170</v>
      </c>
      <c r="F39">
        <f ca="1">SUM($E$2:E39)/SUM($D$2:D39)</f>
        <v>168.50365471639387</v>
      </c>
      <c r="G39">
        <f ca="1">_xlfn.STDEV.P($C$2:C39)</f>
        <v>4.2256226491315099</v>
      </c>
      <c r="H39">
        <f t="shared" ca="1" si="2"/>
        <v>172.72927736552538</v>
      </c>
      <c r="I39">
        <f t="shared" ca="1" si="3"/>
        <v>164.27803206726236</v>
      </c>
      <c r="J39">
        <f t="shared" ca="1" si="12"/>
        <v>166.511</v>
      </c>
      <c r="K39">
        <f t="shared" ca="1" si="13"/>
        <v>3.7288136959289582</v>
      </c>
      <c r="L39">
        <f t="shared" ca="1" si="14"/>
        <v>173.96862739185792</v>
      </c>
      <c r="M39">
        <f t="shared" ca="1" si="15"/>
        <v>159.05337260814207</v>
      </c>
      <c r="N39">
        <f t="shared" ca="1" si="4"/>
        <v>-4.8799999999999955</v>
      </c>
      <c r="O39">
        <f t="shared" ca="1" si="5"/>
        <v>0</v>
      </c>
      <c r="P39">
        <f t="shared" ca="1" si="6"/>
        <v>4.8799999999999955</v>
      </c>
      <c r="Q39">
        <f t="shared" ca="1" si="10"/>
        <v>1.1910970442794717</v>
      </c>
      <c r="R39">
        <f t="shared" ca="1" si="11"/>
        <v>1.3406027278279089</v>
      </c>
      <c r="S39">
        <f t="shared" ca="1" si="8"/>
        <v>0.88847875627504391</v>
      </c>
      <c r="T39">
        <f t="shared" ca="1" si="9"/>
        <v>47.0473259666175</v>
      </c>
      <c r="U39">
        <f>70</f>
        <v>70</v>
      </c>
      <c r="V39">
        <f>30</f>
        <v>30</v>
      </c>
      <c r="W39">
        <f t="shared" ca="1" si="7"/>
        <v>166.80332567468332</v>
      </c>
      <c r="X39">
        <f t="shared" ca="1" si="17"/>
        <v>167.73032624276206</v>
      </c>
      <c r="Y39">
        <f t="shared" ca="1" si="16"/>
        <v>-0.77244530916448184</v>
      </c>
      <c r="Z39">
        <f t="shared" ca="1" si="18"/>
        <v>-1.4418123787296282</v>
      </c>
      <c r="AA39">
        <f t="shared" ca="1" si="19"/>
        <v>0.66936706956514636</v>
      </c>
    </row>
    <row r="40" spans="1:27" x14ac:dyDescent="0.25">
      <c r="A40" s="20">
        <f t="shared" ca="1" si="0"/>
        <v>45768</v>
      </c>
      <c r="B40" vm="115">
        <f ca="1"/>
        <v>45769</v>
      </c>
      <c r="C40" vm="116">
        <f ca="1"/>
        <v>167.88</v>
      </c>
      <c r="D40" vm="117">
        <f ca="1"/>
        <v>7907421</v>
      </c>
      <c r="E40">
        <f t="shared" ca="1" si="1"/>
        <v>1327497837.48</v>
      </c>
      <c r="F40">
        <f ca="1">SUM($E$2:E40)/SUM($D$2:D40)</f>
        <v>168.48934789745044</v>
      </c>
      <c r="G40">
        <f ca="1">_xlfn.STDEV.P($C$2:C40)</f>
        <v>4.1738538250391848</v>
      </c>
      <c r="H40">
        <f t="shared" ca="1" si="2"/>
        <v>172.66320172248962</v>
      </c>
      <c r="I40">
        <f t="shared" ca="1" si="3"/>
        <v>164.31549407241127</v>
      </c>
      <c r="J40">
        <f t="shared" ca="1" si="12"/>
        <v>166.6225</v>
      </c>
      <c r="K40">
        <f t="shared" ca="1" si="13"/>
        <v>3.7350486151983011</v>
      </c>
      <c r="L40">
        <f t="shared" ca="1" si="14"/>
        <v>174.09259723039659</v>
      </c>
      <c r="M40">
        <f t="shared" ca="1" si="15"/>
        <v>159.15240276960341</v>
      </c>
      <c r="N40">
        <f t="shared" ca="1" si="4"/>
        <v>2.1299999999999955</v>
      </c>
      <c r="O40">
        <f t="shared" ca="1" si="5"/>
        <v>2.1299999999999955</v>
      </c>
      <c r="P40">
        <f t="shared" ca="1" si="6"/>
        <v>0</v>
      </c>
      <c r="Q40">
        <f t="shared" ca="1" si="10"/>
        <v>1.258161541116652</v>
      </c>
      <c r="R40">
        <f t="shared" ca="1" si="11"/>
        <v>1.2448453901259153</v>
      </c>
      <c r="S40">
        <f t="shared" ca="1" si="8"/>
        <v>1.0106970320140638</v>
      </c>
      <c r="T40">
        <f t="shared" ca="1" si="9"/>
        <v>50.266003078627634</v>
      </c>
      <c r="U40">
        <f>70</f>
        <v>70</v>
      </c>
      <c r="V40">
        <f>30</f>
        <v>30</v>
      </c>
      <c r="W40">
        <f t="shared" ca="1" si="7"/>
        <v>166.96896787857818</v>
      </c>
      <c r="X40">
        <f t="shared" ca="1" si="17"/>
        <v>167.74141318774267</v>
      </c>
      <c r="Y40">
        <f t="shared" ca="1" si="16"/>
        <v>-0.81406218256023521</v>
      </c>
      <c r="Z40">
        <f t="shared" ca="1" si="18"/>
        <v>-1.3162623394957498</v>
      </c>
      <c r="AA40">
        <f t="shared" ca="1" si="19"/>
        <v>0.50220015693551456</v>
      </c>
    </row>
    <row r="41" spans="1:27" x14ac:dyDescent="0.25">
      <c r="A41" s="20">
        <f t="shared" ca="1" si="0"/>
        <v>45768</v>
      </c>
      <c r="B41" vm="118">
        <f ca="1"/>
        <v>45770</v>
      </c>
      <c r="C41" vm="119">
        <f ca="1"/>
        <v>165.73</v>
      </c>
      <c r="D41" vm="120">
        <f ca="1"/>
        <v>9309164</v>
      </c>
      <c r="E41">
        <f t="shared" ca="1" si="1"/>
        <v>1542807749.7199998</v>
      </c>
      <c r="F41">
        <f ca="1">SUM($E$2:E41)/SUM($D$2:D41)</f>
        <v>168.41678614063164</v>
      </c>
      <c r="G41">
        <f ca="1">_xlfn.STDEV.P($C$2:C41)</f>
        <v>4.149401282112879</v>
      </c>
      <c r="H41">
        <f t="shared" ca="1" si="2"/>
        <v>172.56618742274452</v>
      </c>
      <c r="I41">
        <f t="shared" ca="1" si="3"/>
        <v>164.26738485851877</v>
      </c>
      <c r="J41">
        <f t="shared" ca="1" si="12"/>
        <v>166.76650000000001</v>
      </c>
      <c r="K41">
        <f t="shared" ca="1" si="13"/>
        <v>3.6361579998674434</v>
      </c>
      <c r="L41">
        <f t="shared" ca="1" si="14"/>
        <v>174.03881599973491</v>
      </c>
      <c r="M41">
        <f t="shared" ca="1" si="15"/>
        <v>159.49418400026511</v>
      </c>
      <c r="N41">
        <f t="shared" ca="1" si="4"/>
        <v>-2.1500000000000057</v>
      </c>
      <c r="O41">
        <f t="shared" ca="1" si="5"/>
        <v>0</v>
      </c>
      <c r="P41">
        <f t="shared" ca="1" si="6"/>
        <v>2.1500000000000057</v>
      </c>
      <c r="Q41">
        <f t="shared" ca="1" si="10"/>
        <v>1.1682928596083197</v>
      </c>
      <c r="R41">
        <f t="shared" ca="1" si="11"/>
        <v>1.3094992908312075</v>
      </c>
      <c r="S41">
        <f t="shared" ca="1" si="8"/>
        <v>0.8921676153537611</v>
      </c>
      <c r="T41">
        <f t="shared" ca="1" si="9"/>
        <v>47.1505593962383</v>
      </c>
      <c r="U41">
        <f>70</f>
        <v>70</v>
      </c>
      <c r="V41">
        <f>30</f>
        <v>30</v>
      </c>
      <c r="W41">
        <f t="shared" ca="1" si="7"/>
        <v>166.77835743572001</v>
      </c>
      <c r="X41">
        <f t="shared" ca="1" si="17"/>
        <v>167.59241961828025</v>
      </c>
      <c r="Y41">
        <f t="shared" ca="1" si="16"/>
        <v>-1.3319778277271439</v>
      </c>
      <c r="Z41">
        <f t="shared" ca="1" si="18"/>
        <v>-1.3194054371420287</v>
      </c>
      <c r="AA41">
        <f t="shared" ca="1" si="19"/>
        <v>-1.2572390585115167E-2</v>
      </c>
    </row>
    <row r="42" spans="1:27" x14ac:dyDescent="0.25">
      <c r="A42" s="20">
        <f t="shared" ca="1" si="0"/>
        <v>45768</v>
      </c>
      <c r="B42" vm="121">
        <f ca="1"/>
        <v>45771</v>
      </c>
      <c r="C42" vm="122">
        <f ca="1"/>
        <v>159.53</v>
      </c>
      <c r="D42" vm="123">
        <f ca="1"/>
        <v>20077665</v>
      </c>
      <c r="E42">
        <f t="shared" ca="1" si="1"/>
        <v>3202989897.4499998</v>
      </c>
      <c r="F42">
        <f ca="1">SUM($E$2:E42)/SUM($D$2:D42)</f>
        <v>167.93981687976213</v>
      </c>
      <c r="G42">
        <f ca="1">_xlfn.STDEV.P($C$2:C42)</f>
        <v>4.3376416036525045</v>
      </c>
      <c r="H42">
        <f t="shared" ca="1" si="2"/>
        <v>172.27745848341465</v>
      </c>
      <c r="I42">
        <f t="shared" ca="1" si="3"/>
        <v>163.60217527610962</v>
      </c>
      <c r="J42">
        <f t="shared" ca="1" si="12"/>
        <v>166.41400000000002</v>
      </c>
      <c r="K42">
        <f t="shared" ca="1" si="13"/>
        <v>3.9805995316759697</v>
      </c>
      <c r="L42">
        <f t="shared" ca="1" si="14"/>
        <v>174.37519906335194</v>
      </c>
      <c r="M42">
        <f t="shared" ca="1" si="15"/>
        <v>158.45280093664809</v>
      </c>
      <c r="N42">
        <f t="shared" ca="1" si="4"/>
        <v>-6.1999999999999886</v>
      </c>
      <c r="O42">
        <f t="shared" ca="1" si="5"/>
        <v>0</v>
      </c>
      <c r="P42">
        <f t="shared" ca="1" si="6"/>
        <v>6.1999999999999886</v>
      </c>
      <c r="Q42">
        <f t="shared" ca="1" si="10"/>
        <v>1.0848433696362969</v>
      </c>
      <c r="R42">
        <f t="shared" ca="1" si="11"/>
        <v>1.658820770057549</v>
      </c>
      <c r="S42">
        <f t="shared" ca="1" si="8"/>
        <v>0.65398467948931016</v>
      </c>
      <c r="T42">
        <f t="shared" ca="1" si="9"/>
        <v>39.539947836230056</v>
      </c>
      <c r="U42">
        <f>70</f>
        <v>70</v>
      </c>
      <c r="V42">
        <f>30</f>
        <v>30</v>
      </c>
      <c r="W42">
        <f t="shared" ca="1" si="7"/>
        <v>165.66322552253234</v>
      </c>
      <c r="X42">
        <f t="shared" ca="1" si="17"/>
        <v>166.99520335025949</v>
      </c>
      <c r="Y42">
        <f t="shared" ca="1" si="16"/>
        <v>-1.6037125602342428</v>
      </c>
      <c r="Z42">
        <f t="shared" ca="1" si="18"/>
        <v>-1.3762668617604716</v>
      </c>
      <c r="AA42">
        <f t="shared" ca="1" si="19"/>
        <v>-0.22744569847377116</v>
      </c>
    </row>
    <row r="43" spans="1:27" x14ac:dyDescent="0.25">
      <c r="A43" s="20">
        <f t="shared" ca="1" si="0"/>
        <v>45768</v>
      </c>
      <c r="B43" vm="124">
        <f ca="1"/>
        <v>45772</v>
      </c>
      <c r="C43" vm="125">
        <f ca="1"/>
        <v>161.02000000000001</v>
      </c>
      <c r="D43" vm="126">
        <f ca="1"/>
        <v>12893200</v>
      </c>
      <c r="E43">
        <f t="shared" ca="1" si="1"/>
        <v>2076063064.0000002</v>
      </c>
      <c r="F43">
        <f ca="1">SUM($E$2:E43)/SUM($D$2:D43)</f>
        <v>167.70926350586097</v>
      </c>
      <c r="G43">
        <f ca="1">_xlfn.STDEV.P($C$2:C43)</f>
        <v>4.435341963516831</v>
      </c>
      <c r="H43">
        <f t="shared" ca="1" si="2"/>
        <v>172.14460546937781</v>
      </c>
      <c r="I43">
        <f t="shared" ca="1" si="3"/>
        <v>163.27392154234414</v>
      </c>
      <c r="J43">
        <f t="shared" ca="1" si="12"/>
        <v>166.02950000000001</v>
      </c>
      <c r="K43">
        <f t="shared" ca="1" si="13"/>
        <v>4.1162393094463754</v>
      </c>
      <c r="L43">
        <f t="shared" ca="1" si="14"/>
        <v>174.26197861889275</v>
      </c>
      <c r="M43">
        <f t="shared" ca="1" si="15"/>
        <v>157.79702138110727</v>
      </c>
      <c r="N43">
        <f t="shared" ca="1" si="4"/>
        <v>1.4900000000000091</v>
      </c>
      <c r="O43">
        <f t="shared" ca="1" si="5"/>
        <v>1.4900000000000091</v>
      </c>
      <c r="P43">
        <f t="shared" ca="1" si="6"/>
        <v>0</v>
      </c>
      <c r="Q43">
        <f t="shared" ca="1" si="10"/>
        <v>1.1137831289479905</v>
      </c>
      <c r="R43">
        <f t="shared" ca="1" si="11"/>
        <v>1.5403335721962956</v>
      </c>
      <c r="S43">
        <f t="shared" ca="1" si="8"/>
        <v>0.72307917522040033</v>
      </c>
      <c r="T43">
        <f t="shared" ca="1" si="9"/>
        <v>41.964361569624955</v>
      </c>
      <c r="U43">
        <f>70</f>
        <v>70</v>
      </c>
      <c r="V43">
        <f>30</f>
        <v>30</v>
      </c>
      <c r="W43">
        <f t="shared" ca="1" si="7"/>
        <v>164.94888313445045</v>
      </c>
      <c r="X43">
        <f t="shared" ca="1" si="17"/>
        <v>166.5525956946847</v>
      </c>
      <c r="Y43">
        <f t="shared" ca="1" si="16"/>
        <v>-1.7321233898596518</v>
      </c>
      <c r="Z43">
        <f t="shared" ca="1" si="18"/>
        <v>-1.4474381673803078</v>
      </c>
      <c r="AA43">
        <f t="shared" ca="1" si="19"/>
        <v>-0.28468522247934391</v>
      </c>
    </row>
    <row r="44" spans="1:27" x14ac:dyDescent="0.25">
      <c r="A44" s="20">
        <f t="shared" ca="1" si="0"/>
        <v>45775</v>
      </c>
      <c r="B44" vm="127">
        <f ca="1"/>
        <v>45775</v>
      </c>
      <c r="C44" vm="128">
        <f ca="1"/>
        <v>161.85</v>
      </c>
      <c r="D44" vm="129">
        <f ca="1"/>
        <v>8126981</v>
      </c>
      <c r="E44">
        <f t="shared" ca="1" si="1"/>
        <v>1315351874.8499999</v>
      </c>
      <c r="F44">
        <f ca="1">SUM($E$2:E44)/SUM($D$2:D44)</f>
        <v>167.58874266424476</v>
      </c>
      <c r="G44">
        <f ca="1">_xlfn.STDEV.P($C$2:C44)</f>
        <v>4.4911076131945098</v>
      </c>
      <c r="H44">
        <f t="shared" ca="1" si="2"/>
        <v>172.07985027743928</v>
      </c>
      <c r="I44">
        <f t="shared" ca="1" si="3"/>
        <v>163.09763505105025</v>
      </c>
      <c r="J44">
        <f t="shared" ca="1" si="12"/>
        <v>165.72050000000002</v>
      </c>
      <c r="K44">
        <f t="shared" ca="1" si="13"/>
        <v>4.1894711071798465</v>
      </c>
      <c r="L44">
        <f t="shared" ca="1" si="14"/>
        <v>174.0994422143597</v>
      </c>
      <c r="M44">
        <f t="shared" ca="1" si="15"/>
        <v>157.34155778564033</v>
      </c>
      <c r="N44">
        <f t="shared" ca="1" si="4"/>
        <v>0.82999999999998408</v>
      </c>
      <c r="O44">
        <f t="shared" ca="1" si="5"/>
        <v>0.82999999999998408</v>
      </c>
      <c r="P44">
        <f t="shared" ca="1" si="6"/>
        <v>0</v>
      </c>
      <c r="Q44">
        <f t="shared" ca="1" si="10"/>
        <v>1.0935129054517043</v>
      </c>
      <c r="R44">
        <f t="shared" ca="1" si="11"/>
        <v>1.4303097456108458</v>
      </c>
      <c r="S44">
        <f t="shared" ca="1" si="8"/>
        <v>0.76452873848293268</v>
      </c>
      <c r="T44">
        <f t="shared" ca="1" si="9"/>
        <v>43.327644475784638</v>
      </c>
      <c r="U44">
        <f>70</f>
        <v>70</v>
      </c>
      <c r="V44">
        <f>30</f>
        <v>30</v>
      </c>
      <c r="W44">
        <f t="shared" ca="1" si="7"/>
        <v>164.47213188299654</v>
      </c>
      <c r="X44">
        <f t="shared" ca="1" si="17"/>
        <v>166.20425527285619</v>
      </c>
      <c r="Y44">
        <f t="shared" ca="1" si="16"/>
        <v>-1.7802843146105261</v>
      </c>
      <c r="Z44">
        <f t="shared" ca="1" si="18"/>
        <v>-1.5140073968263517</v>
      </c>
      <c r="AA44">
        <f t="shared" ca="1" si="19"/>
        <v>-0.26627691778417439</v>
      </c>
    </row>
    <row r="45" spans="1:27" x14ac:dyDescent="0.25">
      <c r="A45" s="20">
        <f t="shared" ca="1" si="0"/>
        <v>45775</v>
      </c>
      <c r="B45" vm="130">
        <f ca="1"/>
        <v>45776</v>
      </c>
      <c r="C45" vm="131">
        <f ca="1"/>
        <v>162.26</v>
      </c>
      <c r="D45" vm="132">
        <f ca="1"/>
        <v>8266154</v>
      </c>
      <c r="E45">
        <f t="shared" ca="1" si="1"/>
        <v>1341266148.04</v>
      </c>
      <c r="F45">
        <f ca="1">SUM($E$2:E45)/SUM($D$2:D45)</f>
        <v>167.47954187930532</v>
      </c>
      <c r="G45">
        <f ca="1">_xlfn.STDEV.P($C$2:C45)</f>
        <v>4.5267146196699759</v>
      </c>
      <c r="H45">
        <f t="shared" ca="1" si="2"/>
        <v>172.00625649897529</v>
      </c>
      <c r="I45">
        <f t="shared" ca="1" si="3"/>
        <v>162.95282725963534</v>
      </c>
      <c r="J45">
        <f t="shared" ca="1" si="12"/>
        <v>165.31250000000006</v>
      </c>
      <c r="K45">
        <f t="shared" ca="1" si="13"/>
        <v>4.1041838409116123</v>
      </c>
      <c r="L45">
        <f t="shared" ca="1" si="14"/>
        <v>173.52086768182329</v>
      </c>
      <c r="M45">
        <f t="shared" ca="1" si="15"/>
        <v>157.10413231817682</v>
      </c>
      <c r="N45">
        <f t="shared" ca="1" si="4"/>
        <v>0.40999999999999659</v>
      </c>
      <c r="O45">
        <f t="shared" ca="1" si="5"/>
        <v>0.40999999999999659</v>
      </c>
      <c r="P45">
        <f t="shared" ca="1" si="6"/>
        <v>0</v>
      </c>
      <c r="Q45">
        <f t="shared" ca="1" si="10"/>
        <v>1.0446905550622965</v>
      </c>
      <c r="R45">
        <f t="shared" ca="1" si="11"/>
        <v>1.3281447637814998</v>
      </c>
      <c r="S45">
        <f t="shared" ca="1" si="8"/>
        <v>0.78657883052435396</v>
      </c>
      <c r="T45">
        <f t="shared" ca="1" si="9"/>
        <v>44.027099005393239</v>
      </c>
      <c r="U45">
        <f>70</f>
        <v>70</v>
      </c>
      <c r="V45">
        <f>30</f>
        <v>30</v>
      </c>
      <c r="W45">
        <f t="shared" ca="1" si="7"/>
        <v>164.13180390099706</v>
      </c>
      <c r="X45">
        <f t="shared" ca="1" si="17"/>
        <v>165.91208821560758</v>
      </c>
      <c r="Y45">
        <f t="shared" ca="1" si="16"/>
        <v>-1.7729997477958648</v>
      </c>
      <c r="Z45">
        <f t="shared" ca="1" si="18"/>
        <v>-1.5658058670202544</v>
      </c>
      <c r="AA45">
        <f t="shared" ca="1" si="19"/>
        <v>-0.20719388077561041</v>
      </c>
    </row>
    <row r="46" spans="1:27" x14ac:dyDescent="0.25">
      <c r="A46" s="20">
        <f t="shared" ca="1" si="0"/>
        <v>45775</v>
      </c>
      <c r="B46" vm="133">
        <f ca="1"/>
        <v>45777</v>
      </c>
      <c r="C46" vm="134">
        <f ca="1"/>
        <v>162.57</v>
      </c>
      <c r="D46" vm="135">
        <f ca="1"/>
        <v>12475539</v>
      </c>
      <c r="E46">
        <f t="shared" ca="1" si="1"/>
        <v>2028148375.23</v>
      </c>
      <c r="F46">
        <f ca="1">SUM($E$2:E46)/SUM($D$2:D46)</f>
        <v>167.33225321552464</v>
      </c>
      <c r="G46">
        <f ca="1">_xlfn.STDEV.P($C$2:C46)</f>
        <v>4.5484272685494229</v>
      </c>
      <c r="H46">
        <f t="shared" ca="1" si="2"/>
        <v>171.88068048407408</v>
      </c>
      <c r="I46">
        <f t="shared" ca="1" si="3"/>
        <v>162.78382594697521</v>
      </c>
      <c r="J46">
        <f t="shared" ca="1" si="12"/>
        <v>164.91300000000004</v>
      </c>
      <c r="K46">
        <f t="shared" ca="1" si="13"/>
        <v>3.952582233906015</v>
      </c>
      <c r="L46">
        <f t="shared" ca="1" si="14"/>
        <v>172.81816446781207</v>
      </c>
      <c r="M46">
        <f t="shared" ca="1" si="15"/>
        <v>157.00783553218801</v>
      </c>
      <c r="N46">
        <f t="shared" ca="1" si="4"/>
        <v>0.31000000000000227</v>
      </c>
      <c r="O46">
        <f t="shared" ca="1" si="5"/>
        <v>0.31000000000000227</v>
      </c>
      <c r="P46">
        <f t="shared" ca="1" si="6"/>
        <v>0</v>
      </c>
      <c r="Q46">
        <f t="shared" ca="1" si="10"/>
        <v>0.99221265827213256</v>
      </c>
      <c r="R46">
        <f t="shared" ca="1" si="11"/>
        <v>1.2332772806542498</v>
      </c>
      <c r="S46">
        <f t="shared" ca="1" si="8"/>
        <v>0.80453331447553045</v>
      </c>
      <c r="T46">
        <f t="shared" ca="1" si="9"/>
        <v>44.584010060759674</v>
      </c>
      <c r="U46">
        <f>70</f>
        <v>70</v>
      </c>
      <c r="V46">
        <f>30</f>
        <v>30</v>
      </c>
      <c r="W46">
        <f t="shared" ca="1" si="7"/>
        <v>163.89152637776672</v>
      </c>
      <c r="X46">
        <f t="shared" ca="1" si="17"/>
        <v>165.66452612556259</v>
      </c>
      <c r="Y46">
        <f t="shared" ca="1" si="16"/>
        <v>-1.9536970273821339</v>
      </c>
      <c r="Z46">
        <f t="shared" ca="1" si="18"/>
        <v>-1.6433840990926305</v>
      </c>
      <c r="AA46">
        <f t="shared" ca="1" si="19"/>
        <v>-0.31031292828950341</v>
      </c>
    </row>
    <row r="47" spans="1:27" x14ac:dyDescent="0.25">
      <c r="A47" s="20">
        <f t="shared" ca="1" si="0"/>
        <v>45775</v>
      </c>
      <c r="B47" vm="136">
        <f ca="1"/>
        <v>45778</v>
      </c>
      <c r="C47" vm="137">
        <f ca="1"/>
        <v>159.97999999999999</v>
      </c>
      <c r="D47" vm="138">
        <f ca="1"/>
        <v>6792815</v>
      </c>
      <c r="E47">
        <f t="shared" ca="1" si="1"/>
        <v>1086714543.7</v>
      </c>
      <c r="F47">
        <f ca="1">SUM($E$2:E47)/SUM($D$2:D47)</f>
        <v>167.21408453093579</v>
      </c>
      <c r="G47">
        <f ca="1">_xlfn.STDEV.P($C$2:C47)</f>
        <v>4.6456210096409505</v>
      </c>
      <c r="H47">
        <f t="shared" ca="1" si="2"/>
        <v>171.85970554057675</v>
      </c>
      <c r="I47">
        <f t="shared" ca="1" si="3"/>
        <v>162.56846352129483</v>
      </c>
      <c r="J47">
        <f t="shared" ca="1" si="12"/>
        <v>164.43700000000004</v>
      </c>
      <c r="K47">
        <f t="shared" ca="1" si="13"/>
        <v>3.94433384409639</v>
      </c>
      <c r="L47">
        <f t="shared" ca="1" si="14"/>
        <v>172.32566768819282</v>
      </c>
      <c r="M47">
        <f t="shared" ca="1" si="15"/>
        <v>156.54833231180726</v>
      </c>
      <c r="N47">
        <f t="shared" ca="1" si="4"/>
        <v>-2.5900000000000034</v>
      </c>
      <c r="O47">
        <f t="shared" ca="1" si="5"/>
        <v>0</v>
      </c>
      <c r="P47">
        <f t="shared" ca="1" si="6"/>
        <v>2.5900000000000034</v>
      </c>
      <c r="Q47">
        <f t="shared" ca="1" si="10"/>
        <v>0.92134032553840872</v>
      </c>
      <c r="R47">
        <f t="shared" ca="1" si="11"/>
        <v>1.3301860463218038</v>
      </c>
      <c r="S47">
        <f t="shared" ca="1" si="8"/>
        <v>0.6926401972762195</v>
      </c>
      <c r="T47">
        <f t="shared" ca="1" si="9"/>
        <v>40.920698822514645</v>
      </c>
      <c r="U47">
        <f>70</f>
        <v>70</v>
      </c>
      <c r="V47">
        <f>30</f>
        <v>30</v>
      </c>
      <c r="W47">
        <f t="shared" ca="1" si="7"/>
        <v>163.28975308887954</v>
      </c>
      <c r="X47">
        <f t="shared" ca="1" si="17"/>
        <v>165.24345011626167</v>
      </c>
      <c r="Y47">
        <f t="shared" ca="1" si="16"/>
        <v>-2.0299276934125601</v>
      </c>
      <c r="Z47">
        <f t="shared" ca="1" si="18"/>
        <v>-1.7206928179566165</v>
      </c>
      <c r="AA47">
        <f t="shared" ca="1" si="19"/>
        <v>-0.30923487545594353</v>
      </c>
    </row>
    <row r="48" spans="1:27" x14ac:dyDescent="0.25">
      <c r="A48" s="20">
        <f t="shared" ca="1" si="0"/>
        <v>45775</v>
      </c>
      <c r="B48" vm="139">
        <f ca="1"/>
        <v>45779</v>
      </c>
      <c r="C48" vm="140">
        <f ca="1"/>
        <v>160.52000000000001</v>
      </c>
      <c r="D48" vm="141">
        <f ca="1"/>
        <v>5750165</v>
      </c>
      <c r="E48">
        <f t="shared" ca="1" si="1"/>
        <v>923016485.80000007</v>
      </c>
      <c r="F48">
        <f ca="1">SUM($E$2:E48)/SUM($D$2:D48)</f>
        <v>167.12423108725611</v>
      </c>
      <c r="G48">
        <f ca="1">_xlfn.STDEV.P($C$2:C48)</f>
        <v>4.7130286752573562</v>
      </c>
      <c r="H48">
        <f t="shared" ca="1" si="2"/>
        <v>171.83725976251347</v>
      </c>
      <c r="I48">
        <f t="shared" ca="1" si="3"/>
        <v>162.41120241199874</v>
      </c>
      <c r="J48">
        <f t="shared" ca="1" si="12"/>
        <v>163.84350000000001</v>
      </c>
      <c r="K48">
        <f t="shared" ca="1" si="13"/>
        <v>3.5588692394014552</v>
      </c>
      <c r="L48">
        <f t="shared" ca="1" si="14"/>
        <v>170.96123847880293</v>
      </c>
      <c r="M48">
        <f t="shared" ca="1" si="15"/>
        <v>156.72576152119709</v>
      </c>
      <c r="N48">
        <f t="shared" ca="1" si="4"/>
        <v>0.54000000000002046</v>
      </c>
      <c r="O48">
        <f t="shared" ca="1" si="5"/>
        <v>0.54000000000002046</v>
      </c>
      <c r="P48">
        <f t="shared" ca="1" si="6"/>
        <v>0</v>
      </c>
      <c r="Q48">
        <f t="shared" ca="1" si="10"/>
        <v>0.89410173085709521</v>
      </c>
      <c r="R48">
        <f t="shared" ca="1" si="11"/>
        <v>1.2351727572988178</v>
      </c>
      <c r="S48">
        <f t="shared" ca="1" si="8"/>
        <v>0.72386775499517486</v>
      </c>
      <c r="T48">
        <f t="shared" ca="1" si="9"/>
        <v>41.990909853592626</v>
      </c>
      <c r="U48">
        <f>70</f>
        <v>70</v>
      </c>
      <c r="V48">
        <f>30</f>
        <v>30</v>
      </c>
      <c r="W48">
        <f t="shared" ca="1" si="7"/>
        <v>162.86363722905193</v>
      </c>
      <c r="X48">
        <f t="shared" ca="1" si="17"/>
        <v>164.89356492246449</v>
      </c>
      <c r="Y48">
        <f t="shared" ca="1" si="16"/>
        <v>-2.2013343098932694</v>
      </c>
      <c r="Z48">
        <f t="shared" ca="1" si="18"/>
        <v>-1.8168211163439472</v>
      </c>
      <c r="AA48">
        <f t="shared" ca="1" si="19"/>
        <v>-0.38451319354932223</v>
      </c>
    </row>
    <row r="49" spans="1:27" x14ac:dyDescent="0.25">
      <c r="A49" s="20">
        <f t="shared" ca="1" si="0"/>
        <v>45782</v>
      </c>
      <c r="B49" vm="142">
        <f ca="1"/>
        <v>45782</v>
      </c>
      <c r="C49" vm="143">
        <f ca="1"/>
        <v>158.83000000000001</v>
      </c>
      <c r="D49" vm="144">
        <f ca="1"/>
        <v>7576219</v>
      </c>
      <c r="E49">
        <f t="shared" ca="1" si="1"/>
        <v>1203330863.77</v>
      </c>
      <c r="F49">
        <f ca="1">SUM($E$2:E49)/SUM($D$2:D49)</f>
        <v>166.98009314442879</v>
      </c>
      <c r="G49">
        <f ca="1">_xlfn.STDEV.P($C$2:C49)</f>
        <v>4.8289984871491614</v>
      </c>
      <c r="H49">
        <f t="shared" ca="1" si="2"/>
        <v>171.80909163157796</v>
      </c>
      <c r="I49">
        <f t="shared" ca="1" si="3"/>
        <v>162.15109465727963</v>
      </c>
      <c r="J49">
        <f t="shared" ca="1" si="12"/>
        <v>163.59750000000003</v>
      </c>
      <c r="K49">
        <f t="shared" ca="1" si="13"/>
        <v>3.7315269556915469</v>
      </c>
      <c r="L49">
        <f t="shared" ca="1" si="14"/>
        <v>171.06055391138312</v>
      </c>
      <c r="M49">
        <f t="shared" ca="1" si="15"/>
        <v>156.13444608861693</v>
      </c>
      <c r="N49">
        <f t="shared" ca="1" si="4"/>
        <v>-1.6899999999999977</v>
      </c>
      <c r="O49">
        <f t="shared" ca="1" si="5"/>
        <v>0</v>
      </c>
      <c r="P49">
        <f t="shared" ca="1" si="6"/>
        <v>1.6899999999999977</v>
      </c>
      <c r="Q49">
        <f t="shared" ca="1" si="10"/>
        <v>0.83023732151015983</v>
      </c>
      <c r="R49">
        <f t="shared" ca="1" si="11"/>
        <v>1.2676604174917594</v>
      </c>
      <c r="S49">
        <f t="shared" ca="1" si="8"/>
        <v>0.65493669286676837</v>
      </c>
      <c r="T49">
        <f t="shared" ca="1" si="9"/>
        <v>39.574727884741776</v>
      </c>
      <c r="U49">
        <f>70</f>
        <v>70</v>
      </c>
      <c r="V49">
        <f>30</f>
        <v>30</v>
      </c>
      <c r="W49">
        <f t="shared" ca="1" si="7"/>
        <v>162.24307765535161</v>
      </c>
      <c r="X49">
        <f t="shared" ca="1" si="17"/>
        <v>164.44441196524488</v>
      </c>
      <c r="Y49">
        <f t="shared" ca="1" si="16"/>
        <v>-2.2770365386471951</v>
      </c>
      <c r="Z49">
        <f t="shared" ca="1" si="18"/>
        <v>-1.9088642008045968</v>
      </c>
      <c r="AA49">
        <f t="shared" ca="1" si="19"/>
        <v>-0.36817233784259829</v>
      </c>
    </row>
    <row r="50" spans="1:27" x14ac:dyDescent="0.25">
      <c r="A50" s="20">
        <f t="shared" ca="1" si="0"/>
        <v>45782</v>
      </c>
      <c r="B50" vm="145">
        <f ca="1"/>
        <v>45783</v>
      </c>
      <c r="C50" vm="146">
        <f ca="1"/>
        <v>159.25</v>
      </c>
      <c r="D50" vm="147">
        <f ca="1"/>
        <v>7703843</v>
      </c>
      <c r="E50">
        <f t="shared" ca="1" si="1"/>
        <v>1226836997.75</v>
      </c>
      <c r="F50">
        <f ca="1">SUM($E$2:E50)/SUM($D$2:D50)</f>
        <v>166.84586781144878</v>
      </c>
      <c r="G50">
        <f ca="1">_xlfn.STDEV.P($C$2:C50)</f>
        <v>4.9170317688699789</v>
      </c>
      <c r="H50">
        <f t="shared" ca="1" si="2"/>
        <v>171.76289958031876</v>
      </c>
      <c r="I50">
        <f t="shared" ca="1" si="3"/>
        <v>161.92883604257881</v>
      </c>
      <c r="J50">
        <f t="shared" ca="1" si="12"/>
        <v>163.54850000000005</v>
      </c>
      <c r="K50">
        <f t="shared" ca="1" si="13"/>
        <v>3.7841376338049511</v>
      </c>
      <c r="L50">
        <f t="shared" ca="1" si="14"/>
        <v>171.11677526760994</v>
      </c>
      <c r="M50">
        <f t="shared" ca="1" si="15"/>
        <v>155.98022473239016</v>
      </c>
      <c r="N50">
        <f t="shared" ca="1" si="4"/>
        <v>0.41999999999998749</v>
      </c>
      <c r="O50">
        <f t="shared" ca="1" si="5"/>
        <v>0.41999999999998749</v>
      </c>
      <c r="P50">
        <f t="shared" ca="1" si="6"/>
        <v>0</v>
      </c>
      <c r="Q50">
        <f t="shared" ca="1" si="10"/>
        <v>0.8009346556880047</v>
      </c>
      <c r="R50">
        <f t="shared" ca="1" si="11"/>
        <v>1.1771132448137767</v>
      </c>
      <c r="S50">
        <f t="shared" ca="1" si="8"/>
        <v>0.68042277089042125</v>
      </c>
      <c r="T50">
        <f t="shared" ca="1" si="9"/>
        <v>40.491165835004686</v>
      </c>
      <c r="U50">
        <f>70</f>
        <v>70</v>
      </c>
      <c r="V50">
        <f>30</f>
        <v>30</v>
      </c>
      <c r="W50">
        <f t="shared" ca="1" si="7"/>
        <v>161.7826041699129</v>
      </c>
      <c r="X50">
        <f t="shared" ca="1" si="17"/>
        <v>164.0596407085601</v>
      </c>
      <c r="Y50">
        <f t="shared" ca="1" si="16"/>
        <v>-2.3072073840965857</v>
      </c>
      <c r="Z50">
        <f t="shared" ca="1" si="18"/>
        <v>-1.9885328374629947</v>
      </c>
      <c r="AA50">
        <f t="shared" ca="1" si="19"/>
        <v>-0.31867454663359096</v>
      </c>
    </row>
    <row r="51" spans="1:27" x14ac:dyDescent="0.25">
      <c r="A51" s="20">
        <f t="shared" ca="1" si="0"/>
        <v>45782</v>
      </c>
      <c r="B51" vm="148">
        <f ca="1"/>
        <v>45784</v>
      </c>
      <c r="C51" vm="149">
        <f ca="1"/>
        <v>159.29</v>
      </c>
      <c r="D51" vm="150">
        <f ca="1"/>
        <v>6430156</v>
      </c>
      <c r="E51">
        <f t="shared" ca="1" si="1"/>
        <v>1024259549.2399999</v>
      </c>
      <c r="F51">
        <f ca="1">SUM($E$2:E51)/SUM($D$2:D51)</f>
        <v>166.73792367257616</v>
      </c>
      <c r="G51">
        <f ca="1">_xlfn.STDEV.P($C$2:C51)</f>
        <v>4.9936013297018427</v>
      </c>
      <c r="H51">
        <f t="shared" ca="1" si="2"/>
        <v>171.731525002278</v>
      </c>
      <c r="I51">
        <f t="shared" ca="1" si="3"/>
        <v>161.74432234287431</v>
      </c>
      <c r="J51">
        <f t="shared" ca="1" si="12"/>
        <v>163.59350000000001</v>
      </c>
      <c r="K51">
        <f t="shared" ca="1" si="13"/>
        <v>3.7244459496116908</v>
      </c>
      <c r="L51">
        <f t="shared" ca="1" si="14"/>
        <v>171.04239189922339</v>
      </c>
      <c r="M51">
        <f t="shared" ca="1" si="15"/>
        <v>156.14460810077662</v>
      </c>
      <c r="N51">
        <f t="shared" ca="1" si="4"/>
        <v>3.9999999999992042E-2</v>
      </c>
      <c r="O51">
        <f t="shared" ca="1" si="5"/>
        <v>3.9999999999992042E-2</v>
      </c>
      <c r="P51">
        <f t="shared" ca="1" si="6"/>
        <v>0</v>
      </c>
      <c r="Q51">
        <f t="shared" ca="1" si="10"/>
        <v>0.74658218028171819</v>
      </c>
      <c r="R51">
        <f t="shared" ca="1" si="11"/>
        <v>1.0930337273270783</v>
      </c>
      <c r="S51">
        <f t="shared" ca="1" si="8"/>
        <v>0.68303672761079559</v>
      </c>
      <c r="T51">
        <f t="shared" ca="1" si="9"/>
        <v>40.583590150193601</v>
      </c>
      <c r="U51">
        <f>70</f>
        <v>70</v>
      </c>
      <c r="V51">
        <f>30</f>
        <v>30</v>
      </c>
      <c r="W51">
        <f t="shared" ca="1" si="7"/>
        <v>161.3991266053109</v>
      </c>
      <c r="X51">
        <f t="shared" ca="1" si="17"/>
        <v>163.70633398940748</v>
      </c>
      <c r="Y51">
        <f t="shared" ca="1" si="16"/>
        <v>-2.3556066802851774</v>
      </c>
      <c r="Z51">
        <f t="shared" ca="1" si="18"/>
        <v>-2.0619476060274313</v>
      </c>
      <c r="AA51">
        <f t="shared" ca="1" si="19"/>
        <v>-0.29365907425774607</v>
      </c>
    </row>
    <row r="52" spans="1:27" x14ac:dyDescent="0.25">
      <c r="A52" s="20">
        <f t="shared" ca="1" si="0"/>
        <v>45782</v>
      </c>
      <c r="B52" vm="151">
        <f ca="1"/>
        <v>45785</v>
      </c>
      <c r="C52" vm="152">
        <f ca="1"/>
        <v>158.65</v>
      </c>
      <c r="D52" vm="153">
        <f ca="1"/>
        <v>7230806</v>
      </c>
      <c r="E52">
        <f t="shared" ca="1" si="1"/>
        <v>1147167371.9000001</v>
      </c>
      <c r="F52">
        <f ca="1">SUM($E$2:E52)/SUM($D$2:D52)</f>
        <v>166.61004577709389</v>
      </c>
      <c r="G52">
        <f ca="1">_xlfn.STDEV.P($C$2:C52)</f>
        <v>5.0810669291029651</v>
      </c>
      <c r="H52">
        <f t="shared" ca="1" si="2"/>
        <v>171.69111270619686</v>
      </c>
      <c r="I52">
        <f t="shared" ca="1" si="3"/>
        <v>161.52897884799091</v>
      </c>
      <c r="J52">
        <f t="shared" ca="1" si="12"/>
        <v>163.41000000000003</v>
      </c>
      <c r="K52">
        <f t="shared" ca="1" si="13"/>
        <v>3.8777462255121415</v>
      </c>
      <c r="L52">
        <f t="shared" ca="1" si="14"/>
        <v>171.16549245102431</v>
      </c>
      <c r="M52">
        <f t="shared" ca="1" si="15"/>
        <v>155.65450754897574</v>
      </c>
      <c r="N52">
        <f t="shared" ca="1" si="4"/>
        <v>-0.63999999999998636</v>
      </c>
      <c r="O52">
        <f t="shared" ca="1" si="5"/>
        <v>0</v>
      </c>
      <c r="P52">
        <f t="shared" ca="1" si="6"/>
        <v>0.63999999999998636</v>
      </c>
      <c r="Q52">
        <f t="shared" ca="1" si="10"/>
        <v>0.69325488169016691</v>
      </c>
      <c r="R52">
        <f t="shared" ca="1" si="11"/>
        <v>1.0606741753751432</v>
      </c>
      <c r="S52">
        <f t="shared" ca="1" si="8"/>
        <v>0.653598341304929</v>
      </c>
      <c r="T52">
        <f t="shared" ca="1" si="9"/>
        <v>39.525822261598606</v>
      </c>
      <c r="U52">
        <f>70</f>
        <v>70</v>
      </c>
      <c r="V52">
        <f>30</f>
        <v>30</v>
      </c>
      <c r="W52">
        <f t="shared" ca="1" si="7"/>
        <v>160.97618405064767</v>
      </c>
      <c r="X52">
        <f t="shared" ca="1" si="17"/>
        <v>163.33179073093285</v>
      </c>
      <c r="Y52">
        <f t="shared" ca="1" si="16"/>
        <v>-2.445656195187496</v>
      </c>
      <c r="Z52">
        <f t="shared" ca="1" si="18"/>
        <v>-2.1386893238594444</v>
      </c>
      <c r="AA52">
        <f t="shared" ca="1" si="19"/>
        <v>-0.30696687132805156</v>
      </c>
    </row>
    <row r="53" spans="1:27" x14ac:dyDescent="0.25">
      <c r="A53" s="20">
        <f t="shared" ca="1" si="0"/>
        <v>45782</v>
      </c>
      <c r="B53" vm="154">
        <f ca="1"/>
        <v>45786</v>
      </c>
      <c r="C53" vm="155">
        <f ca="1"/>
        <v>157.66</v>
      </c>
      <c r="D53" vm="156">
        <f ca="1"/>
        <v>6453232</v>
      </c>
      <c r="E53">
        <f t="shared" ca="1" si="1"/>
        <v>1017416557.12</v>
      </c>
      <c r="F53">
        <f ca="1">SUM($E$2:E53)/SUM($D$2:D53)</f>
        <v>166.48551150384986</v>
      </c>
      <c r="G53">
        <f ca="1">_xlfn.STDEV.P($C$2:C53)</f>
        <v>5.19041758689331</v>
      </c>
      <c r="H53">
        <f t="shared" ca="1" si="2"/>
        <v>171.67592909074318</v>
      </c>
      <c r="I53">
        <f t="shared" ca="1" si="3"/>
        <v>161.29509391695655</v>
      </c>
      <c r="J53">
        <f t="shared" ca="1" si="12"/>
        <v>163.11499999999998</v>
      </c>
      <c r="K53">
        <f t="shared" ca="1" si="13"/>
        <v>4.0846368130761421</v>
      </c>
      <c r="L53">
        <f t="shared" ca="1" si="14"/>
        <v>171.28427362615227</v>
      </c>
      <c r="M53">
        <f t="shared" ca="1" si="15"/>
        <v>154.94572637384769</v>
      </c>
      <c r="N53">
        <f t="shared" ca="1" si="4"/>
        <v>-0.99000000000000909</v>
      </c>
      <c r="O53">
        <f t="shared" ca="1" si="5"/>
        <v>0</v>
      </c>
      <c r="P53">
        <f t="shared" ca="1" si="6"/>
        <v>0.99000000000000909</v>
      </c>
      <c r="Q53">
        <f t="shared" ca="1" si="10"/>
        <v>0.64373667585515493</v>
      </c>
      <c r="R53">
        <f t="shared" ca="1" si="11"/>
        <v>1.0556260199912051</v>
      </c>
      <c r="S53">
        <f t="shared" ca="1" si="8"/>
        <v>0.60981508949591656</v>
      </c>
      <c r="T53">
        <f t="shared" ca="1" si="9"/>
        <v>37.881064320677275</v>
      </c>
      <c r="U53">
        <f>70</f>
        <v>70</v>
      </c>
      <c r="V53">
        <f>30</f>
        <v>30</v>
      </c>
      <c r="W53">
        <f t="shared" ca="1" si="7"/>
        <v>160.46600188900959</v>
      </c>
      <c r="X53">
        <f t="shared" ca="1" si="17"/>
        <v>162.91165808419709</v>
      </c>
      <c r="Y53">
        <f t="shared" ca="1" si="16"/>
        <v>-2.2298755450945862</v>
      </c>
      <c r="Z53">
        <f t="shared" ca="1" si="18"/>
        <v>-2.1569265681064729</v>
      </c>
      <c r="AA53">
        <f t="shared" ca="1" si="19"/>
        <v>-7.2948976988113312E-2</v>
      </c>
    </row>
    <row r="54" spans="1:27" x14ac:dyDescent="0.25">
      <c r="A54" s="20">
        <f t="shared" ca="1" si="0"/>
        <v>45789</v>
      </c>
      <c r="B54" vm="157">
        <f ca="1"/>
        <v>45789</v>
      </c>
      <c r="C54" vm="158">
        <f ca="1"/>
        <v>160.9</v>
      </c>
      <c r="D54" vm="159">
        <f ca="1"/>
        <v>7378380</v>
      </c>
      <c r="E54">
        <f t="shared" ca="1" si="1"/>
        <v>1187181342</v>
      </c>
      <c r="F54">
        <f ca="1">SUM($E$2:E54)/SUM($D$2:D54)</f>
        <v>166.39804224508228</v>
      </c>
      <c r="G54">
        <f ca="1">_xlfn.STDEV.P($C$2:C54)</f>
        <v>5.2024376491958115</v>
      </c>
      <c r="H54">
        <f t="shared" ca="1" si="2"/>
        <v>171.6004798942781</v>
      </c>
      <c r="I54">
        <f t="shared" ca="1" si="3"/>
        <v>161.19560459588646</v>
      </c>
      <c r="J54">
        <f t="shared" ca="1" si="12"/>
        <v>162.81449999999998</v>
      </c>
      <c r="K54">
        <f t="shared" ca="1" si="13"/>
        <v>4.01116268089834</v>
      </c>
      <c r="L54">
        <f t="shared" ca="1" si="14"/>
        <v>170.83682536179666</v>
      </c>
      <c r="M54">
        <f t="shared" ca="1" si="15"/>
        <v>154.79217463820331</v>
      </c>
      <c r="N54">
        <f t="shared" ca="1" si="4"/>
        <v>3.2400000000000091</v>
      </c>
      <c r="O54">
        <f t="shared" ca="1" si="5"/>
        <v>3.2400000000000091</v>
      </c>
      <c r="P54">
        <f t="shared" ca="1" si="6"/>
        <v>0</v>
      </c>
      <c r="Q54">
        <f t="shared" ca="1" si="10"/>
        <v>0.82918405615121593</v>
      </c>
      <c r="R54">
        <f t="shared" ca="1" si="11"/>
        <v>0.98022416142040469</v>
      </c>
      <c r="S54">
        <f t="shared" ca="1" si="8"/>
        <v>0.84591268894012728</v>
      </c>
      <c r="T54">
        <f t="shared" ca="1" si="9"/>
        <v>45.826256789308239</v>
      </c>
      <c r="U54">
        <f>70</f>
        <v>70</v>
      </c>
      <c r="V54">
        <f>30</f>
        <v>30</v>
      </c>
      <c r="W54">
        <f t="shared" ca="1" si="7"/>
        <v>160.53277082916196</v>
      </c>
      <c r="X54">
        <f t="shared" ca="1" si="17"/>
        <v>162.76264637425655</v>
      </c>
      <c r="Y54">
        <f t="shared" ca="1" si="16"/>
        <v>-2.2085103571860145</v>
      </c>
      <c r="Z54">
        <f t="shared" ca="1" si="18"/>
        <v>-2.1672433259223816</v>
      </c>
      <c r="AA54">
        <f t="shared" ca="1" si="19"/>
        <v>-4.1267031263632958E-2</v>
      </c>
    </row>
    <row r="55" spans="1:27" x14ac:dyDescent="0.25">
      <c r="A55" s="20">
        <f t="shared" ca="1" si="0"/>
        <v>45789</v>
      </c>
      <c r="B55" vm="160">
        <f ca="1"/>
        <v>45790</v>
      </c>
      <c r="C55" vm="161">
        <f ca="1"/>
        <v>158.72999999999999</v>
      </c>
      <c r="D55" vm="162">
        <f ca="1"/>
        <v>7780827</v>
      </c>
      <c r="E55">
        <f t="shared" ca="1" si="1"/>
        <v>1235050669.71</v>
      </c>
      <c r="F55">
        <f ca="1">SUM($E$2:E55)/SUM($D$2:D55)</f>
        <v>166.27346799300389</v>
      </c>
      <c r="G55">
        <f ca="1">_xlfn.STDEV.P($C$2:C55)</f>
        <v>5.2631616586153616</v>
      </c>
      <c r="H55">
        <f t="shared" ca="1" si="2"/>
        <v>171.53662965161925</v>
      </c>
      <c r="I55">
        <f t="shared" ca="1" si="3"/>
        <v>161.01030633438853</v>
      </c>
      <c r="J55">
        <f t="shared" ca="1" si="12"/>
        <v>162.2945</v>
      </c>
      <c r="K55">
        <f t="shared" ca="1" si="13"/>
        <v>3.8188500266854906</v>
      </c>
      <c r="L55">
        <f t="shared" ca="1" si="14"/>
        <v>169.93220005337099</v>
      </c>
      <c r="M55">
        <f t="shared" ca="1" si="15"/>
        <v>154.65679994662901</v>
      </c>
      <c r="N55">
        <f t="shared" ca="1" si="4"/>
        <v>-2.1700000000000159</v>
      </c>
      <c r="O55">
        <f t="shared" ca="1" si="5"/>
        <v>0</v>
      </c>
      <c r="P55">
        <f t="shared" ca="1" si="6"/>
        <v>2.1700000000000159</v>
      </c>
      <c r="Q55">
        <f t="shared" ca="1" si="10"/>
        <v>0.7699566235689862</v>
      </c>
      <c r="R55">
        <f t="shared" ca="1" si="11"/>
        <v>1.0652081498903769</v>
      </c>
      <c r="S55">
        <f t="shared" ca="1" si="8"/>
        <v>0.72282269305602309</v>
      </c>
      <c r="T55">
        <f t="shared" ca="1" si="9"/>
        <v>41.955721617170397</v>
      </c>
      <c r="U55">
        <f>70</f>
        <v>70</v>
      </c>
      <c r="V55">
        <f>30</f>
        <v>30</v>
      </c>
      <c r="W55">
        <f t="shared" ca="1" si="7"/>
        <v>160.25542147082933</v>
      </c>
      <c r="X55">
        <f t="shared" ca="1" si="17"/>
        <v>162.46393182801535</v>
      </c>
      <c r="Y55">
        <f t="shared" ca="1" si="16"/>
        <v>-2.2232412172896545</v>
      </c>
      <c r="Z55">
        <f t="shared" ca="1" si="18"/>
        <v>-2.1784429041958364</v>
      </c>
      <c r="AA55">
        <f t="shared" ca="1" si="19"/>
        <v>-4.4798313093818098E-2</v>
      </c>
    </row>
    <row r="56" spans="1:27" x14ac:dyDescent="0.25">
      <c r="A56" s="20">
        <f t="shared" ca="1" si="0"/>
        <v>45789</v>
      </c>
      <c r="B56" vm="163">
        <f ca="1"/>
        <v>45791</v>
      </c>
      <c r="C56" vm="164">
        <f ca="1"/>
        <v>158.02000000000001</v>
      </c>
      <c r="D56" vm="165">
        <f ca="1"/>
        <v>5988905</v>
      </c>
      <c r="E56">
        <f t="shared" ca="1" si="1"/>
        <v>946366768.10000002</v>
      </c>
      <c r="F56">
        <f ca="1">SUM($E$2:E56)/SUM($D$2:D56)</f>
        <v>166.17153730008263</v>
      </c>
      <c r="G56">
        <f ca="1">_xlfn.STDEV.P($C$2:C56)</f>
        <v>5.336519700366213</v>
      </c>
      <c r="H56">
        <f t="shared" ca="1" si="2"/>
        <v>171.50805700044884</v>
      </c>
      <c r="I56">
        <f t="shared" ca="1" si="3"/>
        <v>160.83501759971642</v>
      </c>
      <c r="J56">
        <f t="shared" ca="1" si="12"/>
        <v>161.77199999999999</v>
      </c>
      <c r="K56">
        <f t="shared" ca="1" si="13"/>
        <v>3.6401497944886509</v>
      </c>
      <c r="L56">
        <f t="shared" ca="1" si="14"/>
        <v>169.05229958897729</v>
      </c>
      <c r="M56">
        <f t="shared" ca="1" si="15"/>
        <v>154.49170041102269</v>
      </c>
      <c r="N56">
        <f t="shared" ca="1" si="4"/>
        <v>-0.70999999999997954</v>
      </c>
      <c r="O56">
        <f t="shared" ca="1" si="5"/>
        <v>0</v>
      </c>
      <c r="P56">
        <f t="shared" ca="1" si="6"/>
        <v>0.70999999999997954</v>
      </c>
      <c r="Q56">
        <f t="shared" ca="1" si="10"/>
        <v>0.71495972188548718</v>
      </c>
      <c r="R56">
        <f t="shared" ca="1" si="11"/>
        <v>1.0398361391839199</v>
      </c>
      <c r="S56">
        <f t="shared" ca="1" si="8"/>
        <v>0.68756960346329088</v>
      </c>
      <c r="T56">
        <f t="shared" ca="1" si="9"/>
        <v>40.743184876774016</v>
      </c>
      <c r="U56">
        <f>70</f>
        <v>70</v>
      </c>
      <c r="V56">
        <f>30</f>
        <v>30</v>
      </c>
      <c r="W56">
        <f t="shared" ca="1" si="7"/>
        <v>159.91151047531713</v>
      </c>
      <c r="X56">
        <f t="shared" ca="1" si="17"/>
        <v>162.13475169260678</v>
      </c>
      <c r="Y56">
        <f t="shared" ca="1" si="16"/>
        <v>-1.859246977002897</v>
      </c>
      <c r="Z56">
        <f t="shared" ca="1" si="18"/>
        <v>-2.1146037187572486</v>
      </c>
      <c r="AA56">
        <f t="shared" ca="1" si="19"/>
        <v>0.25535674175435163</v>
      </c>
    </row>
    <row r="57" spans="1:27" x14ac:dyDescent="0.25">
      <c r="A57" s="20">
        <f t="shared" ca="1" si="0"/>
        <v>45789</v>
      </c>
      <c r="B57" vm="166">
        <f ca="1"/>
        <v>45792</v>
      </c>
      <c r="C57" vm="167">
        <f ca="1"/>
        <v>162.41</v>
      </c>
      <c r="D57" vm="168">
        <f ca="1"/>
        <v>8727316</v>
      </c>
      <c r="E57">
        <f t="shared" ca="1" si="1"/>
        <v>1417403391.5599999</v>
      </c>
      <c r="F57">
        <f ca="1">SUM($E$2:E57)/SUM($D$2:D57)</f>
        <v>166.1050374559436</v>
      </c>
      <c r="G57">
        <f ca="1">_xlfn.STDEV.P($C$2:C57)</f>
        <v>5.3141767911984488</v>
      </c>
      <c r="H57">
        <f t="shared" ca="1" si="2"/>
        <v>171.41921424714207</v>
      </c>
      <c r="I57">
        <f t="shared" ca="1" si="3"/>
        <v>160.79086066474514</v>
      </c>
      <c r="J57">
        <f t="shared" ca="1" si="12"/>
        <v>161.57299999999998</v>
      </c>
      <c r="K57">
        <f t="shared" ca="1" si="13"/>
        <v>3.4796568191342305</v>
      </c>
      <c r="L57">
        <f t="shared" ca="1" si="14"/>
        <v>168.53231363826845</v>
      </c>
      <c r="M57">
        <f t="shared" ca="1" si="15"/>
        <v>154.61368636173151</v>
      </c>
      <c r="N57">
        <f t="shared" ca="1" si="4"/>
        <v>4.3899999999999864</v>
      </c>
      <c r="O57">
        <f t="shared" ca="1" si="5"/>
        <v>4.3899999999999864</v>
      </c>
      <c r="P57">
        <f t="shared" ca="1" si="6"/>
        <v>0</v>
      </c>
      <c r="Q57">
        <f t="shared" ca="1" si="10"/>
        <v>0.9774625988936656</v>
      </c>
      <c r="R57">
        <f t="shared" ca="1" si="11"/>
        <v>0.9655621292422113</v>
      </c>
      <c r="S57">
        <f t="shared" ca="1" si="8"/>
        <v>1.0123249134271597</v>
      </c>
      <c r="T57">
        <f t="shared" ca="1" si="9"/>
        <v>50.306235671608547</v>
      </c>
      <c r="U57">
        <f>70</f>
        <v>70</v>
      </c>
      <c r="V57">
        <f>30</f>
        <v>30</v>
      </c>
      <c r="W57">
        <f t="shared" ca="1" si="7"/>
        <v>160.29589347911451</v>
      </c>
      <c r="X57">
        <f t="shared" ca="1" si="17"/>
        <v>162.15514045611741</v>
      </c>
      <c r="Y57">
        <f t="shared" ca="1" si="16"/>
        <v>-1.4834765952739133</v>
      </c>
      <c r="Z57">
        <f t="shared" ca="1" si="18"/>
        <v>-1.9883782940605816</v>
      </c>
      <c r="AA57">
        <f t="shared" ca="1" si="19"/>
        <v>0.50490169878666835</v>
      </c>
    </row>
    <row r="58" spans="1:27" x14ac:dyDescent="0.25">
      <c r="A58" s="20">
        <f t="shared" ca="1" si="0"/>
        <v>45789</v>
      </c>
      <c r="B58" vm="169">
        <f ca="1"/>
        <v>45793</v>
      </c>
      <c r="C58" vm="170">
        <f ca="1"/>
        <v>163.28</v>
      </c>
      <c r="D58" vm="171">
        <f ca="1"/>
        <v>7100784</v>
      </c>
      <c r="E58">
        <f t="shared" ca="1" si="1"/>
        <v>1159416011.52</v>
      </c>
      <c r="F58">
        <f ca="1">SUM($E$2:E58)/SUM($D$2:D58)</f>
        <v>166.06497822028592</v>
      </c>
      <c r="G58">
        <f ca="1">_xlfn.STDEV.P($C$2:C58)</f>
        <v>5.2819391392838657</v>
      </c>
      <c r="H58">
        <f t="shared" ca="1" si="2"/>
        <v>171.3469173595698</v>
      </c>
      <c r="I58">
        <f t="shared" ca="1" si="3"/>
        <v>160.78303908100204</v>
      </c>
      <c r="J58">
        <f t="shared" ca="1" si="12"/>
        <v>161.2055</v>
      </c>
      <c r="K58">
        <f t="shared" ca="1" si="13"/>
        <v>2.7931843269305578</v>
      </c>
      <c r="L58">
        <f t="shared" ca="1" si="14"/>
        <v>166.79186865386112</v>
      </c>
      <c r="M58">
        <f t="shared" ca="1" si="15"/>
        <v>155.61913134613889</v>
      </c>
      <c r="N58">
        <f t="shared" ca="1" si="4"/>
        <v>0.87000000000000455</v>
      </c>
      <c r="O58">
        <f t="shared" ca="1" si="5"/>
        <v>0.87000000000000455</v>
      </c>
      <c r="P58">
        <f t="shared" ca="1" si="6"/>
        <v>0</v>
      </c>
      <c r="Q58">
        <f t="shared" ca="1" si="10"/>
        <v>0.96978669897268976</v>
      </c>
      <c r="R58">
        <f t="shared" ca="1" si="11"/>
        <v>0.89659340572491053</v>
      </c>
      <c r="S58">
        <f t="shared" ca="1" si="8"/>
        <v>1.0816348779507265</v>
      </c>
      <c r="T58">
        <f t="shared" ca="1" si="9"/>
        <v>51.9608356589195</v>
      </c>
      <c r="U58">
        <f>70</f>
        <v>70</v>
      </c>
      <c r="V58">
        <f>30</f>
        <v>30</v>
      </c>
      <c r="W58">
        <f t="shared" ca="1" si="7"/>
        <v>160.75498679001998</v>
      </c>
      <c r="X58">
        <f t="shared" ca="1" si="17"/>
        <v>162.2384633852939</v>
      </c>
      <c r="Y58">
        <f t="shared" ca="1" si="16"/>
        <v>-1.05330348599594</v>
      </c>
      <c r="Z58">
        <f t="shared" ca="1" si="18"/>
        <v>-1.8013633324476535</v>
      </c>
      <c r="AA58">
        <f t="shared" ca="1" si="19"/>
        <v>0.74805984645171342</v>
      </c>
    </row>
    <row r="59" spans="1:27" x14ac:dyDescent="0.25">
      <c r="A59" s="20">
        <f t="shared" ca="1" si="0"/>
        <v>45796</v>
      </c>
      <c r="B59" vm="172">
        <f ca="1"/>
        <v>45796</v>
      </c>
      <c r="C59" vm="173">
        <f ca="1"/>
        <v>164.77</v>
      </c>
      <c r="D59" vm="174">
        <f ca="1"/>
        <v>8120219</v>
      </c>
      <c r="E59">
        <f t="shared" ca="1" si="1"/>
        <v>1337968484.6300001</v>
      </c>
      <c r="F59">
        <f ca="1">SUM($E$2:E59)/SUM($D$2:D59)</f>
        <v>166.04431412548118</v>
      </c>
      <c r="G59">
        <f ca="1">_xlfn.STDEV.P($C$2:C59)</f>
        <v>5.2395857185261878</v>
      </c>
      <c r="H59">
        <f t="shared" ca="1" si="2"/>
        <v>171.28389984400738</v>
      </c>
      <c r="I59">
        <f t="shared" ca="1" si="3"/>
        <v>160.80472840695498</v>
      </c>
      <c r="J59">
        <f t="shared" ca="1" si="12"/>
        <v>161.15649999999999</v>
      </c>
      <c r="K59">
        <f t="shared" ca="1" si="13"/>
        <v>2.7168175558139596</v>
      </c>
      <c r="L59">
        <f t="shared" ca="1" si="14"/>
        <v>166.59013511162792</v>
      </c>
      <c r="M59">
        <f t="shared" ca="1" si="15"/>
        <v>155.72286488837207</v>
      </c>
      <c r="N59">
        <f t="shared" ca="1" si="4"/>
        <v>1.4900000000000091</v>
      </c>
      <c r="O59">
        <f t="shared" ca="1" si="5"/>
        <v>1.4900000000000091</v>
      </c>
      <c r="P59">
        <f t="shared" ca="1" si="6"/>
        <v>0</v>
      </c>
      <c r="Q59">
        <f t="shared" ca="1" si="10"/>
        <v>1.0069447919032126</v>
      </c>
      <c r="R59">
        <f t="shared" ca="1" si="11"/>
        <v>0.83255101960170264</v>
      </c>
      <c r="S59">
        <f t="shared" ca="1" si="8"/>
        <v>1.2094691714928667</v>
      </c>
      <c r="T59">
        <f t="shared" ca="1" si="9"/>
        <v>54.740260108524957</v>
      </c>
      <c r="U59">
        <f>70</f>
        <v>70</v>
      </c>
      <c r="V59">
        <f>30</f>
        <v>30</v>
      </c>
      <c r="W59">
        <f t="shared" ca="1" si="7"/>
        <v>161.37268113001693</v>
      </c>
      <c r="X59">
        <f t="shared" ca="1" si="17"/>
        <v>162.42598461601287</v>
      </c>
      <c r="Y59">
        <f t="shared" ca="1" si="16"/>
        <v>-0.63486810424259943</v>
      </c>
      <c r="Z59">
        <f t="shared" ca="1" si="18"/>
        <v>-1.5680642868066428</v>
      </c>
      <c r="AA59">
        <f t="shared" ca="1" si="19"/>
        <v>0.93319618256404335</v>
      </c>
    </row>
    <row r="60" spans="1:27" x14ac:dyDescent="0.25">
      <c r="A60" s="20">
        <f t="shared" ca="1" si="0"/>
        <v>45796</v>
      </c>
      <c r="B60" vm="175">
        <f ca="1"/>
        <v>45797</v>
      </c>
      <c r="C60" vm="176">
        <f ca="1"/>
        <v>165.64</v>
      </c>
      <c r="D60" vm="177">
        <f ca="1"/>
        <v>5576561</v>
      </c>
      <c r="E60">
        <f t="shared" ca="1" si="1"/>
        <v>923701564.03999996</v>
      </c>
      <c r="F60">
        <f ca="1">SUM($E$2:E60)/SUM($D$2:D60)</f>
        <v>166.03993146118043</v>
      </c>
      <c r="G60">
        <f ca="1">_xlfn.STDEV.P($C$2:C60)</f>
        <v>5.1954783779728997</v>
      </c>
      <c r="H60">
        <f t="shared" ca="1" si="2"/>
        <v>171.23540983915333</v>
      </c>
      <c r="I60">
        <f t="shared" ca="1" si="3"/>
        <v>160.84445308320753</v>
      </c>
      <c r="J60">
        <f t="shared" ca="1" si="12"/>
        <v>161.0445</v>
      </c>
      <c r="K60">
        <f t="shared" ca="1" si="13"/>
        <v>2.4589931080145679</v>
      </c>
      <c r="L60">
        <f t="shared" ca="1" si="14"/>
        <v>165.96248621602913</v>
      </c>
      <c r="M60">
        <f t="shared" ca="1" si="15"/>
        <v>156.12651378397086</v>
      </c>
      <c r="N60">
        <f t="shared" ca="1" si="4"/>
        <v>0.86999999999997613</v>
      </c>
      <c r="O60">
        <f t="shared" ca="1" si="5"/>
        <v>0.86999999999997613</v>
      </c>
      <c r="P60">
        <f t="shared" ca="1" si="6"/>
        <v>0</v>
      </c>
      <c r="Q60">
        <f t="shared" ca="1" si="10"/>
        <v>0.99716302105298138</v>
      </c>
      <c r="R60">
        <f t="shared" ca="1" si="11"/>
        <v>0.77308308963015249</v>
      </c>
      <c r="S60">
        <f t="shared" ca="1" si="8"/>
        <v>1.2898523256148702</v>
      </c>
      <c r="T60">
        <f t="shared" ca="1" si="9"/>
        <v>56.329061537560918</v>
      </c>
      <c r="U60">
        <f>70</f>
        <v>70</v>
      </c>
      <c r="V60">
        <f>30</f>
        <v>30</v>
      </c>
      <c r="W60">
        <f t="shared" ca="1" si="7"/>
        <v>162.02919172539896</v>
      </c>
      <c r="X60">
        <f t="shared" ca="1" si="17"/>
        <v>162.66405982964156</v>
      </c>
      <c r="Y60">
        <f t="shared" ca="1" si="16"/>
        <v>-0.31655128829066825</v>
      </c>
      <c r="Z60">
        <f t="shared" ca="1" si="18"/>
        <v>-1.3177616871034481</v>
      </c>
      <c r="AA60">
        <f t="shared" ca="1" si="19"/>
        <v>1.0012103988127798</v>
      </c>
    </row>
    <row r="61" spans="1:27" x14ac:dyDescent="0.25">
      <c r="A61" s="20">
        <f t="shared" ca="1" si="0"/>
        <v>45796</v>
      </c>
      <c r="B61" vm="178">
        <f ca="1"/>
        <v>45798</v>
      </c>
      <c r="C61" vm="179">
        <f ca="1"/>
        <v>165.43</v>
      </c>
      <c r="D61" vm="180">
        <f ca="1"/>
        <v>6424153</v>
      </c>
      <c r="E61">
        <f t="shared" ca="1" si="1"/>
        <v>1062747630.7900001</v>
      </c>
      <c r="F61">
        <f ca="1">SUM($E$2:E61)/SUM($D$2:D61)</f>
        <v>166.03240899646454</v>
      </c>
      <c r="G61">
        <f ca="1">_xlfn.STDEV.P($C$2:C61)</f>
        <v>5.1528978335819291</v>
      </c>
      <c r="H61">
        <f t="shared" ca="1" si="2"/>
        <v>171.18530683004647</v>
      </c>
      <c r="I61">
        <f t="shared" ca="1" si="3"/>
        <v>160.87951116288261</v>
      </c>
      <c r="J61">
        <f t="shared" ca="1" si="12"/>
        <v>161.02949999999998</v>
      </c>
      <c r="K61">
        <f t="shared" ca="1" si="13"/>
        <v>2.4296468770931337</v>
      </c>
      <c r="L61">
        <f t="shared" ca="1" si="14"/>
        <v>165.88879375418625</v>
      </c>
      <c r="M61">
        <f t="shared" ca="1" si="15"/>
        <v>156.17020624581372</v>
      </c>
      <c r="N61">
        <f t="shared" ca="1" si="4"/>
        <v>-0.20999999999997954</v>
      </c>
      <c r="O61">
        <f t="shared" ca="1" si="5"/>
        <v>0</v>
      </c>
      <c r="P61">
        <f t="shared" ca="1" si="6"/>
        <v>0.20999999999997954</v>
      </c>
      <c r="Q61">
        <f t="shared" ca="1" si="10"/>
        <v>0.92593709097776844</v>
      </c>
      <c r="R61">
        <f t="shared" ca="1" si="11"/>
        <v>0.73286286894228303</v>
      </c>
      <c r="S61">
        <f t="shared" ca="1" si="8"/>
        <v>1.263452045693273</v>
      </c>
      <c r="T61">
        <f t="shared" ca="1" si="9"/>
        <v>55.819695765027362</v>
      </c>
      <c r="U61">
        <f>70</f>
        <v>70</v>
      </c>
      <c r="V61">
        <f>30</f>
        <v>30</v>
      </c>
      <c r="W61">
        <f t="shared" ca="1" si="7"/>
        <v>162.55239299841449</v>
      </c>
      <c r="X61">
        <f t="shared" ca="1" si="17"/>
        <v>162.86894428670516</v>
      </c>
      <c r="Y61">
        <f t="shared" ca="1" si="16"/>
        <v>-9.5459181339265342E-2</v>
      </c>
      <c r="Z61">
        <f t="shared" ca="1" si="18"/>
        <v>-1.0733011859506116</v>
      </c>
      <c r="AA61">
        <f t="shared" ca="1" si="19"/>
        <v>0.97784200461134629</v>
      </c>
    </row>
    <row r="62" spans="1:27" x14ac:dyDescent="0.25">
      <c r="A62" s="20">
        <f t="shared" ca="1" si="0"/>
        <v>45796</v>
      </c>
      <c r="B62" vm="181">
        <f ca="1"/>
        <v>45799</v>
      </c>
      <c r="C62" vm="182">
        <f ca="1"/>
        <v>165.03</v>
      </c>
      <c r="D62" vm="183">
        <f ca="1"/>
        <v>6245571</v>
      </c>
      <c r="E62">
        <f t="shared" ca="1" si="1"/>
        <v>1030706582.13</v>
      </c>
      <c r="F62">
        <f ca="1">SUM($E$2:E62)/SUM($D$2:D62)</f>
        <v>166.02053207347402</v>
      </c>
      <c r="G62">
        <f ca="1">_xlfn.STDEV.P($C$2:C62)</f>
        <v>5.112530890300131</v>
      </c>
      <c r="H62">
        <f t="shared" ca="1" si="2"/>
        <v>171.13306296377414</v>
      </c>
      <c r="I62">
        <f t="shared" ca="1" si="3"/>
        <v>160.90800118317389</v>
      </c>
      <c r="J62">
        <f t="shared" ca="1" si="12"/>
        <v>161.30450000000002</v>
      </c>
      <c r="K62">
        <f t="shared" ca="1" si="13"/>
        <v>2.5588185493350344</v>
      </c>
      <c r="L62">
        <f t="shared" ca="1" si="14"/>
        <v>166.42213709867008</v>
      </c>
      <c r="M62">
        <f t="shared" ca="1" si="15"/>
        <v>156.18686290132996</v>
      </c>
      <c r="N62">
        <f t="shared" ca="1" si="4"/>
        <v>-0.40000000000000568</v>
      </c>
      <c r="O62">
        <f t="shared" ca="1" si="5"/>
        <v>0</v>
      </c>
      <c r="P62">
        <f t="shared" ca="1" si="6"/>
        <v>0.40000000000000568</v>
      </c>
      <c r="Q62">
        <f t="shared" ca="1" si="10"/>
        <v>0.8597987273364992</v>
      </c>
      <c r="R62">
        <f t="shared" ca="1" si="11"/>
        <v>0.70908694973212039</v>
      </c>
      <c r="S62">
        <f t="shared" ca="1" si="8"/>
        <v>1.2125434372488662</v>
      </c>
      <c r="T62">
        <f t="shared" ca="1" si="9"/>
        <v>54.803147221216776</v>
      </c>
      <c r="U62">
        <f>70</f>
        <v>70</v>
      </c>
      <c r="V62">
        <f>30</f>
        <v>30</v>
      </c>
      <c r="W62">
        <f t="shared" ca="1" si="7"/>
        <v>162.93356330635072</v>
      </c>
      <c r="X62">
        <f t="shared" ca="1" si="17"/>
        <v>163.02902248768999</v>
      </c>
      <c r="Y62">
        <f t="shared" ca="1" si="16"/>
        <v>0.14505981050402283</v>
      </c>
      <c r="Z62">
        <f t="shared" ca="1" si="18"/>
        <v>-0.82962898665968476</v>
      </c>
      <c r="AA62">
        <f t="shared" ca="1" si="19"/>
        <v>0.9746887971637076</v>
      </c>
    </row>
    <row r="63" spans="1:27" x14ac:dyDescent="0.25">
      <c r="A63" s="20">
        <f t="shared" ca="1" si="0"/>
        <v>45796</v>
      </c>
      <c r="B63" vm="184">
        <f ca="1"/>
        <v>45800</v>
      </c>
      <c r="C63" vm="185">
        <f ca="1"/>
        <v>165.86</v>
      </c>
      <c r="D63" vm="186">
        <f ca="1"/>
        <v>5349868</v>
      </c>
      <c r="E63">
        <f t="shared" ca="1" si="1"/>
        <v>887329106.48000002</v>
      </c>
      <c r="F63">
        <f ca="1">SUM($E$2:E63)/SUM($D$2:D63)</f>
        <v>166.01891917804269</v>
      </c>
      <c r="G63">
        <f ca="1">_xlfn.STDEV.P($C$2:C63)</f>
        <v>5.0712646326124053</v>
      </c>
      <c r="H63">
        <f t="shared" ca="1" si="2"/>
        <v>171.09018381065511</v>
      </c>
      <c r="I63">
        <f t="shared" ca="1" si="3"/>
        <v>160.94765454543028</v>
      </c>
      <c r="J63">
        <f t="shared" ca="1" si="12"/>
        <v>161.54650000000001</v>
      </c>
      <c r="K63">
        <f t="shared" ca="1" si="13"/>
        <v>2.752069604000444</v>
      </c>
      <c r="L63">
        <f t="shared" ca="1" si="14"/>
        <v>167.05063920800089</v>
      </c>
      <c r="M63">
        <f t="shared" ca="1" si="15"/>
        <v>156.04236079199913</v>
      </c>
      <c r="N63">
        <f t="shared" ca="1" si="4"/>
        <v>0.83000000000001251</v>
      </c>
      <c r="O63">
        <f t="shared" ca="1" si="5"/>
        <v>0.83000000000001251</v>
      </c>
      <c r="P63">
        <f t="shared" ca="1" si="6"/>
        <v>0</v>
      </c>
      <c r="Q63">
        <f t="shared" ca="1" si="10"/>
        <v>0.8576702468124644</v>
      </c>
      <c r="R63">
        <f t="shared" ca="1" si="11"/>
        <v>0.65843788189411179</v>
      </c>
      <c r="S63">
        <f t="shared" ca="1" si="8"/>
        <v>1.3025833877376949</v>
      </c>
      <c r="T63">
        <f t="shared" ca="1" si="9"/>
        <v>56.570519646521575</v>
      </c>
      <c r="U63">
        <f>70</f>
        <v>70</v>
      </c>
      <c r="V63">
        <f>30</f>
        <v>30</v>
      </c>
      <c r="W63">
        <f t="shared" ca="1" si="7"/>
        <v>163.38378433614292</v>
      </c>
      <c r="X63">
        <f t="shared" ca="1" si="17"/>
        <v>163.2387245256389</v>
      </c>
      <c r="Y63">
        <f t="shared" ca="1" si="16"/>
        <v>0.48341446439258107</v>
      </c>
      <c r="Z63">
        <f t="shared" ca="1" si="18"/>
        <v>-0.56702029644923169</v>
      </c>
      <c r="AA63">
        <f t="shared" ca="1" si="19"/>
        <v>1.0504347608418128</v>
      </c>
    </row>
    <row r="64" spans="1:27" x14ac:dyDescent="0.25">
      <c r="A64" s="20">
        <f t="shared" ca="1" si="0"/>
        <v>45803</v>
      </c>
      <c r="B64" vm="187">
        <f ca="1"/>
        <v>45804</v>
      </c>
      <c r="C64" vm="188">
        <f ca="1"/>
        <v>167.76</v>
      </c>
      <c r="D64" vm="189">
        <f ca="1"/>
        <v>11423794</v>
      </c>
      <c r="E64">
        <f t="shared" ca="1" si="1"/>
        <v>1916455681.4399998</v>
      </c>
      <c r="F64">
        <f ca="1">SUM($E$2:E64)/SUM($D$2:D64)</f>
        <v>166.05548806479874</v>
      </c>
      <c r="G64">
        <f ca="1">_xlfn.STDEV.P($C$2:C64)</f>
        <v>5.0349024049390749</v>
      </c>
      <c r="H64">
        <f t="shared" ca="1" si="2"/>
        <v>171.09039046973783</v>
      </c>
      <c r="I64">
        <f t="shared" ca="1" si="3"/>
        <v>161.02058565985965</v>
      </c>
      <c r="J64">
        <f t="shared" ca="1" si="12"/>
        <v>161.84200000000001</v>
      </c>
      <c r="K64">
        <f t="shared" ca="1" si="13"/>
        <v>3.0836830337490224</v>
      </c>
      <c r="L64">
        <f t="shared" ca="1" si="14"/>
        <v>168.00936606749806</v>
      </c>
      <c r="M64">
        <f t="shared" ca="1" si="15"/>
        <v>155.67463393250196</v>
      </c>
      <c r="N64">
        <f t="shared" ca="1" si="4"/>
        <v>1.8999999999999773</v>
      </c>
      <c r="O64">
        <f t="shared" ca="1" si="5"/>
        <v>1.8999999999999773</v>
      </c>
      <c r="P64">
        <f t="shared" ca="1" si="6"/>
        <v>0</v>
      </c>
      <c r="Q64">
        <f t="shared" ca="1" si="10"/>
        <v>0.93212237204014392</v>
      </c>
      <c r="R64">
        <f t="shared" ca="1" si="11"/>
        <v>0.61140660461596086</v>
      </c>
      <c r="S64">
        <f t="shared" ca="1" si="8"/>
        <v>1.5245539793042182</v>
      </c>
      <c r="T64">
        <f t="shared" ca="1" si="9"/>
        <v>60.389042650789115</v>
      </c>
      <c r="U64">
        <f>70</f>
        <v>70</v>
      </c>
      <c r="V64">
        <f>30</f>
        <v>30</v>
      </c>
      <c r="W64">
        <f t="shared" ca="1" si="7"/>
        <v>164.05704828442862</v>
      </c>
      <c r="X64">
        <f t="shared" ca="1" si="17"/>
        <v>163.57363382003604</v>
      </c>
      <c r="Y64">
        <f t="shared" ca="1" si="16"/>
        <v>0.7110893132865499</v>
      </c>
      <c r="Z64">
        <f t="shared" ca="1" si="18"/>
        <v>-0.31139837450207541</v>
      </c>
      <c r="AA64">
        <f t="shared" ca="1" si="19"/>
        <v>1.0224876877886253</v>
      </c>
    </row>
    <row r="65" spans="1:27" x14ac:dyDescent="0.25">
      <c r="A65" s="20">
        <f t="shared" ca="1" si="0"/>
        <v>45803</v>
      </c>
      <c r="B65" vm="190">
        <f ca="1"/>
        <v>45805</v>
      </c>
      <c r="C65" vm="191">
        <f ca="1"/>
        <v>167.36</v>
      </c>
      <c r="D65" vm="192">
        <f ca="1"/>
        <v>5385942</v>
      </c>
      <c r="E65">
        <f t="shared" ca="1" si="1"/>
        <v>901391253.12000012</v>
      </c>
      <c r="F65">
        <f ca="1">SUM($E$2:E65)/SUM($D$2:D65)</f>
        <v>166.06827930733741</v>
      </c>
      <c r="G65">
        <f ca="1">_xlfn.STDEV.P($C$2:C65)</f>
        <v>4.9975890671777927</v>
      </c>
      <c r="H65">
        <f t="shared" ca="1" si="2"/>
        <v>171.06586837451519</v>
      </c>
      <c r="I65">
        <f t="shared" ca="1" si="3"/>
        <v>161.07069024015962</v>
      </c>
      <c r="J65">
        <f t="shared" ca="1" si="12"/>
        <v>162.09700000000001</v>
      </c>
      <c r="K65">
        <f t="shared" ca="1" si="13"/>
        <v>3.3217466870054349</v>
      </c>
      <c r="L65">
        <f t="shared" ca="1" si="14"/>
        <v>168.74049337401087</v>
      </c>
      <c r="M65">
        <f t="shared" ca="1" si="15"/>
        <v>155.45350662598915</v>
      </c>
      <c r="N65">
        <f t="shared" ca="1" si="4"/>
        <v>-0.39999999999997726</v>
      </c>
      <c r="O65">
        <f t="shared" ca="1" si="5"/>
        <v>0</v>
      </c>
      <c r="P65">
        <f t="shared" ca="1" si="6"/>
        <v>0.39999999999997726</v>
      </c>
      <c r="Q65">
        <f t="shared" ca="1" si="10"/>
        <v>0.86554220260870507</v>
      </c>
      <c r="R65">
        <f t="shared" ca="1" si="11"/>
        <v>0.59630613285767631</v>
      </c>
      <c r="S65">
        <f t="shared" ca="1" si="8"/>
        <v>1.451506457699453</v>
      </c>
      <c r="T65">
        <f t="shared" ca="1" si="9"/>
        <v>59.208755218274163</v>
      </c>
      <c r="U65">
        <f>70</f>
        <v>70</v>
      </c>
      <c r="V65">
        <f>30</f>
        <v>30</v>
      </c>
      <c r="W65">
        <f t="shared" ca="1" si="7"/>
        <v>164.56519470220883</v>
      </c>
      <c r="X65">
        <f t="shared" ca="1" si="17"/>
        <v>163.85410538892228</v>
      </c>
      <c r="Y65">
        <f t="shared" ca="1" si="16"/>
        <v>0.97708995771020568</v>
      </c>
      <c r="Z65">
        <f t="shared" ca="1" si="18"/>
        <v>-5.3700708059619184E-2</v>
      </c>
      <c r="AA65">
        <f t="shared" ca="1" si="19"/>
        <v>1.0307906657698249</v>
      </c>
    </row>
    <row r="66" spans="1:27" x14ac:dyDescent="0.25">
      <c r="A66" s="20">
        <f t="shared" ca="1" si="0"/>
        <v>45803</v>
      </c>
      <c r="B66" vm="193">
        <f ca="1"/>
        <v>45806</v>
      </c>
      <c r="C66" vm="194">
        <f ca="1"/>
        <v>168.56</v>
      </c>
      <c r="D66" vm="195">
        <f ca="1"/>
        <v>4842554</v>
      </c>
      <c r="E66">
        <f t="shared" ca="1" si="1"/>
        <v>816260902.24000001</v>
      </c>
      <c r="F66">
        <f ca="1">SUM($E$2:E66)/SUM($D$2:D66)</f>
        <v>166.0900546412125</v>
      </c>
      <c r="G66">
        <f ca="1">_xlfn.STDEV.P($C$2:C66)</f>
        <v>4.9675729694792192</v>
      </c>
      <c r="H66">
        <f t="shared" ca="1" si="2"/>
        <v>171.05762761069172</v>
      </c>
      <c r="I66">
        <f t="shared" ca="1" si="3"/>
        <v>161.12248167173328</v>
      </c>
      <c r="J66">
        <f t="shared" ca="1" si="12"/>
        <v>162.3965</v>
      </c>
      <c r="K66">
        <f t="shared" ca="1" si="13"/>
        <v>3.6230160087970913</v>
      </c>
      <c r="L66">
        <f t="shared" ca="1" si="14"/>
        <v>169.64253201759419</v>
      </c>
      <c r="M66">
        <f t="shared" ca="1" si="15"/>
        <v>155.15046798240581</v>
      </c>
      <c r="N66">
        <f t="shared" ca="1" si="4"/>
        <v>1.1999999999999886</v>
      </c>
      <c r="O66">
        <f t="shared" ca="1" si="5"/>
        <v>1.1999999999999886</v>
      </c>
      <c r="P66">
        <f t="shared" ca="1" si="6"/>
        <v>0</v>
      </c>
      <c r="Q66">
        <f t="shared" ca="1" si="10"/>
        <v>0.88943204527951103</v>
      </c>
      <c r="R66">
        <f t="shared" ca="1" si="11"/>
        <v>0.55371283765355661</v>
      </c>
      <c r="S66">
        <f t="shared" ca="1" si="8"/>
        <v>1.6063056241365403</v>
      </c>
      <c r="T66">
        <f t="shared" ca="1" si="9"/>
        <v>61.631514326670867</v>
      </c>
      <c r="U66">
        <f>70</f>
        <v>70</v>
      </c>
      <c r="V66">
        <f>30</f>
        <v>30</v>
      </c>
      <c r="W66">
        <f t="shared" ca="1" si="7"/>
        <v>165.17978013263823</v>
      </c>
      <c r="X66">
        <f t="shared" ca="1" si="17"/>
        <v>164.20269017492802</v>
      </c>
      <c r="Y66">
        <f t="shared" ca="1" si="16"/>
        <v>1.2804569588089407</v>
      </c>
      <c r="Z66">
        <f t="shared" ca="1" si="18"/>
        <v>0.21313082531409278</v>
      </c>
      <c r="AA66">
        <f t="shared" ca="1" si="19"/>
        <v>1.0673261334948481</v>
      </c>
    </row>
    <row r="67" spans="1:27" x14ac:dyDescent="0.25">
      <c r="A67" s="20">
        <f t="shared" ref="A67:A130" ca="1" si="20">B67 - WEEKDAY(B67, 2) + 1</f>
        <v>45803</v>
      </c>
      <c r="B67" vm="196">
        <f ca="1"/>
        <v>45807</v>
      </c>
      <c r="C67" vm="197">
        <f ca="1"/>
        <v>169.89</v>
      </c>
      <c r="D67" vm="198">
        <f ca="1"/>
        <v>12587537</v>
      </c>
      <c r="E67">
        <f t="shared" ref="E67:E130" ca="1" si="21">C67*D67</f>
        <v>2138496660.9299998</v>
      </c>
      <c r="F67">
        <f ca="1">SUM($E$2:E67)/SUM($D$2:D67)</f>
        <v>166.17445689727353</v>
      </c>
      <c r="G67">
        <f ca="1">_xlfn.STDEV.P($C$2:C67)</f>
        <v>4.950074038737271</v>
      </c>
      <c r="H67">
        <f t="shared" ref="H67:H130" ca="1" si="22">F67 + G67</f>
        <v>171.12453093601081</v>
      </c>
      <c r="I67">
        <f t="shared" ref="I67:I130" ca="1" si="23">F67 - G67</f>
        <v>161.22438285853625</v>
      </c>
      <c r="J67">
        <f t="shared" ca="1" si="12"/>
        <v>162.892</v>
      </c>
      <c r="K67">
        <f t="shared" ca="1" si="13"/>
        <v>3.9390175104165772</v>
      </c>
      <c r="L67">
        <f t="shared" ca="1" si="14"/>
        <v>170.77003502083315</v>
      </c>
      <c r="M67">
        <f t="shared" ca="1" si="15"/>
        <v>155.01396497916684</v>
      </c>
      <c r="N67">
        <f t="shared" ca="1" si="4"/>
        <v>1.3299999999999841</v>
      </c>
      <c r="O67">
        <f t="shared" ca="1" si="5"/>
        <v>1.3299999999999841</v>
      </c>
      <c r="P67">
        <f t="shared" ca="1" si="6"/>
        <v>0</v>
      </c>
      <c r="Q67">
        <f t="shared" ca="1" si="10"/>
        <v>0.92090118490240191</v>
      </c>
      <c r="R67">
        <f t="shared" ca="1" si="11"/>
        <v>0.51416192067830258</v>
      </c>
      <c r="S67">
        <f t="shared" ca="1" si="8"/>
        <v>1.7910723215120889</v>
      </c>
      <c r="T67">
        <f t="shared" ca="1" si="9"/>
        <v>64.17147659368996</v>
      </c>
      <c r="U67">
        <f>70</f>
        <v>70</v>
      </c>
      <c r="V67">
        <f>30</f>
        <v>30</v>
      </c>
      <c r="W67">
        <f t="shared" ca="1" si="7"/>
        <v>165.90442934300157</v>
      </c>
      <c r="X67">
        <f t="shared" ca="1" si="17"/>
        <v>164.62397238419263</v>
      </c>
      <c r="Y67">
        <f t="shared" ca="1" si="16"/>
        <v>1.3352264672616911</v>
      </c>
      <c r="Z67">
        <f t="shared" ca="1" si="18"/>
        <v>0.43754995370361249</v>
      </c>
      <c r="AA67">
        <f t="shared" ca="1" si="19"/>
        <v>0.89767651355807865</v>
      </c>
    </row>
    <row r="68" spans="1:27" x14ac:dyDescent="0.25">
      <c r="A68" s="20">
        <f t="shared" ca="1" si="20"/>
        <v>45810</v>
      </c>
      <c r="B68" vm="199">
        <f ca="1"/>
        <v>45810</v>
      </c>
      <c r="C68" vm="200">
        <f ca="1"/>
        <v>167.78</v>
      </c>
      <c r="D68" vm="201">
        <f ca="1"/>
        <v>7574428</v>
      </c>
      <c r="E68">
        <f t="shared" ca="1" si="21"/>
        <v>1270837529.8399999</v>
      </c>
      <c r="F68">
        <f ca="1">SUM($E$2:E68)/SUM($D$2:D68)</f>
        <v>166.1956327853172</v>
      </c>
      <c r="G68">
        <f ca="1">_xlfn.STDEV.P($C$2:C68)</f>
        <v>4.916353713706056</v>
      </c>
      <c r="H68">
        <f t="shared" ca="1" si="22"/>
        <v>171.11198649902326</v>
      </c>
      <c r="I68">
        <f t="shared" ca="1" si="23"/>
        <v>161.27927907161114</v>
      </c>
      <c r="J68">
        <f t="shared" ca="1" si="12"/>
        <v>163.25500000000002</v>
      </c>
      <c r="K68">
        <f t="shared" ca="1" si="13"/>
        <v>4.0420949492741212</v>
      </c>
      <c r="L68">
        <f t="shared" ca="1" si="14"/>
        <v>171.33918989854826</v>
      </c>
      <c r="M68">
        <f t="shared" ca="1" si="15"/>
        <v>155.17081010145179</v>
      </c>
      <c r="N68">
        <f t="shared" ref="N68:N131" ca="1" si="24">C68-C67</f>
        <v>-2.1099999999999852</v>
      </c>
      <c r="O68">
        <f t="shared" ref="O68:O131" ca="1" si="25">MAX(N68,0)</f>
        <v>0</v>
      </c>
      <c r="P68">
        <f t="shared" ref="P68:P131" ca="1" si="26">MAX(-N68,0)</f>
        <v>2.1099999999999852</v>
      </c>
      <c r="Q68">
        <f t="shared" ca="1" si="10"/>
        <v>0.8551225288379446</v>
      </c>
      <c r="R68">
        <f t="shared" ca="1" si="11"/>
        <v>0.6281503549155657</v>
      </c>
      <c r="S68">
        <f t="shared" ca="1" si="8"/>
        <v>1.3613341489759851</v>
      </c>
      <c r="T68">
        <f t="shared" ca="1" si="9"/>
        <v>57.651059235574117</v>
      </c>
      <c r="U68">
        <f>70</f>
        <v>70</v>
      </c>
      <c r="V68">
        <f>30</f>
        <v>30</v>
      </c>
      <c r="W68">
        <f t="shared" ca="1" si="7"/>
        <v>166.19297867484747</v>
      </c>
      <c r="X68">
        <f t="shared" ca="1" si="17"/>
        <v>164.85775220758578</v>
      </c>
      <c r="Y68">
        <f t="shared" ca="1" si="16"/>
        <v>1.2887327605821213</v>
      </c>
      <c r="Z68">
        <f t="shared" ca="1" si="18"/>
        <v>0.60778651507931425</v>
      </c>
      <c r="AA68">
        <f t="shared" ca="1" si="19"/>
        <v>0.68094624550280702</v>
      </c>
    </row>
    <row r="69" spans="1:27" x14ac:dyDescent="0.25">
      <c r="A69" s="20">
        <f t="shared" ca="1" si="20"/>
        <v>45810</v>
      </c>
      <c r="B69" vm="202">
        <f ca="1"/>
        <v>45811</v>
      </c>
      <c r="C69" vm="203">
        <f ca="1"/>
        <v>166.85</v>
      </c>
      <c r="D69" vm="204">
        <f ca="1"/>
        <v>6223447</v>
      </c>
      <c r="E69">
        <f t="shared" ca="1" si="21"/>
        <v>1038382131.9499999</v>
      </c>
      <c r="F69">
        <f ca="1">SUM($E$2:E69)/SUM($D$2:D69)</f>
        <v>166.20264800550856</v>
      </c>
      <c r="G69">
        <f ca="1">_xlfn.STDEV.P($C$2:C69)</f>
        <v>4.8805131544253646</v>
      </c>
      <c r="H69">
        <f t="shared" ca="1" si="22"/>
        <v>171.08316115993392</v>
      </c>
      <c r="I69">
        <f t="shared" ca="1" si="23"/>
        <v>161.32213485108321</v>
      </c>
      <c r="J69">
        <f t="shared" ca="1" si="12"/>
        <v>163.65600000000001</v>
      </c>
      <c r="K69">
        <f t="shared" ca="1" si="13"/>
        <v>3.9773005921101809</v>
      </c>
      <c r="L69">
        <f t="shared" ca="1" si="14"/>
        <v>171.61060118422037</v>
      </c>
      <c r="M69">
        <f t="shared" ca="1" si="15"/>
        <v>155.70139881577964</v>
      </c>
      <c r="N69">
        <f t="shared" ca="1" si="24"/>
        <v>-0.93000000000000682</v>
      </c>
      <c r="O69">
        <f t="shared" ca="1" si="25"/>
        <v>0</v>
      </c>
      <c r="P69">
        <f t="shared" ca="1" si="26"/>
        <v>0.93000000000000682</v>
      </c>
      <c r="Q69">
        <f t="shared" ca="1" si="10"/>
        <v>0.79404234820666286</v>
      </c>
      <c r="R69">
        <f t="shared" ca="1" si="11"/>
        <v>0.64971104385016865</v>
      </c>
      <c r="S69">
        <f t="shared" ca="1" si="8"/>
        <v>1.2221469154982978</v>
      </c>
      <c r="T69">
        <f t="shared" ca="1" si="9"/>
        <v>54.998474987160861</v>
      </c>
      <c r="U69">
        <f>70</f>
        <v>70</v>
      </c>
      <c r="V69">
        <f>30</f>
        <v>30</v>
      </c>
      <c r="W69">
        <f t="shared" ca="1" si="7"/>
        <v>166.2940588787171</v>
      </c>
      <c r="X69">
        <f t="shared" ca="1" si="17"/>
        <v>165.00532611813497</v>
      </c>
      <c r="Y69">
        <f t="shared" ca="1" si="16"/>
        <v>1.165824782293754</v>
      </c>
      <c r="Z69">
        <f t="shared" ca="1" si="18"/>
        <v>0.71939416852220228</v>
      </c>
      <c r="AA69">
        <f t="shared" ca="1" si="19"/>
        <v>0.44643061377155169</v>
      </c>
    </row>
    <row r="70" spans="1:27" x14ac:dyDescent="0.25">
      <c r="A70" s="20">
        <f t="shared" ca="1" si="20"/>
        <v>45810</v>
      </c>
      <c r="B70" vm="205">
        <f ca="1"/>
        <v>45812</v>
      </c>
      <c r="C70" vm="206">
        <f ca="1"/>
        <v>165.95</v>
      </c>
      <c r="D70" vm="207">
        <f ca="1"/>
        <v>4939333</v>
      </c>
      <c r="E70">
        <f t="shared" ca="1" si="21"/>
        <v>819682311.3499999</v>
      </c>
      <c r="F70">
        <f ca="1">SUM($E$2:E70)/SUM($D$2:D70)</f>
        <v>166.20051646611776</v>
      </c>
      <c r="G70">
        <f ca="1">_xlfn.STDEV.P($C$2:C70)</f>
        <v>4.8452109408282329</v>
      </c>
      <c r="H70">
        <f t="shared" ca="1" si="22"/>
        <v>171.04572740694599</v>
      </c>
      <c r="I70">
        <f t="shared" ca="1" si="23"/>
        <v>161.35530552528954</v>
      </c>
      <c r="J70">
        <f t="shared" ca="1" si="12"/>
        <v>163.99100000000001</v>
      </c>
      <c r="K70">
        <f t="shared" ca="1" si="13"/>
        <v>3.8673027456246278</v>
      </c>
      <c r="L70">
        <f t="shared" ca="1" si="14"/>
        <v>171.72560549124927</v>
      </c>
      <c r="M70">
        <f t="shared" ca="1" si="15"/>
        <v>156.25639450875076</v>
      </c>
      <c r="N70">
        <f t="shared" ca="1" si="24"/>
        <v>-0.90000000000000568</v>
      </c>
      <c r="O70">
        <f t="shared" ca="1" si="25"/>
        <v>0</v>
      </c>
      <c r="P70">
        <f t="shared" ca="1" si="26"/>
        <v>0.90000000000000568</v>
      </c>
      <c r="Q70">
        <f t="shared" ca="1" si="10"/>
        <v>0.73732503762047263</v>
      </c>
      <c r="R70">
        <f t="shared" ca="1" si="11"/>
        <v>0.66758882643229989</v>
      </c>
      <c r="S70">
        <f t="shared" ca="1" si="8"/>
        <v>1.1044598238122918</v>
      </c>
      <c r="T70">
        <f t="shared" ca="1" si="9"/>
        <v>52.481867855834366</v>
      </c>
      <c r="U70">
        <f>70</f>
        <v>70</v>
      </c>
      <c r="V70">
        <f>30</f>
        <v>30</v>
      </c>
      <c r="W70">
        <f t="shared" ca="1" si="7"/>
        <v>166.24112674352986</v>
      </c>
      <c r="X70">
        <f t="shared" ca="1" si="17"/>
        <v>165.07530196123611</v>
      </c>
      <c r="Y70">
        <f t="shared" ca="1" si="16"/>
        <v>0.80496155392205537</v>
      </c>
      <c r="Z70">
        <f t="shared" ca="1" si="18"/>
        <v>0.73650764560217297</v>
      </c>
      <c r="AA70">
        <f t="shared" ca="1" si="19"/>
        <v>6.8453908319882406E-2</v>
      </c>
    </row>
    <row r="71" spans="1:27" x14ac:dyDescent="0.25">
      <c r="A71" s="20">
        <f t="shared" ca="1" si="20"/>
        <v>45810</v>
      </c>
      <c r="B71" vm="208">
        <f ca="1"/>
        <v>45813</v>
      </c>
      <c r="C71" vm="209">
        <f ca="1"/>
        <v>162.80000000000001</v>
      </c>
      <c r="D71" vm="210">
        <f ca="1"/>
        <v>10352288</v>
      </c>
      <c r="E71">
        <f t="shared" ca="1" si="21"/>
        <v>1685352486.4000001</v>
      </c>
      <c r="F71">
        <f ca="1">SUM($E$2:E71)/SUM($D$2:D71)</f>
        <v>166.14143135302331</v>
      </c>
      <c r="G71">
        <f ca="1">_xlfn.STDEV.P($C$2:C71)</f>
        <v>4.828440752669624</v>
      </c>
      <c r="H71">
        <f t="shared" ca="1" si="22"/>
        <v>170.96987210569293</v>
      </c>
      <c r="I71">
        <f t="shared" ca="1" si="23"/>
        <v>161.31299060035369</v>
      </c>
      <c r="J71">
        <f t="shared" ca="1" si="12"/>
        <v>164.16650000000001</v>
      </c>
      <c r="K71">
        <f t="shared" ca="1" si="13"/>
        <v>3.7195617667733512</v>
      </c>
      <c r="L71">
        <f t="shared" ca="1" si="14"/>
        <v>171.60562353354672</v>
      </c>
      <c r="M71">
        <f t="shared" ca="1" si="15"/>
        <v>156.72737646645331</v>
      </c>
      <c r="N71">
        <f t="shared" ca="1" si="24"/>
        <v>-3.1499999999999773</v>
      </c>
      <c r="O71">
        <f t="shared" ca="1" si="25"/>
        <v>0</v>
      </c>
      <c r="P71">
        <f t="shared" ca="1" si="26"/>
        <v>3.1499999999999773</v>
      </c>
      <c r="Q71">
        <f t="shared" ca="1" si="10"/>
        <v>0.68465896350472455</v>
      </c>
      <c r="R71">
        <f t="shared" ca="1" si="11"/>
        <v>0.84490391025856248</v>
      </c>
      <c r="S71">
        <f t="shared" ca="1" si="8"/>
        <v>0.81033944238132494</v>
      </c>
      <c r="T71">
        <f t="shared" ca="1" si="9"/>
        <v>44.76174044550465</v>
      </c>
      <c r="U71">
        <f>70</f>
        <v>70</v>
      </c>
      <c r="V71">
        <f>30</f>
        <v>30</v>
      </c>
      <c r="W71">
        <f t="shared" ca="1" si="7"/>
        <v>165.71172262914067</v>
      </c>
      <c r="X71">
        <f t="shared" ca="1" si="17"/>
        <v>164.90676107521861</v>
      </c>
      <c r="Y71">
        <f t="shared" ca="1" si="16"/>
        <v>0.61038253962598787</v>
      </c>
      <c r="Z71">
        <f t="shared" ca="1" si="18"/>
        <v>0.7112826244069359</v>
      </c>
      <c r="AA71">
        <f t="shared" ca="1" si="19"/>
        <v>-0.10090008478094803</v>
      </c>
    </row>
    <row r="72" spans="1:27" x14ac:dyDescent="0.25">
      <c r="A72" s="20">
        <f t="shared" ca="1" si="20"/>
        <v>45810</v>
      </c>
      <c r="B72" vm="211">
        <f ca="1"/>
        <v>45814</v>
      </c>
      <c r="C72" vm="212">
        <f ca="1"/>
        <v>164.02</v>
      </c>
      <c r="D72" vm="213">
        <f ca="1"/>
        <v>5697877</v>
      </c>
      <c r="E72">
        <f t="shared" ca="1" si="21"/>
        <v>934565785.54000008</v>
      </c>
      <c r="F72">
        <f ca="1">SUM($E$2:E72)/SUM($D$2:D72)</f>
        <v>166.12133555201319</v>
      </c>
      <c r="G72">
        <f ca="1">_xlfn.STDEV.P($C$2:C72)</f>
        <v>4.8015548752870432</v>
      </c>
      <c r="H72">
        <f t="shared" ca="1" si="22"/>
        <v>170.92289042730025</v>
      </c>
      <c r="I72">
        <f t="shared" ca="1" si="23"/>
        <v>161.31978067672614</v>
      </c>
      <c r="J72">
        <f t="shared" ca="1" si="12"/>
        <v>164.435</v>
      </c>
      <c r="K72">
        <f t="shared" ca="1" si="13"/>
        <v>3.4869342589609831</v>
      </c>
      <c r="L72">
        <f t="shared" ca="1" si="14"/>
        <v>171.40886851792197</v>
      </c>
      <c r="M72">
        <f t="shared" ca="1" si="15"/>
        <v>157.46113148207803</v>
      </c>
      <c r="N72">
        <f t="shared" ca="1" si="24"/>
        <v>1.2199999999999989</v>
      </c>
      <c r="O72">
        <f t="shared" ca="1" si="25"/>
        <v>1.2199999999999989</v>
      </c>
      <c r="P72">
        <f t="shared" ca="1" si="26"/>
        <v>0</v>
      </c>
      <c r="Q72">
        <f t="shared" ca="1" si="10"/>
        <v>0.72289760896867272</v>
      </c>
      <c r="R72">
        <f t="shared" ca="1" si="11"/>
        <v>0.78455363095437947</v>
      </c>
      <c r="S72">
        <f t="shared" ca="1" si="8"/>
        <v>0.92141261023710441</v>
      </c>
      <c r="T72">
        <f t="shared" ca="1" si="9"/>
        <v>47.954957999541868</v>
      </c>
      <c r="U72">
        <f>70</f>
        <v>70</v>
      </c>
      <c r="V72">
        <f>30</f>
        <v>30</v>
      </c>
      <c r="W72">
        <f t="shared" ca="1" si="7"/>
        <v>165.45145760927286</v>
      </c>
      <c r="X72">
        <f t="shared" ca="1" si="17"/>
        <v>164.84107506964688</v>
      </c>
      <c r="Y72">
        <f t="shared" ca="1" si="16"/>
        <v>0.33451143110772819</v>
      </c>
      <c r="Z72">
        <f t="shared" ca="1" si="18"/>
        <v>0.63592838574709432</v>
      </c>
      <c r="AA72">
        <f t="shared" ca="1" si="19"/>
        <v>-0.30141695463936613</v>
      </c>
    </row>
    <row r="73" spans="1:27" x14ac:dyDescent="0.25">
      <c r="A73" s="20">
        <f t="shared" ca="1" si="20"/>
        <v>45817</v>
      </c>
      <c r="B73" vm="214">
        <f ca="1"/>
        <v>45817</v>
      </c>
      <c r="C73" vm="215">
        <f ca="1"/>
        <v>162.56</v>
      </c>
      <c r="D73" vm="216">
        <f ca="1"/>
        <v>6544199</v>
      </c>
      <c r="E73">
        <f t="shared" ca="1" si="21"/>
        <v>1063824989.4400001</v>
      </c>
      <c r="F73">
        <f ca="1">SUM($E$2:E73)/SUM($D$2:D73)</f>
        <v>166.08300605191988</v>
      </c>
      <c r="G73">
        <f ca="1">_xlfn.STDEV.P($C$2:C73)</f>
        <v>4.7873460693913996</v>
      </c>
      <c r="H73">
        <f t="shared" ca="1" si="22"/>
        <v>170.87035212131127</v>
      </c>
      <c r="I73">
        <f t="shared" ca="1" si="23"/>
        <v>161.29565998252849</v>
      </c>
      <c r="J73">
        <f t="shared" ca="1" si="12"/>
        <v>164.68</v>
      </c>
      <c r="K73">
        <f t="shared" ca="1" si="13"/>
        <v>3.1408178619756431</v>
      </c>
      <c r="L73">
        <f t="shared" ca="1" si="14"/>
        <v>170.9616357239513</v>
      </c>
      <c r="M73">
        <f t="shared" ca="1" si="15"/>
        <v>158.39836427604871</v>
      </c>
      <c r="N73">
        <f t="shared" ca="1" si="24"/>
        <v>-1.460000000000008</v>
      </c>
      <c r="O73">
        <f t="shared" ca="1" si="25"/>
        <v>0</v>
      </c>
      <c r="P73">
        <f t="shared" ca="1" si="26"/>
        <v>1.460000000000008</v>
      </c>
      <c r="Q73">
        <f t="shared" ca="1" si="10"/>
        <v>0.67126206547091039</v>
      </c>
      <c r="R73">
        <f t="shared" ca="1" si="11"/>
        <v>0.83279980017192445</v>
      </c>
      <c r="S73">
        <f t="shared" ca="1" si="8"/>
        <v>0.8060305313862155</v>
      </c>
      <c r="T73">
        <f t="shared" ca="1" si="9"/>
        <v>44.62995045646035</v>
      </c>
      <c r="U73">
        <f>70</f>
        <v>70</v>
      </c>
      <c r="V73">
        <f>30</f>
        <v>30</v>
      </c>
      <c r="W73">
        <f t="shared" ca="1" si="7"/>
        <v>165.00661797707704</v>
      </c>
      <c r="X73">
        <f t="shared" ca="1" si="17"/>
        <v>164.67210654596931</v>
      </c>
      <c r="Y73">
        <f t="shared" ca="1" si="16"/>
        <v>0.13689718447821519</v>
      </c>
      <c r="Z73">
        <f t="shared" ca="1" si="18"/>
        <v>0.53612214549331849</v>
      </c>
      <c r="AA73">
        <f t="shared" ca="1" si="19"/>
        <v>-0.3992249610151033</v>
      </c>
    </row>
    <row r="74" spans="1:27" x14ac:dyDescent="0.25">
      <c r="A74" s="20">
        <f t="shared" ca="1" si="20"/>
        <v>45817</v>
      </c>
      <c r="B74" vm="217">
        <f ca="1"/>
        <v>45818</v>
      </c>
      <c r="C74" vm="218">
        <f ca="1"/>
        <v>162.84</v>
      </c>
      <c r="D74" vm="219">
        <f ca="1"/>
        <v>7680015</v>
      </c>
      <c r="E74">
        <f t="shared" ca="1" si="21"/>
        <v>1250613642.6000001</v>
      </c>
      <c r="F74">
        <f ca="1">SUM($E$2:E74)/SUM($D$2:D74)</f>
        <v>166.04255567990006</v>
      </c>
      <c r="G74">
        <f ca="1">_xlfn.STDEV.P($C$2:C74)</f>
        <v>4.7702109351995761</v>
      </c>
      <c r="H74">
        <f t="shared" ca="1" si="22"/>
        <v>170.81276661509963</v>
      </c>
      <c r="I74">
        <f t="shared" ca="1" si="23"/>
        <v>161.27234474470049</v>
      </c>
      <c r="J74">
        <f t="shared" ca="1" si="12"/>
        <v>164.77699999999999</v>
      </c>
      <c r="K74">
        <f t="shared" ca="1" si="13"/>
        <v>3.0464735437274961</v>
      </c>
      <c r="L74">
        <f t="shared" ca="1" si="14"/>
        <v>170.86994708745499</v>
      </c>
      <c r="M74">
        <f t="shared" ca="1" si="15"/>
        <v>158.68405291254498</v>
      </c>
      <c r="N74">
        <f t="shared" ca="1" si="24"/>
        <v>0.28000000000000114</v>
      </c>
      <c r="O74">
        <f t="shared" ca="1" si="25"/>
        <v>0.28000000000000114</v>
      </c>
      <c r="P74">
        <f t="shared" ca="1" si="26"/>
        <v>0</v>
      </c>
      <c r="Q74">
        <f t="shared" ca="1" si="10"/>
        <v>0.64331477508013113</v>
      </c>
      <c r="R74">
        <f t="shared" ca="1" si="11"/>
        <v>0.77331410015964419</v>
      </c>
      <c r="S74">
        <f t="shared" ca="1" si="8"/>
        <v>0.83189324356988215</v>
      </c>
      <c r="T74">
        <f t="shared" ca="1" si="9"/>
        <v>45.411666126828393</v>
      </c>
      <c r="U74">
        <f>70</f>
        <v>70</v>
      </c>
      <c r="V74">
        <f>30</f>
        <v>30</v>
      </c>
      <c r="W74">
        <f t="shared" ca="1" si="7"/>
        <v>164.67329213444981</v>
      </c>
      <c r="X74">
        <f t="shared" ca="1" si="17"/>
        <v>164.53639494997159</v>
      </c>
      <c r="Y74">
        <f t="shared" ca="1" si="16"/>
        <v>-7.772249233383377E-2</v>
      </c>
      <c r="Z74">
        <f t="shared" ca="1" si="18"/>
        <v>0.41335321792788804</v>
      </c>
      <c r="AA74">
        <f t="shared" ca="1" si="19"/>
        <v>-0.49107571026172181</v>
      </c>
    </row>
    <row r="75" spans="1:27" x14ac:dyDescent="0.25">
      <c r="A75" s="20">
        <f t="shared" ca="1" si="20"/>
        <v>45817</v>
      </c>
      <c r="B75" vm="220">
        <f ca="1"/>
        <v>45819</v>
      </c>
      <c r="C75" vm="221">
        <f ca="1"/>
        <v>162.11000000000001</v>
      </c>
      <c r="D75" vm="222">
        <f ca="1"/>
        <v>5960052</v>
      </c>
      <c r="E75">
        <f t="shared" ca="1" si="21"/>
        <v>966184029.72000003</v>
      </c>
      <c r="F75">
        <f ca="1">SUM($E$2:E75)/SUM($D$2:D75)</f>
        <v>166.00485458272232</v>
      </c>
      <c r="G75">
        <f ca="1">_xlfn.STDEV.P($C$2:C75)</f>
        <v>4.7605325386066015</v>
      </c>
      <c r="H75">
        <f t="shared" ca="1" si="22"/>
        <v>170.76538712132893</v>
      </c>
      <c r="I75">
        <f t="shared" ca="1" si="23"/>
        <v>161.24432204411571</v>
      </c>
      <c r="J75">
        <f t="shared" ca="1" si="12"/>
        <v>164.946</v>
      </c>
      <c r="K75">
        <f t="shared" ca="1" si="13"/>
        <v>2.7750247035410576</v>
      </c>
      <c r="L75">
        <f t="shared" ca="1" si="14"/>
        <v>170.49604940708213</v>
      </c>
      <c r="M75">
        <f t="shared" ca="1" si="15"/>
        <v>159.39595059291787</v>
      </c>
      <c r="N75">
        <f t="shared" ca="1" si="24"/>
        <v>-0.72999999999998977</v>
      </c>
      <c r="O75">
        <f t="shared" ca="1" si="25"/>
        <v>0</v>
      </c>
      <c r="P75">
        <f t="shared" ca="1" si="26"/>
        <v>0.72999999999998977</v>
      </c>
      <c r="Q75">
        <f t="shared" ca="1" si="10"/>
        <v>0.59736371971726465</v>
      </c>
      <c r="R75">
        <f t="shared" ca="1" si="11"/>
        <v>0.77022023586252608</v>
      </c>
      <c r="S75">
        <f t="shared" ca="1" si="8"/>
        <v>0.77557520810695246</v>
      </c>
      <c r="T75">
        <f t="shared" ca="1" si="9"/>
        <v>43.680222868950722</v>
      </c>
      <c r="U75">
        <f>70</f>
        <v>70</v>
      </c>
      <c r="V75">
        <f>30</f>
        <v>30</v>
      </c>
      <c r="W75">
        <f t="shared" ca="1" si="7"/>
        <v>164.27893949838059</v>
      </c>
      <c r="X75">
        <f t="shared" ca="1" si="17"/>
        <v>164.35666199071443</v>
      </c>
      <c r="Y75">
        <f t="shared" ca="1" si="16"/>
        <v>-0.15962996000897078</v>
      </c>
      <c r="Z75">
        <f t="shared" ca="1" si="18"/>
        <v>0.29875658234051633</v>
      </c>
      <c r="AA75">
        <f t="shared" ca="1" si="19"/>
        <v>-0.45838654234948711</v>
      </c>
    </row>
    <row r="76" spans="1:27" x14ac:dyDescent="0.25">
      <c r="A76" s="20">
        <f t="shared" ca="1" si="20"/>
        <v>45817</v>
      </c>
      <c r="B76" vm="223">
        <f ca="1"/>
        <v>45820</v>
      </c>
      <c r="C76" vm="224">
        <f ca="1"/>
        <v>163.18</v>
      </c>
      <c r="D76" vm="225">
        <f ca="1"/>
        <v>6509891</v>
      </c>
      <c r="E76">
        <f t="shared" ca="1" si="21"/>
        <v>1062284013.38</v>
      </c>
      <c r="F76">
        <f ca="1">SUM($E$2:E76)/SUM($D$2:D76)</f>
        <v>165.97558106809967</v>
      </c>
      <c r="G76">
        <f ca="1">_xlfn.STDEV.P($C$2:C76)</f>
        <v>4.7403255284374248</v>
      </c>
      <c r="H76">
        <f t="shared" ca="1" si="22"/>
        <v>170.71590659653711</v>
      </c>
      <c r="I76">
        <f t="shared" ca="1" si="23"/>
        <v>161.23525553966223</v>
      </c>
      <c r="J76">
        <f t="shared" ca="1" si="12"/>
        <v>165.20400000000001</v>
      </c>
      <c r="K76">
        <f t="shared" ca="1" si="13"/>
        <v>2.295676485551867</v>
      </c>
      <c r="L76">
        <f t="shared" ca="1" si="14"/>
        <v>169.79535297110374</v>
      </c>
      <c r="M76">
        <f t="shared" ca="1" si="15"/>
        <v>160.61264702889628</v>
      </c>
      <c r="N76">
        <f t="shared" ca="1" si="24"/>
        <v>1.0699999999999932</v>
      </c>
      <c r="O76">
        <f t="shared" ca="1" si="25"/>
        <v>1.0699999999999932</v>
      </c>
      <c r="P76">
        <f t="shared" ca="1" si="26"/>
        <v>0</v>
      </c>
      <c r="Q76">
        <f t="shared" ca="1" si="10"/>
        <v>0.63112345402317394</v>
      </c>
      <c r="R76">
        <f t="shared" ca="1" si="11"/>
        <v>0.71520450472948849</v>
      </c>
      <c r="S76">
        <f t="shared" ca="1" si="8"/>
        <v>0.88243775011160408</v>
      </c>
      <c r="T76">
        <f t="shared" ca="1" si="9"/>
        <v>46.877393425588018</v>
      </c>
      <c r="U76">
        <f>70</f>
        <v>70</v>
      </c>
      <c r="V76">
        <f>30</f>
        <v>30</v>
      </c>
      <c r="W76">
        <f t="shared" ca="1" si="7"/>
        <v>164.10987188324512</v>
      </c>
      <c r="X76">
        <f t="shared" ca="1" si="17"/>
        <v>164.26950184325409</v>
      </c>
      <c r="Y76">
        <f t="shared" ca="1" si="16"/>
        <v>-0.45332236391388392</v>
      </c>
      <c r="Z76">
        <f t="shared" ca="1" si="18"/>
        <v>0.1483407930896363</v>
      </c>
      <c r="AA76">
        <f t="shared" ca="1" si="19"/>
        <v>-0.60166315700352024</v>
      </c>
    </row>
    <row r="77" spans="1:27" x14ac:dyDescent="0.25">
      <c r="A77" s="20">
        <f t="shared" ca="1" si="20"/>
        <v>45817</v>
      </c>
      <c r="B77" vm="226">
        <f ca="1"/>
        <v>45821</v>
      </c>
      <c r="C77" vm="227">
        <f ca="1"/>
        <v>160.28</v>
      </c>
      <c r="D77" vm="228">
        <f ca="1"/>
        <v>7104547</v>
      </c>
      <c r="E77">
        <f t="shared" ca="1" si="21"/>
        <v>1138716793.1600001</v>
      </c>
      <c r="F77">
        <f ca="1">SUM($E$2:E77)/SUM($D$2:D77)</f>
        <v>165.91188752342441</v>
      </c>
      <c r="G77">
        <f ca="1">_xlfn.STDEV.P($C$2:C77)</f>
        <v>4.7544867932922079</v>
      </c>
      <c r="H77">
        <f t="shared" ca="1" si="22"/>
        <v>170.66637431671663</v>
      </c>
      <c r="I77">
        <f t="shared" ca="1" si="23"/>
        <v>161.1574007301322</v>
      </c>
      <c r="J77">
        <f t="shared" ca="1" si="12"/>
        <v>165.09750000000003</v>
      </c>
      <c r="K77">
        <f t="shared" ca="1" si="13"/>
        <v>2.4745544521877241</v>
      </c>
      <c r="L77">
        <f t="shared" ca="1" si="14"/>
        <v>170.04660890437546</v>
      </c>
      <c r="M77">
        <f t="shared" ca="1" si="15"/>
        <v>160.14839109562459</v>
      </c>
      <c r="N77">
        <f t="shared" ca="1" si="24"/>
        <v>-2.9000000000000057</v>
      </c>
      <c r="O77">
        <f t="shared" ca="1" si="25"/>
        <v>0</v>
      </c>
      <c r="P77">
        <f t="shared" ca="1" si="26"/>
        <v>2.9000000000000057</v>
      </c>
      <c r="Q77">
        <f t="shared" ca="1" si="10"/>
        <v>0.58604320730723292</v>
      </c>
      <c r="R77">
        <f t="shared" ca="1" si="11"/>
        <v>0.87126132582023974</v>
      </c>
      <c r="S77">
        <f t="shared" ca="1" si="8"/>
        <v>0.67263769197549172</v>
      </c>
      <c r="T77">
        <f t="shared" ca="1" si="9"/>
        <v>40.214189552374833</v>
      </c>
      <c r="U77">
        <f>70</f>
        <v>70</v>
      </c>
      <c r="V77">
        <f>30</f>
        <v>30</v>
      </c>
      <c r="W77">
        <f t="shared" ca="1" si="7"/>
        <v>163.52066082428433</v>
      </c>
      <c r="X77">
        <f t="shared" ca="1" si="17"/>
        <v>163.97398318819822</v>
      </c>
      <c r="Y77">
        <f t="shared" ca="1" si="16"/>
        <v>-0.63039393547569489</v>
      </c>
      <c r="Z77">
        <f t="shared" ca="1" si="18"/>
        <v>-7.4061526234299319E-3</v>
      </c>
      <c r="AA77">
        <f t="shared" ca="1" si="19"/>
        <v>-0.62298778285226497</v>
      </c>
    </row>
    <row r="78" spans="1:27" x14ac:dyDescent="0.25">
      <c r="A78" s="20">
        <f t="shared" ca="1" si="20"/>
        <v>45824</v>
      </c>
      <c r="B78" vm="229">
        <f ca="1"/>
        <v>45824</v>
      </c>
      <c r="C78" vm="230">
        <f ca="1"/>
        <v>160.88</v>
      </c>
      <c r="D78" vm="231">
        <f ca="1"/>
        <v>6331961</v>
      </c>
      <c r="E78">
        <f t="shared" ca="1" si="21"/>
        <v>1018685885.6799999</v>
      </c>
      <c r="F78">
        <f ca="1">SUM($E$2:E78)/SUM($D$2:D78)</f>
        <v>165.8622302335462</v>
      </c>
      <c r="G78">
        <f ca="1">_xlfn.STDEV.P($C$2:C78)</f>
        <v>4.7583960079768435</v>
      </c>
      <c r="H78">
        <f t="shared" ca="1" si="22"/>
        <v>170.62062624152304</v>
      </c>
      <c r="I78">
        <f t="shared" ca="1" si="23"/>
        <v>161.10383422556936</v>
      </c>
      <c r="J78">
        <f t="shared" ca="1" si="12"/>
        <v>164.97750000000002</v>
      </c>
      <c r="K78">
        <f t="shared" ca="1" si="13"/>
        <v>2.6211786721967143</v>
      </c>
      <c r="L78">
        <f t="shared" ca="1" si="14"/>
        <v>170.21985734439346</v>
      </c>
      <c r="M78">
        <f t="shared" ca="1" si="15"/>
        <v>159.73514265560658</v>
      </c>
      <c r="N78">
        <f t="shared" ca="1" si="24"/>
        <v>0.59999999999999432</v>
      </c>
      <c r="O78">
        <f t="shared" ca="1" si="25"/>
        <v>0.59999999999999432</v>
      </c>
      <c r="P78">
        <f t="shared" ca="1" si="26"/>
        <v>0</v>
      </c>
      <c r="Q78">
        <f t="shared" ca="1" si="10"/>
        <v>0.58704012107100156</v>
      </c>
      <c r="R78">
        <f t="shared" ca="1" si="11"/>
        <v>0.80902837397593685</v>
      </c>
      <c r="S78">
        <f t="shared" ca="1" si="8"/>
        <v>0.72561128874382597</v>
      </c>
      <c r="T78">
        <f t="shared" ca="1" si="9"/>
        <v>42.04952143492531</v>
      </c>
      <c r="U78">
        <f>70</f>
        <v>70</v>
      </c>
      <c r="V78">
        <f>30</f>
        <v>30</v>
      </c>
      <c r="W78">
        <f t="shared" ca="1" si="7"/>
        <v>163.11440531285598</v>
      </c>
      <c r="X78">
        <f t="shared" ca="1" si="17"/>
        <v>163.74479924833167</v>
      </c>
      <c r="Y78">
        <f t="shared" ca="1" si="16"/>
        <v>-0.95020335552584356</v>
      </c>
      <c r="Z78">
        <f t="shared" ca="1" si="18"/>
        <v>-0.19596559320391269</v>
      </c>
      <c r="AA78">
        <f t="shared" ca="1" si="19"/>
        <v>-0.75423776232193085</v>
      </c>
    </row>
    <row r="79" spans="1:27" x14ac:dyDescent="0.25">
      <c r="A79" s="20">
        <f t="shared" ca="1" si="20"/>
        <v>45824</v>
      </c>
      <c r="B79" vm="232">
        <f ca="1"/>
        <v>45825</v>
      </c>
      <c r="C79" vm="233">
        <f ca="1"/>
        <v>158.52000000000001</v>
      </c>
      <c r="D79" vm="234">
        <f ca="1"/>
        <v>6809747</v>
      </c>
      <c r="E79">
        <f t="shared" ca="1" si="21"/>
        <v>1079481094.4400001</v>
      </c>
      <c r="F79">
        <f ca="1">SUM($E$2:E79)/SUM($D$2:D79)</f>
        <v>165.78512428526079</v>
      </c>
      <c r="G79">
        <f ca="1">_xlfn.STDEV.P($C$2:C79)</f>
        <v>4.8000199703726576</v>
      </c>
      <c r="H79">
        <f t="shared" ca="1" si="22"/>
        <v>170.58514425563345</v>
      </c>
      <c r="I79">
        <f t="shared" ca="1" si="23"/>
        <v>160.98510431488813</v>
      </c>
      <c r="J79">
        <f t="shared" ca="1" si="12"/>
        <v>164.66500000000002</v>
      </c>
      <c r="K79">
        <f t="shared" ca="1" si="13"/>
        <v>2.993361954303833</v>
      </c>
      <c r="L79">
        <f t="shared" ca="1" si="14"/>
        <v>170.65172390860769</v>
      </c>
      <c r="M79">
        <f t="shared" ca="1" si="15"/>
        <v>158.67827609139235</v>
      </c>
      <c r="N79">
        <f t="shared" ca="1" si="24"/>
        <v>-2.3599999999999852</v>
      </c>
      <c r="O79">
        <f t="shared" ca="1" si="25"/>
        <v>0</v>
      </c>
      <c r="P79">
        <f t="shared" ca="1" si="26"/>
        <v>2.3599999999999852</v>
      </c>
      <c r="Q79">
        <f t="shared" ca="1" si="10"/>
        <v>0.54510868385164435</v>
      </c>
      <c r="R79">
        <f t="shared" ca="1" si="11"/>
        <v>0.91981206154908324</v>
      </c>
      <c r="S79">
        <f t="shared" ca="1" si="8"/>
        <v>0.59263050207627233</v>
      </c>
      <c r="T79">
        <f t="shared" ca="1" si="9"/>
        <v>37.210796936494361</v>
      </c>
      <c r="U79">
        <f>70</f>
        <v>70</v>
      </c>
      <c r="V79">
        <f>30</f>
        <v>30</v>
      </c>
      <c r="W79">
        <f t="shared" ref="W79:W142" ca="1" si="27">C79*(2/(12+1)) + W78*(1-(2/(12+1)))</f>
        <v>162.40757372626274</v>
      </c>
      <c r="X79">
        <f t="shared" ca="1" si="17"/>
        <v>163.35777708178858</v>
      </c>
      <c r="Y79">
        <f t="shared" ca="1" si="16"/>
        <v>-1.2298238030804782</v>
      </c>
      <c r="Z79">
        <f t="shared" ca="1" si="18"/>
        <v>-0.40273723517922577</v>
      </c>
      <c r="AA79">
        <f t="shared" ca="1" si="19"/>
        <v>-0.82708656790125246</v>
      </c>
    </row>
    <row r="80" spans="1:27" x14ac:dyDescent="0.25">
      <c r="A80" s="20">
        <f t="shared" ca="1" si="20"/>
        <v>45824</v>
      </c>
      <c r="B80" vm="235">
        <f ca="1"/>
        <v>45826</v>
      </c>
      <c r="C80" vm="164">
        <f ca="1"/>
        <v>158.02000000000001</v>
      </c>
      <c r="D80" vm="236">
        <f ca="1"/>
        <v>7211225</v>
      </c>
      <c r="E80">
        <f t="shared" ca="1" si="21"/>
        <v>1139517774.5</v>
      </c>
      <c r="F80">
        <f ca="1">SUM($E$2:E80)/SUM($D$2:D80)</f>
        <v>165.69971928488837</v>
      </c>
      <c r="G80">
        <f ca="1">_xlfn.STDEV.P($C$2:C80)</f>
        <v>4.8481829487120249</v>
      </c>
      <c r="H80">
        <f t="shared" ca="1" si="22"/>
        <v>170.54790223360041</v>
      </c>
      <c r="I80">
        <f t="shared" ca="1" si="23"/>
        <v>160.85153633617634</v>
      </c>
      <c r="J80">
        <f t="shared" ca="1" si="12"/>
        <v>164.28400000000002</v>
      </c>
      <c r="K80">
        <f t="shared" ca="1" si="13"/>
        <v>3.3288711536938034</v>
      </c>
      <c r="L80">
        <f t="shared" ca="1" si="14"/>
        <v>170.94174230738761</v>
      </c>
      <c r="M80">
        <f t="shared" ca="1" si="15"/>
        <v>157.62625769261243</v>
      </c>
      <c r="N80">
        <f t="shared" ca="1" si="24"/>
        <v>-0.5</v>
      </c>
      <c r="O80">
        <f t="shared" ca="1" si="25"/>
        <v>0</v>
      </c>
      <c r="P80">
        <f t="shared" ca="1" si="26"/>
        <v>0.5</v>
      </c>
      <c r="Q80">
        <f t="shared" ca="1" si="10"/>
        <v>0.50617234929081267</v>
      </c>
      <c r="R80">
        <f t="shared" ca="1" si="11"/>
        <v>0.88982548572414877</v>
      </c>
      <c r="S80">
        <f t="shared" ref="S80:S143" ca="1" si="28">IF(R80=0,NA(),Q80/R80)</f>
        <v>0.5688445177302206</v>
      </c>
      <c r="T80">
        <f t="shared" ref="T80:T143" ca="1" si="29">100-(100/(1+S80))</f>
        <v>36.25882050779741</v>
      </c>
      <c r="U80">
        <f>70</f>
        <v>70</v>
      </c>
      <c r="V80">
        <f>30</f>
        <v>30</v>
      </c>
      <c r="W80">
        <f t="shared" ca="1" si="27"/>
        <v>161.73256238376078</v>
      </c>
      <c r="X80">
        <f t="shared" ca="1" si="17"/>
        <v>162.96238618684126</v>
      </c>
      <c r="Y80">
        <f t="shared" ca="1" si="16"/>
        <v>-1.3503261616708357</v>
      </c>
      <c r="Z80">
        <f t="shared" ca="1" si="18"/>
        <v>-0.59225502047754786</v>
      </c>
      <c r="AA80">
        <f t="shared" ca="1" si="19"/>
        <v>-0.75807114119328789</v>
      </c>
    </row>
    <row r="81" spans="1:27" x14ac:dyDescent="0.25">
      <c r="A81" s="20">
        <f t="shared" ca="1" si="20"/>
        <v>45824</v>
      </c>
      <c r="B81" vm="237">
        <f ca="1"/>
        <v>45828</v>
      </c>
      <c r="C81" vm="238">
        <f ca="1"/>
        <v>159.08000000000001</v>
      </c>
      <c r="D81" vm="239">
        <f ca="1"/>
        <v>16173371</v>
      </c>
      <c r="E81">
        <f t="shared" ca="1" si="21"/>
        <v>2572859858.6800003</v>
      </c>
      <c r="F81">
        <f ca="1">SUM($E$2:E81)/SUM($D$2:D81)</f>
        <v>165.54035794536074</v>
      </c>
      <c r="G81">
        <f ca="1">_xlfn.STDEV.P($C$2:C81)</f>
        <v>4.8736175988684209</v>
      </c>
      <c r="H81">
        <f t="shared" ca="1" si="22"/>
        <v>170.41397554422917</v>
      </c>
      <c r="I81">
        <f t="shared" ca="1" si="23"/>
        <v>160.6667403464923</v>
      </c>
      <c r="J81">
        <f t="shared" ca="1" si="12"/>
        <v>163.9665</v>
      </c>
      <c r="K81">
        <f t="shared" ca="1" si="13"/>
        <v>3.5116232189087309</v>
      </c>
      <c r="L81">
        <f t="shared" ca="1" si="14"/>
        <v>170.98974643781744</v>
      </c>
      <c r="M81">
        <f t="shared" ca="1" si="15"/>
        <v>156.94325356218255</v>
      </c>
      <c r="N81">
        <f t="shared" ca="1" si="24"/>
        <v>1.0600000000000023</v>
      </c>
      <c r="O81">
        <f t="shared" ca="1" si="25"/>
        <v>1.0600000000000023</v>
      </c>
      <c r="P81">
        <f t="shared" ca="1" si="26"/>
        <v>0</v>
      </c>
      <c r="Q81">
        <f t="shared" ref="Q81:Q144" ca="1" si="30">(Q80*13+O81)/14</f>
        <v>0.54573146719861199</v>
      </c>
      <c r="R81">
        <f t="shared" ref="R81:R144" ca="1" si="31">(R80*13+P81)/14</f>
        <v>0.82626652245813814</v>
      </c>
      <c r="S81">
        <f t="shared" ca="1" si="28"/>
        <v>0.66047873460377415</v>
      </c>
      <c r="T81">
        <f t="shared" ca="1" si="29"/>
        <v>39.7764042886932</v>
      </c>
      <c r="U81">
        <f>70</f>
        <v>70</v>
      </c>
      <c r="V81">
        <f>30</f>
        <v>30</v>
      </c>
      <c r="W81">
        <f t="shared" ca="1" si="27"/>
        <v>161.32447586318219</v>
      </c>
      <c r="X81">
        <f t="shared" ca="1" si="17"/>
        <v>162.67480202485302</v>
      </c>
      <c r="Y81">
        <f t="shared" ca="1" si="16"/>
        <v>-1.2737929535958017</v>
      </c>
      <c r="Z81">
        <f t="shared" ca="1" si="18"/>
        <v>-0.72856260710119858</v>
      </c>
      <c r="AA81">
        <f t="shared" ca="1" si="19"/>
        <v>-0.54523034649460311</v>
      </c>
    </row>
    <row r="82" spans="1:27" x14ac:dyDescent="0.25">
      <c r="A82" s="20">
        <f t="shared" ca="1" si="20"/>
        <v>45831</v>
      </c>
      <c r="B82" vm="240">
        <f ca="1"/>
        <v>45831</v>
      </c>
      <c r="C82" vm="241">
        <f ca="1"/>
        <v>161.03</v>
      </c>
      <c r="D82" vm="242">
        <f ca="1"/>
        <v>6588223</v>
      </c>
      <c r="E82">
        <f t="shared" ca="1" si="21"/>
        <v>1060901549.6900001</v>
      </c>
      <c r="F82">
        <f ca="1">SUM($E$2:E82)/SUM($D$2:D82)</f>
        <v>165.49655694637207</v>
      </c>
      <c r="G82">
        <f ca="1">_xlfn.STDEV.P($C$2:C82)</f>
        <v>4.8698641837442045</v>
      </c>
      <c r="H82">
        <f t="shared" ca="1" si="22"/>
        <v>170.36642113011627</v>
      </c>
      <c r="I82">
        <f t="shared" ca="1" si="23"/>
        <v>160.62669276262787</v>
      </c>
      <c r="J82">
        <f t="shared" ca="1" si="12"/>
        <v>163.76650000000001</v>
      </c>
      <c r="K82">
        <f t="shared" ca="1" si="13"/>
        <v>3.5614194021337489</v>
      </c>
      <c r="L82">
        <f t="shared" ca="1" si="14"/>
        <v>170.88933880426751</v>
      </c>
      <c r="M82">
        <f t="shared" ca="1" si="15"/>
        <v>156.64366119573251</v>
      </c>
      <c r="N82">
        <f t="shared" ca="1" si="24"/>
        <v>1.9499999999999886</v>
      </c>
      <c r="O82">
        <f t="shared" ca="1" si="25"/>
        <v>1.9499999999999886</v>
      </c>
      <c r="P82">
        <f t="shared" ca="1" si="26"/>
        <v>0</v>
      </c>
      <c r="Q82">
        <f t="shared" ca="1" si="30"/>
        <v>0.64603636239871043</v>
      </c>
      <c r="R82">
        <f t="shared" ca="1" si="31"/>
        <v>0.76724748513969965</v>
      </c>
      <c r="S82">
        <f t="shared" ca="1" si="28"/>
        <v>0.84201822086269962</v>
      </c>
      <c r="T82">
        <f t="shared" ca="1" si="29"/>
        <v>45.71172050992768</v>
      </c>
      <c r="U82">
        <f>70</f>
        <v>70</v>
      </c>
      <c r="V82">
        <f>30</f>
        <v>30</v>
      </c>
      <c r="W82">
        <f t="shared" ca="1" si="27"/>
        <v>161.27917188423109</v>
      </c>
      <c r="X82">
        <f t="shared" ca="1" si="17"/>
        <v>162.55296483782689</v>
      </c>
      <c r="Y82">
        <f t="shared" ca="1" si="16"/>
        <v>-1.2527621728692395</v>
      </c>
      <c r="Z82">
        <f t="shared" ca="1" si="18"/>
        <v>-0.83340252025480677</v>
      </c>
      <c r="AA82">
        <f t="shared" ca="1" si="19"/>
        <v>-0.41935965261443275</v>
      </c>
    </row>
    <row r="83" spans="1:27" x14ac:dyDescent="0.25">
      <c r="A83" s="20">
        <f t="shared" ca="1" si="20"/>
        <v>45831</v>
      </c>
      <c r="B83" vm="243">
        <f ca="1"/>
        <v>45832</v>
      </c>
      <c r="C83" vm="244">
        <f ca="1"/>
        <v>160.36000000000001</v>
      </c>
      <c r="D83" vm="245">
        <f ca="1"/>
        <v>7470052</v>
      </c>
      <c r="E83">
        <f t="shared" ca="1" si="21"/>
        <v>1197897538.72</v>
      </c>
      <c r="F83">
        <f ca="1">SUM($E$2:E83)/SUM($D$2:D83)</f>
        <v>165.44061410122561</v>
      </c>
      <c r="G83">
        <f ca="1">_xlfn.STDEV.P($C$2:C83)</f>
        <v>4.8736298231587734</v>
      </c>
      <c r="H83">
        <f t="shared" ca="1" si="22"/>
        <v>170.31424392438439</v>
      </c>
      <c r="I83">
        <f t="shared" ca="1" si="23"/>
        <v>160.56698427806683</v>
      </c>
      <c r="J83">
        <f t="shared" ca="1" si="12"/>
        <v>163.4915</v>
      </c>
      <c r="K83">
        <f t="shared" ca="1" si="13"/>
        <v>3.6033570239576909</v>
      </c>
      <c r="L83">
        <f t="shared" ca="1" si="14"/>
        <v>170.69821404791537</v>
      </c>
      <c r="M83">
        <f t="shared" ca="1" si="15"/>
        <v>156.28478595208463</v>
      </c>
      <c r="N83">
        <f t="shared" ca="1" si="24"/>
        <v>-0.66999999999998749</v>
      </c>
      <c r="O83">
        <f t="shared" ca="1" si="25"/>
        <v>0</v>
      </c>
      <c r="P83">
        <f t="shared" ca="1" si="26"/>
        <v>0.66999999999998749</v>
      </c>
      <c r="Q83">
        <f t="shared" ca="1" si="30"/>
        <v>0.59989090794165967</v>
      </c>
      <c r="R83">
        <f t="shared" ca="1" si="31"/>
        <v>0.76030123620114876</v>
      </c>
      <c r="S83">
        <f t="shared" ca="1" si="28"/>
        <v>0.78901740438963297</v>
      </c>
      <c r="T83">
        <f t="shared" ca="1" si="29"/>
        <v>44.103394547960008</v>
      </c>
      <c r="U83">
        <f>70</f>
        <v>70</v>
      </c>
      <c r="V83">
        <f>30</f>
        <v>30</v>
      </c>
      <c r="W83">
        <f t="shared" ca="1" si="27"/>
        <v>161.13776082511862</v>
      </c>
      <c r="X83">
        <f t="shared" ca="1" si="17"/>
        <v>162.39052299798786</v>
      </c>
      <c r="Y83">
        <f t="shared" ca="1" si="16"/>
        <v>-1.332891764347039</v>
      </c>
      <c r="Z83">
        <f t="shared" ca="1" si="18"/>
        <v>-0.93330036907325331</v>
      </c>
      <c r="AA83">
        <f t="shared" ca="1" si="19"/>
        <v>-0.39959139527378573</v>
      </c>
    </row>
    <row r="84" spans="1:27" x14ac:dyDescent="0.25">
      <c r="A84" s="20">
        <f t="shared" ca="1" si="20"/>
        <v>45831</v>
      </c>
      <c r="B84" vm="246">
        <f ca="1"/>
        <v>45833</v>
      </c>
      <c r="C84" vm="247">
        <f ca="1"/>
        <v>158.97</v>
      </c>
      <c r="D84" vm="248">
        <f ca="1"/>
        <v>5933715</v>
      </c>
      <c r="E84">
        <f t="shared" ca="1" si="21"/>
        <v>943282673.54999995</v>
      </c>
      <c r="F84">
        <f ca="1">SUM($E$2:E84)/SUM($D$2:D84)</f>
        <v>165.38511576056808</v>
      </c>
      <c r="G84">
        <f ca="1">_xlfn.STDEV.P($C$2:C84)</f>
        <v>4.8962566924038713</v>
      </c>
      <c r="H84">
        <f t="shared" ca="1" si="22"/>
        <v>170.28137245297197</v>
      </c>
      <c r="I84">
        <f t="shared" ca="1" si="23"/>
        <v>160.4888590681642</v>
      </c>
      <c r="J84">
        <f t="shared" ca="1" si="12"/>
        <v>163.05199999999999</v>
      </c>
      <c r="K84">
        <f t="shared" ca="1" si="13"/>
        <v>3.5913647896908989</v>
      </c>
      <c r="L84">
        <f t="shared" ca="1" si="14"/>
        <v>170.23472957938179</v>
      </c>
      <c r="M84">
        <f t="shared" ca="1" si="15"/>
        <v>155.86927042061819</v>
      </c>
      <c r="N84">
        <f t="shared" ca="1" si="24"/>
        <v>-1.3900000000000148</v>
      </c>
      <c r="O84">
        <f t="shared" ca="1" si="25"/>
        <v>0</v>
      </c>
      <c r="P84">
        <f t="shared" ca="1" si="26"/>
        <v>1.3900000000000148</v>
      </c>
      <c r="Q84">
        <f t="shared" ca="1" si="30"/>
        <v>0.55704155737439831</v>
      </c>
      <c r="R84">
        <f t="shared" ca="1" si="31"/>
        <v>0.80527971932963915</v>
      </c>
      <c r="S84">
        <f t="shared" ca="1" si="28"/>
        <v>0.69173672700724609</v>
      </c>
      <c r="T84">
        <f t="shared" ca="1" si="29"/>
        <v>40.889147582139309</v>
      </c>
      <c r="U84">
        <f>70</f>
        <v>70</v>
      </c>
      <c r="V84">
        <f>30</f>
        <v>30</v>
      </c>
      <c r="W84">
        <f t="shared" ca="1" si="27"/>
        <v>160.80425915971577</v>
      </c>
      <c r="X84">
        <f t="shared" ca="1" si="17"/>
        <v>162.13715092406281</v>
      </c>
      <c r="Y84">
        <f t="shared" ca="1" si="16"/>
        <v>-1.4076042161960913</v>
      </c>
      <c r="Z84">
        <f t="shared" ca="1" si="18"/>
        <v>-1.0281611384978209</v>
      </c>
      <c r="AA84">
        <f t="shared" ca="1" si="19"/>
        <v>-0.37944307769827046</v>
      </c>
    </row>
    <row r="85" spans="1:27" x14ac:dyDescent="0.25">
      <c r="A85" s="20">
        <f t="shared" ca="1" si="20"/>
        <v>45831</v>
      </c>
      <c r="B85" vm="249">
        <f ca="1"/>
        <v>45834</v>
      </c>
      <c r="C85" vm="250">
        <f ca="1"/>
        <v>158.63</v>
      </c>
      <c r="D85" vm="251">
        <f ca="1"/>
        <v>7410446</v>
      </c>
      <c r="E85">
        <f t="shared" ca="1" si="21"/>
        <v>1175519048.98</v>
      </c>
      <c r="F85">
        <f ca="1">SUM($E$2:E85)/SUM($D$2:D85)</f>
        <v>165.31352487556484</v>
      </c>
      <c r="G85">
        <f ca="1">_xlfn.STDEV.P($C$2:C85)</f>
        <v>4.9224121782408989</v>
      </c>
      <c r="H85">
        <f t="shared" ca="1" si="22"/>
        <v>170.23593705380574</v>
      </c>
      <c r="I85">
        <f t="shared" ca="1" si="23"/>
        <v>160.39111269732393</v>
      </c>
      <c r="J85">
        <f t="shared" ca="1" si="12"/>
        <v>162.6155</v>
      </c>
      <c r="K85">
        <f t="shared" ca="1" si="13"/>
        <v>3.5706751167634474</v>
      </c>
      <c r="L85">
        <f t="shared" ca="1" si="14"/>
        <v>169.7568502335269</v>
      </c>
      <c r="M85">
        <f t="shared" ca="1" si="15"/>
        <v>155.47414976647309</v>
      </c>
      <c r="N85">
        <f t="shared" ca="1" si="24"/>
        <v>-0.34000000000000341</v>
      </c>
      <c r="O85">
        <f t="shared" ca="1" si="25"/>
        <v>0</v>
      </c>
      <c r="P85">
        <f t="shared" ca="1" si="26"/>
        <v>0.34000000000000341</v>
      </c>
      <c r="Q85">
        <f t="shared" ca="1" si="30"/>
        <v>0.51725287470479842</v>
      </c>
      <c r="R85">
        <f t="shared" ca="1" si="31"/>
        <v>0.77204545366323651</v>
      </c>
      <c r="S85">
        <f t="shared" ca="1" si="28"/>
        <v>0.66997723029196454</v>
      </c>
      <c r="T85">
        <f t="shared" ca="1" si="29"/>
        <v>40.118944027448286</v>
      </c>
      <c r="U85">
        <f>70</f>
        <v>70</v>
      </c>
      <c r="V85">
        <f>30</f>
        <v>30</v>
      </c>
      <c r="W85">
        <f t="shared" ca="1" si="27"/>
        <v>160.46975775052874</v>
      </c>
      <c r="X85">
        <f t="shared" ca="1" si="17"/>
        <v>161.87736196672483</v>
      </c>
      <c r="Y85">
        <f t="shared" ca="1" si="16"/>
        <v>-1.3519788811354374</v>
      </c>
      <c r="Z85">
        <f t="shared" ca="1" si="18"/>
        <v>-1.0929246870253442</v>
      </c>
      <c r="AA85">
        <f t="shared" ca="1" si="19"/>
        <v>-0.25905419411009323</v>
      </c>
    </row>
    <row r="86" spans="1:27" x14ac:dyDescent="0.25">
      <c r="A86" s="20">
        <f t="shared" ca="1" si="20"/>
        <v>45831</v>
      </c>
      <c r="B86" vm="252">
        <f ca="1"/>
        <v>45835</v>
      </c>
      <c r="C86" vm="253">
        <f ca="1"/>
        <v>159.86000000000001</v>
      </c>
      <c r="D86" vm="254">
        <f ca="1"/>
        <v>19256955</v>
      </c>
      <c r="E86">
        <f t="shared" ca="1" si="21"/>
        <v>3078416826.3000002</v>
      </c>
      <c r="F86">
        <f ca="1">SUM($E$2:E86)/SUM($D$2:D86)</f>
        <v>165.16735877835336</v>
      </c>
      <c r="G86">
        <f ca="1">_xlfn.STDEV.P($C$2:C86)</f>
        <v>4.9288970726665786</v>
      </c>
      <c r="H86">
        <f t="shared" ca="1" si="22"/>
        <v>170.09625585101995</v>
      </c>
      <c r="I86">
        <f t="shared" ca="1" si="23"/>
        <v>160.23846170568677</v>
      </c>
      <c r="J86">
        <f t="shared" ref="J86:J149" ca="1" si="32">AVERAGE(C67:C86)</f>
        <v>162.18049999999999</v>
      </c>
      <c r="K86">
        <f t="shared" ref="K86:K149" ca="1" si="33">_xlfn.STDEV.S(C67:C86)</f>
        <v>3.330211744492813</v>
      </c>
      <c r="L86">
        <f t="shared" ref="L86:L149" ca="1" si="34">J86 + 2*K86</f>
        <v>168.84092348898562</v>
      </c>
      <c r="M86">
        <f t="shared" ref="M86:M149" ca="1" si="35">J86-2*K86</f>
        <v>155.52007651101437</v>
      </c>
      <c r="N86">
        <f t="shared" ca="1" si="24"/>
        <v>1.2300000000000182</v>
      </c>
      <c r="O86">
        <f t="shared" ca="1" si="25"/>
        <v>1.2300000000000182</v>
      </c>
      <c r="P86">
        <f t="shared" ca="1" si="26"/>
        <v>0</v>
      </c>
      <c r="Q86">
        <f t="shared" ca="1" si="30"/>
        <v>0.56816338365445695</v>
      </c>
      <c r="R86">
        <f t="shared" ca="1" si="31"/>
        <v>0.71689934983014825</v>
      </c>
      <c r="S86">
        <f t="shared" ca="1" si="28"/>
        <v>0.79252880308661089</v>
      </c>
      <c r="T86">
        <f t="shared" ca="1" si="29"/>
        <v>44.212890845710874</v>
      </c>
      <c r="U86">
        <f>70</f>
        <v>70</v>
      </c>
      <c r="V86">
        <f>30</f>
        <v>30</v>
      </c>
      <c r="W86">
        <f t="shared" ca="1" si="27"/>
        <v>160.37594886583202</v>
      </c>
      <c r="X86">
        <f t="shared" ca="1" si="17"/>
        <v>161.72792774696745</v>
      </c>
      <c r="Y86">
        <f t="shared" ca="1" si="16"/>
        <v>-1.3360675345080324</v>
      </c>
      <c r="Z86">
        <f t="shared" ca="1" si="18"/>
        <v>-1.141553256521882</v>
      </c>
      <c r="AA86">
        <f t="shared" ca="1" si="19"/>
        <v>-0.1945142779861504</v>
      </c>
    </row>
    <row r="87" spans="1:27" x14ac:dyDescent="0.25">
      <c r="A87" s="20">
        <f t="shared" ca="1" si="20"/>
        <v>45838</v>
      </c>
      <c r="B87" vm="255">
        <f ca="1"/>
        <v>45838</v>
      </c>
      <c r="C87" vm="256">
        <f ca="1"/>
        <v>159.32</v>
      </c>
      <c r="D87" vm="257">
        <f ca="1"/>
        <v>11238201</v>
      </c>
      <c r="E87">
        <f t="shared" ca="1" si="21"/>
        <v>1790470183.3199999</v>
      </c>
      <c r="F87">
        <f ca="1">SUM($E$2:E87)/SUM($D$2:D87)</f>
        <v>165.07730585122783</v>
      </c>
      <c r="G87">
        <f ca="1">_xlfn.STDEV.P($C$2:C87)</f>
        <v>4.941553923461206</v>
      </c>
      <c r="H87">
        <f t="shared" ca="1" si="22"/>
        <v>170.01885977468905</v>
      </c>
      <c r="I87">
        <f t="shared" ca="1" si="23"/>
        <v>160.13575192776662</v>
      </c>
      <c r="J87">
        <f t="shared" ca="1" si="32"/>
        <v>161.65200000000002</v>
      </c>
      <c r="K87">
        <f t="shared" ca="1" si="33"/>
        <v>2.8458253820751453</v>
      </c>
      <c r="L87">
        <f t="shared" ca="1" si="34"/>
        <v>167.34365076415031</v>
      </c>
      <c r="M87">
        <f t="shared" ca="1" si="35"/>
        <v>155.96034923584972</v>
      </c>
      <c r="N87">
        <f t="shared" ca="1" si="24"/>
        <v>-0.54000000000002046</v>
      </c>
      <c r="O87">
        <f t="shared" ca="1" si="25"/>
        <v>0</v>
      </c>
      <c r="P87">
        <f t="shared" ca="1" si="26"/>
        <v>0.54000000000002046</v>
      </c>
      <c r="Q87">
        <f t="shared" ca="1" si="30"/>
        <v>0.52758028482199582</v>
      </c>
      <c r="R87">
        <f t="shared" ca="1" si="31"/>
        <v>0.70426368198513922</v>
      </c>
      <c r="S87">
        <f t="shared" ca="1" si="28"/>
        <v>0.74912323085421917</v>
      </c>
      <c r="T87">
        <f t="shared" ca="1" si="29"/>
        <v>42.828499309815349</v>
      </c>
      <c r="U87">
        <f>70</f>
        <v>70</v>
      </c>
      <c r="V87">
        <f>30</f>
        <v>30</v>
      </c>
      <c r="W87">
        <f t="shared" ca="1" si="27"/>
        <v>160.21349519416555</v>
      </c>
      <c r="X87">
        <f t="shared" ca="1" si="17"/>
        <v>161.54956272867358</v>
      </c>
      <c r="Y87">
        <f t="shared" ca="1" si="16"/>
        <v>-1.1568085873269069</v>
      </c>
      <c r="Z87">
        <f t="shared" ca="1" si="18"/>
        <v>-1.144604322682887</v>
      </c>
      <c r="AA87">
        <f t="shared" ca="1" si="19"/>
        <v>-1.2204264644019913E-2</v>
      </c>
    </row>
    <row r="88" spans="1:27" x14ac:dyDescent="0.25">
      <c r="A88" s="20">
        <f t="shared" ca="1" si="20"/>
        <v>45838</v>
      </c>
      <c r="B88" vm="258">
        <f ca="1"/>
        <v>45839</v>
      </c>
      <c r="C88" vm="259">
        <f ca="1"/>
        <v>161.22</v>
      </c>
      <c r="D88" vm="260">
        <f ca="1"/>
        <v>10664891</v>
      </c>
      <c r="E88">
        <f t="shared" ca="1" si="21"/>
        <v>1719393727.02</v>
      </c>
      <c r="F88">
        <f ca="1">SUM($E$2:E88)/SUM($D$2:D88)</f>
        <v>165.02174351078366</v>
      </c>
      <c r="G88">
        <f ca="1">_xlfn.STDEV.P($C$2:C88)</f>
        <v>4.931398354872897</v>
      </c>
      <c r="H88">
        <f t="shared" ca="1" si="22"/>
        <v>169.95314186565656</v>
      </c>
      <c r="I88">
        <f t="shared" ca="1" si="23"/>
        <v>160.09034515591077</v>
      </c>
      <c r="J88">
        <f t="shared" ca="1" si="32"/>
        <v>161.32400000000001</v>
      </c>
      <c r="K88">
        <f t="shared" ca="1" si="33"/>
        <v>2.4533358600292074</v>
      </c>
      <c r="L88">
        <f t="shared" ca="1" si="34"/>
        <v>166.23067172005844</v>
      </c>
      <c r="M88">
        <f t="shared" ca="1" si="35"/>
        <v>156.41732827994159</v>
      </c>
      <c r="N88">
        <f t="shared" ca="1" si="24"/>
        <v>1.9000000000000057</v>
      </c>
      <c r="O88">
        <f t="shared" ca="1" si="25"/>
        <v>1.9000000000000057</v>
      </c>
      <c r="P88">
        <f t="shared" ca="1" si="26"/>
        <v>0</v>
      </c>
      <c r="Q88">
        <f t="shared" ca="1" si="30"/>
        <v>0.62561026447756796</v>
      </c>
      <c r="R88">
        <f t="shared" ca="1" si="31"/>
        <v>0.65395913327191502</v>
      </c>
      <c r="S88">
        <f t="shared" ca="1" si="28"/>
        <v>0.95665039701714871</v>
      </c>
      <c r="T88">
        <f t="shared" ca="1" si="29"/>
        <v>48.892249656634206</v>
      </c>
      <c r="U88">
        <f>70</f>
        <v>70</v>
      </c>
      <c r="V88">
        <f>30</f>
        <v>30</v>
      </c>
      <c r="W88">
        <f t="shared" ca="1" si="27"/>
        <v>160.36834208737085</v>
      </c>
      <c r="X88">
        <f t="shared" ca="1" si="17"/>
        <v>161.52515067469776</v>
      </c>
      <c r="Y88">
        <f t="shared" ca="1" si="16"/>
        <v>-1.0047759809904164</v>
      </c>
      <c r="Z88">
        <f t="shared" ca="1" si="18"/>
        <v>-1.1166386543443929</v>
      </c>
      <c r="AA88">
        <f t="shared" ca="1" si="19"/>
        <v>0.11186267335397648</v>
      </c>
    </row>
    <row r="89" spans="1:27" x14ac:dyDescent="0.25">
      <c r="A89" s="20">
        <f t="shared" ca="1" si="20"/>
        <v>45838</v>
      </c>
      <c r="B89" vm="261">
        <f ca="1"/>
        <v>45840</v>
      </c>
      <c r="C89" vm="262">
        <f ca="1"/>
        <v>161.19999999999999</v>
      </c>
      <c r="D89" vm="263">
        <f ca="1"/>
        <v>8848744</v>
      </c>
      <c r="E89">
        <f t="shared" ca="1" si="21"/>
        <v>1426417532.8</v>
      </c>
      <c r="F89">
        <f ca="1">SUM($E$2:E89)/SUM($D$2:D89)</f>
        <v>164.97660746471618</v>
      </c>
      <c r="G89">
        <f ca="1">_xlfn.STDEV.P($C$2:C89)</f>
        <v>4.9212217948421015</v>
      </c>
      <c r="H89">
        <f t="shared" ca="1" si="22"/>
        <v>169.89782925955828</v>
      </c>
      <c r="I89">
        <f t="shared" ca="1" si="23"/>
        <v>160.05538566987408</v>
      </c>
      <c r="J89">
        <f t="shared" ca="1" si="32"/>
        <v>161.04149999999998</v>
      </c>
      <c r="K89">
        <f t="shared" ca="1" si="33"/>
        <v>2.0804965879884478</v>
      </c>
      <c r="L89">
        <f t="shared" ca="1" si="34"/>
        <v>165.20249317597688</v>
      </c>
      <c r="M89">
        <f t="shared" ca="1" si="35"/>
        <v>156.88050682402309</v>
      </c>
      <c r="N89">
        <f t="shared" ca="1" si="24"/>
        <v>-2.0000000000010232E-2</v>
      </c>
      <c r="O89">
        <f t="shared" ca="1" si="25"/>
        <v>0</v>
      </c>
      <c r="P89">
        <f t="shared" ca="1" si="26"/>
        <v>2.0000000000010232E-2</v>
      </c>
      <c r="Q89">
        <f t="shared" ca="1" si="30"/>
        <v>0.58092381701488449</v>
      </c>
      <c r="R89">
        <f t="shared" ca="1" si="31"/>
        <v>0.60867633803820753</v>
      </c>
      <c r="S89">
        <f t="shared" ca="1" si="28"/>
        <v>0.9544051258625057</v>
      </c>
      <c r="T89">
        <f t="shared" ca="1" si="29"/>
        <v>48.833535751259028</v>
      </c>
      <c r="U89">
        <f>70</f>
        <v>70</v>
      </c>
      <c r="V89">
        <f>30</f>
        <v>30</v>
      </c>
      <c r="W89">
        <f t="shared" ca="1" si="27"/>
        <v>160.49628945854457</v>
      </c>
      <c r="X89">
        <f t="shared" ca="1" si="17"/>
        <v>161.50106543953498</v>
      </c>
      <c r="Y89">
        <f t="shared" ca="1" si="16"/>
        <v>-0.90372734661292498</v>
      </c>
      <c r="Z89">
        <f t="shared" ca="1" si="18"/>
        <v>-1.0740563927980993</v>
      </c>
      <c r="AA89">
        <f t="shared" ca="1" si="19"/>
        <v>0.1703290461851743</v>
      </c>
    </row>
    <row r="90" spans="1:27" x14ac:dyDescent="0.25">
      <c r="A90" s="20">
        <f t="shared" ca="1" si="20"/>
        <v>45838</v>
      </c>
      <c r="B90" vm="264">
        <f ca="1"/>
        <v>45841</v>
      </c>
      <c r="C90" vm="265">
        <f ca="1"/>
        <v>160.83000000000001</v>
      </c>
      <c r="D90" vm="266">
        <f ca="1"/>
        <v>6999589</v>
      </c>
      <c r="E90">
        <f t="shared" ca="1" si="21"/>
        <v>1125743898.8700001</v>
      </c>
      <c r="F90">
        <f ca="1">SUM($E$2:E90)/SUM($D$2:D90)</f>
        <v>164.9382272549679</v>
      </c>
      <c r="G90">
        <f ca="1">_xlfn.STDEV.P($C$2:C90)</f>
        <v>4.9142850266921085</v>
      </c>
      <c r="H90">
        <f t="shared" ca="1" si="22"/>
        <v>169.85251228166001</v>
      </c>
      <c r="I90">
        <f t="shared" ca="1" si="23"/>
        <v>160.02394222827579</v>
      </c>
      <c r="J90">
        <f t="shared" ca="1" si="32"/>
        <v>160.78549999999998</v>
      </c>
      <c r="K90">
        <f t="shared" ca="1" si="33"/>
        <v>1.7302493735692681</v>
      </c>
      <c r="L90">
        <f t="shared" ca="1" si="34"/>
        <v>164.24599874713851</v>
      </c>
      <c r="M90">
        <f t="shared" ca="1" si="35"/>
        <v>157.32500125286145</v>
      </c>
      <c r="N90">
        <f t="shared" ca="1" si="24"/>
        <v>-0.36999999999997613</v>
      </c>
      <c r="O90">
        <f t="shared" ca="1" si="25"/>
        <v>0</v>
      </c>
      <c r="P90">
        <f t="shared" ca="1" si="26"/>
        <v>0.36999999999997613</v>
      </c>
      <c r="Q90">
        <f t="shared" ca="1" si="30"/>
        <v>0.53942925865667846</v>
      </c>
      <c r="R90">
        <f t="shared" ca="1" si="31"/>
        <v>0.59162802817833382</v>
      </c>
      <c r="S90">
        <f t="shared" ca="1" si="28"/>
        <v>0.91177096581718886</v>
      </c>
      <c r="T90">
        <f t="shared" ca="1" si="29"/>
        <v>47.692478969490537</v>
      </c>
      <c r="U90">
        <f>70</f>
        <v>70</v>
      </c>
      <c r="V90">
        <f>30</f>
        <v>30</v>
      </c>
      <c r="W90">
        <f t="shared" ca="1" si="27"/>
        <v>160.5476295418454</v>
      </c>
      <c r="X90">
        <f t="shared" ca="1" si="17"/>
        <v>161.45135688845832</v>
      </c>
      <c r="Y90">
        <f t="shared" ca="1" si="16"/>
        <v>-0.84058408780876448</v>
      </c>
      <c r="Z90">
        <f t="shared" ca="1" si="18"/>
        <v>-1.0273619318002325</v>
      </c>
      <c r="AA90">
        <f t="shared" ca="1" si="19"/>
        <v>0.18677784399146802</v>
      </c>
    </row>
    <row r="91" spans="1:27" x14ac:dyDescent="0.25">
      <c r="A91" s="20">
        <f t="shared" ca="1" si="20"/>
        <v>45845</v>
      </c>
      <c r="B91" vm="267">
        <f ca="1"/>
        <v>45845</v>
      </c>
      <c r="C91" vm="268">
        <f ca="1"/>
        <v>160.5</v>
      </c>
      <c r="D91" vm="269">
        <f ca="1"/>
        <v>7225695</v>
      </c>
      <c r="E91">
        <f t="shared" ca="1" si="21"/>
        <v>1159724047.5</v>
      </c>
      <c r="F91">
        <f ca="1">SUM($E$2:E91)/SUM($D$2:D91)</f>
        <v>164.89622224002824</v>
      </c>
      <c r="G91">
        <f ca="1">_xlfn.STDEV.P($C$2:C91)</f>
        <v>4.9102872159589479</v>
      </c>
      <c r="H91">
        <f t="shared" ca="1" si="22"/>
        <v>169.8065094559872</v>
      </c>
      <c r="I91">
        <f t="shared" ca="1" si="23"/>
        <v>159.98593502406928</v>
      </c>
      <c r="J91">
        <f t="shared" ca="1" si="32"/>
        <v>160.67049999999998</v>
      </c>
      <c r="K91">
        <f t="shared" ca="1" si="33"/>
        <v>1.6644944704339706</v>
      </c>
      <c r="L91">
        <f t="shared" ca="1" si="34"/>
        <v>163.99948894086791</v>
      </c>
      <c r="M91">
        <f t="shared" ca="1" si="35"/>
        <v>157.34151105913205</v>
      </c>
      <c r="N91">
        <f t="shared" ca="1" si="24"/>
        <v>-0.33000000000001251</v>
      </c>
      <c r="O91">
        <f t="shared" ca="1" si="25"/>
        <v>0</v>
      </c>
      <c r="P91">
        <f t="shared" ca="1" si="26"/>
        <v>0.33000000000001251</v>
      </c>
      <c r="Q91">
        <f t="shared" ca="1" si="30"/>
        <v>0.50089859732405861</v>
      </c>
      <c r="R91">
        <f t="shared" ca="1" si="31"/>
        <v>0.57294031187988226</v>
      </c>
      <c r="S91">
        <f t="shared" ca="1" si="28"/>
        <v>0.87425965137721484</v>
      </c>
      <c r="T91">
        <f t="shared" ca="1" si="29"/>
        <v>46.645599542987796</v>
      </c>
      <c r="U91">
        <f>70</f>
        <v>70</v>
      </c>
      <c r="V91">
        <f>30</f>
        <v>30</v>
      </c>
      <c r="W91">
        <f t="shared" ca="1" si="27"/>
        <v>160.54030192002301</v>
      </c>
      <c r="X91">
        <f t="shared" ca="1" si="17"/>
        <v>161.38088600783178</v>
      </c>
      <c r="Y91">
        <f t="shared" ca="1" si="16"/>
        <v>-0.98973869600709463</v>
      </c>
      <c r="Z91">
        <f t="shared" ca="1" si="18"/>
        <v>-1.0198372846416048</v>
      </c>
      <c r="AA91">
        <f t="shared" ca="1" si="19"/>
        <v>3.0098588634510204E-2</v>
      </c>
    </row>
    <row r="92" spans="1:27" x14ac:dyDescent="0.25">
      <c r="A92" s="20">
        <f t="shared" ca="1" si="20"/>
        <v>45845</v>
      </c>
      <c r="B92" vm="270">
        <f ca="1"/>
        <v>45846</v>
      </c>
      <c r="C92" vm="271">
        <f ca="1"/>
        <v>157.88999999999999</v>
      </c>
      <c r="D92" vm="272">
        <f ca="1"/>
        <v>12034764</v>
      </c>
      <c r="E92">
        <f t="shared" ca="1" si="21"/>
        <v>1900168887.9599998</v>
      </c>
      <c r="F92">
        <f ca="1">SUM($E$2:E92)/SUM($D$2:D92)</f>
        <v>164.78749436157659</v>
      </c>
      <c r="G92">
        <f ca="1">_xlfn.STDEV.P($C$2:C92)</f>
        <v>4.9394044395906747</v>
      </c>
      <c r="H92">
        <f t="shared" ca="1" si="22"/>
        <v>169.72689880116727</v>
      </c>
      <c r="I92">
        <f t="shared" ca="1" si="23"/>
        <v>159.84808992198592</v>
      </c>
      <c r="J92">
        <f t="shared" ca="1" si="32"/>
        <v>160.36399999999998</v>
      </c>
      <c r="K92">
        <f t="shared" ca="1" si="33"/>
        <v>1.5773642238674128</v>
      </c>
      <c r="L92">
        <f t="shared" ca="1" si="34"/>
        <v>163.51872844773482</v>
      </c>
      <c r="M92">
        <f t="shared" ca="1" si="35"/>
        <v>157.20927155226514</v>
      </c>
      <c r="N92">
        <f t="shared" ca="1" si="24"/>
        <v>-2.6100000000000136</v>
      </c>
      <c r="O92">
        <f t="shared" ca="1" si="25"/>
        <v>0</v>
      </c>
      <c r="P92">
        <f t="shared" ca="1" si="26"/>
        <v>2.6100000000000136</v>
      </c>
      <c r="Q92">
        <f t="shared" ca="1" si="30"/>
        <v>0.46512012608662584</v>
      </c>
      <c r="R92">
        <f t="shared" ca="1" si="31"/>
        <v>0.71844457531703454</v>
      </c>
      <c r="S92">
        <f t="shared" ca="1" si="28"/>
        <v>0.6473987584656451</v>
      </c>
      <c r="T92">
        <f t="shared" ca="1" si="29"/>
        <v>39.298242464903858</v>
      </c>
      <c r="U92">
        <f>70</f>
        <v>70</v>
      </c>
      <c r="V92">
        <f>30</f>
        <v>30</v>
      </c>
      <c r="W92">
        <f t="shared" ca="1" si="27"/>
        <v>160.13256316309639</v>
      </c>
      <c r="X92">
        <f t="shared" ca="1" si="17"/>
        <v>161.12230185910349</v>
      </c>
      <c r="Y92">
        <f t="shared" ref="Y92:Y155" ca="1" si="36">W93-X93</f>
        <v>-1.1248343155812108</v>
      </c>
      <c r="Z92">
        <f t="shared" ca="1" si="18"/>
        <v>-1.0408366908295261</v>
      </c>
      <c r="AA92">
        <f t="shared" ca="1" si="19"/>
        <v>-8.3997624751684707E-2</v>
      </c>
    </row>
    <row r="93" spans="1:27" x14ac:dyDescent="0.25">
      <c r="A93" s="20">
        <f t="shared" ca="1" si="20"/>
        <v>45845</v>
      </c>
      <c r="B93" vm="273">
        <f ca="1"/>
        <v>45847</v>
      </c>
      <c r="C93" vm="274">
        <f ca="1"/>
        <v>157.52000000000001</v>
      </c>
      <c r="D93" vm="275">
        <f ca="1"/>
        <v>18770894</v>
      </c>
      <c r="E93">
        <f t="shared" ca="1" si="21"/>
        <v>2956791222.8800001</v>
      </c>
      <c r="F93">
        <f ca="1">SUM($E$2:E93)/SUM($D$2:D93)</f>
        <v>164.6157421997367</v>
      </c>
      <c r="G93">
        <f ca="1">_xlfn.STDEV.P($C$2:C93)</f>
        <v>4.9723183382977787</v>
      </c>
      <c r="H93">
        <f t="shared" ca="1" si="22"/>
        <v>169.58806053803448</v>
      </c>
      <c r="I93">
        <f t="shared" ca="1" si="23"/>
        <v>159.64342386143892</v>
      </c>
      <c r="J93">
        <f t="shared" ca="1" si="32"/>
        <v>160.11199999999999</v>
      </c>
      <c r="K93">
        <f t="shared" ca="1" si="33"/>
        <v>1.6103173927096357</v>
      </c>
      <c r="L93">
        <f t="shared" ca="1" si="34"/>
        <v>163.33263478541926</v>
      </c>
      <c r="M93">
        <f t="shared" ca="1" si="35"/>
        <v>156.89136521458073</v>
      </c>
      <c r="N93">
        <f t="shared" ca="1" si="24"/>
        <v>-0.36999999999997613</v>
      </c>
      <c r="O93">
        <f t="shared" ca="1" si="25"/>
        <v>0</v>
      </c>
      <c r="P93">
        <f t="shared" ca="1" si="26"/>
        <v>0.36999999999997613</v>
      </c>
      <c r="Q93">
        <f t="shared" ca="1" si="30"/>
        <v>0.4318972599375811</v>
      </c>
      <c r="R93">
        <f t="shared" ca="1" si="31"/>
        <v>0.6935556770801018</v>
      </c>
      <c r="S93">
        <f t="shared" ca="1" si="28"/>
        <v>0.62272903850471895</v>
      </c>
      <c r="T93">
        <f t="shared" ca="1" si="29"/>
        <v>38.375417197102685</v>
      </c>
      <c r="U93">
        <f>70</f>
        <v>70</v>
      </c>
      <c r="V93">
        <f>30</f>
        <v>30</v>
      </c>
      <c r="W93">
        <f t="shared" ca="1" si="27"/>
        <v>159.73063036877386</v>
      </c>
      <c r="X93">
        <f t="shared" ref="X93:X156" ca="1" si="37">C93*(2/(26+1)) + X92*(1-(2/(26+1)))</f>
        <v>160.85546468435507</v>
      </c>
      <c r="Y93">
        <f t="shared" ca="1" si="36"/>
        <v>-1.1404809199133012</v>
      </c>
      <c r="Z93">
        <f t="shared" ca="1" si="18"/>
        <v>-1.0607655366462811</v>
      </c>
      <c r="AA93">
        <f t="shared" ca="1" si="19"/>
        <v>-7.9715383267020101E-2</v>
      </c>
    </row>
    <row r="94" spans="1:27" x14ac:dyDescent="0.25">
      <c r="A94" s="20">
        <f t="shared" ca="1" si="20"/>
        <v>45845</v>
      </c>
      <c r="B94" vm="276">
        <f ca="1"/>
        <v>45848</v>
      </c>
      <c r="C94" vm="277">
        <f ca="1"/>
        <v>158.49</v>
      </c>
      <c r="D94" vm="278">
        <f ca="1"/>
        <v>7201748</v>
      </c>
      <c r="E94">
        <f t="shared" ca="1" si="21"/>
        <v>1141405040.52</v>
      </c>
      <c r="F94">
        <f ca="1">SUM($E$2:E94)/SUM($D$2:D94)</f>
        <v>164.56069830916587</v>
      </c>
      <c r="G94">
        <f ca="1">_xlfn.STDEV.P($C$2:C94)</f>
        <v>4.9889081549537462</v>
      </c>
      <c r="H94">
        <f t="shared" ca="1" si="22"/>
        <v>169.54960646411962</v>
      </c>
      <c r="I94">
        <f t="shared" ca="1" si="23"/>
        <v>159.57179015421212</v>
      </c>
      <c r="J94">
        <f t="shared" ca="1" si="32"/>
        <v>159.89449999999997</v>
      </c>
      <c r="K94">
        <f t="shared" ca="1" si="33"/>
        <v>1.5133110265764589</v>
      </c>
      <c r="L94">
        <f t="shared" ca="1" si="34"/>
        <v>162.92112205315289</v>
      </c>
      <c r="M94">
        <f t="shared" ca="1" si="35"/>
        <v>156.86787794684705</v>
      </c>
      <c r="N94">
        <f t="shared" ca="1" si="24"/>
        <v>0.96999999999999886</v>
      </c>
      <c r="O94">
        <f t="shared" ca="1" si="25"/>
        <v>0.96999999999999886</v>
      </c>
      <c r="P94">
        <f t="shared" ca="1" si="26"/>
        <v>0</v>
      </c>
      <c r="Q94">
        <f t="shared" ca="1" si="30"/>
        <v>0.47033316994203955</v>
      </c>
      <c r="R94">
        <f t="shared" ca="1" si="31"/>
        <v>0.64401598586009456</v>
      </c>
      <c r="S94">
        <f t="shared" ca="1" si="28"/>
        <v>0.7303128808423931</v>
      </c>
      <c r="T94">
        <f t="shared" ca="1" si="29"/>
        <v>42.206984004352115</v>
      </c>
      <c r="U94">
        <f>70</f>
        <v>70</v>
      </c>
      <c r="V94">
        <f>30</f>
        <v>30</v>
      </c>
      <c r="W94">
        <f t="shared" ca="1" si="27"/>
        <v>159.53976415819326</v>
      </c>
      <c r="X94">
        <f t="shared" ca="1" si="37"/>
        <v>160.68024507810657</v>
      </c>
      <c r="Y94">
        <f t="shared" ca="1" si="36"/>
        <v>-1.2546145168126088</v>
      </c>
      <c r="Z94">
        <f t="shared" ca="1" si="18"/>
        <v>-1.0995353326795467</v>
      </c>
      <c r="AA94">
        <f t="shared" ca="1" si="19"/>
        <v>-0.1550791841330621</v>
      </c>
    </row>
    <row r="95" spans="1:27" x14ac:dyDescent="0.25">
      <c r="A95" s="20">
        <f t="shared" ca="1" si="20"/>
        <v>45845</v>
      </c>
      <c r="B95" vm="279">
        <f ca="1"/>
        <v>45849</v>
      </c>
      <c r="C95" vm="280">
        <f ca="1"/>
        <v>157.05000000000001</v>
      </c>
      <c r="D95" vm="281">
        <f ca="1"/>
        <v>8053808</v>
      </c>
      <c r="E95">
        <f t="shared" ca="1" si="21"/>
        <v>1264850546.4000001</v>
      </c>
      <c r="F95">
        <f ca="1">SUM($E$2:E95)/SUM($D$2:D95)</f>
        <v>164.48597575245481</v>
      </c>
      <c r="G95">
        <f ca="1">_xlfn.STDEV.P($C$2:C95)</f>
        <v>5.0253948008120677</v>
      </c>
      <c r="H95">
        <f t="shared" ca="1" si="22"/>
        <v>169.51137055326689</v>
      </c>
      <c r="I95">
        <f t="shared" ca="1" si="23"/>
        <v>159.46058095164273</v>
      </c>
      <c r="J95">
        <f t="shared" ca="1" si="32"/>
        <v>159.64150000000001</v>
      </c>
      <c r="K95">
        <f t="shared" ca="1" si="33"/>
        <v>1.5460417200062864</v>
      </c>
      <c r="L95">
        <f t="shared" ca="1" si="34"/>
        <v>162.73358344001258</v>
      </c>
      <c r="M95">
        <f t="shared" ca="1" si="35"/>
        <v>156.54941655998743</v>
      </c>
      <c r="N95">
        <f t="shared" ca="1" si="24"/>
        <v>-1.4399999999999977</v>
      </c>
      <c r="O95">
        <f t="shared" ca="1" si="25"/>
        <v>0</v>
      </c>
      <c r="P95">
        <f t="shared" ca="1" si="26"/>
        <v>1.4399999999999977</v>
      </c>
      <c r="Q95">
        <f t="shared" ca="1" si="30"/>
        <v>0.43673794351760814</v>
      </c>
      <c r="R95">
        <f t="shared" ca="1" si="31"/>
        <v>0.70087198687008756</v>
      </c>
      <c r="S95">
        <f t="shared" ca="1" si="28"/>
        <v>0.62313511126042642</v>
      </c>
      <c r="T95">
        <f t="shared" ca="1" si="29"/>
        <v>38.390834314251151</v>
      </c>
      <c r="U95">
        <f>70</f>
        <v>70</v>
      </c>
      <c r="V95">
        <f>30</f>
        <v>30</v>
      </c>
      <c r="W95">
        <f t="shared" ca="1" si="27"/>
        <v>159.15672351847124</v>
      </c>
      <c r="X95">
        <f t="shared" ca="1" si="37"/>
        <v>160.41133803528385</v>
      </c>
      <c r="Y95">
        <f t="shared" ca="1" si="36"/>
        <v>-1.5921879671831789</v>
      </c>
      <c r="Z95">
        <f t="shared" ca="1" si="18"/>
        <v>-1.1980658595802733</v>
      </c>
      <c r="AA95">
        <f t="shared" ca="1" si="19"/>
        <v>-0.39412210760290556</v>
      </c>
    </row>
    <row r="96" spans="1:27" x14ac:dyDescent="0.25">
      <c r="A96" s="20">
        <f t="shared" ca="1" si="20"/>
        <v>45852</v>
      </c>
      <c r="B96" vm="282">
        <f ca="1"/>
        <v>45852</v>
      </c>
      <c r="C96" vm="283">
        <f ca="1"/>
        <v>153.76</v>
      </c>
      <c r="D96" vm="284">
        <f ca="1"/>
        <v>11491688</v>
      </c>
      <c r="E96">
        <f t="shared" ca="1" si="21"/>
        <v>1766961946.8799999</v>
      </c>
      <c r="F96">
        <f ca="1">SUM($E$2:E96)/SUM($D$2:D96)</f>
        <v>164.3358452126723</v>
      </c>
      <c r="G96">
        <f ca="1">_xlfn.STDEV.P($C$2:C96)</f>
        <v>5.122163395521028</v>
      </c>
      <c r="H96">
        <f t="shared" ca="1" si="22"/>
        <v>169.45800860819332</v>
      </c>
      <c r="I96">
        <f t="shared" ca="1" si="23"/>
        <v>159.21368181715127</v>
      </c>
      <c r="J96">
        <f t="shared" ca="1" si="32"/>
        <v>159.1705</v>
      </c>
      <c r="K96">
        <f t="shared" ca="1" si="33"/>
        <v>1.8216374213154616</v>
      </c>
      <c r="L96">
        <f t="shared" ca="1" si="34"/>
        <v>162.81377484263092</v>
      </c>
      <c r="M96">
        <f t="shared" ca="1" si="35"/>
        <v>155.52722515736909</v>
      </c>
      <c r="N96">
        <f t="shared" ca="1" si="24"/>
        <v>-3.2900000000000205</v>
      </c>
      <c r="O96">
        <f t="shared" ca="1" si="25"/>
        <v>0</v>
      </c>
      <c r="P96">
        <f t="shared" ca="1" si="26"/>
        <v>3.2900000000000205</v>
      </c>
      <c r="Q96">
        <f t="shared" ca="1" si="30"/>
        <v>0.40554237612349325</v>
      </c>
      <c r="R96">
        <f t="shared" ca="1" si="31"/>
        <v>0.88580970209365417</v>
      </c>
      <c r="S96">
        <f t="shared" ca="1" si="28"/>
        <v>0.45782110442567314</v>
      </c>
      <c r="T96">
        <f t="shared" ca="1" si="29"/>
        <v>31.404477753533243</v>
      </c>
      <c r="U96">
        <f>70</f>
        <v>70</v>
      </c>
      <c r="V96">
        <f>30</f>
        <v>30</v>
      </c>
      <c r="W96">
        <f t="shared" ca="1" si="27"/>
        <v>158.32645836178335</v>
      </c>
      <c r="X96">
        <f t="shared" ca="1" si="37"/>
        <v>159.91864632896653</v>
      </c>
      <c r="Y96">
        <f t="shared" ca="1" si="36"/>
        <v>-1.9246778446281212</v>
      </c>
      <c r="Z96">
        <f t="shared" ca="1" si="18"/>
        <v>-1.343388256589843</v>
      </c>
      <c r="AA96">
        <f t="shared" ca="1" si="19"/>
        <v>-0.58128958803827824</v>
      </c>
    </row>
    <row r="97" spans="1:28" x14ac:dyDescent="0.25">
      <c r="A97" s="20">
        <f t="shared" ca="1" si="20"/>
        <v>45852</v>
      </c>
      <c r="B97" vm="285">
        <f ca="1"/>
        <v>45853</v>
      </c>
      <c r="C97" vm="286">
        <f ca="1"/>
        <v>152.68</v>
      </c>
      <c r="D97" vm="287">
        <f ca="1"/>
        <v>9142615</v>
      </c>
      <c r="E97">
        <f t="shared" ca="1" si="21"/>
        <v>1395894458.2</v>
      </c>
      <c r="F97">
        <f ca="1">SUM($E$2:E97)/SUM($D$2:D97)</f>
        <v>164.20747828309752</v>
      </c>
      <c r="G97">
        <f ca="1">_xlfn.STDEV.P($C$2:C97)</f>
        <v>5.2369365985341059</v>
      </c>
      <c r="H97">
        <f t="shared" ca="1" si="22"/>
        <v>169.44441488163162</v>
      </c>
      <c r="I97">
        <f t="shared" ca="1" si="23"/>
        <v>158.97054168456341</v>
      </c>
      <c r="J97">
        <f t="shared" ca="1" si="32"/>
        <v>158.79050000000001</v>
      </c>
      <c r="K97">
        <f t="shared" ca="1" si="33"/>
        <v>2.3062443267652371</v>
      </c>
      <c r="L97">
        <f t="shared" ca="1" si="34"/>
        <v>163.40298865353049</v>
      </c>
      <c r="M97">
        <f t="shared" ca="1" si="35"/>
        <v>154.17801134646953</v>
      </c>
      <c r="N97">
        <f t="shared" ca="1" si="24"/>
        <v>-1.0799999999999841</v>
      </c>
      <c r="O97">
        <f t="shared" ca="1" si="25"/>
        <v>0</v>
      </c>
      <c r="P97">
        <f t="shared" ca="1" si="26"/>
        <v>1.0799999999999841</v>
      </c>
      <c r="Q97">
        <f t="shared" ca="1" si="30"/>
        <v>0.37657506354324377</v>
      </c>
      <c r="R97">
        <f t="shared" ca="1" si="31"/>
        <v>0.89968043765839201</v>
      </c>
      <c r="S97">
        <f t="shared" ca="1" si="28"/>
        <v>0.41856535696536845</v>
      </c>
      <c r="T97">
        <f t="shared" ca="1" si="29"/>
        <v>29.506244101489571</v>
      </c>
      <c r="U97">
        <f>70</f>
        <v>70</v>
      </c>
      <c r="V97">
        <f>30</f>
        <v>30</v>
      </c>
      <c r="W97">
        <f t="shared" ca="1" si="27"/>
        <v>157.45777245997053</v>
      </c>
      <c r="X97">
        <f t="shared" ca="1" si="37"/>
        <v>159.38245030459865</v>
      </c>
      <c r="Y97">
        <f t="shared" ca="1" si="36"/>
        <v>-2.0794812774453248</v>
      </c>
      <c r="Z97">
        <f t="shared" ca="1" si="18"/>
        <v>-1.4906068607609395</v>
      </c>
      <c r="AA97">
        <f t="shared" ca="1" si="19"/>
        <v>-0.58887441668438534</v>
      </c>
    </row>
    <row r="98" spans="1:28" x14ac:dyDescent="0.25">
      <c r="A98" s="20">
        <f t="shared" ca="1" si="20"/>
        <v>45852</v>
      </c>
      <c r="B98" vm="288">
        <f ca="1"/>
        <v>45854</v>
      </c>
      <c r="C98" vm="289">
        <f ca="1"/>
        <v>153.72999999999999</v>
      </c>
      <c r="D98" vm="290">
        <f ca="1"/>
        <v>8478997</v>
      </c>
      <c r="E98">
        <f t="shared" ca="1" si="21"/>
        <v>1303476208.8099999</v>
      </c>
      <c r="F98">
        <f ca="1">SUM($E$2:E98)/SUM($D$2:D98)</f>
        <v>164.10154633872611</v>
      </c>
      <c r="G98">
        <f ca="1">_xlfn.STDEV.P($C$2:C98)</f>
        <v>5.3215424902468049</v>
      </c>
      <c r="H98">
        <f t="shared" ca="1" si="22"/>
        <v>169.42308882897291</v>
      </c>
      <c r="I98">
        <f t="shared" ca="1" si="23"/>
        <v>158.78000384847931</v>
      </c>
      <c r="J98">
        <f t="shared" ca="1" si="32"/>
        <v>158.43299999999999</v>
      </c>
      <c r="K98">
        <f t="shared" ca="1" si="33"/>
        <v>2.5104310806166983</v>
      </c>
      <c r="L98">
        <f t="shared" ca="1" si="34"/>
        <v>163.45386216123339</v>
      </c>
      <c r="M98">
        <f t="shared" ca="1" si="35"/>
        <v>153.4121378387666</v>
      </c>
      <c r="N98">
        <f t="shared" ca="1" si="24"/>
        <v>1.0499999999999829</v>
      </c>
      <c r="O98">
        <f t="shared" ca="1" si="25"/>
        <v>1.0499999999999829</v>
      </c>
      <c r="P98">
        <f t="shared" ca="1" si="26"/>
        <v>0</v>
      </c>
      <c r="Q98">
        <f t="shared" ca="1" si="30"/>
        <v>0.42467684471872513</v>
      </c>
      <c r="R98">
        <f t="shared" ca="1" si="31"/>
        <v>0.83541754925422118</v>
      </c>
      <c r="S98">
        <f t="shared" ca="1" si="28"/>
        <v>0.50834082321808416</v>
      </c>
      <c r="T98">
        <f t="shared" ca="1" si="29"/>
        <v>33.701986672582777</v>
      </c>
      <c r="U98">
        <f>70</f>
        <v>70</v>
      </c>
      <c r="V98">
        <f>30</f>
        <v>30</v>
      </c>
      <c r="W98">
        <f t="shared" ca="1" si="27"/>
        <v>156.88426900459046</v>
      </c>
      <c r="X98">
        <f t="shared" ca="1" si="37"/>
        <v>158.96375028203579</v>
      </c>
      <c r="Y98">
        <f t="shared" ca="1" si="36"/>
        <v>-2.0262989951517341</v>
      </c>
      <c r="Z98">
        <f t="shared" ca="1" si="18"/>
        <v>-1.5977452876390985</v>
      </c>
      <c r="AA98">
        <f t="shared" ca="1" si="19"/>
        <v>-0.42855370751263555</v>
      </c>
    </row>
    <row r="99" spans="1:28" x14ac:dyDescent="0.25">
      <c r="A99" s="20">
        <f t="shared" ca="1" si="20"/>
        <v>45852</v>
      </c>
      <c r="B99" vm="291">
        <f ca="1"/>
        <v>45855</v>
      </c>
      <c r="C99" vm="292">
        <f ca="1"/>
        <v>155.62</v>
      </c>
      <c r="D99" vm="293">
        <f ca="1"/>
        <v>8319996</v>
      </c>
      <c r="E99">
        <f t="shared" ca="1" si="21"/>
        <v>1294757777.52</v>
      </c>
      <c r="F99">
        <f ca="1">SUM($E$2:E99)/SUM($D$2:D99)</f>
        <v>164.01822878468178</v>
      </c>
      <c r="G99">
        <f ca="1">_xlfn.STDEV.P($C$2:C99)</f>
        <v>5.3666151281971075</v>
      </c>
      <c r="H99">
        <f t="shared" ca="1" si="22"/>
        <v>169.38484391287889</v>
      </c>
      <c r="I99">
        <f t="shared" ca="1" si="23"/>
        <v>158.65161365648467</v>
      </c>
      <c r="J99">
        <f t="shared" ca="1" si="32"/>
        <v>158.28800000000001</v>
      </c>
      <c r="K99">
        <f t="shared" ca="1" si="33"/>
        <v>2.58770290330816</v>
      </c>
      <c r="L99">
        <f t="shared" ca="1" si="34"/>
        <v>163.46340580661632</v>
      </c>
      <c r="M99">
        <f t="shared" ca="1" si="35"/>
        <v>153.1125941933837</v>
      </c>
      <c r="N99">
        <f t="shared" ca="1" si="24"/>
        <v>1.8900000000000148</v>
      </c>
      <c r="O99">
        <f t="shared" ca="1" si="25"/>
        <v>1.8900000000000148</v>
      </c>
      <c r="P99">
        <f t="shared" ca="1" si="26"/>
        <v>0</v>
      </c>
      <c r="Q99">
        <f t="shared" ca="1" si="30"/>
        <v>0.52934278438167437</v>
      </c>
      <c r="R99">
        <f t="shared" ca="1" si="31"/>
        <v>0.77574486716463398</v>
      </c>
      <c r="S99">
        <f t="shared" ca="1" si="28"/>
        <v>0.68236711164642949</v>
      </c>
      <c r="T99">
        <f t="shared" ca="1" si="29"/>
        <v>40.559941223449066</v>
      </c>
      <c r="U99">
        <f>70</f>
        <v>70</v>
      </c>
      <c r="V99">
        <f>30</f>
        <v>30</v>
      </c>
      <c r="W99">
        <f t="shared" ca="1" si="27"/>
        <v>156.68976608080732</v>
      </c>
      <c r="X99">
        <f t="shared" ca="1" si="37"/>
        <v>158.71606507595905</v>
      </c>
      <c r="Y99">
        <f t="shared" ca="1" si="36"/>
        <v>-2.0030217199057461</v>
      </c>
      <c r="Z99">
        <f t="shared" ca="1" si="18"/>
        <v>-1.6788005740924281</v>
      </c>
      <c r="AA99">
        <f t="shared" ca="1" si="19"/>
        <v>-0.32422114581331796</v>
      </c>
    </row>
    <row r="100" spans="1:28" x14ac:dyDescent="0.25">
      <c r="A100" s="20">
        <f t="shared" ca="1" si="20"/>
        <v>45852</v>
      </c>
      <c r="B100" vm="294">
        <f ca="1"/>
        <v>45856</v>
      </c>
      <c r="C100" vm="295">
        <f ca="1"/>
        <v>155.1</v>
      </c>
      <c r="D100" vm="296">
        <f ca="1"/>
        <v>7337252</v>
      </c>
      <c r="E100">
        <f t="shared" ca="1" si="21"/>
        <v>1138007785.2</v>
      </c>
      <c r="F100">
        <f ca="1">SUM($E$2:E100)/SUM($D$2:D100)</f>
        <v>163.94163310403329</v>
      </c>
      <c r="G100">
        <f ca="1">_xlfn.STDEV.P($C$2:C100)</f>
        <v>5.4175430686543145</v>
      </c>
      <c r="H100">
        <f t="shared" ca="1" si="22"/>
        <v>169.3591761726876</v>
      </c>
      <c r="I100">
        <f t="shared" ca="1" si="23"/>
        <v>158.52409003537898</v>
      </c>
      <c r="J100">
        <f t="shared" ca="1" si="32"/>
        <v>158.142</v>
      </c>
      <c r="K100">
        <f t="shared" ca="1" si="33"/>
        <v>2.6841946748757977</v>
      </c>
      <c r="L100">
        <f t="shared" ca="1" si="34"/>
        <v>163.51038934975159</v>
      </c>
      <c r="M100">
        <f t="shared" ca="1" si="35"/>
        <v>152.7736106502484</v>
      </c>
      <c r="N100">
        <f t="shared" ca="1" si="24"/>
        <v>-0.52000000000001023</v>
      </c>
      <c r="O100">
        <f t="shared" ca="1" si="25"/>
        <v>0</v>
      </c>
      <c r="P100">
        <f t="shared" ca="1" si="26"/>
        <v>0.52000000000001023</v>
      </c>
      <c r="Q100">
        <f t="shared" ca="1" si="30"/>
        <v>0.49153258549726908</v>
      </c>
      <c r="R100">
        <f t="shared" ca="1" si="31"/>
        <v>0.75747737665287507</v>
      </c>
      <c r="S100">
        <f t="shared" ca="1" si="28"/>
        <v>0.64890728178476142</v>
      </c>
      <c r="T100">
        <f t="shared" ca="1" si="29"/>
        <v>39.353776222177295</v>
      </c>
      <c r="U100">
        <f>70</f>
        <v>70</v>
      </c>
      <c r="V100">
        <f>30</f>
        <v>30</v>
      </c>
      <c r="W100">
        <f t="shared" ca="1" si="27"/>
        <v>156.44518668376003</v>
      </c>
      <c r="X100">
        <f t="shared" ca="1" si="37"/>
        <v>158.44820840366577</v>
      </c>
      <c r="Y100">
        <f t="shared" ca="1" si="36"/>
        <v>-1.9675421256827406</v>
      </c>
      <c r="Z100">
        <f t="shared" ca="1" si="18"/>
        <v>-1.7365488844104908</v>
      </c>
      <c r="AA100">
        <f t="shared" ca="1" si="19"/>
        <v>-0.23099324127224974</v>
      </c>
    </row>
    <row r="101" spans="1:28" x14ac:dyDescent="0.25">
      <c r="A101" s="20">
        <f t="shared" ca="1" si="20"/>
        <v>45859</v>
      </c>
      <c r="B101" vm="297">
        <f ca="1"/>
        <v>45859</v>
      </c>
      <c r="C101" vm="298">
        <f ca="1"/>
        <v>155.03</v>
      </c>
      <c r="D101" vm="299">
        <f ca="1"/>
        <v>6328370</v>
      </c>
      <c r="E101">
        <f t="shared" ca="1" si="21"/>
        <v>981087201.10000002</v>
      </c>
      <c r="F101">
        <f ca="1">SUM($E$2:E101)/SUM($D$2:D101)</f>
        <v>163.87610371406294</v>
      </c>
      <c r="G101">
        <f ca="1">_xlfn.STDEV.P($C$2:C101)</f>
        <v>5.4666254407998354</v>
      </c>
      <c r="H101">
        <f t="shared" ca="1" si="22"/>
        <v>169.34272915486278</v>
      </c>
      <c r="I101">
        <f t="shared" ca="1" si="23"/>
        <v>158.40947827326309</v>
      </c>
      <c r="J101">
        <f t="shared" ca="1" si="32"/>
        <v>157.93950000000001</v>
      </c>
      <c r="K101">
        <f t="shared" ca="1" si="33"/>
        <v>2.761365937739015</v>
      </c>
      <c r="L101">
        <f t="shared" ca="1" si="34"/>
        <v>163.46223187547804</v>
      </c>
      <c r="M101">
        <f t="shared" ca="1" si="35"/>
        <v>152.41676812452198</v>
      </c>
      <c r="N101">
        <f t="shared" ca="1" si="24"/>
        <v>-6.9999999999993179E-2</v>
      </c>
      <c r="O101">
        <f t="shared" ca="1" si="25"/>
        <v>0</v>
      </c>
      <c r="P101">
        <f t="shared" ca="1" si="26"/>
        <v>6.9999999999993179E-2</v>
      </c>
      <c r="Q101">
        <f t="shared" ca="1" si="30"/>
        <v>0.45642311510460704</v>
      </c>
      <c r="R101">
        <f t="shared" ca="1" si="31"/>
        <v>0.70837184974909773</v>
      </c>
      <c r="S101">
        <f t="shared" ca="1" si="28"/>
        <v>0.64432700885314709</v>
      </c>
      <c r="T101">
        <f t="shared" ca="1" si="29"/>
        <v>39.184846164057092</v>
      </c>
      <c r="U101">
        <f>70</f>
        <v>70</v>
      </c>
      <c r="V101">
        <f>30</f>
        <v>30</v>
      </c>
      <c r="W101">
        <f t="shared" ca="1" si="27"/>
        <v>156.22746565548925</v>
      </c>
      <c r="X101">
        <f t="shared" ca="1" si="37"/>
        <v>158.195007781172</v>
      </c>
      <c r="Y101">
        <f t="shared" ca="1" si="36"/>
        <v>-1.6548724478649319</v>
      </c>
      <c r="Z101">
        <f t="shared" ca="1" si="18"/>
        <v>-1.7202135971013792</v>
      </c>
      <c r="AA101">
        <f t="shared" ca="1" si="19"/>
        <v>6.5341149236447293E-2</v>
      </c>
      <c r="AB101">
        <f ca="1">AVERAGE(C2:C101)</f>
        <v>164.08230000000006</v>
      </c>
    </row>
    <row r="102" spans="1:28" x14ac:dyDescent="0.25">
      <c r="A102" s="20">
        <f t="shared" ca="1" si="20"/>
        <v>45859</v>
      </c>
      <c r="B102" vm="300">
        <f ca="1"/>
        <v>45860</v>
      </c>
      <c r="C102" vm="301">
        <f ca="1"/>
        <v>158.32</v>
      </c>
      <c r="D102" vm="302">
        <f ca="1"/>
        <v>8186970</v>
      </c>
      <c r="E102">
        <f t="shared" ca="1" si="21"/>
        <v>1296161090.3999999</v>
      </c>
      <c r="F102">
        <f ca="1">SUM($E$2:E102)/SUM($D$2:D102)</f>
        <v>163.82374744872916</v>
      </c>
      <c r="G102">
        <f ca="1">_xlfn.STDEV.P($C$2:C102)</f>
        <v>5.4693336959217751</v>
      </c>
      <c r="H102">
        <f t="shared" ca="1" si="22"/>
        <v>169.29308114465093</v>
      </c>
      <c r="I102">
        <f t="shared" ca="1" si="23"/>
        <v>158.3544137528074</v>
      </c>
      <c r="J102">
        <f t="shared" ca="1" si="32"/>
        <v>157.80400000000003</v>
      </c>
      <c r="K102">
        <f t="shared" ca="1" si="33"/>
        <v>2.6665972797990305</v>
      </c>
      <c r="L102">
        <f t="shared" ca="1" si="34"/>
        <v>163.1371945595981</v>
      </c>
      <c r="M102">
        <f t="shared" ca="1" si="35"/>
        <v>152.47080544040196</v>
      </c>
      <c r="N102">
        <f t="shared" ca="1" si="24"/>
        <v>3.289999999999992</v>
      </c>
      <c r="O102">
        <f t="shared" ca="1" si="25"/>
        <v>3.289999999999992</v>
      </c>
      <c r="P102">
        <f t="shared" ca="1" si="26"/>
        <v>0</v>
      </c>
      <c r="Q102">
        <f t="shared" ca="1" si="30"/>
        <v>0.65882146402570585</v>
      </c>
      <c r="R102">
        <f t="shared" ca="1" si="31"/>
        <v>0.65777386048130493</v>
      </c>
      <c r="S102">
        <f t="shared" ca="1" si="28"/>
        <v>1.0015926500083696</v>
      </c>
      <c r="T102">
        <f t="shared" ca="1" si="29"/>
        <v>50.03978456876235</v>
      </c>
      <c r="U102">
        <f>70</f>
        <v>70</v>
      </c>
      <c r="V102">
        <f>30</f>
        <v>30</v>
      </c>
      <c r="W102">
        <f t="shared" ca="1" si="27"/>
        <v>156.54939401618321</v>
      </c>
      <c r="X102">
        <f t="shared" ca="1" si="37"/>
        <v>158.20426646404815</v>
      </c>
      <c r="Y102">
        <f t="shared" ca="1" si="36"/>
        <v>-1.3942352649835925</v>
      </c>
      <c r="Z102">
        <f t="shared" ref="Z102:Z165" ca="1" si="38">Y102*(2/(9+1)) + Z101*(1-(2/(9+1)))</f>
        <v>-1.6550179306778219</v>
      </c>
      <c r="AA102">
        <f t="shared" ref="AA102:AA165" ca="1" si="39">Y102-Z102</f>
        <v>0.26078266569422937</v>
      </c>
      <c r="AB102">
        <f t="shared" ref="AB102:AB165" ca="1" si="40">AVERAGE(C3:C102)</f>
        <v>163.95250000000007</v>
      </c>
    </row>
    <row r="103" spans="1:28" x14ac:dyDescent="0.25">
      <c r="A103" s="20">
        <f t="shared" ca="1" si="20"/>
        <v>45859</v>
      </c>
      <c r="B103" vm="303">
        <f ca="1"/>
        <v>45861</v>
      </c>
      <c r="C103" vm="304">
        <f ca="1"/>
        <v>158.28</v>
      </c>
      <c r="D103" vm="305">
        <f ca="1"/>
        <v>4804795</v>
      </c>
      <c r="E103">
        <f t="shared" ca="1" si="21"/>
        <v>760502952.60000002</v>
      </c>
      <c r="F103">
        <f ca="1">SUM($E$2:E103)/SUM($D$2:D103)</f>
        <v>163.79325739088583</v>
      </c>
      <c r="G103">
        <f ca="1">_xlfn.STDEV.P($C$2:C103)</f>
        <v>5.4718163645339795</v>
      </c>
      <c r="H103">
        <f t="shared" ca="1" si="22"/>
        <v>169.26507375541982</v>
      </c>
      <c r="I103">
        <f t="shared" ca="1" si="23"/>
        <v>158.32144102635183</v>
      </c>
      <c r="J103">
        <f t="shared" ca="1" si="32"/>
        <v>157.69999999999999</v>
      </c>
      <c r="K103">
        <f t="shared" ca="1" si="33"/>
        <v>2.6014287572307979</v>
      </c>
      <c r="L103">
        <f t="shared" ca="1" si="34"/>
        <v>162.90285751446157</v>
      </c>
      <c r="M103">
        <f t="shared" ca="1" si="35"/>
        <v>152.4971424855384</v>
      </c>
      <c r="N103">
        <f t="shared" ca="1" si="24"/>
        <v>-3.9999999999992042E-2</v>
      </c>
      <c r="O103">
        <f t="shared" ca="1" si="25"/>
        <v>0</v>
      </c>
      <c r="P103">
        <f t="shared" ca="1" si="26"/>
        <v>3.9999999999992042E-2</v>
      </c>
      <c r="Q103">
        <f t="shared" ca="1" si="30"/>
        <v>0.61176278802386974</v>
      </c>
      <c r="R103">
        <f t="shared" ca="1" si="31"/>
        <v>0.61364715616121113</v>
      </c>
      <c r="S103">
        <f t="shared" ca="1" si="28"/>
        <v>0.99692923185837046</v>
      </c>
      <c r="T103">
        <f t="shared" ca="1" si="29"/>
        <v>49.923112744992672</v>
      </c>
      <c r="U103">
        <f>70</f>
        <v>70</v>
      </c>
      <c r="V103">
        <f>30</f>
        <v>30</v>
      </c>
      <c r="W103">
        <f t="shared" ca="1" si="27"/>
        <v>156.81564109061657</v>
      </c>
      <c r="X103">
        <f t="shared" ca="1" si="37"/>
        <v>158.20987635560016</v>
      </c>
      <c r="Y103">
        <f t="shared" ca="1" si="36"/>
        <v>-1.131864420675015</v>
      </c>
      <c r="Z103">
        <f t="shared" ca="1" si="38"/>
        <v>-1.5503872286772606</v>
      </c>
      <c r="AA103">
        <f t="shared" ca="1" si="39"/>
        <v>0.41852280800224562</v>
      </c>
      <c r="AB103">
        <f t="shared" ca="1" si="40"/>
        <v>163.81560000000007</v>
      </c>
    </row>
    <row r="104" spans="1:28" x14ac:dyDescent="0.25">
      <c r="A104" s="20">
        <f t="shared" ca="1" si="20"/>
        <v>45859</v>
      </c>
      <c r="B104" vm="306">
        <f ca="1"/>
        <v>45862</v>
      </c>
      <c r="C104" vm="307">
        <f ca="1"/>
        <v>158.81</v>
      </c>
      <c r="D104" vm="308">
        <f ca="1"/>
        <v>7027392</v>
      </c>
      <c r="E104">
        <f t="shared" ca="1" si="21"/>
        <v>1116020123.52</v>
      </c>
      <c r="F104">
        <f ca="1">SUM($E$2:E104)/SUM($D$2:D104)</f>
        <v>163.75349175404335</v>
      </c>
      <c r="G104">
        <f ca="1">_xlfn.STDEV.P($C$2:C104)</f>
        <v>5.4686352464025125</v>
      </c>
      <c r="H104">
        <f t="shared" ca="1" si="22"/>
        <v>169.22212700044585</v>
      </c>
      <c r="I104">
        <f t="shared" ca="1" si="23"/>
        <v>158.28485650764085</v>
      </c>
      <c r="J104">
        <f t="shared" ca="1" si="32"/>
        <v>157.69200000000001</v>
      </c>
      <c r="K104">
        <f t="shared" ca="1" si="33"/>
        <v>2.5975607991466076</v>
      </c>
      <c r="L104">
        <f t="shared" ca="1" si="34"/>
        <v>162.88712159829322</v>
      </c>
      <c r="M104">
        <f t="shared" ca="1" si="35"/>
        <v>152.49687840170679</v>
      </c>
      <c r="N104">
        <f t="shared" ca="1" si="24"/>
        <v>0.53000000000000114</v>
      </c>
      <c r="O104">
        <f t="shared" ca="1" si="25"/>
        <v>0.53000000000000114</v>
      </c>
      <c r="P104">
        <f t="shared" ca="1" si="26"/>
        <v>0</v>
      </c>
      <c r="Q104">
        <f t="shared" ca="1" si="30"/>
        <v>0.60592258887930761</v>
      </c>
      <c r="R104">
        <f t="shared" ca="1" si="31"/>
        <v>0.56981521643541033</v>
      </c>
      <c r="S104">
        <f t="shared" ca="1" si="28"/>
        <v>1.0633668098050697</v>
      </c>
      <c r="T104">
        <f t="shared" ca="1" si="29"/>
        <v>51.535519751116283</v>
      </c>
      <c r="U104">
        <f>70</f>
        <v>70</v>
      </c>
      <c r="V104">
        <f>30</f>
        <v>30</v>
      </c>
      <c r="W104">
        <f t="shared" ca="1" si="27"/>
        <v>157.12246553821402</v>
      </c>
      <c r="X104">
        <f t="shared" ca="1" si="37"/>
        <v>158.25432995888903</v>
      </c>
      <c r="Y104">
        <f t="shared" ca="1" si="36"/>
        <v>-0.95408823871616733</v>
      </c>
      <c r="Z104">
        <f t="shared" ca="1" si="38"/>
        <v>-1.4311274306850421</v>
      </c>
      <c r="AA104">
        <f t="shared" ca="1" si="39"/>
        <v>0.47703919196887479</v>
      </c>
      <c r="AB104">
        <f t="shared" ca="1" si="40"/>
        <v>163.66530000000006</v>
      </c>
    </row>
    <row r="105" spans="1:28" x14ac:dyDescent="0.25">
      <c r="A105" s="20">
        <f t="shared" ca="1" si="20"/>
        <v>45859</v>
      </c>
      <c r="B105" vm="309">
        <f ca="1"/>
        <v>45863</v>
      </c>
      <c r="C105" vm="310">
        <f ca="1"/>
        <v>158.30000000000001</v>
      </c>
      <c r="D105" vm="311">
        <f ca="1"/>
        <v>5800248</v>
      </c>
      <c r="E105">
        <f t="shared" ca="1" si="21"/>
        <v>918179258.4000001</v>
      </c>
      <c r="F105">
        <f ca="1">SUM($E$2:E105)/SUM($D$2:D105)</f>
        <v>163.71780799359595</v>
      </c>
      <c r="G105">
        <f ca="1">_xlfn.STDEV.P($C$2:C105)</f>
        <v>5.4698322961159542</v>
      </c>
      <c r="H105">
        <f t="shared" ca="1" si="22"/>
        <v>169.18764028971191</v>
      </c>
      <c r="I105">
        <f t="shared" ca="1" si="23"/>
        <v>158.24797569748</v>
      </c>
      <c r="J105">
        <f t="shared" ca="1" si="32"/>
        <v>157.6755</v>
      </c>
      <c r="K105">
        <f t="shared" ca="1" si="33"/>
        <v>2.5923317587393067</v>
      </c>
      <c r="L105">
        <f t="shared" ca="1" si="34"/>
        <v>162.86016351747861</v>
      </c>
      <c r="M105">
        <f t="shared" ca="1" si="35"/>
        <v>152.49083648252139</v>
      </c>
      <c r="N105">
        <f t="shared" ca="1" si="24"/>
        <v>-0.50999999999999091</v>
      </c>
      <c r="O105">
        <f t="shared" ca="1" si="25"/>
        <v>0</v>
      </c>
      <c r="P105">
        <f t="shared" ca="1" si="26"/>
        <v>0.50999999999999091</v>
      </c>
      <c r="Q105">
        <f t="shared" ca="1" si="30"/>
        <v>0.56264240395935705</v>
      </c>
      <c r="R105">
        <f t="shared" ca="1" si="31"/>
        <v>0.56554270097573756</v>
      </c>
      <c r="S105">
        <f t="shared" ca="1" si="28"/>
        <v>0.99487165688571955</v>
      </c>
      <c r="T105">
        <f t="shared" ca="1" si="29"/>
        <v>49.871461828218898</v>
      </c>
      <c r="U105">
        <f>70</f>
        <v>70</v>
      </c>
      <c r="V105">
        <f>30</f>
        <v>30</v>
      </c>
      <c r="W105">
        <f t="shared" ca="1" si="27"/>
        <v>157.30362468618108</v>
      </c>
      <c r="X105">
        <f t="shared" ca="1" si="37"/>
        <v>158.25771292489725</v>
      </c>
      <c r="Y105">
        <f t="shared" ca="1" si="36"/>
        <v>-0.8988608797602069</v>
      </c>
      <c r="Z105">
        <f t="shared" ca="1" si="38"/>
        <v>-1.3246741205000752</v>
      </c>
      <c r="AA105">
        <f t="shared" ca="1" si="39"/>
        <v>0.42581324073986826</v>
      </c>
      <c r="AB105">
        <f t="shared" ca="1" si="40"/>
        <v>163.49240000000006</v>
      </c>
    </row>
    <row r="106" spans="1:28" x14ac:dyDescent="0.25">
      <c r="A106" s="20">
        <f t="shared" ca="1" si="20"/>
        <v>45866</v>
      </c>
      <c r="B106" vm="312">
        <f ca="1"/>
        <v>45866</v>
      </c>
      <c r="C106" vm="313">
        <f ca="1"/>
        <v>157.11000000000001</v>
      </c>
      <c r="D106" vm="314">
        <f ca="1"/>
        <v>7885026</v>
      </c>
      <c r="E106">
        <f t="shared" ca="1" si="21"/>
        <v>1238816434.8600001</v>
      </c>
      <c r="F106">
        <f ca="1">SUM($E$2:E106)/SUM($D$2:D106)</f>
        <v>163.65954887519098</v>
      </c>
      <c r="G106">
        <f ca="1">_xlfn.STDEV.P($C$2:C106)</f>
        <v>5.4831131895514513</v>
      </c>
      <c r="H106">
        <f t="shared" ca="1" si="22"/>
        <v>169.14266206474244</v>
      </c>
      <c r="I106">
        <f t="shared" ca="1" si="23"/>
        <v>158.17643568563952</v>
      </c>
      <c r="J106">
        <f t="shared" ca="1" si="32"/>
        <v>157.53800000000004</v>
      </c>
      <c r="K106">
        <f t="shared" ca="1" si="33"/>
        <v>2.5428239585568111</v>
      </c>
      <c r="L106">
        <f t="shared" ca="1" si="34"/>
        <v>162.62364791711366</v>
      </c>
      <c r="M106">
        <f t="shared" ca="1" si="35"/>
        <v>152.45235208288642</v>
      </c>
      <c r="N106">
        <f t="shared" ca="1" si="24"/>
        <v>-1.1899999999999977</v>
      </c>
      <c r="O106">
        <f t="shared" ca="1" si="25"/>
        <v>0</v>
      </c>
      <c r="P106">
        <f t="shared" ca="1" si="26"/>
        <v>1.1899999999999977</v>
      </c>
      <c r="Q106">
        <f t="shared" ca="1" si="30"/>
        <v>0.52245366081940303</v>
      </c>
      <c r="R106">
        <f t="shared" ca="1" si="31"/>
        <v>0.6101467937631847</v>
      </c>
      <c r="S106">
        <f t="shared" ca="1" si="28"/>
        <v>0.85627535235755436</v>
      </c>
      <c r="T106">
        <f t="shared" ca="1" si="29"/>
        <v>46.12868189355882</v>
      </c>
      <c r="U106">
        <f>70</f>
        <v>70</v>
      </c>
      <c r="V106">
        <f>30</f>
        <v>30</v>
      </c>
      <c r="W106">
        <f t="shared" ca="1" si="27"/>
        <v>157.27383627292244</v>
      </c>
      <c r="X106">
        <f t="shared" ca="1" si="37"/>
        <v>158.17269715268264</v>
      </c>
      <c r="Y106">
        <f t="shared" ca="1" si="36"/>
        <v>-0.88523419248971891</v>
      </c>
      <c r="Z106">
        <f t="shared" ca="1" si="38"/>
        <v>-1.236786134898004</v>
      </c>
      <c r="AA106">
        <f t="shared" ca="1" si="39"/>
        <v>0.35155194240828513</v>
      </c>
      <c r="AB106">
        <f t="shared" ca="1" si="40"/>
        <v>163.33170000000004</v>
      </c>
    </row>
    <row r="107" spans="1:28" x14ac:dyDescent="0.25">
      <c r="A107" s="20">
        <f t="shared" ca="1" si="20"/>
        <v>45866</v>
      </c>
      <c r="B107" vm="315">
        <f ca="1"/>
        <v>45867</v>
      </c>
      <c r="C107" vm="316">
        <f ca="1"/>
        <v>156.61000000000001</v>
      </c>
      <c r="D107" vm="317">
        <f ca="1"/>
        <v>11466058</v>
      </c>
      <c r="E107">
        <f t="shared" ca="1" si="21"/>
        <v>1795699343.3800001</v>
      </c>
      <c r="F107">
        <f ca="1">SUM($E$2:E107)/SUM($D$2:D107)</f>
        <v>163.57031162439253</v>
      </c>
      <c r="G107">
        <f ca="1">_xlfn.STDEV.P($C$2:C107)</f>
        <v>5.5012784623704603</v>
      </c>
      <c r="H107">
        <f t="shared" ca="1" si="22"/>
        <v>169.071590086763</v>
      </c>
      <c r="I107">
        <f t="shared" ca="1" si="23"/>
        <v>158.06903316202207</v>
      </c>
      <c r="J107">
        <f t="shared" ca="1" si="32"/>
        <v>157.40250000000006</v>
      </c>
      <c r="K107">
        <f t="shared" ca="1" si="33"/>
        <v>2.5149194294931414</v>
      </c>
      <c r="L107">
        <f t="shared" ca="1" si="34"/>
        <v>162.43233885898636</v>
      </c>
      <c r="M107">
        <f t="shared" ca="1" si="35"/>
        <v>152.37266114101377</v>
      </c>
      <c r="N107">
        <f t="shared" ca="1" si="24"/>
        <v>-0.5</v>
      </c>
      <c r="O107">
        <f t="shared" ca="1" si="25"/>
        <v>0</v>
      </c>
      <c r="P107">
        <f t="shared" ca="1" si="26"/>
        <v>0.5</v>
      </c>
      <c r="Q107">
        <f t="shared" ca="1" si="30"/>
        <v>0.48513554218944571</v>
      </c>
      <c r="R107">
        <f t="shared" ca="1" si="31"/>
        <v>0.60227916563724293</v>
      </c>
      <c r="S107">
        <f t="shared" ca="1" si="28"/>
        <v>0.80549945916881727</v>
      </c>
      <c r="T107">
        <f t="shared" ca="1" si="29"/>
        <v>44.613663830153591</v>
      </c>
      <c r="U107">
        <f>70</f>
        <v>70</v>
      </c>
      <c r="V107">
        <f>30</f>
        <v>30</v>
      </c>
      <c r="W107">
        <f t="shared" ca="1" si="27"/>
        <v>157.17170761554976</v>
      </c>
      <c r="X107">
        <f t="shared" ca="1" si="37"/>
        <v>158.05694180803948</v>
      </c>
      <c r="Y107">
        <f t="shared" ca="1" si="36"/>
        <v>-1.1620197316084102</v>
      </c>
      <c r="Z107">
        <f t="shared" ca="1" si="38"/>
        <v>-1.2218328542400854</v>
      </c>
      <c r="AA107">
        <f t="shared" ca="1" si="39"/>
        <v>5.9813122631675153E-2</v>
      </c>
      <c r="AB107">
        <f t="shared" ca="1" si="40"/>
        <v>163.15170000000006</v>
      </c>
    </row>
    <row r="108" spans="1:28" x14ac:dyDescent="0.25">
      <c r="A108" s="20">
        <f t="shared" ca="1" si="20"/>
        <v>45866</v>
      </c>
      <c r="B108" vm="318">
        <f ca="1"/>
        <v>45868</v>
      </c>
      <c r="C108" vm="319">
        <f ca="1"/>
        <v>152.88</v>
      </c>
      <c r="D108" vm="320">
        <f ca="1"/>
        <v>8162888</v>
      </c>
      <c r="E108">
        <f t="shared" ca="1" si="21"/>
        <v>1247942317.4400001</v>
      </c>
      <c r="F108">
        <f ca="1">SUM($E$2:E108)/SUM($D$2:D108)</f>
        <v>163.47483245048701</v>
      </c>
      <c r="G108">
        <f ca="1">_xlfn.STDEV.P($C$2:C108)</f>
        <v>5.5741978527370755</v>
      </c>
      <c r="H108">
        <f t="shared" ca="1" si="22"/>
        <v>169.0490303032241</v>
      </c>
      <c r="I108">
        <f t="shared" ca="1" si="23"/>
        <v>157.90063459774993</v>
      </c>
      <c r="J108">
        <f t="shared" ca="1" si="32"/>
        <v>156.98550000000003</v>
      </c>
      <c r="K108">
        <f t="shared" ca="1" si="33"/>
        <v>2.5399284594152207</v>
      </c>
      <c r="L108">
        <f t="shared" ca="1" si="34"/>
        <v>162.06535691883047</v>
      </c>
      <c r="M108">
        <f t="shared" ca="1" si="35"/>
        <v>151.90564308116959</v>
      </c>
      <c r="N108">
        <f t="shared" ca="1" si="24"/>
        <v>-3.7300000000000182</v>
      </c>
      <c r="O108">
        <f t="shared" ca="1" si="25"/>
        <v>0</v>
      </c>
      <c r="P108">
        <f t="shared" ca="1" si="26"/>
        <v>3.7300000000000182</v>
      </c>
      <c r="Q108">
        <f t="shared" ca="1" si="30"/>
        <v>0.45048300346162817</v>
      </c>
      <c r="R108">
        <f t="shared" ca="1" si="31"/>
        <v>0.8256877966631555</v>
      </c>
      <c r="S108">
        <f t="shared" ca="1" si="28"/>
        <v>0.545585153713257</v>
      </c>
      <c r="T108">
        <f t="shared" ca="1" si="29"/>
        <v>35.29958555842056</v>
      </c>
      <c r="U108">
        <f>70</f>
        <v>70</v>
      </c>
      <c r="V108">
        <f>30</f>
        <v>30</v>
      </c>
      <c r="W108">
        <f t="shared" ca="1" si="27"/>
        <v>156.5114449054652</v>
      </c>
      <c r="X108">
        <f t="shared" ca="1" si="37"/>
        <v>157.67346463707361</v>
      </c>
      <c r="Y108">
        <f t="shared" ca="1" si="36"/>
        <v>-1.5578828208711002</v>
      </c>
      <c r="Z108">
        <f t="shared" ca="1" si="38"/>
        <v>-1.2890428475662885</v>
      </c>
      <c r="AA108">
        <f t="shared" ca="1" si="39"/>
        <v>-0.26883997330481169</v>
      </c>
      <c r="AB108">
        <f t="shared" ca="1" si="40"/>
        <v>162.93390000000005</v>
      </c>
    </row>
    <row r="109" spans="1:28" x14ac:dyDescent="0.25">
      <c r="A109" s="20">
        <f t="shared" ca="1" si="20"/>
        <v>45866</v>
      </c>
      <c r="B109" vm="321">
        <f ca="1"/>
        <v>45869</v>
      </c>
      <c r="C109" vm="322">
        <f ca="1"/>
        <v>150.47</v>
      </c>
      <c r="D109" vm="323">
        <f ca="1"/>
        <v>11845443</v>
      </c>
      <c r="E109">
        <f t="shared" ca="1" si="21"/>
        <v>1782383808.21</v>
      </c>
      <c r="F109">
        <f ca="1">SUM($E$2:E109)/SUM($D$2:D109)</f>
        <v>163.30843833758257</v>
      </c>
      <c r="G109">
        <f ca="1">_xlfn.STDEV.P($C$2:C109)</f>
        <v>5.689727304724383</v>
      </c>
      <c r="H109">
        <f t="shared" ca="1" si="22"/>
        <v>168.99816564230696</v>
      </c>
      <c r="I109">
        <f t="shared" ca="1" si="23"/>
        <v>157.61871103285819</v>
      </c>
      <c r="J109">
        <f t="shared" ca="1" si="32"/>
        <v>156.44900000000001</v>
      </c>
      <c r="K109">
        <f t="shared" ca="1" si="33"/>
        <v>2.7290501528631026</v>
      </c>
      <c r="L109">
        <f t="shared" ca="1" si="34"/>
        <v>161.9071003057262</v>
      </c>
      <c r="M109">
        <f t="shared" ca="1" si="35"/>
        <v>150.99089969427382</v>
      </c>
      <c r="N109">
        <f t="shared" ca="1" si="24"/>
        <v>-2.4099999999999966</v>
      </c>
      <c r="O109">
        <f t="shared" ca="1" si="25"/>
        <v>0</v>
      </c>
      <c r="P109">
        <f t="shared" ca="1" si="26"/>
        <v>2.4099999999999966</v>
      </c>
      <c r="Q109">
        <f t="shared" ca="1" si="30"/>
        <v>0.41830564607151188</v>
      </c>
      <c r="R109">
        <f t="shared" ca="1" si="31"/>
        <v>0.93885295404435853</v>
      </c>
      <c r="S109">
        <f t="shared" ca="1" si="28"/>
        <v>0.4455496936656046</v>
      </c>
      <c r="T109">
        <f t="shared" ca="1" si="29"/>
        <v>30.822163749748796</v>
      </c>
      <c r="U109">
        <f>70</f>
        <v>70</v>
      </c>
      <c r="V109">
        <f>30</f>
        <v>30</v>
      </c>
      <c r="W109">
        <f t="shared" ca="1" si="27"/>
        <v>155.58199184308594</v>
      </c>
      <c r="X109">
        <f t="shared" ca="1" si="37"/>
        <v>157.13987466395704</v>
      </c>
      <c r="Y109">
        <f t="shared" ca="1" si="36"/>
        <v>-1.8359193401410607</v>
      </c>
      <c r="Z109">
        <f t="shared" ca="1" si="38"/>
        <v>-1.398418146081243</v>
      </c>
      <c r="AA109">
        <f t="shared" ca="1" si="39"/>
        <v>-0.43750119405981769</v>
      </c>
      <c r="AB109">
        <f t="shared" ca="1" si="40"/>
        <v>162.67910000000003</v>
      </c>
    </row>
    <row r="110" spans="1:28" x14ac:dyDescent="0.25">
      <c r="A110" s="20">
        <f t="shared" ca="1" si="20"/>
        <v>45866</v>
      </c>
      <c r="B110" vm="324">
        <f ca="1"/>
        <v>45870</v>
      </c>
      <c r="C110" vm="325">
        <f ca="1"/>
        <v>150.65</v>
      </c>
      <c r="D110" vm="326">
        <f ca="1"/>
        <v>8594220</v>
      </c>
      <c r="E110">
        <f t="shared" ca="1" si="21"/>
        <v>1294719243</v>
      </c>
      <c r="F110">
        <f ca="1">SUM($E$2:E110)/SUM($D$2:D110)</f>
        <v>163.1920108496501</v>
      </c>
      <c r="G110">
        <f ca="1">_xlfn.STDEV.P($C$2:C110)</f>
        <v>5.7947536328866498</v>
      </c>
      <c r="H110">
        <f t="shared" ca="1" si="22"/>
        <v>168.98676448253676</v>
      </c>
      <c r="I110">
        <f t="shared" ca="1" si="23"/>
        <v>157.39725721676345</v>
      </c>
      <c r="J110">
        <f t="shared" ca="1" si="32"/>
        <v>155.94000000000003</v>
      </c>
      <c r="K110">
        <f t="shared" ca="1" si="33"/>
        <v>2.8168683619262476</v>
      </c>
      <c r="L110">
        <f t="shared" ca="1" si="34"/>
        <v>161.57373672385253</v>
      </c>
      <c r="M110">
        <f t="shared" ca="1" si="35"/>
        <v>150.30626327614752</v>
      </c>
      <c r="N110">
        <f t="shared" ca="1" si="24"/>
        <v>0.18000000000000682</v>
      </c>
      <c r="O110">
        <f t="shared" ca="1" si="25"/>
        <v>0.18000000000000682</v>
      </c>
      <c r="P110">
        <f t="shared" ca="1" si="26"/>
        <v>0</v>
      </c>
      <c r="Q110">
        <f t="shared" ca="1" si="30"/>
        <v>0.40128381420926151</v>
      </c>
      <c r="R110">
        <f t="shared" ca="1" si="31"/>
        <v>0.87179202875547579</v>
      </c>
      <c r="S110">
        <f t="shared" ca="1" si="28"/>
        <v>0.46029764092029274</v>
      </c>
      <c r="T110">
        <f t="shared" ca="1" si="29"/>
        <v>31.520809732337099</v>
      </c>
      <c r="U110">
        <f>70</f>
        <v>70</v>
      </c>
      <c r="V110">
        <f>30</f>
        <v>30</v>
      </c>
      <c r="W110">
        <f t="shared" ca="1" si="27"/>
        <v>154.82322386722657</v>
      </c>
      <c r="X110">
        <f t="shared" ca="1" si="37"/>
        <v>156.65914320736763</v>
      </c>
      <c r="Y110">
        <f t="shared" ca="1" si="36"/>
        <v>-2.0240571334136632</v>
      </c>
      <c r="Z110">
        <f t="shared" ca="1" si="38"/>
        <v>-1.5235459435477272</v>
      </c>
      <c r="AA110">
        <f t="shared" ca="1" si="39"/>
        <v>-0.50051118986593601</v>
      </c>
      <c r="AB110">
        <f t="shared" ca="1" si="40"/>
        <v>162.42300000000003</v>
      </c>
    </row>
    <row r="111" spans="1:28" x14ac:dyDescent="0.25">
      <c r="A111" s="20">
        <f t="shared" ca="1" si="20"/>
        <v>45873</v>
      </c>
      <c r="B111" vm="327">
        <f ca="1"/>
        <v>45873</v>
      </c>
      <c r="C111" vm="328">
        <f ca="1"/>
        <v>150.76</v>
      </c>
      <c r="D111" vm="329">
        <f ca="1"/>
        <v>7679361</v>
      </c>
      <c r="E111">
        <f t="shared" ca="1" si="21"/>
        <v>1157740464.3599999</v>
      </c>
      <c r="F111">
        <f ca="1">SUM($E$2:E111)/SUM($D$2:D111)</f>
        <v>163.09067089157892</v>
      </c>
      <c r="G111">
        <f ca="1">_xlfn.STDEV.P($C$2:C111)</f>
        <v>5.8916201562995969</v>
      </c>
      <c r="H111">
        <f t="shared" ca="1" si="22"/>
        <v>168.98229104787853</v>
      </c>
      <c r="I111">
        <f t="shared" ca="1" si="23"/>
        <v>157.19905073527931</v>
      </c>
      <c r="J111">
        <f t="shared" ca="1" si="32"/>
        <v>155.45300000000003</v>
      </c>
      <c r="K111">
        <f t="shared" ca="1" si="33"/>
        <v>2.8289445679300735</v>
      </c>
      <c r="L111">
        <f t="shared" ca="1" si="34"/>
        <v>161.11088913586019</v>
      </c>
      <c r="M111">
        <f t="shared" ca="1" si="35"/>
        <v>149.79511086413987</v>
      </c>
      <c r="N111">
        <f t="shared" ca="1" si="24"/>
        <v>0.10999999999998522</v>
      </c>
      <c r="O111">
        <f t="shared" ca="1" si="25"/>
        <v>0.10999999999998522</v>
      </c>
      <c r="P111">
        <f t="shared" ca="1" si="26"/>
        <v>0</v>
      </c>
      <c r="Q111">
        <f t="shared" ca="1" si="30"/>
        <v>0.38047782748002751</v>
      </c>
      <c r="R111">
        <f t="shared" ca="1" si="31"/>
        <v>0.80952116955865605</v>
      </c>
      <c r="S111">
        <f t="shared" ca="1" si="28"/>
        <v>0.47000355492551321</v>
      </c>
      <c r="T111">
        <f t="shared" ca="1" si="29"/>
        <v>31.9729536265869</v>
      </c>
      <c r="U111">
        <f>70</f>
        <v>70</v>
      </c>
      <c r="V111">
        <f>30</f>
        <v>30</v>
      </c>
      <c r="W111">
        <f t="shared" ca="1" si="27"/>
        <v>154.19811250303786</v>
      </c>
      <c r="X111">
        <f t="shared" ca="1" si="37"/>
        <v>156.22216963645153</v>
      </c>
      <c r="Y111">
        <f t="shared" ca="1" si="36"/>
        <v>-2.1683353801837768</v>
      </c>
      <c r="Z111">
        <f t="shared" ca="1" si="38"/>
        <v>-1.6525038308749371</v>
      </c>
      <c r="AA111">
        <f t="shared" ca="1" si="39"/>
        <v>-0.51583154930883968</v>
      </c>
      <c r="AB111">
        <f t="shared" ca="1" si="40"/>
        <v>162.19940000000003</v>
      </c>
    </row>
    <row r="112" spans="1:28" x14ac:dyDescent="0.25">
      <c r="A112" s="20">
        <f t="shared" ca="1" si="20"/>
        <v>45873</v>
      </c>
      <c r="B112" vm="330">
        <f ca="1"/>
        <v>45874</v>
      </c>
      <c r="C112" vm="331">
        <f ca="1"/>
        <v>150.51</v>
      </c>
      <c r="D112" vm="332">
        <f ca="1"/>
        <v>6670065</v>
      </c>
      <c r="E112">
        <f t="shared" ca="1" si="21"/>
        <v>1003911483.15</v>
      </c>
      <c r="F112">
        <f ca="1">SUM($E$2:E112)/SUM($D$2:D112)</f>
        <v>163.00222369450887</v>
      </c>
      <c r="G112">
        <f ca="1">_xlfn.STDEV.P($C$2:C112)</f>
        <v>5.9877856452690787</v>
      </c>
      <c r="H112">
        <f t="shared" ca="1" si="22"/>
        <v>168.99000933977794</v>
      </c>
      <c r="I112">
        <f t="shared" ca="1" si="23"/>
        <v>157.0144380492398</v>
      </c>
      <c r="J112">
        <f t="shared" ca="1" si="32"/>
        <v>155.084</v>
      </c>
      <c r="K112">
        <f t="shared" ca="1" si="33"/>
        <v>2.9720335055134828</v>
      </c>
      <c r="L112">
        <f t="shared" ca="1" si="34"/>
        <v>161.02806701102696</v>
      </c>
      <c r="M112">
        <f t="shared" ca="1" si="35"/>
        <v>149.13993298897304</v>
      </c>
      <c r="N112">
        <f t="shared" ca="1" si="24"/>
        <v>-0.25</v>
      </c>
      <c r="O112">
        <f t="shared" ca="1" si="25"/>
        <v>0</v>
      </c>
      <c r="P112">
        <f t="shared" ca="1" si="26"/>
        <v>0.25</v>
      </c>
      <c r="Q112">
        <f t="shared" ca="1" si="30"/>
        <v>0.35330083980288268</v>
      </c>
      <c r="R112">
        <f t="shared" ca="1" si="31"/>
        <v>0.76955537173303779</v>
      </c>
      <c r="S112">
        <f t="shared" ca="1" si="28"/>
        <v>0.45909736034620824</v>
      </c>
      <c r="T112">
        <f t="shared" ca="1" si="29"/>
        <v>31.464477479232485</v>
      </c>
      <c r="U112">
        <f>70</f>
        <v>70</v>
      </c>
      <c r="V112">
        <f>30</f>
        <v>30</v>
      </c>
      <c r="W112">
        <f t="shared" ca="1" si="27"/>
        <v>153.63071057949355</v>
      </c>
      <c r="X112">
        <f t="shared" ca="1" si="37"/>
        <v>155.79904595967733</v>
      </c>
      <c r="Y112">
        <f t="shared" ca="1" si="36"/>
        <v>-2.0691991304431383</v>
      </c>
      <c r="Z112">
        <f t="shared" ca="1" si="38"/>
        <v>-1.7358428907885775</v>
      </c>
      <c r="AA112">
        <f t="shared" ca="1" si="39"/>
        <v>-0.33335623965456085</v>
      </c>
      <c r="AB112">
        <f t="shared" ca="1" si="40"/>
        <v>162.02080000000001</v>
      </c>
    </row>
    <row r="113" spans="1:28" x14ac:dyDescent="0.25">
      <c r="A113" s="20">
        <f t="shared" ca="1" si="20"/>
        <v>45873</v>
      </c>
      <c r="B113" vm="333">
        <f ca="1"/>
        <v>45875</v>
      </c>
      <c r="C113" vm="334">
        <f ca="1"/>
        <v>152.86000000000001</v>
      </c>
      <c r="D113" vm="335">
        <f ca="1"/>
        <v>7376213</v>
      </c>
      <c r="E113">
        <f t="shared" ca="1" si="21"/>
        <v>1127527919.1800001</v>
      </c>
      <c r="F113">
        <f ca="1">SUM($E$2:E113)/SUM($D$2:D113)</f>
        <v>162.92397927197044</v>
      </c>
      <c r="G113">
        <f ca="1">_xlfn.STDEV.P($C$2:C113)</f>
        <v>6.0392474383924766</v>
      </c>
      <c r="H113">
        <f t="shared" ca="1" si="22"/>
        <v>168.9632267103629</v>
      </c>
      <c r="I113">
        <f t="shared" ca="1" si="23"/>
        <v>156.88473183357797</v>
      </c>
      <c r="J113">
        <f t="shared" ca="1" si="32"/>
        <v>154.851</v>
      </c>
      <c r="K113">
        <f t="shared" ca="1" si="33"/>
        <v>2.9536149127182436</v>
      </c>
      <c r="L113">
        <f t="shared" ca="1" si="34"/>
        <v>160.75822982543647</v>
      </c>
      <c r="M113">
        <f t="shared" ca="1" si="35"/>
        <v>148.94377017456353</v>
      </c>
      <c r="N113">
        <f t="shared" ca="1" si="24"/>
        <v>2.3500000000000227</v>
      </c>
      <c r="O113">
        <f t="shared" ca="1" si="25"/>
        <v>2.3500000000000227</v>
      </c>
      <c r="P113">
        <f t="shared" ca="1" si="26"/>
        <v>0</v>
      </c>
      <c r="Q113">
        <f t="shared" ca="1" si="30"/>
        <v>0.49592220838839268</v>
      </c>
      <c r="R113">
        <f t="shared" ca="1" si="31"/>
        <v>0.71458713089496373</v>
      </c>
      <c r="S113">
        <f t="shared" ca="1" si="28"/>
        <v>0.69399823611053479</v>
      </c>
      <c r="T113">
        <f t="shared" ca="1" si="29"/>
        <v>40.968061318881496</v>
      </c>
      <c r="U113">
        <f>70</f>
        <v>70</v>
      </c>
      <c r="V113">
        <f>30</f>
        <v>30</v>
      </c>
      <c r="W113">
        <f t="shared" ca="1" si="27"/>
        <v>153.51213972110995</v>
      </c>
      <c r="X113">
        <f t="shared" ca="1" si="37"/>
        <v>155.58133885155308</v>
      </c>
      <c r="Y113">
        <f t="shared" ca="1" si="36"/>
        <v>-1.9176912523791714</v>
      </c>
      <c r="Z113">
        <f t="shared" ca="1" si="38"/>
        <v>-1.7722125631066963</v>
      </c>
      <c r="AA113">
        <f t="shared" ca="1" si="39"/>
        <v>-0.14547868927247509</v>
      </c>
      <c r="AB113">
        <f t="shared" ca="1" si="40"/>
        <v>161.86350000000002</v>
      </c>
    </row>
    <row r="114" spans="1:28" x14ac:dyDescent="0.25">
      <c r="A114" s="20">
        <f t="shared" ca="1" si="20"/>
        <v>45873</v>
      </c>
      <c r="B114" vm="336">
        <f ca="1"/>
        <v>45876</v>
      </c>
      <c r="C114" vm="337">
        <f ca="1"/>
        <v>153.49</v>
      </c>
      <c r="D114" vm="338">
        <f ca="1"/>
        <v>6719044</v>
      </c>
      <c r="E114">
        <f t="shared" ca="1" si="21"/>
        <v>1031306063.5600001</v>
      </c>
      <c r="F114">
        <f ca="1">SUM($E$2:E114)/SUM($D$2:D114)</f>
        <v>162.8581456311052</v>
      </c>
      <c r="G114">
        <f ca="1">_xlfn.STDEV.P($C$2:C114)</f>
        <v>6.0790346371109711</v>
      </c>
      <c r="H114">
        <f t="shared" ca="1" si="22"/>
        <v>168.93718026821617</v>
      </c>
      <c r="I114">
        <f t="shared" ca="1" si="23"/>
        <v>156.77911099399424</v>
      </c>
      <c r="J114">
        <f t="shared" ca="1" si="32"/>
        <v>154.60100000000003</v>
      </c>
      <c r="K114">
        <f t="shared" ca="1" si="33"/>
        <v>2.8387634446598149</v>
      </c>
      <c r="L114">
        <f t="shared" ca="1" si="34"/>
        <v>160.27852688931966</v>
      </c>
      <c r="M114">
        <f t="shared" ca="1" si="35"/>
        <v>148.92347311068039</v>
      </c>
      <c r="N114">
        <f t="shared" ca="1" si="24"/>
        <v>0.62999999999999545</v>
      </c>
      <c r="O114">
        <f t="shared" ca="1" si="25"/>
        <v>0.62999999999999545</v>
      </c>
      <c r="P114">
        <f t="shared" ca="1" si="26"/>
        <v>0</v>
      </c>
      <c r="Q114">
        <f t="shared" ca="1" si="30"/>
        <v>0.50549919350350714</v>
      </c>
      <c r="R114">
        <f t="shared" ca="1" si="31"/>
        <v>0.66354519297389492</v>
      </c>
      <c r="S114">
        <f t="shared" ca="1" si="28"/>
        <v>0.76181577209224749</v>
      </c>
      <c r="T114">
        <f t="shared" ca="1" si="29"/>
        <v>43.240376443420743</v>
      </c>
      <c r="U114">
        <f>70</f>
        <v>70</v>
      </c>
      <c r="V114">
        <f>30</f>
        <v>30</v>
      </c>
      <c r="W114">
        <f t="shared" ca="1" si="27"/>
        <v>153.50873361016997</v>
      </c>
      <c r="X114">
        <f t="shared" ca="1" si="37"/>
        <v>155.42642486254914</v>
      </c>
      <c r="Y114">
        <f t="shared" ca="1" si="36"/>
        <v>-1.7755390259486887</v>
      </c>
      <c r="Z114">
        <f t="shared" ca="1" si="38"/>
        <v>-1.772877855675095</v>
      </c>
      <c r="AA114">
        <f t="shared" ca="1" si="39"/>
        <v>-2.6611702735936937E-3</v>
      </c>
      <c r="AB114">
        <f t="shared" ca="1" si="40"/>
        <v>161.71870000000001</v>
      </c>
    </row>
    <row r="115" spans="1:28" x14ac:dyDescent="0.25">
      <c r="A115" s="20">
        <f t="shared" ca="1" si="20"/>
        <v>45873</v>
      </c>
      <c r="B115" vm="339">
        <f ca="1"/>
        <v>45877</v>
      </c>
      <c r="C115" vm="340">
        <f ca="1"/>
        <v>153.51</v>
      </c>
      <c r="D115" vm="341">
        <f ca="1"/>
        <v>5811281</v>
      </c>
      <c r="E115">
        <f t="shared" ca="1" si="21"/>
        <v>892089746.30999994</v>
      </c>
      <c r="F115">
        <f ca="1">SUM($E$2:E115)/SUM($D$2:D115)</f>
        <v>162.8020628572003</v>
      </c>
      <c r="G115">
        <f ca="1">_xlfn.STDEV.P($C$2:C115)</f>
        <v>6.1164580847843615</v>
      </c>
      <c r="H115">
        <f t="shared" ca="1" si="22"/>
        <v>168.91852094198467</v>
      </c>
      <c r="I115">
        <f t="shared" ca="1" si="23"/>
        <v>156.68560477241593</v>
      </c>
      <c r="J115">
        <f t="shared" ca="1" si="32"/>
        <v>154.42400000000004</v>
      </c>
      <c r="K115">
        <f t="shared" ca="1" si="33"/>
        <v>2.7879352858154283</v>
      </c>
      <c r="L115">
        <f t="shared" ca="1" si="34"/>
        <v>159.99987057163088</v>
      </c>
      <c r="M115">
        <f t="shared" ca="1" si="35"/>
        <v>148.84812942836919</v>
      </c>
      <c r="N115">
        <f t="shared" ca="1" si="24"/>
        <v>1.999999999998181E-2</v>
      </c>
      <c r="O115">
        <f t="shared" ca="1" si="25"/>
        <v>1.999999999998181E-2</v>
      </c>
      <c r="P115">
        <f t="shared" ca="1" si="26"/>
        <v>0</v>
      </c>
      <c r="Q115">
        <f t="shared" ca="1" si="30"/>
        <v>0.47082067968182673</v>
      </c>
      <c r="R115">
        <f t="shared" ca="1" si="31"/>
        <v>0.6161491077614738</v>
      </c>
      <c r="S115">
        <f t="shared" ca="1" si="28"/>
        <v>0.76413432033093653</v>
      </c>
      <c r="T115">
        <f t="shared" ca="1" si="29"/>
        <v>43.314973895388619</v>
      </c>
      <c r="U115">
        <f>70</f>
        <v>70</v>
      </c>
      <c r="V115">
        <f>30</f>
        <v>30</v>
      </c>
      <c r="W115">
        <f t="shared" ca="1" si="27"/>
        <v>153.50892843937459</v>
      </c>
      <c r="X115">
        <f t="shared" ca="1" si="37"/>
        <v>155.28446746532327</v>
      </c>
      <c r="Y115">
        <f t="shared" ca="1" si="36"/>
        <v>-1.526667178734499</v>
      </c>
      <c r="Z115">
        <f t="shared" ca="1" si="38"/>
        <v>-1.7236357202869759</v>
      </c>
      <c r="AA115">
        <f t="shared" ca="1" si="39"/>
        <v>0.19696854155247689</v>
      </c>
      <c r="AB115">
        <f t="shared" ca="1" si="40"/>
        <v>161.55620000000002</v>
      </c>
    </row>
    <row r="116" spans="1:28" x14ac:dyDescent="0.25">
      <c r="A116" s="20">
        <f t="shared" ca="1" si="20"/>
        <v>45880</v>
      </c>
      <c r="B116" vm="342">
        <f ca="1"/>
        <v>45880</v>
      </c>
      <c r="C116" vm="343">
        <f ca="1"/>
        <v>154.97999999999999</v>
      </c>
      <c r="D116" vm="344">
        <f ca="1"/>
        <v>7331707</v>
      </c>
      <c r="E116">
        <f t="shared" ca="1" si="21"/>
        <v>1136267950.8599999</v>
      </c>
      <c r="F116">
        <f ca="1">SUM($E$2:E116)/SUM($D$2:D116)</f>
        <v>162.74330259088237</v>
      </c>
      <c r="G116">
        <f ca="1">_xlfn.STDEV.P($C$2:C116)</f>
        <v>6.1340588091801109</v>
      </c>
      <c r="H116">
        <f t="shared" ca="1" si="22"/>
        <v>168.87736140006248</v>
      </c>
      <c r="I116">
        <f t="shared" ca="1" si="23"/>
        <v>156.60924378170225</v>
      </c>
      <c r="J116">
        <f t="shared" ca="1" si="32"/>
        <v>154.48500000000007</v>
      </c>
      <c r="K116">
        <f t="shared" ca="1" si="33"/>
        <v>2.7859884384087774</v>
      </c>
      <c r="L116">
        <f t="shared" ca="1" si="34"/>
        <v>160.05697687681763</v>
      </c>
      <c r="M116">
        <f t="shared" ca="1" si="35"/>
        <v>148.91302312318251</v>
      </c>
      <c r="N116">
        <f t="shared" ca="1" si="24"/>
        <v>1.4699999999999989</v>
      </c>
      <c r="O116">
        <f t="shared" ca="1" si="25"/>
        <v>1.4699999999999989</v>
      </c>
      <c r="P116">
        <f t="shared" ca="1" si="26"/>
        <v>0</v>
      </c>
      <c r="Q116">
        <f t="shared" ca="1" si="30"/>
        <v>0.54219063113312471</v>
      </c>
      <c r="R116">
        <f t="shared" ca="1" si="31"/>
        <v>0.57213845720708278</v>
      </c>
      <c r="S116">
        <f t="shared" ca="1" si="28"/>
        <v>0.94765633091655888</v>
      </c>
      <c r="T116">
        <f t="shared" ca="1" si="29"/>
        <v>48.656239598009357</v>
      </c>
      <c r="U116">
        <f>70</f>
        <v>70</v>
      </c>
      <c r="V116">
        <f>30</f>
        <v>30</v>
      </c>
      <c r="W116">
        <f t="shared" ca="1" si="27"/>
        <v>153.73524714100927</v>
      </c>
      <c r="X116">
        <f t="shared" ca="1" si="37"/>
        <v>155.26191431974377</v>
      </c>
      <c r="Y116">
        <f t="shared" ca="1" si="36"/>
        <v>-1.3055092679115887</v>
      </c>
      <c r="Z116">
        <f t="shared" ca="1" si="38"/>
        <v>-1.6400104298118985</v>
      </c>
      <c r="AA116">
        <f t="shared" ca="1" si="39"/>
        <v>0.33450116190030976</v>
      </c>
      <c r="AB116">
        <f t="shared" ca="1" si="40"/>
        <v>161.4289</v>
      </c>
    </row>
    <row r="117" spans="1:28" x14ac:dyDescent="0.25">
      <c r="A117" s="20">
        <f t="shared" ca="1" si="20"/>
        <v>45880</v>
      </c>
      <c r="B117" vm="345">
        <f ca="1"/>
        <v>45881</v>
      </c>
      <c r="C117" vm="346">
        <f ca="1"/>
        <v>155.09</v>
      </c>
      <c r="D117" vm="347">
        <f ca="1"/>
        <v>6938336</v>
      </c>
      <c r="E117">
        <f t="shared" ca="1" si="21"/>
        <v>1076066530.24</v>
      </c>
      <c r="F117">
        <f ca="1">SUM($E$2:E117)/SUM($D$2:D117)</f>
        <v>162.68927879962939</v>
      </c>
      <c r="G117">
        <f ca="1">_xlfn.STDEV.P($C$2:C117)</f>
        <v>6.149363420840368</v>
      </c>
      <c r="H117">
        <f t="shared" ca="1" si="22"/>
        <v>168.83864222046975</v>
      </c>
      <c r="I117">
        <f t="shared" ca="1" si="23"/>
        <v>156.53991537878903</v>
      </c>
      <c r="J117">
        <f t="shared" ca="1" si="32"/>
        <v>154.60550000000006</v>
      </c>
      <c r="K117">
        <f t="shared" ca="1" si="33"/>
        <v>2.7557642458939373</v>
      </c>
      <c r="L117">
        <f t="shared" ca="1" si="34"/>
        <v>160.11702849178795</v>
      </c>
      <c r="M117">
        <f t="shared" ca="1" si="35"/>
        <v>149.09397150821218</v>
      </c>
      <c r="N117">
        <f t="shared" ca="1" si="24"/>
        <v>0.11000000000001364</v>
      </c>
      <c r="O117">
        <f t="shared" ca="1" si="25"/>
        <v>0.11000000000001364</v>
      </c>
      <c r="P117">
        <f t="shared" ca="1" si="26"/>
        <v>0</v>
      </c>
      <c r="Q117">
        <f t="shared" ca="1" si="30"/>
        <v>0.51131987176647387</v>
      </c>
      <c r="R117">
        <f t="shared" ca="1" si="31"/>
        <v>0.53127142454943399</v>
      </c>
      <c r="S117">
        <f t="shared" ca="1" si="28"/>
        <v>0.96244565045093322</v>
      </c>
      <c r="T117">
        <f t="shared" ca="1" si="29"/>
        <v>49.04317478702054</v>
      </c>
      <c r="U117">
        <f>70</f>
        <v>70</v>
      </c>
      <c r="V117">
        <f>30</f>
        <v>30</v>
      </c>
      <c r="W117">
        <f t="shared" ca="1" si="27"/>
        <v>153.94367065777709</v>
      </c>
      <c r="X117">
        <f t="shared" ca="1" si="37"/>
        <v>155.24917992568868</v>
      </c>
      <c r="Y117">
        <f t="shared" ca="1" si="36"/>
        <v>-1.0918327364359754</v>
      </c>
      <c r="Z117">
        <f t="shared" ca="1" si="38"/>
        <v>-1.5303748911367141</v>
      </c>
      <c r="AA117">
        <f t="shared" ca="1" si="39"/>
        <v>0.43854215470073865</v>
      </c>
      <c r="AB117">
        <f t="shared" ca="1" si="40"/>
        <v>161.29410000000004</v>
      </c>
    </row>
    <row r="118" spans="1:28" x14ac:dyDescent="0.25">
      <c r="A118" s="20">
        <f t="shared" ca="1" si="20"/>
        <v>45880</v>
      </c>
      <c r="B118" vm="348">
        <f ca="1"/>
        <v>45882</v>
      </c>
      <c r="C118" vm="349">
        <f ca="1"/>
        <v>155.41</v>
      </c>
      <c r="D118" vm="350">
        <f ca="1"/>
        <v>5812356</v>
      </c>
      <c r="E118">
        <f t="shared" ca="1" si="21"/>
        <v>903298245.96000004</v>
      </c>
      <c r="F118">
        <f ca="1">SUM($E$2:E118)/SUM($D$2:D118)</f>
        <v>162.64648697178103</v>
      </c>
      <c r="G118">
        <f ca="1">_xlfn.STDEV.P($C$2:C118)</f>
        <v>6.1603575001118251</v>
      </c>
      <c r="H118">
        <f t="shared" ca="1" si="22"/>
        <v>168.80684447189284</v>
      </c>
      <c r="I118">
        <f t="shared" ca="1" si="23"/>
        <v>156.48612947166922</v>
      </c>
      <c r="J118">
        <f t="shared" ca="1" si="32"/>
        <v>154.68950000000001</v>
      </c>
      <c r="K118">
        <f t="shared" ca="1" si="33"/>
        <v>2.7532764691889349</v>
      </c>
      <c r="L118">
        <f t="shared" ca="1" si="34"/>
        <v>160.19605293837787</v>
      </c>
      <c r="M118">
        <f t="shared" ca="1" si="35"/>
        <v>149.18294706162214</v>
      </c>
      <c r="N118">
        <f t="shared" ca="1" si="24"/>
        <v>0.31999999999999318</v>
      </c>
      <c r="O118">
        <f t="shared" ca="1" si="25"/>
        <v>0.31999999999999318</v>
      </c>
      <c r="P118">
        <f t="shared" ca="1" si="26"/>
        <v>0</v>
      </c>
      <c r="Q118">
        <f t="shared" ca="1" si="30"/>
        <v>0.49765416664029666</v>
      </c>
      <c r="R118">
        <f t="shared" ca="1" si="31"/>
        <v>0.4933234656530458</v>
      </c>
      <c r="S118">
        <f t="shared" ca="1" si="28"/>
        <v>1.0087786235376377</v>
      </c>
      <c r="T118">
        <f t="shared" ca="1" si="29"/>
        <v>50.218506495309519</v>
      </c>
      <c r="U118">
        <f>70</f>
        <v>70</v>
      </c>
      <c r="V118">
        <f>30</f>
        <v>30</v>
      </c>
      <c r="W118">
        <f t="shared" ca="1" si="27"/>
        <v>154.16925978734983</v>
      </c>
      <c r="X118">
        <f t="shared" ca="1" si="37"/>
        <v>155.26109252378581</v>
      </c>
      <c r="Y118">
        <f t="shared" ca="1" si="36"/>
        <v>-1.0451991834401611</v>
      </c>
      <c r="Z118">
        <f t="shared" ca="1" si="38"/>
        <v>-1.4333397495974036</v>
      </c>
      <c r="AA118">
        <f t="shared" ca="1" si="39"/>
        <v>0.38814056615724257</v>
      </c>
      <c r="AB118">
        <f t="shared" ca="1" si="40"/>
        <v>161.17270000000002</v>
      </c>
    </row>
    <row r="119" spans="1:28" x14ac:dyDescent="0.25">
      <c r="A119" s="20">
        <f t="shared" ca="1" si="20"/>
        <v>45880</v>
      </c>
      <c r="B119" vm="351">
        <f ca="1"/>
        <v>45883</v>
      </c>
      <c r="C119" vm="352">
        <f ca="1"/>
        <v>153.74</v>
      </c>
      <c r="D119" vm="353">
        <f ca="1"/>
        <v>6343715</v>
      </c>
      <c r="E119">
        <f t="shared" ca="1" si="21"/>
        <v>975282744.10000002</v>
      </c>
      <c r="F119">
        <f ca="1">SUM($E$2:E119)/SUM($D$2:D119)</f>
        <v>162.58970730383487</v>
      </c>
      <c r="G119">
        <f ca="1">_xlfn.STDEV.P($C$2:C119)</f>
        <v>6.1889787067987907</v>
      </c>
      <c r="H119">
        <f t="shared" ca="1" si="22"/>
        <v>168.77868601063366</v>
      </c>
      <c r="I119">
        <f t="shared" ca="1" si="23"/>
        <v>156.40072859703608</v>
      </c>
      <c r="J119">
        <f t="shared" ca="1" si="32"/>
        <v>154.59550000000004</v>
      </c>
      <c r="K119">
        <f t="shared" ca="1" si="33"/>
        <v>2.7519284625799969</v>
      </c>
      <c r="L119">
        <f t="shared" ca="1" si="34"/>
        <v>160.09935692516004</v>
      </c>
      <c r="M119">
        <f t="shared" ca="1" si="35"/>
        <v>149.09164307484005</v>
      </c>
      <c r="N119">
        <f t="shared" ca="1" si="24"/>
        <v>-1.6699999999999875</v>
      </c>
      <c r="O119">
        <f t="shared" ca="1" si="25"/>
        <v>0</v>
      </c>
      <c r="P119">
        <f t="shared" ca="1" si="26"/>
        <v>1.6699999999999875</v>
      </c>
      <c r="Q119">
        <f t="shared" ca="1" si="30"/>
        <v>0.46210744045170404</v>
      </c>
      <c r="R119">
        <f t="shared" ca="1" si="31"/>
        <v>0.57737178953497015</v>
      </c>
      <c r="S119">
        <f t="shared" ca="1" si="28"/>
        <v>0.8003637323948527</v>
      </c>
      <c r="T119">
        <f t="shared" ca="1" si="29"/>
        <v>44.45566848484583</v>
      </c>
      <c r="U119">
        <f>70</f>
        <v>70</v>
      </c>
      <c r="V119">
        <f>30</f>
        <v>30</v>
      </c>
      <c r="W119">
        <f t="shared" ca="1" si="27"/>
        <v>154.10321982006522</v>
      </c>
      <c r="X119">
        <f t="shared" ca="1" si="37"/>
        <v>155.14841900350538</v>
      </c>
      <c r="Y119">
        <f t="shared" ca="1" si="36"/>
        <v>-0.94729313270619286</v>
      </c>
      <c r="Z119">
        <f t="shared" ca="1" si="38"/>
        <v>-1.3361304262191616</v>
      </c>
      <c r="AA119">
        <f t="shared" ca="1" si="39"/>
        <v>0.3888372935129687</v>
      </c>
      <c r="AB119">
        <f t="shared" ca="1" si="40"/>
        <v>161.04320000000001</v>
      </c>
    </row>
    <row r="120" spans="1:28" x14ac:dyDescent="0.25">
      <c r="A120" s="20">
        <f t="shared" ca="1" si="20"/>
        <v>45880</v>
      </c>
      <c r="B120" vm="354">
        <f ca="1"/>
        <v>45884</v>
      </c>
      <c r="C120" vm="355">
        <f ca="1"/>
        <v>154.36000000000001</v>
      </c>
      <c r="D120" vm="356">
        <f ca="1"/>
        <v>7121700</v>
      </c>
      <c r="E120">
        <f t="shared" ca="1" si="21"/>
        <v>1099305612</v>
      </c>
      <c r="F120">
        <f ca="1">SUM($E$2:E120)/SUM($D$2:D120)</f>
        <v>162.53122645472934</v>
      </c>
      <c r="G120">
        <f ca="1">_xlfn.STDEV.P($C$2:C120)</f>
        <v>6.2089527983435691</v>
      </c>
      <c r="H120">
        <f t="shared" ca="1" si="22"/>
        <v>168.74017925307291</v>
      </c>
      <c r="I120">
        <f t="shared" ca="1" si="23"/>
        <v>156.32227365638576</v>
      </c>
      <c r="J120">
        <f t="shared" ca="1" si="32"/>
        <v>154.55850000000004</v>
      </c>
      <c r="K120">
        <f t="shared" ca="1" si="33"/>
        <v>2.749762238525554</v>
      </c>
      <c r="L120">
        <f t="shared" ca="1" si="34"/>
        <v>160.05802447705113</v>
      </c>
      <c r="M120">
        <f t="shared" ca="1" si="35"/>
        <v>149.05897552294894</v>
      </c>
      <c r="N120">
        <f t="shared" ca="1" si="24"/>
        <v>0.62000000000000455</v>
      </c>
      <c r="O120">
        <f t="shared" ca="1" si="25"/>
        <v>0.62000000000000455</v>
      </c>
      <c r="P120">
        <f t="shared" ca="1" si="26"/>
        <v>0</v>
      </c>
      <c r="Q120">
        <f t="shared" ca="1" si="30"/>
        <v>0.47338548041943979</v>
      </c>
      <c r="R120">
        <f t="shared" ca="1" si="31"/>
        <v>0.53613094742532941</v>
      </c>
      <c r="S120">
        <f t="shared" ca="1" si="28"/>
        <v>0.88296615349810859</v>
      </c>
      <c r="T120">
        <f t="shared" ca="1" si="29"/>
        <v>46.892300844482257</v>
      </c>
      <c r="U120">
        <f>70</f>
        <v>70</v>
      </c>
      <c r="V120">
        <f>30</f>
        <v>30</v>
      </c>
      <c r="W120">
        <f t="shared" ca="1" si="27"/>
        <v>154.14272446313211</v>
      </c>
      <c r="X120">
        <f t="shared" ca="1" si="37"/>
        <v>155.0900175958383</v>
      </c>
      <c r="Y120">
        <f t="shared" ca="1" si="36"/>
        <v>-0.75130072107467072</v>
      </c>
      <c r="Z120">
        <f t="shared" ca="1" si="38"/>
        <v>-1.2191644851902637</v>
      </c>
      <c r="AA120">
        <f t="shared" ca="1" si="39"/>
        <v>0.46786376411559294</v>
      </c>
      <c r="AB120">
        <f t="shared" ca="1" si="40"/>
        <v>160.93030000000002</v>
      </c>
    </row>
    <row r="121" spans="1:28" x14ac:dyDescent="0.25">
      <c r="A121" s="20">
        <f t="shared" ca="1" si="20"/>
        <v>45887</v>
      </c>
      <c r="B121" vm="357">
        <f ca="1"/>
        <v>45887</v>
      </c>
      <c r="C121" vm="358">
        <f ca="1"/>
        <v>155.72</v>
      </c>
      <c r="D121" vm="359">
        <f ca="1"/>
        <v>8274726</v>
      </c>
      <c r="E121">
        <f t="shared" ca="1" si="21"/>
        <v>1288540332.72</v>
      </c>
      <c r="F121">
        <f ca="1">SUM($E$2:E121)/SUM($D$2:D121)</f>
        <v>162.47544966820232</v>
      </c>
      <c r="G121">
        <f ca="1">_xlfn.STDEV.P($C$2:C121)</f>
        <v>6.214194257571398</v>
      </c>
      <c r="H121">
        <f t="shared" ca="1" si="22"/>
        <v>168.68964392577371</v>
      </c>
      <c r="I121">
        <f t="shared" ca="1" si="23"/>
        <v>156.26125541063092</v>
      </c>
      <c r="J121">
        <f t="shared" ca="1" si="32"/>
        <v>154.59299999999999</v>
      </c>
      <c r="K121">
        <f t="shared" ca="1" si="33"/>
        <v>2.7602976574809368</v>
      </c>
      <c r="L121">
        <f t="shared" ca="1" si="34"/>
        <v>160.11359531496186</v>
      </c>
      <c r="M121">
        <f t="shared" ca="1" si="35"/>
        <v>149.07240468503812</v>
      </c>
      <c r="N121">
        <f t="shared" ca="1" si="24"/>
        <v>1.3599999999999852</v>
      </c>
      <c r="O121">
        <f t="shared" ca="1" si="25"/>
        <v>1.3599999999999852</v>
      </c>
      <c r="P121">
        <f t="shared" ca="1" si="26"/>
        <v>0</v>
      </c>
      <c r="Q121">
        <f t="shared" ca="1" si="30"/>
        <v>0.53671508896090736</v>
      </c>
      <c r="R121">
        <f t="shared" ca="1" si="31"/>
        <v>0.49783587975209159</v>
      </c>
      <c r="S121">
        <f t="shared" ca="1" si="28"/>
        <v>1.0780964385856973</v>
      </c>
      <c r="T121">
        <f t="shared" ca="1" si="29"/>
        <v>51.879037881390325</v>
      </c>
      <c r="U121">
        <f>70</f>
        <v>70</v>
      </c>
      <c r="V121">
        <f>30</f>
        <v>30</v>
      </c>
      <c r="W121">
        <f t="shared" ca="1" si="27"/>
        <v>154.38538223803488</v>
      </c>
      <c r="X121">
        <f t="shared" ca="1" si="37"/>
        <v>155.13668295910955</v>
      </c>
      <c r="Y121">
        <f t="shared" ca="1" si="36"/>
        <v>-0.3753944074479989</v>
      </c>
      <c r="Z121">
        <f t="shared" ca="1" si="38"/>
        <v>-1.0504104696418108</v>
      </c>
      <c r="AA121">
        <f t="shared" ca="1" si="39"/>
        <v>0.67501606219381194</v>
      </c>
      <c r="AB121">
        <f t="shared" ca="1" si="40"/>
        <v>160.85900000000001</v>
      </c>
    </row>
    <row r="122" spans="1:28" x14ac:dyDescent="0.25">
      <c r="A122" s="20">
        <f t="shared" ca="1" si="20"/>
        <v>45887</v>
      </c>
      <c r="B122" vm="360">
        <f ca="1"/>
        <v>45888</v>
      </c>
      <c r="C122" vm="361">
        <f ca="1"/>
        <v>158.4</v>
      </c>
      <c r="D122" vm="362">
        <f ca="1"/>
        <v>7868129</v>
      </c>
      <c r="E122">
        <f t="shared" ca="1" si="21"/>
        <v>1246311633.6000001</v>
      </c>
      <c r="F122">
        <f ca="1">SUM($E$2:E122)/SUM($D$2:D122)</f>
        <v>162.44396109456832</v>
      </c>
      <c r="G122">
        <f ca="1">_xlfn.STDEV.P($C$2:C122)</f>
        <v>6.1995883671748464</v>
      </c>
      <c r="H122">
        <f t="shared" ca="1" si="22"/>
        <v>168.64354946174316</v>
      </c>
      <c r="I122">
        <f t="shared" ca="1" si="23"/>
        <v>156.24437272739348</v>
      </c>
      <c r="J122">
        <f t="shared" ca="1" si="32"/>
        <v>154.59700000000001</v>
      </c>
      <c r="K122">
        <f t="shared" ca="1" si="33"/>
        <v>2.7660347830518419</v>
      </c>
      <c r="L122">
        <f t="shared" ca="1" si="34"/>
        <v>160.12906956610368</v>
      </c>
      <c r="M122">
        <f t="shared" ca="1" si="35"/>
        <v>149.06493043389634</v>
      </c>
      <c r="N122">
        <f t="shared" ca="1" si="24"/>
        <v>2.6800000000000068</v>
      </c>
      <c r="O122">
        <f t="shared" ca="1" si="25"/>
        <v>2.6800000000000068</v>
      </c>
      <c r="P122">
        <f t="shared" ca="1" si="26"/>
        <v>0</v>
      </c>
      <c r="Q122">
        <f t="shared" ca="1" si="30"/>
        <v>0.68980686832084304</v>
      </c>
      <c r="R122">
        <f t="shared" ca="1" si="31"/>
        <v>0.46227617405551363</v>
      </c>
      <c r="S122">
        <f t="shared" ca="1" si="28"/>
        <v>1.4921964553552911</v>
      </c>
      <c r="T122">
        <f t="shared" ca="1" si="29"/>
        <v>59.874752335387676</v>
      </c>
      <c r="U122">
        <f>70</f>
        <v>70</v>
      </c>
      <c r="V122">
        <f>30</f>
        <v>30</v>
      </c>
      <c r="W122">
        <f t="shared" ca="1" si="27"/>
        <v>155.00301573987565</v>
      </c>
      <c r="X122">
        <f t="shared" ca="1" si="37"/>
        <v>155.37841014732365</v>
      </c>
      <c r="Y122">
        <f t="shared" ca="1" si="36"/>
        <v>1.1944093626425456E-2</v>
      </c>
      <c r="Z122">
        <f t="shared" ca="1" si="38"/>
        <v>-0.83793955698816369</v>
      </c>
      <c r="AA122">
        <f t="shared" ca="1" si="39"/>
        <v>0.84988365061458915</v>
      </c>
      <c r="AB122">
        <f t="shared" ca="1" si="40"/>
        <v>160.77720000000002</v>
      </c>
    </row>
    <row r="123" spans="1:28" x14ac:dyDescent="0.25">
      <c r="A123" s="20">
        <f t="shared" ca="1" si="20"/>
        <v>45887</v>
      </c>
      <c r="B123" vm="363">
        <f ca="1"/>
        <v>45889</v>
      </c>
      <c r="C123" vm="364">
        <f ca="1"/>
        <v>159.51</v>
      </c>
      <c r="D123" vm="365">
        <f ca="1"/>
        <v>7840355</v>
      </c>
      <c r="E123">
        <f t="shared" ca="1" si="21"/>
        <v>1250615026.05</v>
      </c>
      <c r="F123">
        <f ca="1">SUM($E$2:E123)/SUM($D$2:D123)</f>
        <v>162.42154473022637</v>
      </c>
      <c r="G123">
        <f ca="1">_xlfn.STDEV.P($C$2:C123)</f>
        <v>6.1798812662049798</v>
      </c>
      <c r="H123">
        <f t="shared" ca="1" si="22"/>
        <v>168.60142599643135</v>
      </c>
      <c r="I123">
        <f t="shared" ca="1" si="23"/>
        <v>156.2416634640214</v>
      </c>
      <c r="J123">
        <f t="shared" ca="1" si="32"/>
        <v>154.6585</v>
      </c>
      <c r="K123">
        <f t="shared" ca="1" si="33"/>
        <v>2.8641656725825082</v>
      </c>
      <c r="L123">
        <f t="shared" ca="1" si="34"/>
        <v>160.38683134516501</v>
      </c>
      <c r="M123">
        <f t="shared" ca="1" si="35"/>
        <v>148.930168654835</v>
      </c>
      <c r="N123">
        <f t="shared" ca="1" si="24"/>
        <v>1.1099999999999852</v>
      </c>
      <c r="O123">
        <f t="shared" ca="1" si="25"/>
        <v>1.1099999999999852</v>
      </c>
      <c r="P123">
        <f t="shared" ca="1" si="26"/>
        <v>0</v>
      </c>
      <c r="Q123">
        <f t="shared" ca="1" si="30"/>
        <v>0.71982066344078177</v>
      </c>
      <c r="R123">
        <f t="shared" ca="1" si="31"/>
        <v>0.4292564473372627</v>
      </c>
      <c r="S123">
        <f t="shared" ca="1" si="28"/>
        <v>1.6769012274735282</v>
      </c>
      <c r="T123">
        <f t="shared" ca="1" si="29"/>
        <v>62.643373250502606</v>
      </c>
      <c r="U123">
        <f>70</f>
        <v>70</v>
      </c>
      <c r="V123">
        <f>30</f>
        <v>30</v>
      </c>
      <c r="W123">
        <f t="shared" ca="1" si="27"/>
        <v>155.69639793374091</v>
      </c>
      <c r="X123">
        <f t="shared" ca="1" si="37"/>
        <v>155.68445384011449</v>
      </c>
      <c r="Y123">
        <f t="shared" ca="1" si="36"/>
        <v>0.25305609197673107</v>
      </c>
      <c r="Z123">
        <f t="shared" ca="1" si="38"/>
        <v>-0.61974042719518474</v>
      </c>
      <c r="AA123">
        <f t="shared" ca="1" si="39"/>
        <v>0.87279651917191581</v>
      </c>
      <c r="AB123">
        <f t="shared" ca="1" si="40"/>
        <v>160.68520000000001</v>
      </c>
    </row>
    <row r="124" spans="1:28" x14ac:dyDescent="0.25">
      <c r="A124" s="20">
        <f t="shared" ca="1" si="20"/>
        <v>45887</v>
      </c>
      <c r="B124" vm="366">
        <f ca="1"/>
        <v>45890</v>
      </c>
      <c r="C124" vm="161">
        <f ca="1"/>
        <v>158.72999999999999</v>
      </c>
      <c r="D124" vm="367">
        <f ca="1"/>
        <v>6417695</v>
      </c>
      <c r="E124">
        <f t="shared" ca="1" si="21"/>
        <v>1018680727.3499999</v>
      </c>
      <c r="F124">
        <f ca="1">SUM($E$2:E124)/SUM($D$2:D124)</f>
        <v>162.3986014922084</v>
      </c>
      <c r="G124">
        <f ca="1">_xlfn.STDEV.P($C$2:C124)</f>
        <v>6.1637316251679035</v>
      </c>
      <c r="H124">
        <f t="shared" ca="1" si="22"/>
        <v>168.56233311737631</v>
      </c>
      <c r="I124">
        <f t="shared" ca="1" si="23"/>
        <v>156.23486986704049</v>
      </c>
      <c r="J124">
        <f t="shared" ca="1" si="32"/>
        <v>154.65449999999998</v>
      </c>
      <c r="K124">
        <f t="shared" ca="1" si="33"/>
        <v>2.8581121391575954</v>
      </c>
      <c r="L124">
        <f t="shared" ca="1" si="34"/>
        <v>160.37072427831518</v>
      </c>
      <c r="M124">
        <f t="shared" ca="1" si="35"/>
        <v>148.93827572168479</v>
      </c>
      <c r="N124">
        <f t="shared" ca="1" si="24"/>
        <v>-0.78000000000000114</v>
      </c>
      <c r="O124">
        <f t="shared" ca="1" si="25"/>
        <v>0</v>
      </c>
      <c r="P124">
        <f t="shared" ca="1" si="26"/>
        <v>0.78000000000000114</v>
      </c>
      <c r="Q124">
        <f t="shared" ca="1" si="30"/>
        <v>0.66840490176644018</v>
      </c>
      <c r="R124">
        <f t="shared" ca="1" si="31"/>
        <v>0.45430955824174407</v>
      </c>
      <c r="S124">
        <f t="shared" ca="1" si="28"/>
        <v>1.4712543234909734</v>
      </c>
      <c r="T124">
        <f t="shared" ca="1" si="29"/>
        <v>59.534719251907362</v>
      </c>
      <c r="U124">
        <f>70</f>
        <v>70</v>
      </c>
      <c r="V124">
        <f>30</f>
        <v>30</v>
      </c>
      <c r="W124">
        <f t="shared" ca="1" si="27"/>
        <v>156.1631059439346</v>
      </c>
      <c r="X124">
        <f t="shared" ca="1" si="37"/>
        <v>155.91004985195787</v>
      </c>
      <c r="Y124">
        <f t="shared" ca="1" si="36"/>
        <v>0.43429134889535703</v>
      </c>
      <c r="Z124">
        <f t="shared" ca="1" si="38"/>
        <v>-0.40893407197707643</v>
      </c>
      <c r="AA124">
        <f t="shared" ca="1" si="39"/>
        <v>0.84322542087243346</v>
      </c>
      <c r="AB124">
        <f t="shared" ca="1" si="40"/>
        <v>160.59220000000002</v>
      </c>
    </row>
    <row r="125" spans="1:28" x14ac:dyDescent="0.25">
      <c r="A125" s="20">
        <f t="shared" ca="1" si="20"/>
        <v>45887</v>
      </c>
      <c r="B125" vm="368">
        <f ca="1"/>
        <v>45891</v>
      </c>
      <c r="C125" vm="369">
        <f ca="1"/>
        <v>158.66999999999999</v>
      </c>
      <c r="D125" vm="370">
        <f ca="1"/>
        <v>5797325</v>
      </c>
      <c r="E125">
        <f t="shared" ca="1" si="21"/>
        <v>919861557.74999988</v>
      </c>
      <c r="F125">
        <f ca="1">SUM($E$2:E125)/SUM($D$2:D125)</f>
        <v>162.37778489777685</v>
      </c>
      <c r="G125">
        <f ca="1">_xlfn.STDEV.P($C$2:C125)</f>
        <v>6.1479462658876107</v>
      </c>
      <c r="H125">
        <f t="shared" ca="1" si="22"/>
        <v>168.52573116366446</v>
      </c>
      <c r="I125">
        <f t="shared" ca="1" si="23"/>
        <v>156.22983863188924</v>
      </c>
      <c r="J125">
        <f t="shared" ca="1" si="32"/>
        <v>154.67299999999997</v>
      </c>
      <c r="K125">
        <f t="shared" ca="1" si="33"/>
        <v>2.8840306225106116</v>
      </c>
      <c r="L125">
        <f t="shared" ca="1" si="34"/>
        <v>160.44106124502119</v>
      </c>
      <c r="M125">
        <f t="shared" ca="1" si="35"/>
        <v>148.90493875497876</v>
      </c>
      <c r="N125">
        <f t="shared" ca="1" si="24"/>
        <v>-6.0000000000002274E-2</v>
      </c>
      <c r="O125">
        <f t="shared" ca="1" si="25"/>
        <v>0</v>
      </c>
      <c r="P125">
        <f t="shared" ca="1" si="26"/>
        <v>6.0000000000002274E-2</v>
      </c>
      <c r="Q125">
        <f t="shared" ca="1" si="30"/>
        <v>0.62066169449740882</v>
      </c>
      <c r="R125">
        <f t="shared" ca="1" si="31"/>
        <v>0.42614458979590536</v>
      </c>
      <c r="S125">
        <f t="shared" ca="1" si="28"/>
        <v>1.4564579942095806</v>
      </c>
      <c r="T125">
        <f t="shared" ca="1" si="29"/>
        <v>59.290979029268037</v>
      </c>
      <c r="U125">
        <f>70</f>
        <v>70</v>
      </c>
      <c r="V125">
        <f>30</f>
        <v>30</v>
      </c>
      <c r="W125">
        <f t="shared" ca="1" si="27"/>
        <v>156.54878195256003</v>
      </c>
      <c r="X125">
        <f t="shared" ca="1" si="37"/>
        <v>156.11449060366468</v>
      </c>
      <c r="Y125">
        <f t="shared" ca="1" si="36"/>
        <v>0.37030995361627106</v>
      </c>
      <c r="Z125">
        <f t="shared" ca="1" si="38"/>
        <v>-0.25308526685840699</v>
      </c>
      <c r="AA125">
        <f t="shared" ca="1" si="39"/>
        <v>0.62339522047467799</v>
      </c>
      <c r="AB125">
        <f t="shared" ca="1" si="40"/>
        <v>160.47470000000004</v>
      </c>
    </row>
    <row r="126" spans="1:28" x14ac:dyDescent="0.25">
      <c r="A126" s="20">
        <f t="shared" ca="1" si="20"/>
        <v>45894</v>
      </c>
      <c r="B126" vm="371">
        <f ca="1"/>
        <v>45894</v>
      </c>
      <c r="C126" vm="372">
        <f ca="1"/>
        <v>156.15</v>
      </c>
      <c r="D126" vm="373">
        <f ca="1"/>
        <v>4692505</v>
      </c>
      <c r="E126">
        <f t="shared" ca="1" si="21"/>
        <v>732734655.75</v>
      </c>
      <c r="F126">
        <f ca="1">SUM($E$2:E126)/SUM($D$2:D126)</f>
        <v>162.3497682439851</v>
      </c>
      <c r="G126">
        <f ca="1">_xlfn.STDEV.P($C$2:C126)</f>
        <v>6.1484231994878167</v>
      </c>
      <c r="H126">
        <f t="shared" ca="1" si="22"/>
        <v>168.4981914434729</v>
      </c>
      <c r="I126">
        <f t="shared" ca="1" si="23"/>
        <v>156.20134504449729</v>
      </c>
      <c r="J126">
        <f t="shared" ca="1" si="32"/>
        <v>154.625</v>
      </c>
      <c r="K126">
        <f t="shared" ca="1" si="33"/>
        <v>2.849113435513063</v>
      </c>
      <c r="L126">
        <f t="shared" ca="1" si="34"/>
        <v>160.32322687102612</v>
      </c>
      <c r="M126">
        <f t="shared" ca="1" si="35"/>
        <v>148.92677312897388</v>
      </c>
      <c r="N126">
        <f t="shared" ca="1" si="24"/>
        <v>-2.5199999999999818</v>
      </c>
      <c r="O126">
        <f t="shared" ca="1" si="25"/>
        <v>0</v>
      </c>
      <c r="P126">
        <f t="shared" ca="1" si="26"/>
        <v>2.5199999999999818</v>
      </c>
      <c r="Q126">
        <f t="shared" ca="1" si="30"/>
        <v>0.57632871631902238</v>
      </c>
      <c r="R126">
        <f t="shared" ca="1" si="31"/>
        <v>0.57570569052476805</v>
      </c>
      <c r="S126">
        <f t="shared" ca="1" si="28"/>
        <v>1.0010821949557012</v>
      </c>
      <c r="T126">
        <f t="shared" ca="1" si="29"/>
        <v>50.027040242485519</v>
      </c>
      <c r="U126">
        <f>70</f>
        <v>70</v>
      </c>
      <c r="V126">
        <f>30</f>
        <v>30</v>
      </c>
      <c r="W126">
        <f t="shared" ca="1" si="27"/>
        <v>156.48743088293543</v>
      </c>
      <c r="X126">
        <f t="shared" ca="1" si="37"/>
        <v>156.11712092931916</v>
      </c>
      <c r="Y126">
        <f t="shared" ca="1" si="36"/>
        <v>0.30160304901164636</v>
      </c>
      <c r="Z126">
        <f t="shared" ca="1" si="38"/>
        <v>-0.14214760368439633</v>
      </c>
      <c r="AA126">
        <f t="shared" ca="1" si="39"/>
        <v>0.44375065269604269</v>
      </c>
      <c r="AB126">
        <f t="shared" ca="1" si="40"/>
        <v>160.3306</v>
      </c>
    </row>
    <row r="127" spans="1:28" x14ac:dyDescent="0.25">
      <c r="A127" s="20">
        <f t="shared" ca="1" si="20"/>
        <v>45894</v>
      </c>
      <c r="B127" vm="374">
        <f ca="1"/>
        <v>45895</v>
      </c>
      <c r="C127" vm="375">
        <f ca="1"/>
        <v>155.97</v>
      </c>
      <c r="D127" vm="376">
        <f ca="1"/>
        <v>6337977</v>
      </c>
      <c r="E127">
        <f t="shared" ca="1" si="21"/>
        <v>988534272.68999994</v>
      </c>
      <c r="F127">
        <f ca="1">SUM($E$2:E127)/SUM($D$2:D127)</f>
        <v>162.3112379234006</v>
      </c>
      <c r="G127">
        <f ca="1">_xlfn.STDEV.P($C$2:C127)</f>
        <v>6.1499434394464192</v>
      </c>
      <c r="H127">
        <f t="shared" ca="1" si="22"/>
        <v>168.46118136284701</v>
      </c>
      <c r="I127">
        <f t="shared" ca="1" si="23"/>
        <v>156.16129448395418</v>
      </c>
      <c r="J127">
        <f t="shared" ca="1" si="32"/>
        <v>154.59300000000002</v>
      </c>
      <c r="K127">
        <f t="shared" ca="1" si="33"/>
        <v>2.8291696754757512</v>
      </c>
      <c r="L127">
        <f t="shared" ca="1" si="34"/>
        <v>160.25133935095153</v>
      </c>
      <c r="M127">
        <f t="shared" ca="1" si="35"/>
        <v>148.93466064904851</v>
      </c>
      <c r="N127">
        <f t="shared" ca="1" si="24"/>
        <v>-0.18000000000000682</v>
      </c>
      <c r="O127">
        <f t="shared" ca="1" si="25"/>
        <v>0</v>
      </c>
      <c r="P127">
        <f t="shared" ca="1" si="26"/>
        <v>0.18000000000000682</v>
      </c>
      <c r="Q127">
        <f t="shared" ca="1" si="30"/>
        <v>0.53516237943909217</v>
      </c>
      <c r="R127">
        <f t="shared" ca="1" si="31"/>
        <v>0.54744099834442794</v>
      </c>
      <c r="S127">
        <f t="shared" ca="1" si="28"/>
        <v>0.97757088171607753</v>
      </c>
      <c r="T127">
        <f t="shared" ca="1" si="29"/>
        <v>49.432912405535141</v>
      </c>
      <c r="U127">
        <f>70</f>
        <v>70</v>
      </c>
      <c r="V127">
        <f>30</f>
        <v>30</v>
      </c>
      <c r="W127">
        <f t="shared" ca="1" si="27"/>
        <v>156.40782613171459</v>
      </c>
      <c r="X127">
        <f t="shared" ca="1" si="37"/>
        <v>156.10622308270294</v>
      </c>
      <c r="Y127">
        <f t="shared" ca="1" si="36"/>
        <v>0.3233101402871057</v>
      </c>
      <c r="Z127">
        <f t="shared" ca="1" si="38"/>
        <v>-4.9056054890095915E-2</v>
      </c>
      <c r="AA127">
        <f t="shared" ca="1" si="39"/>
        <v>0.3723661951772016</v>
      </c>
      <c r="AB127">
        <f t="shared" ca="1" si="40"/>
        <v>160.1953</v>
      </c>
    </row>
    <row r="128" spans="1:28" x14ac:dyDescent="0.25">
      <c r="A128" s="20">
        <f t="shared" ca="1" si="20"/>
        <v>45894</v>
      </c>
      <c r="B128" vm="377">
        <f ca="1"/>
        <v>45896</v>
      </c>
      <c r="C128" vm="378">
        <f ca="1"/>
        <v>156.96</v>
      </c>
      <c r="D128" vm="379">
        <f ca="1"/>
        <v>4551219</v>
      </c>
      <c r="E128">
        <f t="shared" ca="1" si="21"/>
        <v>714359334.24000001</v>
      </c>
      <c r="F128">
        <f ca="1">SUM($E$2:E128)/SUM($D$2:D128)</f>
        <v>162.28813059926753</v>
      </c>
      <c r="G128">
        <f ca="1">_xlfn.STDEV.P($C$2:C128)</f>
        <v>6.1437164622485554</v>
      </c>
      <c r="H128">
        <f t="shared" ca="1" si="22"/>
        <v>168.43184706151609</v>
      </c>
      <c r="I128">
        <f t="shared" ca="1" si="23"/>
        <v>156.14441413701897</v>
      </c>
      <c r="J128">
        <f t="shared" ca="1" si="32"/>
        <v>154.797</v>
      </c>
      <c r="K128">
        <f t="shared" ca="1" si="33"/>
        <v>2.8461961688504429</v>
      </c>
      <c r="L128">
        <f t="shared" ca="1" si="34"/>
        <v>160.48939233770088</v>
      </c>
      <c r="M128">
        <f t="shared" ca="1" si="35"/>
        <v>149.10460766229912</v>
      </c>
      <c r="N128">
        <f t="shared" ca="1" si="24"/>
        <v>0.99000000000000909</v>
      </c>
      <c r="O128">
        <f t="shared" ca="1" si="25"/>
        <v>0.99000000000000909</v>
      </c>
      <c r="P128">
        <f t="shared" ca="1" si="26"/>
        <v>0</v>
      </c>
      <c r="Q128">
        <f t="shared" ca="1" si="30"/>
        <v>0.56765078090772902</v>
      </c>
      <c r="R128">
        <f t="shared" ca="1" si="31"/>
        <v>0.50833806989125452</v>
      </c>
      <c r="S128">
        <f t="shared" ca="1" si="28"/>
        <v>1.1166796557833312</v>
      </c>
      <c r="T128">
        <f t="shared" ca="1" si="29"/>
        <v>52.756195427695715</v>
      </c>
      <c r="U128">
        <f>70</f>
        <v>70</v>
      </c>
      <c r="V128">
        <f>30</f>
        <v>30</v>
      </c>
      <c r="W128">
        <f t="shared" ca="1" si="27"/>
        <v>156.49277595760464</v>
      </c>
      <c r="X128">
        <f t="shared" ca="1" si="37"/>
        <v>156.16946581731753</v>
      </c>
      <c r="Y128">
        <f t="shared" ca="1" si="36"/>
        <v>0.23213125008655311</v>
      </c>
      <c r="Z128">
        <f t="shared" ca="1" si="38"/>
        <v>7.1814061052338923E-3</v>
      </c>
      <c r="AA128">
        <f t="shared" ca="1" si="39"/>
        <v>0.22494984398131923</v>
      </c>
      <c r="AB128">
        <f t="shared" ca="1" si="40"/>
        <v>160.041</v>
      </c>
    </row>
    <row r="129" spans="1:28" x14ac:dyDescent="0.25">
      <c r="A129" s="20">
        <f t="shared" ca="1" si="20"/>
        <v>45894</v>
      </c>
      <c r="B129" vm="380">
        <f ca="1"/>
        <v>45897</v>
      </c>
      <c r="C129" vm="381">
        <f ca="1"/>
        <v>155.65</v>
      </c>
      <c r="D129" vm="382">
        <f ca="1"/>
        <v>5857727</v>
      </c>
      <c r="E129">
        <f t="shared" ca="1" si="21"/>
        <v>911755207.55000007</v>
      </c>
      <c r="F129">
        <f ca="1">SUM($E$2:E129)/SUM($D$2:D129)</f>
        <v>162.25144162446003</v>
      </c>
      <c r="G129">
        <f ca="1">_xlfn.STDEV.P($C$2:C129)</f>
        <v>6.1471130279083726</v>
      </c>
      <c r="H129">
        <f t="shared" ca="1" si="22"/>
        <v>168.3985546523684</v>
      </c>
      <c r="I129">
        <f t="shared" ca="1" si="23"/>
        <v>156.10432859655165</v>
      </c>
      <c r="J129">
        <f t="shared" ca="1" si="32"/>
        <v>155.05600000000001</v>
      </c>
      <c r="K129">
        <f t="shared" ca="1" si="33"/>
        <v>2.6614092032921981</v>
      </c>
      <c r="L129">
        <f t="shared" ca="1" si="34"/>
        <v>160.3788184065844</v>
      </c>
      <c r="M129">
        <f t="shared" ca="1" si="35"/>
        <v>149.73318159341562</v>
      </c>
      <c r="N129">
        <f t="shared" ca="1" si="24"/>
        <v>-1.3100000000000023</v>
      </c>
      <c r="O129">
        <f t="shared" ca="1" si="25"/>
        <v>0</v>
      </c>
      <c r="P129">
        <f t="shared" ca="1" si="26"/>
        <v>1.3100000000000023</v>
      </c>
      <c r="Q129">
        <f t="shared" ca="1" si="30"/>
        <v>0.52710429655717694</v>
      </c>
      <c r="R129">
        <f t="shared" ca="1" si="31"/>
        <v>0.56559963632759369</v>
      </c>
      <c r="S129">
        <f t="shared" ca="1" si="28"/>
        <v>0.93193888875112296</v>
      </c>
      <c r="T129">
        <f t="shared" ca="1" si="29"/>
        <v>48.238528360157545</v>
      </c>
      <c r="U129">
        <f>70</f>
        <v>70</v>
      </c>
      <c r="V129">
        <f>30</f>
        <v>30</v>
      </c>
      <c r="W129">
        <f t="shared" ca="1" si="27"/>
        <v>156.36311811797316</v>
      </c>
      <c r="X129">
        <f t="shared" ca="1" si="37"/>
        <v>156.13098686788661</v>
      </c>
      <c r="Y129">
        <f t="shared" ca="1" si="36"/>
        <v>0.26893261816204017</v>
      </c>
      <c r="Z129">
        <f t="shared" ca="1" si="38"/>
        <v>5.9531648516595155E-2</v>
      </c>
      <c r="AA129">
        <f t="shared" ca="1" si="39"/>
        <v>0.20940096964544502</v>
      </c>
      <c r="AB129">
        <f t="shared" ca="1" si="40"/>
        <v>159.96</v>
      </c>
    </row>
    <row r="130" spans="1:28" x14ac:dyDescent="0.25">
      <c r="A130" s="20">
        <f t="shared" ca="1" si="20"/>
        <v>45894</v>
      </c>
      <c r="B130" vm="383">
        <f ca="1"/>
        <v>45898</v>
      </c>
      <c r="C130" vm="384">
        <f ca="1"/>
        <v>157.04</v>
      </c>
      <c r="D130" vm="385">
        <f ca="1"/>
        <v>5318179</v>
      </c>
      <c r="E130">
        <f t="shared" ca="1" si="21"/>
        <v>835166830.15999997</v>
      </c>
      <c r="F130">
        <f ca="1">SUM($E$2:E130)/SUM($D$2:D130)</f>
        <v>162.22542160123683</v>
      </c>
      <c r="G130">
        <f ca="1">_xlfn.STDEV.P($C$2:C130)</f>
        <v>6.1398668955330047</v>
      </c>
      <c r="H130">
        <f t="shared" ca="1" si="22"/>
        <v>168.36528849676984</v>
      </c>
      <c r="I130">
        <f t="shared" ca="1" si="23"/>
        <v>156.08555470570383</v>
      </c>
      <c r="J130">
        <f t="shared" ca="1" si="32"/>
        <v>155.37550000000002</v>
      </c>
      <c r="K130">
        <f t="shared" ca="1" si="33"/>
        <v>2.4821541472129223</v>
      </c>
      <c r="L130">
        <f t="shared" ca="1" si="34"/>
        <v>160.33980829442586</v>
      </c>
      <c r="M130">
        <f t="shared" ca="1" si="35"/>
        <v>150.41119170557417</v>
      </c>
      <c r="N130">
        <f t="shared" ca="1" si="24"/>
        <v>1.3899999999999864</v>
      </c>
      <c r="O130">
        <f t="shared" ca="1" si="25"/>
        <v>1.3899999999999864</v>
      </c>
      <c r="P130">
        <f t="shared" ca="1" si="26"/>
        <v>0</v>
      </c>
      <c r="Q130">
        <f t="shared" ca="1" si="30"/>
        <v>0.58873970394594899</v>
      </c>
      <c r="R130">
        <f t="shared" ca="1" si="31"/>
        <v>0.52519966230419413</v>
      </c>
      <c r="S130">
        <f t="shared" ca="1" si="28"/>
        <v>1.1209826399411367</v>
      </c>
      <c r="T130">
        <f t="shared" ca="1" si="29"/>
        <v>52.852042201167997</v>
      </c>
      <c r="U130">
        <f>70</f>
        <v>70</v>
      </c>
      <c r="V130">
        <f>30</f>
        <v>30</v>
      </c>
      <c r="W130">
        <f t="shared" ca="1" si="27"/>
        <v>156.46725379213112</v>
      </c>
      <c r="X130">
        <f t="shared" ca="1" si="37"/>
        <v>156.19832117396908</v>
      </c>
      <c r="Y130">
        <f t="shared" ca="1" si="36"/>
        <v>0.3704843154501134</v>
      </c>
      <c r="Z130">
        <f t="shared" ca="1" si="38"/>
        <v>0.12172218190329881</v>
      </c>
      <c r="AA130">
        <f t="shared" ca="1" si="39"/>
        <v>0.24876213354681459</v>
      </c>
      <c r="AB130">
        <f t="shared" ca="1" si="40"/>
        <v>159.9281</v>
      </c>
    </row>
    <row r="131" spans="1:28" x14ac:dyDescent="0.25">
      <c r="A131" s="20">
        <f t="shared" ref="A131:A194" ca="1" si="41">B131 - WEEKDAY(B131, 2) + 1</f>
        <v>45901</v>
      </c>
      <c r="B131" vm="386">
        <f ca="1"/>
        <v>45902</v>
      </c>
      <c r="C131" vm="387">
        <f ca="1"/>
        <v>157.99</v>
      </c>
      <c r="D131" vm="388">
        <f ca="1"/>
        <v>6432837</v>
      </c>
      <c r="E131">
        <f t="shared" ref="E131:E194" ca="1" si="42">C131*D131</f>
        <v>1016323917.6300001</v>
      </c>
      <c r="F131">
        <f ca="1">SUM($E$2:E131)/SUM($D$2:D131)</f>
        <v>162.19999600870165</v>
      </c>
      <c r="G131">
        <f ca="1">_xlfn.STDEV.P($C$2:C131)</f>
        <v>6.1269885379669757</v>
      </c>
      <c r="H131">
        <f t="shared" ref="H131:H194" ca="1" si="43">F131 + G131</f>
        <v>168.32698454666863</v>
      </c>
      <c r="I131">
        <f t="shared" ref="I131:I194" ca="1" si="44">F131 - G131</f>
        <v>156.07300747073467</v>
      </c>
      <c r="J131">
        <f t="shared" ca="1" si="32"/>
        <v>155.73700000000002</v>
      </c>
      <c r="K131">
        <f t="shared" ca="1" si="33"/>
        <v>2.2939258465507719</v>
      </c>
      <c r="L131">
        <f t="shared" ca="1" si="34"/>
        <v>160.32485169310158</v>
      </c>
      <c r="M131">
        <f t="shared" ca="1" si="35"/>
        <v>151.14914830689847</v>
      </c>
      <c r="N131">
        <f t="shared" ca="1" si="24"/>
        <v>0.95000000000001705</v>
      </c>
      <c r="O131">
        <f t="shared" ca="1" si="25"/>
        <v>0.95000000000001705</v>
      </c>
      <c r="P131">
        <f t="shared" ca="1" si="26"/>
        <v>0</v>
      </c>
      <c r="Q131">
        <f t="shared" ca="1" si="30"/>
        <v>0.61454401080695387</v>
      </c>
      <c r="R131">
        <f t="shared" ca="1" si="31"/>
        <v>0.48768540071103744</v>
      </c>
      <c r="S131">
        <f t="shared" ca="1" si="28"/>
        <v>1.2601238624550963</v>
      </c>
      <c r="T131">
        <f t="shared" ca="1" si="29"/>
        <v>55.754637318251497</v>
      </c>
      <c r="U131">
        <f>70</f>
        <v>70</v>
      </c>
      <c r="V131">
        <f>30</f>
        <v>30</v>
      </c>
      <c r="W131">
        <f t="shared" ca="1" si="27"/>
        <v>156.70152243949556</v>
      </c>
      <c r="X131">
        <f t="shared" ca="1" si="37"/>
        <v>156.33103812404545</v>
      </c>
      <c r="Y131">
        <f t="shared" ca="1" si="36"/>
        <v>0.46018454192423519</v>
      </c>
      <c r="Z131">
        <f t="shared" ca="1" si="38"/>
        <v>0.1894146539074861</v>
      </c>
      <c r="AA131">
        <f t="shared" ca="1" si="39"/>
        <v>0.27076988801674906</v>
      </c>
      <c r="AB131">
        <f t="shared" ca="1" si="40"/>
        <v>159.92410000000001</v>
      </c>
    </row>
    <row r="132" spans="1:28" x14ac:dyDescent="0.25">
      <c r="A132" s="20">
        <f t="shared" ca="1" si="41"/>
        <v>45901</v>
      </c>
      <c r="B132" vm="389">
        <f ca="1"/>
        <v>45903</v>
      </c>
      <c r="C132" vm="390">
        <f ca="1"/>
        <v>158.16999999999999</v>
      </c>
      <c r="D132" vm="391">
        <f ca="1"/>
        <v>6592451</v>
      </c>
      <c r="E132">
        <f t="shared" ca="1" si="42"/>
        <v>1042727974.67</v>
      </c>
      <c r="F132">
        <f ca="1">SUM($E$2:E132)/SUM($D$2:D132)</f>
        <v>162.17535492493693</v>
      </c>
      <c r="G132">
        <f ca="1">_xlfn.STDEV.P($C$2:C132)</f>
        <v>6.1132164325036165</v>
      </c>
      <c r="H132">
        <f t="shared" ca="1" si="43"/>
        <v>168.28857135744053</v>
      </c>
      <c r="I132">
        <f t="shared" ca="1" si="44"/>
        <v>156.06213849243332</v>
      </c>
      <c r="J132">
        <f t="shared" ca="1" si="32"/>
        <v>156.12000000000003</v>
      </c>
      <c r="K132">
        <f t="shared" ca="1" si="33"/>
        <v>1.9953102911313618</v>
      </c>
      <c r="L132">
        <f t="shared" ca="1" si="34"/>
        <v>160.11062058226275</v>
      </c>
      <c r="M132">
        <f t="shared" ca="1" si="35"/>
        <v>152.12937941773731</v>
      </c>
      <c r="N132">
        <f t="shared" ref="N132:N195" ca="1" si="45">C132-C131</f>
        <v>0.1799999999999784</v>
      </c>
      <c r="O132">
        <f t="shared" ref="O132:O195" ca="1" si="46">MAX(N132,0)</f>
        <v>0.1799999999999784</v>
      </c>
      <c r="P132">
        <f t="shared" ref="P132:P195" ca="1" si="47">MAX(-N132,0)</f>
        <v>0</v>
      </c>
      <c r="Q132">
        <f t="shared" ca="1" si="30"/>
        <v>0.58350515289216986</v>
      </c>
      <c r="R132">
        <f t="shared" ca="1" si="31"/>
        <v>0.45285072923167763</v>
      </c>
      <c r="S132">
        <f t="shared" ca="1" si="28"/>
        <v>1.2885154317453902</v>
      </c>
      <c r="T132">
        <f t="shared" ca="1" si="29"/>
        <v>56.303550060078621</v>
      </c>
      <c r="U132">
        <f>70</f>
        <v>70</v>
      </c>
      <c r="V132">
        <f>30</f>
        <v>30</v>
      </c>
      <c r="W132">
        <f t="shared" ca="1" si="27"/>
        <v>156.92744206418854</v>
      </c>
      <c r="X132">
        <f t="shared" ca="1" si="37"/>
        <v>156.4672575222643</v>
      </c>
      <c r="Y132">
        <f t="shared" ca="1" si="36"/>
        <v>0.60658575022250716</v>
      </c>
      <c r="Z132">
        <f t="shared" ca="1" si="38"/>
        <v>0.27284887317049034</v>
      </c>
      <c r="AA132">
        <f t="shared" ca="1" si="39"/>
        <v>0.33373687705201682</v>
      </c>
      <c r="AB132">
        <f t="shared" ca="1" si="40"/>
        <v>159.8826</v>
      </c>
    </row>
    <row r="133" spans="1:28" x14ac:dyDescent="0.25">
      <c r="A133" s="20">
        <f t="shared" ca="1" si="41"/>
        <v>45901</v>
      </c>
      <c r="B133" vm="392">
        <f ca="1"/>
        <v>45904</v>
      </c>
      <c r="C133" vm="393">
        <f ca="1"/>
        <v>159.19</v>
      </c>
      <c r="D133" vm="394">
        <f ca="1"/>
        <v>6935245</v>
      </c>
      <c r="E133">
        <f t="shared" ca="1" si="42"/>
        <v>1104021651.55</v>
      </c>
      <c r="F133">
        <f ca="1">SUM($E$2:E133)/SUM($D$2:D133)</f>
        <v>162.15627478888752</v>
      </c>
      <c r="G133">
        <f ca="1">_xlfn.STDEV.P($C$2:C133)</f>
        <v>6.0951927609706011</v>
      </c>
      <c r="H133">
        <f t="shared" ca="1" si="43"/>
        <v>168.25146754985812</v>
      </c>
      <c r="I133">
        <f t="shared" ca="1" si="44"/>
        <v>156.06108202791691</v>
      </c>
      <c r="J133">
        <f t="shared" ca="1" si="32"/>
        <v>156.4365</v>
      </c>
      <c r="K133">
        <f t="shared" ca="1" si="33"/>
        <v>1.9525672035068378</v>
      </c>
      <c r="L133">
        <f t="shared" ca="1" si="34"/>
        <v>160.34163440701366</v>
      </c>
      <c r="M133">
        <f t="shared" ca="1" si="35"/>
        <v>152.53136559298633</v>
      </c>
      <c r="N133">
        <f t="shared" ca="1" si="45"/>
        <v>1.0200000000000102</v>
      </c>
      <c r="O133">
        <f t="shared" ca="1" si="46"/>
        <v>1.0200000000000102</v>
      </c>
      <c r="P133">
        <f t="shared" ca="1" si="47"/>
        <v>0</v>
      </c>
      <c r="Q133">
        <f t="shared" ca="1" si="30"/>
        <v>0.61468335625701565</v>
      </c>
      <c r="R133">
        <f t="shared" ca="1" si="31"/>
        <v>0.42050424857227203</v>
      </c>
      <c r="S133">
        <f t="shared" ca="1" si="28"/>
        <v>1.4617768033118221</v>
      </c>
      <c r="T133">
        <f t="shared" ca="1" si="29"/>
        <v>59.378933189446641</v>
      </c>
      <c r="U133">
        <f>70</f>
        <v>70</v>
      </c>
      <c r="V133">
        <f>30</f>
        <v>30</v>
      </c>
      <c r="W133">
        <f t="shared" ca="1" si="27"/>
        <v>157.27552790046724</v>
      </c>
      <c r="X133">
        <f t="shared" ca="1" si="37"/>
        <v>156.66894215024473</v>
      </c>
      <c r="Y133">
        <f t="shared" ca="1" si="36"/>
        <v>0.78058571968443857</v>
      </c>
      <c r="Z133">
        <f t="shared" ca="1" si="38"/>
        <v>0.37439624247327996</v>
      </c>
      <c r="AA133">
        <f t="shared" ca="1" si="39"/>
        <v>0.40618947721115861</v>
      </c>
      <c r="AB133">
        <f t="shared" ca="1" si="40"/>
        <v>159.8389</v>
      </c>
    </row>
    <row r="134" spans="1:28" x14ac:dyDescent="0.25">
      <c r="A134" s="20">
        <f t="shared" ca="1" si="41"/>
        <v>45901</v>
      </c>
      <c r="B134" vm="395">
        <f ca="1"/>
        <v>45905</v>
      </c>
      <c r="C134" vm="396">
        <f ca="1"/>
        <v>160.02000000000001</v>
      </c>
      <c r="D134" vm="397">
        <f ca="1"/>
        <v>6436150</v>
      </c>
      <c r="E134">
        <f t="shared" ca="1" si="42"/>
        <v>1029912723.0000001</v>
      </c>
      <c r="F134">
        <f ca="1">SUM($E$2:E134)/SUM($D$2:D134)</f>
        <v>162.14367861524369</v>
      </c>
      <c r="G134">
        <f ca="1">_xlfn.STDEV.P($C$2:C134)</f>
        <v>6.0748032605430868</v>
      </c>
      <c r="H134">
        <f t="shared" ca="1" si="43"/>
        <v>168.21848187578678</v>
      </c>
      <c r="I134">
        <f t="shared" ca="1" si="44"/>
        <v>156.06887535470059</v>
      </c>
      <c r="J134">
        <f t="shared" ca="1" si="32"/>
        <v>156.76300000000001</v>
      </c>
      <c r="K134">
        <f t="shared" ca="1" si="33"/>
        <v>1.9797051880466801</v>
      </c>
      <c r="L134">
        <f t="shared" ca="1" si="34"/>
        <v>160.72241037609336</v>
      </c>
      <c r="M134">
        <f t="shared" ca="1" si="35"/>
        <v>152.80358962390665</v>
      </c>
      <c r="N134">
        <f t="shared" ca="1" si="45"/>
        <v>0.83000000000001251</v>
      </c>
      <c r="O134">
        <f t="shared" ca="1" si="46"/>
        <v>0.83000000000001251</v>
      </c>
      <c r="P134">
        <f t="shared" ca="1" si="47"/>
        <v>0</v>
      </c>
      <c r="Q134">
        <f t="shared" ca="1" si="30"/>
        <v>0.63006311652437252</v>
      </c>
      <c r="R134">
        <f t="shared" ca="1" si="31"/>
        <v>0.39046823081710974</v>
      </c>
      <c r="S134">
        <f t="shared" ca="1" si="28"/>
        <v>1.6136091666302192</v>
      </c>
      <c r="T134">
        <f t="shared" ca="1" si="29"/>
        <v>61.738732295260469</v>
      </c>
      <c r="U134">
        <f>70</f>
        <v>70</v>
      </c>
      <c r="V134">
        <f>30</f>
        <v>30</v>
      </c>
      <c r="W134">
        <f t="shared" ca="1" si="27"/>
        <v>157.69775437731843</v>
      </c>
      <c r="X134">
        <f t="shared" ca="1" si="37"/>
        <v>156.91716865763399</v>
      </c>
      <c r="Y134">
        <f t="shared" ca="1" si="36"/>
        <v>0.82744511775649698</v>
      </c>
      <c r="Z134">
        <f t="shared" ca="1" si="38"/>
        <v>0.46500601752992338</v>
      </c>
      <c r="AA134">
        <f t="shared" ca="1" si="39"/>
        <v>0.36243910022657361</v>
      </c>
      <c r="AB134">
        <f t="shared" ca="1" si="40"/>
        <v>159.77000000000001</v>
      </c>
    </row>
    <row r="135" spans="1:28" x14ac:dyDescent="0.25">
      <c r="A135" s="20">
        <f t="shared" ca="1" si="41"/>
        <v>45908</v>
      </c>
      <c r="B135" vm="398">
        <f ca="1"/>
        <v>45908</v>
      </c>
      <c r="C135" vm="399">
        <f ca="1"/>
        <v>159.01</v>
      </c>
      <c r="D135" vm="400">
        <f ca="1"/>
        <v>7178356</v>
      </c>
      <c r="E135">
        <f t="shared" ca="1" si="42"/>
        <v>1141430387.5599999</v>
      </c>
      <c r="F135">
        <f ca="1">SUM($E$2:E135)/SUM($D$2:D135)</f>
        <v>162.12320530249261</v>
      </c>
      <c r="G135">
        <f ca="1">_xlfn.STDEV.P($C$2:C135)</f>
        <v>6.0577431955373129</v>
      </c>
      <c r="H135">
        <f t="shared" ca="1" si="43"/>
        <v>168.18094849802992</v>
      </c>
      <c r="I135">
        <f t="shared" ca="1" si="44"/>
        <v>156.06546210695529</v>
      </c>
      <c r="J135">
        <f t="shared" ca="1" si="32"/>
        <v>157.03800000000001</v>
      </c>
      <c r="K135">
        <f t="shared" ca="1" si="33"/>
        <v>1.8837241948080541</v>
      </c>
      <c r="L135">
        <f t="shared" ca="1" si="34"/>
        <v>160.80544838961612</v>
      </c>
      <c r="M135">
        <f t="shared" ca="1" si="35"/>
        <v>153.2705516103839</v>
      </c>
      <c r="N135">
        <f t="shared" ca="1" si="45"/>
        <v>-1.0100000000000193</v>
      </c>
      <c r="O135">
        <f t="shared" ca="1" si="46"/>
        <v>0</v>
      </c>
      <c r="P135">
        <f t="shared" ca="1" si="47"/>
        <v>1.0100000000000193</v>
      </c>
      <c r="Q135">
        <f t="shared" ca="1" si="30"/>
        <v>0.58505860820120303</v>
      </c>
      <c r="R135">
        <f t="shared" ca="1" si="31"/>
        <v>0.43472050004446045</v>
      </c>
      <c r="S135">
        <f t="shared" ca="1" si="28"/>
        <v>1.3458270501192535</v>
      </c>
      <c r="T135">
        <f t="shared" ca="1" si="29"/>
        <v>57.3711113976129</v>
      </c>
      <c r="U135">
        <f>70</f>
        <v>70</v>
      </c>
      <c r="V135">
        <f>30</f>
        <v>30</v>
      </c>
      <c r="W135">
        <f t="shared" ca="1" si="27"/>
        <v>157.89963831926946</v>
      </c>
      <c r="X135">
        <f t="shared" ca="1" si="37"/>
        <v>157.07219320151296</v>
      </c>
      <c r="Y135">
        <f t="shared" ca="1" si="36"/>
        <v>0.8906261832800908</v>
      </c>
      <c r="Z135">
        <f t="shared" ca="1" si="38"/>
        <v>0.55013005067995691</v>
      </c>
      <c r="AA135">
        <f t="shared" ca="1" si="39"/>
        <v>0.34049613260013389</v>
      </c>
      <c r="AB135">
        <f t="shared" ca="1" si="40"/>
        <v>159.6688</v>
      </c>
    </row>
    <row r="136" spans="1:28" x14ac:dyDescent="0.25">
      <c r="A136" s="20">
        <f t="shared" ca="1" si="41"/>
        <v>45908</v>
      </c>
      <c r="B136" vm="401">
        <f ca="1"/>
        <v>45909</v>
      </c>
      <c r="C136" vm="402">
        <f ca="1"/>
        <v>159.46</v>
      </c>
      <c r="D136" vm="403">
        <f ca="1"/>
        <v>4984936</v>
      </c>
      <c r="E136">
        <f t="shared" ca="1" si="42"/>
        <v>794897894.56000006</v>
      </c>
      <c r="F136">
        <f ca="1">SUM($E$2:E136)/SUM($D$2:D136)</f>
        <v>162.11117692712673</v>
      </c>
      <c r="G136">
        <f ca="1">_xlfn.STDEV.P($C$2:C136)</f>
        <v>6.0392763508759595</v>
      </c>
      <c r="H136">
        <f t="shared" ca="1" si="43"/>
        <v>168.15045327800269</v>
      </c>
      <c r="I136">
        <f t="shared" ca="1" si="44"/>
        <v>156.07190057625078</v>
      </c>
      <c r="J136">
        <f t="shared" ca="1" si="32"/>
        <v>157.26200000000003</v>
      </c>
      <c r="K136">
        <f t="shared" ca="1" si="33"/>
        <v>1.8924659490783555</v>
      </c>
      <c r="L136">
        <f t="shared" ca="1" si="34"/>
        <v>161.04693189815674</v>
      </c>
      <c r="M136">
        <f t="shared" ca="1" si="35"/>
        <v>153.47706810184332</v>
      </c>
      <c r="N136">
        <f t="shared" ca="1" si="45"/>
        <v>0.45000000000001705</v>
      </c>
      <c r="O136">
        <f t="shared" ca="1" si="46"/>
        <v>0.45000000000001705</v>
      </c>
      <c r="P136">
        <f t="shared" ca="1" si="47"/>
        <v>0</v>
      </c>
      <c r="Q136">
        <f t="shared" ca="1" si="30"/>
        <v>0.57541156475826127</v>
      </c>
      <c r="R136">
        <f t="shared" ca="1" si="31"/>
        <v>0.40366903575557039</v>
      </c>
      <c r="S136">
        <f t="shared" ca="1" si="28"/>
        <v>1.4254538094090634</v>
      </c>
      <c r="T136">
        <f t="shared" ca="1" si="29"/>
        <v>58.770602180890855</v>
      </c>
      <c r="U136">
        <f>70</f>
        <v>70</v>
      </c>
      <c r="V136">
        <f>30</f>
        <v>30</v>
      </c>
      <c r="W136">
        <f t="shared" ca="1" si="27"/>
        <v>158.13969396245875</v>
      </c>
      <c r="X136">
        <f t="shared" ca="1" si="37"/>
        <v>157.24906777917866</v>
      </c>
      <c r="Y136">
        <f t="shared" ca="1" si="36"/>
        <v>0.76165834363868612</v>
      </c>
      <c r="Z136">
        <f t="shared" ca="1" si="38"/>
        <v>0.59243570927170275</v>
      </c>
      <c r="AA136">
        <f t="shared" ca="1" si="39"/>
        <v>0.16922263436698337</v>
      </c>
      <c r="AB136">
        <f t="shared" ca="1" si="40"/>
        <v>159.5787</v>
      </c>
    </row>
    <row r="137" spans="1:28" x14ac:dyDescent="0.25">
      <c r="A137" s="20">
        <f t="shared" ca="1" si="41"/>
        <v>45908</v>
      </c>
      <c r="B137" vm="404">
        <f ca="1"/>
        <v>45910</v>
      </c>
      <c r="C137" vm="405">
        <f ca="1"/>
        <v>157.35</v>
      </c>
      <c r="D137" vm="406">
        <f ca="1"/>
        <v>6205463</v>
      </c>
      <c r="E137">
        <f t="shared" ca="1" si="42"/>
        <v>976429603.04999995</v>
      </c>
      <c r="F137">
        <f ca="1">SUM($E$2:E137)/SUM($D$2:D137)</f>
        <v>162.08455764507835</v>
      </c>
      <c r="G137">
        <f ca="1">_xlfn.STDEV.P($C$2:C137)</f>
        <v>6.03017447830113</v>
      </c>
      <c r="H137">
        <f t="shared" ca="1" si="43"/>
        <v>168.11473212337947</v>
      </c>
      <c r="I137">
        <f t="shared" ca="1" si="44"/>
        <v>156.05438316677723</v>
      </c>
      <c r="J137">
        <f t="shared" ca="1" si="32"/>
        <v>157.37500000000003</v>
      </c>
      <c r="K137">
        <f t="shared" ca="1" si="33"/>
        <v>1.8221141566872228</v>
      </c>
      <c r="L137">
        <f t="shared" ca="1" si="34"/>
        <v>161.01922831337447</v>
      </c>
      <c r="M137">
        <f t="shared" ca="1" si="35"/>
        <v>153.73077168662559</v>
      </c>
      <c r="N137">
        <f t="shared" ca="1" si="45"/>
        <v>-2.1100000000000136</v>
      </c>
      <c r="O137">
        <f t="shared" ca="1" si="46"/>
        <v>0</v>
      </c>
      <c r="P137">
        <f t="shared" ca="1" si="47"/>
        <v>2.1100000000000136</v>
      </c>
      <c r="Q137">
        <f t="shared" ca="1" si="30"/>
        <v>0.53431073870409973</v>
      </c>
      <c r="R137">
        <f t="shared" ca="1" si="31"/>
        <v>0.5255498189158877</v>
      </c>
      <c r="S137">
        <f t="shared" ca="1" si="28"/>
        <v>1.0166700081950064</v>
      </c>
      <c r="T137">
        <f t="shared" ca="1" si="29"/>
        <v>50.413305303477159</v>
      </c>
      <c r="U137">
        <f>70</f>
        <v>70</v>
      </c>
      <c r="V137">
        <f>30</f>
        <v>30</v>
      </c>
      <c r="W137">
        <f t="shared" ca="1" si="27"/>
        <v>158.01820258361894</v>
      </c>
      <c r="X137">
        <f t="shared" ca="1" si="37"/>
        <v>157.25654423998026</v>
      </c>
      <c r="Y137">
        <f t="shared" ca="1" si="36"/>
        <v>0.75404355937675405</v>
      </c>
      <c r="Z137">
        <f t="shared" ca="1" si="38"/>
        <v>0.62475727929271307</v>
      </c>
      <c r="AA137">
        <f t="shared" ca="1" si="39"/>
        <v>0.12928628008404097</v>
      </c>
      <c r="AB137">
        <f t="shared" ca="1" si="40"/>
        <v>159.48830000000001</v>
      </c>
    </row>
    <row r="138" spans="1:28" x14ac:dyDescent="0.25">
      <c r="A138" s="20">
        <f t="shared" ca="1" si="41"/>
        <v>45908</v>
      </c>
      <c r="B138" vm="407">
        <f ca="1"/>
        <v>45911</v>
      </c>
      <c r="C138" vm="250">
        <f ca="1"/>
        <v>158.63</v>
      </c>
      <c r="D138" vm="408">
        <f ca="1"/>
        <v>5819875</v>
      </c>
      <c r="E138">
        <f t="shared" ca="1" si="42"/>
        <v>923206771.25</v>
      </c>
      <c r="F138">
        <f ca="1">SUM($E$2:E138)/SUM($D$2:D138)</f>
        <v>162.0665381485143</v>
      </c>
      <c r="G138">
        <f ca="1">_xlfn.STDEV.P($C$2:C138)</f>
        <v>6.014862500408678</v>
      </c>
      <c r="H138">
        <f t="shared" ca="1" si="43"/>
        <v>168.08140064892297</v>
      </c>
      <c r="I138">
        <f t="shared" ca="1" si="44"/>
        <v>156.05167564810563</v>
      </c>
      <c r="J138">
        <f t="shared" ca="1" si="32"/>
        <v>157.53600000000003</v>
      </c>
      <c r="K138">
        <f t="shared" ca="1" si="33"/>
        <v>1.7811480626417953</v>
      </c>
      <c r="L138">
        <f t="shared" ca="1" si="34"/>
        <v>161.09829612528361</v>
      </c>
      <c r="M138">
        <f t="shared" ca="1" si="35"/>
        <v>153.97370387471645</v>
      </c>
      <c r="N138">
        <f t="shared" ca="1" si="45"/>
        <v>1.2800000000000011</v>
      </c>
      <c r="O138">
        <f t="shared" ca="1" si="46"/>
        <v>1.2800000000000011</v>
      </c>
      <c r="P138">
        <f t="shared" ca="1" si="47"/>
        <v>0</v>
      </c>
      <c r="Q138">
        <f t="shared" ca="1" si="30"/>
        <v>0.58757425736809277</v>
      </c>
      <c r="R138">
        <f t="shared" ca="1" si="31"/>
        <v>0.48801054613618139</v>
      </c>
      <c r="S138">
        <f t="shared" ca="1" si="28"/>
        <v>1.2040195893720045</v>
      </c>
      <c r="T138">
        <f t="shared" ca="1" si="29"/>
        <v>54.628352451035518</v>
      </c>
      <c r="U138">
        <f>70</f>
        <v>70</v>
      </c>
      <c r="V138">
        <f>30</f>
        <v>30</v>
      </c>
      <c r="W138">
        <f t="shared" ca="1" si="27"/>
        <v>158.11232526306219</v>
      </c>
      <c r="X138">
        <f t="shared" ca="1" si="37"/>
        <v>157.35828170368544</v>
      </c>
      <c r="Y138">
        <f t="shared" ca="1" si="36"/>
        <v>0.68125085308176381</v>
      </c>
      <c r="Z138">
        <f t="shared" ca="1" si="38"/>
        <v>0.63605599405052327</v>
      </c>
      <c r="AA138">
        <f t="shared" ca="1" si="39"/>
        <v>4.5194859031240542E-2</v>
      </c>
      <c r="AB138">
        <f t="shared" ca="1" si="40"/>
        <v>159.3683</v>
      </c>
    </row>
    <row r="139" spans="1:28" x14ac:dyDescent="0.25">
      <c r="A139" s="20">
        <f t="shared" ca="1" si="41"/>
        <v>45908</v>
      </c>
      <c r="B139" vm="409">
        <f ca="1"/>
        <v>45912</v>
      </c>
      <c r="C139" vm="410">
        <f ca="1"/>
        <v>157.9</v>
      </c>
      <c r="D139" vm="411">
        <f ca="1"/>
        <v>5957021</v>
      </c>
      <c r="E139">
        <f t="shared" ca="1" si="42"/>
        <v>940613615.89999998</v>
      </c>
      <c r="F139">
        <f ca="1">SUM($E$2:E139)/SUM($D$2:D139)</f>
        <v>162.04441084540665</v>
      </c>
      <c r="G139">
        <f ca="1">_xlfn.STDEV.P($C$2:C139)</f>
        <v>6.002860709630272</v>
      </c>
      <c r="H139">
        <f t="shared" ca="1" si="43"/>
        <v>168.04727155503693</v>
      </c>
      <c r="I139">
        <f t="shared" ca="1" si="44"/>
        <v>156.04155013577636</v>
      </c>
      <c r="J139">
        <f t="shared" ca="1" si="32"/>
        <v>157.744</v>
      </c>
      <c r="K139">
        <f t="shared" ca="1" si="33"/>
        <v>1.5412722017865603</v>
      </c>
      <c r="L139">
        <f t="shared" ca="1" si="34"/>
        <v>160.82654440357311</v>
      </c>
      <c r="M139">
        <f t="shared" ca="1" si="35"/>
        <v>154.66145559642689</v>
      </c>
      <c r="N139">
        <f t="shared" ca="1" si="45"/>
        <v>-0.72999999999998977</v>
      </c>
      <c r="O139">
        <f t="shared" ca="1" si="46"/>
        <v>0</v>
      </c>
      <c r="P139">
        <f t="shared" ca="1" si="47"/>
        <v>0.72999999999998977</v>
      </c>
      <c r="Q139">
        <f t="shared" ca="1" si="30"/>
        <v>0.54560466755608616</v>
      </c>
      <c r="R139">
        <f t="shared" ca="1" si="31"/>
        <v>0.50529550712645344</v>
      </c>
      <c r="S139">
        <f t="shared" ca="1" si="28"/>
        <v>1.0797734392274045</v>
      </c>
      <c r="T139">
        <f t="shared" ca="1" si="29"/>
        <v>51.917839648366673</v>
      </c>
      <c r="U139">
        <f>70</f>
        <v>70</v>
      </c>
      <c r="V139">
        <f>30</f>
        <v>30</v>
      </c>
      <c r="W139">
        <f t="shared" ca="1" si="27"/>
        <v>158.0796598379757</v>
      </c>
      <c r="X139">
        <f t="shared" ca="1" si="37"/>
        <v>157.39840898489393</v>
      </c>
      <c r="Y139">
        <f t="shared" ca="1" si="36"/>
        <v>0.53109986264456666</v>
      </c>
      <c r="Z139">
        <f t="shared" ca="1" si="38"/>
        <v>0.61506476776933194</v>
      </c>
      <c r="AA139">
        <f t="shared" ca="1" si="39"/>
        <v>-8.3964905124765288E-2</v>
      </c>
      <c r="AB139">
        <f t="shared" ca="1" si="40"/>
        <v>159.28979999999999</v>
      </c>
    </row>
    <row r="140" spans="1:28" x14ac:dyDescent="0.25">
      <c r="A140" s="20">
        <f t="shared" ca="1" si="41"/>
        <v>45915</v>
      </c>
      <c r="B140" vm="412">
        <f ca="1"/>
        <v>45915</v>
      </c>
      <c r="C140" vm="413">
        <f ca="1"/>
        <v>156.83000000000001</v>
      </c>
      <c r="D140" vm="414">
        <f ca="1"/>
        <v>5994966</v>
      </c>
      <c r="E140">
        <f t="shared" ca="1" si="42"/>
        <v>940190517.78000009</v>
      </c>
      <c r="F140">
        <f ca="1">SUM($E$2:E140)/SUM($D$2:D140)</f>
        <v>162.01669034687353</v>
      </c>
      <c r="G140">
        <f ca="1">_xlfn.STDEV.P($C$2:C140)</f>
        <v>5.9966747673704726</v>
      </c>
      <c r="H140">
        <f t="shared" ca="1" si="43"/>
        <v>168.01336511424401</v>
      </c>
      <c r="I140">
        <f t="shared" ca="1" si="44"/>
        <v>156.02001557950305</v>
      </c>
      <c r="J140">
        <f t="shared" ca="1" si="32"/>
        <v>157.86750000000001</v>
      </c>
      <c r="K140">
        <f t="shared" ca="1" si="33"/>
        <v>1.3419109508458431</v>
      </c>
      <c r="L140">
        <f t="shared" ca="1" si="34"/>
        <v>160.55132190169169</v>
      </c>
      <c r="M140">
        <f t="shared" ca="1" si="35"/>
        <v>155.18367809830832</v>
      </c>
      <c r="N140">
        <f t="shared" ca="1" si="45"/>
        <v>-1.0699999999999932</v>
      </c>
      <c r="O140">
        <f t="shared" ca="1" si="46"/>
        <v>0</v>
      </c>
      <c r="P140">
        <f t="shared" ca="1" si="47"/>
        <v>1.0699999999999932</v>
      </c>
      <c r="Q140">
        <f t="shared" ca="1" si="30"/>
        <v>0.50663290558779428</v>
      </c>
      <c r="R140">
        <f t="shared" ca="1" si="31"/>
        <v>0.5456315423317063</v>
      </c>
      <c r="S140">
        <f t="shared" ca="1" si="28"/>
        <v>0.92852569230646942</v>
      </c>
      <c r="T140">
        <f t="shared" ca="1" si="29"/>
        <v>48.146918447115709</v>
      </c>
      <c r="U140">
        <f>70</f>
        <v>70</v>
      </c>
      <c r="V140">
        <f>30</f>
        <v>30</v>
      </c>
      <c r="W140">
        <f t="shared" ca="1" si="27"/>
        <v>157.88740447828712</v>
      </c>
      <c r="X140">
        <f t="shared" ca="1" si="37"/>
        <v>157.35630461564256</v>
      </c>
      <c r="Y140">
        <f t="shared" ca="1" si="36"/>
        <v>0.50472971500695962</v>
      </c>
      <c r="Z140">
        <f t="shared" ca="1" si="38"/>
        <v>0.59299775721685744</v>
      </c>
      <c r="AA140">
        <f t="shared" ca="1" si="39"/>
        <v>-8.8268042209897812E-2</v>
      </c>
      <c r="AB140">
        <f t="shared" ca="1" si="40"/>
        <v>159.17929999999998</v>
      </c>
    </row>
    <row r="141" spans="1:28" x14ac:dyDescent="0.25">
      <c r="A141" s="20">
        <f t="shared" ca="1" si="41"/>
        <v>45915</v>
      </c>
      <c r="B141" vm="415">
        <f ca="1"/>
        <v>45916</v>
      </c>
      <c r="C141" vm="416">
        <f ca="1"/>
        <v>158.05000000000001</v>
      </c>
      <c r="D141" vm="417">
        <f ca="1"/>
        <v>6559608</v>
      </c>
      <c r="E141">
        <f t="shared" ca="1" si="42"/>
        <v>1036746044.4000001</v>
      </c>
      <c r="F141">
        <f ca="1">SUM($E$2:E141)/SUM($D$2:D141)</f>
        <v>161.99375019175281</v>
      </c>
      <c r="G141">
        <f ca="1">_xlfn.STDEV.P($C$2:C141)</f>
        <v>5.9839314984858758</v>
      </c>
      <c r="H141">
        <f t="shared" ca="1" si="43"/>
        <v>167.97768169023868</v>
      </c>
      <c r="I141">
        <f t="shared" ca="1" si="44"/>
        <v>156.00981869326694</v>
      </c>
      <c r="J141">
        <f t="shared" ca="1" si="32"/>
        <v>157.98400000000001</v>
      </c>
      <c r="K141">
        <f t="shared" ca="1" si="33"/>
        <v>1.2431682784004134</v>
      </c>
      <c r="L141">
        <f t="shared" ca="1" si="34"/>
        <v>160.47033655680085</v>
      </c>
      <c r="M141">
        <f t="shared" ca="1" si="35"/>
        <v>155.49766344319917</v>
      </c>
      <c r="N141">
        <f t="shared" ca="1" si="45"/>
        <v>1.2199999999999989</v>
      </c>
      <c r="O141">
        <f t="shared" ca="1" si="46"/>
        <v>1.2199999999999989</v>
      </c>
      <c r="P141">
        <f t="shared" ca="1" si="47"/>
        <v>0</v>
      </c>
      <c r="Q141">
        <f t="shared" ca="1" si="30"/>
        <v>0.55758769804580888</v>
      </c>
      <c r="R141">
        <f t="shared" ca="1" si="31"/>
        <v>0.50665786073658448</v>
      </c>
      <c r="S141">
        <f t="shared" ca="1" si="28"/>
        <v>1.1005211628122813</v>
      </c>
      <c r="T141">
        <f t="shared" ca="1" si="29"/>
        <v>52.392767199681501</v>
      </c>
      <c r="U141">
        <f>70</f>
        <v>70</v>
      </c>
      <c r="V141">
        <f>30</f>
        <v>30</v>
      </c>
      <c r="W141">
        <f t="shared" ca="1" si="27"/>
        <v>157.91241917393526</v>
      </c>
      <c r="X141">
        <f t="shared" ca="1" si="37"/>
        <v>157.4076894589283</v>
      </c>
      <c r="Y141">
        <f t="shared" ca="1" si="36"/>
        <v>0.66019777922244316</v>
      </c>
      <c r="Z141">
        <f t="shared" ca="1" si="38"/>
        <v>0.60643776161797458</v>
      </c>
      <c r="AA141">
        <f t="shared" ca="1" si="39"/>
        <v>5.376001760446858E-2</v>
      </c>
      <c r="AB141">
        <f t="shared" ca="1" si="40"/>
        <v>159.10249999999999</v>
      </c>
    </row>
    <row r="142" spans="1:28" x14ac:dyDescent="0.25">
      <c r="A142" s="20">
        <f t="shared" ca="1" si="41"/>
        <v>45915</v>
      </c>
      <c r="B142" vm="418">
        <f ca="1"/>
        <v>45917</v>
      </c>
      <c r="C142" vm="419">
        <f ca="1"/>
        <v>160.33000000000001</v>
      </c>
      <c r="D142" vm="420">
        <f ca="1"/>
        <v>6764169</v>
      </c>
      <c r="E142">
        <f t="shared" ca="1" si="42"/>
        <v>1084499215.77</v>
      </c>
      <c r="F142">
        <f ca="1">SUM($E$2:E142)/SUM($D$2:D142)</f>
        <v>161.9838871586885</v>
      </c>
      <c r="G142">
        <f ca="1">_xlfn.STDEV.P($C$2:C142)</f>
        <v>5.9640481460342745</v>
      </c>
      <c r="H142">
        <f t="shared" ca="1" si="43"/>
        <v>167.94793530472279</v>
      </c>
      <c r="I142">
        <f t="shared" ca="1" si="44"/>
        <v>156.01983901265422</v>
      </c>
      <c r="J142">
        <f t="shared" ca="1" si="32"/>
        <v>158.08050000000003</v>
      </c>
      <c r="K142">
        <f t="shared" ca="1" si="33"/>
        <v>1.3476743125219746</v>
      </c>
      <c r="L142">
        <f t="shared" ca="1" si="34"/>
        <v>160.77584862504398</v>
      </c>
      <c r="M142">
        <f t="shared" ca="1" si="35"/>
        <v>155.38515137495608</v>
      </c>
      <c r="N142">
        <f t="shared" ca="1" si="45"/>
        <v>2.2800000000000011</v>
      </c>
      <c r="O142">
        <f t="shared" ca="1" si="46"/>
        <v>2.2800000000000011</v>
      </c>
      <c r="P142">
        <f t="shared" ca="1" si="47"/>
        <v>0</v>
      </c>
      <c r="Q142">
        <f t="shared" ca="1" si="30"/>
        <v>0.68061714818539409</v>
      </c>
      <c r="R142">
        <f t="shared" ca="1" si="31"/>
        <v>0.47046801354111417</v>
      </c>
      <c r="S142">
        <f t="shared" ca="1" si="28"/>
        <v>1.4466810252678635</v>
      </c>
      <c r="T142">
        <f t="shared" ca="1" si="29"/>
        <v>59.128305256279994</v>
      </c>
      <c r="U142">
        <f>70</f>
        <v>70</v>
      </c>
      <c r="V142">
        <f>30</f>
        <v>30</v>
      </c>
      <c r="W142">
        <f t="shared" ca="1" si="27"/>
        <v>158.28435468563754</v>
      </c>
      <c r="X142">
        <f t="shared" ca="1" si="37"/>
        <v>157.6241569064151</v>
      </c>
      <c r="Y142">
        <f t="shared" ca="1" si="36"/>
        <v>0.53436566110951844</v>
      </c>
      <c r="Z142">
        <f t="shared" ca="1" si="38"/>
        <v>0.59202334151628344</v>
      </c>
      <c r="AA142">
        <f t="shared" ca="1" si="39"/>
        <v>-5.7657680406765E-2</v>
      </c>
      <c r="AB142">
        <f t="shared" ca="1" si="40"/>
        <v>159.11049999999997</v>
      </c>
    </row>
    <row r="143" spans="1:28" x14ac:dyDescent="0.25">
      <c r="A143" s="20">
        <f t="shared" ca="1" si="41"/>
        <v>45915</v>
      </c>
      <c r="B143" vm="421">
        <f ca="1"/>
        <v>45918</v>
      </c>
      <c r="C143" vm="422">
        <f ca="1"/>
        <v>157.32</v>
      </c>
      <c r="D143" vm="423">
        <f ca="1"/>
        <v>7651487</v>
      </c>
      <c r="E143">
        <f t="shared" ca="1" si="42"/>
        <v>1203731934.8399999</v>
      </c>
      <c r="F143">
        <f ca="1">SUM($E$2:E143)/SUM($D$2:D143)</f>
        <v>161.95282016652467</v>
      </c>
      <c r="G143">
        <f ca="1">_xlfn.STDEV.P($C$2:C143)</f>
        <v>5.9550430003056221</v>
      </c>
      <c r="H143">
        <f t="shared" ca="1" si="43"/>
        <v>167.90786316683028</v>
      </c>
      <c r="I143">
        <f t="shared" ca="1" si="44"/>
        <v>155.99777716621907</v>
      </c>
      <c r="J143">
        <f t="shared" ca="1" si="32"/>
        <v>157.97100000000003</v>
      </c>
      <c r="K143">
        <f t="shared" ca="1" si="33"/>
        <v>1.3139610664743937</v>
      </c>
      <c r="L143">
        <f t="shared" ca="1" si="34"/>
        <v>160.59892213294881</v>
      </c>
      <c r="M143">
        <f t="shared" ca="1" si="35"/>
        <v>155.34307786705125</v>
      </c>
      <c r="N143">
        <f t="shared" ca="1" si="45"/>
        <v>-3.0100000000000193</v>
      </c>
      <c r="O143">
        <f t="shared" ca="1" si="46"/>
        <v>0</v>
      </c>
      <c r="P143">
        <f t="shared" ca="1" si="47"/>
        <v>3.0100000000000193</v>
      </c>
      <c r="Q143">
        <f t="shared" ca="1" si="30"/>
        <v>0.63200163760072314</v>
      </c>
      <c r="R143">
        <f t="shared" ca="1" si="31"/>
        <v>0.6518631554310359</v>
      </c>
      <c r="S143">
        <f t="shared" ca="1" si="28"/>
        <v>0.96953115440743143</v>
      </c>
      <c r="T143">
        <f t="shared" ca="1" si="29"/>
        <v>49.226494957330701</v>
      </c>
      <c r="U143">
        <f>70</f>
        <v>70</v>
      </c>
      <c r="V143">
        <f>30</f>
        <v>30</v>
      </c>
      <c r="W143">
        <f t="shared" ref="W143:W206" ca="1" si="48">C143*(2/(12+1)) + W142*(1-(2/(12+1)))</f>
        <v>158.13599242630869</v>
      </c>
      <c r="X143">
        <f t="shared" ca="1" si="37"/>
        <v>157.60162676519917</v>
      </c>
      <c r="Y143">
        <f t="shared" ca="1" si="36"/>
        <v>0.32758134451268006</v>
      </c>
      <c r="Z143">
        <f t="shared" ca="1" si="38"/>
        <v>0.53913494211556279</v>
      </c>
      <c r="AA143">
        <f t="shared" ca="1" si="39"/>
        <v>-0.21155359760288273</v>
      </c>
      <c r="AB143">
        <f t="shared" ca="1" si="40"/>
        <v>159.0735</v>
      </c>
    </row>
    <row r="144" spans="1:28" x14ac:dyDescent="0.25">
      <c r="A144" s="20">
        <f t="shared" ca="1" si="41"/>
        <v>45915</v>
      </c>
      <c r="B144" vm="424">
        <f ca="1"/>
        <v>45919</v>
      </c>
      <c r="C144" vm="425">
        <f ca="1"/>
        <v>156.04</v>
      </c>
      <c r="D144" vm="426">
        <f ca="1"/>
        <v>17224774</v>
      </c>
      <c r="E144">
        <f t="shared" ca="1" si="42"/>
        <v>2687753734.96</v>
      </c>
      <c r="F144">
        <f ca="1">SUM($E$2:E144)/SUM($D$2:D144)</f>
        <v>161.86546482904285</v>
      </c>
      <c r="G144">
        <f ca="1">_xlfn.STDEV.P($C$2:C144)</f>
        <v>5.9536511940955661</v>
      </c>
      <c r="H144">
        <f t="shared" ca="1" si="43"/>
        <v>167.81911602313841</v>
      </c>
      <c r="I144">
        <f t="shared" ca="1" si="44"/>
        <v>155.91181363494729</v>
      </c>
      <c r="J144">
        <f t="shared" ca="1" si="32"/>
        <v>157.83650000000003</v>
      </c>
      <c r="K144">
        <f t="shared" ca="1" si="33"/>
        <v>1.3687153985052065</v>
      </c>
      <c r="L144">
        <f t="shared" ca="1" si="34"/>
        <v>160.57393079701043</v>
      </c>
      <c r="M144">
        <f t="shared" ca="1" si="35"/>
        <v>155.09906920298963</v>
      </c>
      <c r="N144">
        <f t="shared" ca="1" si="45"/>
        <v>-1.2800000000000011</v>
      </c>
      <c r="O144">
        <f t="shared" ca="1" si="46"/>
        <v>0</v>
      </c>
      <c r="P144">
        <f t="shared" ca="1" si="47"/>
        <v>1.2800000000000011</v>
      </c>
      <c r="Q144">
        <f t="shared" ca="1" si="30"/>
        <v>0.58685866348638582</v>
      </c>
      <c r="R144">
        <f t="shared" ca="1" si="31"/>
        <v>0.6967300729002478</v>
      </c>
      <c r="S144">
        <f t="shared" ref="S144:S207" ca="1" si="49">IF(R144=0,NA(),Q144/R144)</f>
        <v>0.84230419543036938</v>
      </c>
      <c r="T144">
        <f t="shared" ref="T144:T207" ca="1" si="50">100-(100/(1+S144))</f>
        <v>45.720147493536153</v>
      </c>
      <c r="U144">
        <f>70</f>
        <v>70</v>
      </c>
      <c r="V144">
        <f>30</f>
        <v>30</v>
      </c>
      <c r="W144">
        <f t="shared" ca="1" si="48"/>
        <v>157.81353205303043</v>
      </c>
      <c r="X144">
        <f t="shared" ca="1" si="37"/>
        <v>157.48595070851775</v>
      </c>
      <c r="Y144">
        <f t="shared" ca="1" si="36"/>
        <v>-7.5085357601807345E-2</v>
      </c>
      <c r="Z144">
        <f t="shared" ca="1" si="38"/>
        <v>0.41629088217208876</v>
      </c>
      <c r="AA144">
        <f t="shared" ca="1" si="39"/>
        <v>-0.49137623977389611</v>
      </c>
      <c r="AB144">
        <f t="shared" ca="1" si="40"/>
        <v>159.0154</v>
      </c>
    </row>
    <row r="145" spans="1:28" x14ac:dyDescent="0.25">
      <c r="A145" s="20">
        <f t="shared" ca="1" si="41"/>
        <v>45922</v>
      </c>
      <c r="B145" vm="427">
        <f ca="1"/>
        <v>45922</v>
      </c>
      <c r="C145" vm="428">
        <f ca="1"/>
        <v>153.07</v>
      </c>
      <c r="D145" vm="429">
        <f ca="1"/>
        <v>8712910</v>
      </c>
      <c r="E145">
        <f t="shared" ca="1" si="42"/>
        <v>1333685133.7</v>
      </c>
      <c r="F145">
        <f ca="1">SUM($E$2:E145)/SUM($D$2:D145)</f>
        <v>161.80022245122427</v>
      </c>
      <c r="G145">
        <f ca="1">_xlfn.STDEV.P($C$2:C145)</f>
        <v>5.9767950092955688</v>
      </c>
      <c r="H145">
        <f t="shared" ca="1" si="43"/>
        <v>167.77701746051983</v>
      </c>
      <c r="I145">
        <f t="shared" ca="1" si="44"/>
        <v>155.82342744192871</v>
      </c>
      <c r="J145">
        <f t="shared" ca="1" si="32"/>
        <v>157.55650000000003</v>
      </c>
      <c r="K145">
        <f t="shared" ca="1" si="33"/>
        <v>1.7175725679911746</v>
      </c>
      <c r="L145">
        <f t="shared" ca="1" si="34"/>
        <v>160.99164513598237</v>
      </c>
      <c r="M145">
        <f t="shared" ca="1" si="35"/>
        <v>154.12135486401769</v>
      </c>
      <c r="N145">
        <f t="shared" ca="1" si="45"/>
        <v>-2.9699999999999989</v>
      </c>
      <c r="O145">
        <f t="shared" ca="1" si="46"/>
        <v>0</v>
      </c>
      <c r="P145">
        <f t="shared" ca="1" si="47"/>
        <v>2.9699999999999989</v>
      </c>
      <c r="Q145">
        <f t="shared" ref="Q145:Q208" ca="1" si="51">(Q144*13+O145)/14</f>
        <v>0.54494018752307249</v>
      </c>
      <c r="R145">
        <f t="shared" ref="R145:R208" ca="1" si="52">(R144*13+P145)/14</f>
        <v>0.85910649626451574</v>
      </c>
      <c r="S145">
        <f t="shared" ca="1" si="49"/>
        <v>0.63431040260145743</v>
      </c>
      <c r="T145">
        <f t="shared" ca="1" si="50"/>
        <v>38.812113145200378</v>
      </c>
      <c r="U145">
        <f>70</f>
        <v>70</v>
      </c>
      <c r="V145">
        <f>30</f>
        <v>30</v>
      </c>
      <c r="W145">
        <f t="shared" ca="1" si="48"/>
        <v>157.08375789102575</v>
      </c>
      <c r="X145">
        <f t="shared" ca="1" si="37"/>
        <v>157.15884324862756</v>
      </c>
      <c r="Y145">
        <f t="shared" ca="1" si="36"/>
        <v>-0.43517937939975582</v>
      </c>
      <c r="Z145">
        <f t="shared" ca="1" si="38"/>
        <v>0.24599682985771987</v>
      </c>
      <c r="AA145">
        <f t="shared" ca="1" si="39"/>
        <v>-0.68117620925747568</v>
      </c>
      <c r="AB145">
        <f t="shared" ca="1" si="40"/>
        <v>158.92349999999999</v>
      </c>
    </row>
    <row r="146" spans="1:28" x14ac:dyDescent="0.25">
      <c r="A146" s="20">
        <f t="shared" ca="1" si="41"/>
        <v>45922</v>
      </c>
      <c r="B146" vm="430">
        <f ca="1"/>
        <v>45923</v>
      </c>
      <c r="C146" vm="431">
        <f ca="1"/>
        <v>152.5</v>
      </c>
      <c r="D146" vm="432">
        <f ca="1"/>
        <v>8853418</v>
      </c>
      <c r="E146">
        <f t="shared" ca="1" si="42"/>
        <v>1350146245</v>
      </c>
      <c r="F146">
        <f ca="1">SUM($E$2:E146)/SUM($D$2:D146)</f>
        <v>161.73064782091242</v>
      </c>
      <c r="G146">
        <f ca="1">_xlfn.STDEV.P($C$2:C146)</f>
        <v>6.0047425315655598</v>
      </c>
      <c r="H146">
        <f t="shared" ca="1" si="43"/>
        <v>167.73539035247799</v>
      </c>
      <c r="I146">
        <f t="shared" ca="1" si="44"/>
        <v>155.72590528934685</v>
      </c>
      <c r="J146">
        <f t="shared" ca="1" si="32"/>
        <v>157.37400000000002</v>
      </c>
      <c r="K146">
        <f t="shared" ca="1" si="33"/>
        <v>2.0387674294972822</v>
      </c>
      <c r="L146">
        <f t="shared" ca="1" si="34"/>
        <v>161.45153485899459</v>
      </c>
      <c r="M146">
        <f t="shared" ca="1" si="35"/>
        <v>153.29646514100546</v>
      </c>
      <c r="N146">
        <f t="shared" ca="1" si="45"/>
        <v>-0.56999999999999318</v>
      </c>
      <c r="O146">
        <f t="shared" ca="1" si="46"/>
        <v>0</v>
      </c>
      <c r="P146">
        <f t="shared" ca="1" si="47"/>
        <v>0.56999999999999318</v>
      </c>
      <c r="Q146">
        <f t="shared" ca="1" si="51"/>
        <v>0.50601588841428158</v>
      </c>
      <c r="R146">
        <f t="shared" ca="1" si="52"/>
        <v>0.83845603224562126</v>
      </c>
      <c r="S146">
        <f t="shared" ca="1" si="49"/>
        <v>0.60350915128969684</v>
      </c>
      <c r="T146">
        <f t="shared" ca="1" si="50"/>
        <v>37.63677624192519</v>
      </c>
      <c r="U146">
        <f>70</f>
        <v>70</v>
      </c>
      <c r="V146">
        <f>30</f>
        <v>30</v>
      </c>
      <c r="W146">
        <f t="shared" ca="1" si="48"/>
        <v>156.37856436932947</v>
      </c>
      <c r="X146">
        <f t="shared" ca="1" si="37"/>
        <v>156.81374374872922</v>
      </c>
      <c r="Y146">
        <f t="shared" ca="1" si="36"/>
        <v>-0.71872678246762689</v>
      </c>
      <c r="Z146">
        <f t="shared" ca="1" si="38"/>
        <v>5.3052107392650538E-2</v>
      </c>
      <c r="AA146">
        <f t="shared" ca="1" si="39"/>
        <v>-0.77177888986027743</v>
      </c>
      <c r="AB146">
        <f t="shared" ca="1" si="40"/>
        <v>158.8228</v>
      </c>
    </row>
    <row r="147" spans="1:28" x14ac:dyDescent="0.25">
      <c r="A147" s="20">
        <f t="shared" ca="1" si="41"/>
        <v>45922</v>
      </c>
      <c r="B147" vm="433">
        <f ca="1"/>
        <v>45924</v>
      </c>
      <c r="C147" vm="434">
        <f ca="1"/>
        <v>152.41999999999999</v>
      </c>
      <c r="D147" vm="435">
        <f ca="1"/>
        <v>6483264</v>
      </c>
      <c r="E147">
        <f t="shared" ca="1" si="42"/>
        <v>988179098.87999988</v>
      </c>
      <c r="F147">
        <f ca="1">SUM($E$2:E147)/SUM($D$2:D147)</f>
        <v>161.67991984481657</v>
      </c>
      <c r="G147">
        <f ca="1">_xlfn.STDEV.P($C$2:C147)</f>
        <v>6.0323538870071012</v>
      </c>
      <c r="H147">
        <f t="shared" ca="1" si="43"/>
        <v>167.71227373182367</v>
      </c>
      <c r="I147">
        <f t="shared" ca="1" si="44"/>
        <v>155.64756595780946</v>
      </c>
      <c r="J147">
        <f t="shared" ca="1" si="32"/>
        <v>157.19650000000001</v>
      </c>
      <c r="K147">
        <f t="shared" ca="1" si="33"/>
        <v>2.3046366878876832</v>
      </c>
      <c r="L147">
        <f t="shared" ca="1" si="34"/>
        <v>161.80577337577537</v>
      </c>
      <c r="M147">
        <f t="shared" ca="1" si="35"/>
        <v>152.58722662422466</v>
      </c>
      <c r="N147">
        <f t="shared" ca="1" si="45"/>
        <v>-8.0000000000012506E-2</v>
      </c>
      <c r="O147">
        <f t="shared" ca="1" si="46"/>
        <v>0</v>
      </c>
      <c r="P147">
        <f t="shared" ca="1" si="47"/>
        <v>8.0000000000012506E-2</v>
      </c>
      <c r="Q147">
        <f t="shared" ca="1" si="51"/>
        <v>0.46987189638469001</v>
      </c>
      <c r="R147">
        <f t="shared" ca="1" si="52"/>
        <v>0.78428060137093492</v>
      </c>
      <c r="S147">
        <f t="shared" ca="1" si="49"/>
        <v>0.59911197033733399</v>
      </c>
      <c r="T147">
        <f t="shared" ca="1" si="50"/>
        <v>37.465292077761809</v>
      </c>
      <c r="U147">
        <f>70</f>
        <v>70</v>
      </c>
      <c r="V147">
        <f>30</f>
        <v>30</v>
      </c>
      <c r="W147">
        <f t="shared" ca="1" si="48"/>
        <v>155.76955446635571</v>
      </c>
      <c r="X147">
        <f t="shared" ca="1" si="37"/>
        <v>156.48828124882334</v>
      </c>
      <c r="Y147">
        <f t="shared" ca="1" si="36"/>
        <v>-0.95422714917361873</v>
      </c>
      <c r="Z147">
        <f t="shared" ca="1" si="38"/>
        <v>-0.14840374392060332</v>
      </c>
      <c r="AA147">
        <f t="shared" ca="1" si="39"/>
        <v>-0.80582340525301543</v>
      </c>
      <c r="AB147">
        <f t="shared" ca="1" si="40"/>
        <v>158.74719999999999</v>
      </c>
    </row>
    <row r="148" spans="1:28" x14ac:dyDescent="0.25">
      <c r="A148" s="20">
        <f t="shared" ca="1" si="41"/>
        <v>45922</v>
      </c>
      <c r="B148" vm="436">
        <f ca="1"/>
        <v>45925</v>
      </c>
      <c r="C148" vm="437">
        <f ca="1"/>
        <v>152.15</v>
      </c>
      <c r="D148" vm="438">
        <f ca="1"/>
        <v>7511415</v>
      </c>
      <c r="E148">
        <f t="shared" ca="1" si="42"/>
        <v>1142861792.25</v>
      </c>
      <c r="F148">
        <f ca="1">SUM($E$2:E148)/SUM($D$2:D148)</f>
        <v>161.62014036897071</v>
      </c>
      <c r="G148">
        <f ca="1">_xlfn.STDEV.P($C$2:C148)</f>
        <v>6.061619878382535</v>
      </c>
      <c r="H148">
        <f t="shared" ca="1" si="43"/>
        <v>167.68176024735325</v>
      </c>
      <c r="I148">
        <f t="shared" ca="1" si="44"/>
        <v>155.55852049058817</v>
      </c>
      <c r="J148">
        <f t="shared" ca="1" si="32"/>
        <v>156.95600000000002</v>
      </c>
      <c r="K148">
        <f t="shared" ca="1" si="33"/>
        <v>2.5666902710238402</v>
      </c>
      <c r="L148">
        <f t="shared" ca="1" si="34"/>
        <v>162.08938054204771</v>
      </c>
      <c r="M148">
        <f t="shared" ca="1" si="35"/>
        <v>151.82261945795233</v>
      </c>
      <c r="N148">
        <f t="shared" ca="1" si="45"/>
        <v>-0.26999999999998181</v>
      </c>
      <c r="O148">
        <f t="shared" ca="1" si="46"/>
        <v>0</v>
      </c>
      <c r="P148">
        <f t="shared" ca="1" si="47"/>
        <v>0.26999999999998181</v>
      </c>
      <c r="Q148">
        <f t="shared" ca="1" si="51"/>
        <v>0.43630961807149787</v>
      </c>
      <c r="R148">
        <f t="shared" ca="1" si="52"/>
        <v>0.74754627270158114</v>
      </c>
      <c r="S148">
        <f t="shared" ca="1" si="49"/>
        <v>0.5836556665511885</v>
      </c>
      <c r="T148">
        <f t="shared" ca="1" si="50"/>
        <v>36.854960259274456</v>
      </c>
      <c r="U148">
        <f>70</f>
        <v>70</v>
      </c>
      <c r="V148">
        <f>30</f>
        <v>30</v>
      </c>
      <c r="W148">
        <f t="shared" ca="1" si="48"/>
        <v>155.21269993307021</v>
      </c>
      <c r="X148">
        <f t="shared" ca="1" si="37"/>
        <v>156.16692708224383</v>
      </c>
      <c r="Y148">
        <f t="shared" ca="1" si="36"/>
        <v>-1.099941372100858</v>
      </c>
      <c r="Z148">
        <f t="shared" ca="1" si="38"/>
        <v>-0.33871126955665426</v>
      </c>
      <c r="AA148">
        <f t="shared" ca="1" si="39"/>
        <v>-0.76123010254420365</v>
      </c>
      <c r="AB148">
        <f t="shared" ca="1" si="40"/>
        <v>158.66349999999997</v>
      </c>
    </row>
    <row r="149" spans="1:28" x14ac:dyDescent="0.25">
      <c r="A149" s="20">
        <f t="shared" ca="1" si="41"/>
        <v>45922</v>
      </c>
      <c r="B149" vm="439">
        <f ca="1"/>
        <v>45926</v>
      </c>
      <c r="C149" vm="431">
        <f ca="1"/>
        <v>152.5</v>
      </c>
      <c r="D149" vm="440">
        <f ca="1"/>
        <v>5721092</v>
      </c>
      <c r="E149">
        <f t="shared" ca="1" si="42"/>
        <v>872466530</v>
      </c>
      <c r="F149">
        <f ca="1">SUM($E$2:E149)/SUM($D$2:D149)</f>
        <v>161.57677414995155</v>
      </c>
      <c r="G149">
        <f ca="1">_xlfn.STDEV.P($C$2:C149)</f>
        <v>6.0861416555982943</v>
      </c>
      <c r="H149">
        <f t="shared" ca="1" si="43"/>
        <v>167.66291580554983</v>
      </c>
      <c r="I149">
        <f t="shared" ca="1" si="44"/>
        <v>155.49063249435326</v>
      </c>
      <c r="J149">
        <f t="shared" ca="1" si="32"/>
        <v>156.79850000000002</v>
      </c>
      <c r="K149">
        <f t="shared" ca="1" si="33"/>
        <v>2.7417268377122461</v>
      </c>
      <c r="L149">
        <f t="shared" ca="1" si="34"/>
        <v>162.28195367542452</v>
      </c>
      <c r="M149">
        <f t="shared" ca="1" si="35"/>
        <v>151.31504632457552</v>
      </c>
      <c r="N149">
        <f t="shared" ca="1" si="45"/>
        <v>0.34999999999999432</v>
      </c>
      <c r="O149">
        <f t="shared" ca="1" si="46"/>
        <v>0.34999999999999432</v>
      </c>
      <c r="P149">
        <f t="shared" ca="1" si="47"/>
        <v>0</v>
      </c>
      <c r="Q149">
        <f t="shared" ca="1" si="51"/>
        <v>0.43014464535210478</v>
      </c>
      <c r="R149">
        <f t="shared" ca="1" si="52"/>
        <v>0.6941501103657538</v>
      </c>
      <c r="S149">
        <f t="shared" ca="1" si="49"/>
        <v>0.61967093129965478</v>
      </c>
      <c r="T149">
        <f t="shared" ca="1" si="50"/>
        <v>38.259063574254498</v>
      </c>
      <c r="U149">
        <f>70</f>
        <v>70</v>
      </c>
      <c r="V149">
        <f>30</f>
        <v>30</v>
      </c>
      <c r="W149">
        <f t="shared" ca="1" si="48"/>
        <v>154.79536148182862</v>
      </c>
      <c r="X149">
        <f t="shared" ca="1" si="37"/>
        <v>155.89530285392948</v>
      </c>
      <c r="Y149">
        <f t="shared" ca="1" si="36"/>
        <v>-1.1194047504956757</v>
      </c>
      <c r="Z149">
        <f t="shared" ca="1" si="38"/>
        <v>-0.49484996574445861</v>
      </c>
      <c r="AA149">
        <f t="shared" ca="1" si="39"/>
        <v>-0.62455478475121706</v>
      </c>
      <c r="AB149">
        <f t="shared" ca="1" si="40"/>
        <v>158.60019999999997</v>
      </c>
    </row>
    <row r="150" spans="1:28" x14ac:dyDescent="0.25">
      <c r="A150" s="20">
        <f t="shared" ca="1" si="41"/>
        <v>45929</v>
      </c>
      <c r="B150" vm="441">
        <f ca="1"/>
        <v>45929</v>
      </c>
      <c r="C150" vm="442">
        <f ca="1"/>
        <v>153.53</v>
      </c>
      <c r="D150" vm="443">
        <f ca="1"/>
        <v>8139711</v>
      </c>
      <c r="E150">
        <f t="shared" ca="1" si="42"/>
        <v>1249689829.8299999</v>
      </c>
      <c r="F150">
        <f ca="1">SUM($E$2:E150)/SUM($D$2:D150)</f>
        <v>161.52270199092888</v>
      </c>
      <c r="G150">
        <f ca="1">_xlfn.STDEV.P($C$2:C150)</f>
        <v>6.1001434573656867</v>
      </c>
      <c r="H150">
        <f t="shared" ca="1" si="43"/>
        <v>167.62284544829456</v>
      </c>
      <c r="I150">
        <f t="shared" ca="1" si="44"/>
        <v>155.4225585335632</v>
      </c>
      <c r="J150">
        <f t="shared" ref="J150:J213" ca="1" si="53">AVERAGE(C131:C150)</f>
        <v>156.62300000000002</v>
      </c>
      <c r="K150">
        <f t="shared" ref="K150:K213" ca="1" si="54">_xlfn.STDEV.S(C131:C150)</f>
        <v>2.8361669834293517</v>
      </c>
      <c r="L150">
        <f t="shared" ref="L150:L213" ca="1" si="55">J150 + 2*K150</f>
        <v>162.29533396685872</v>
      </c>
      <c r="M150">
        <f t="shared" ref="M150:M213" ca="1" si="56">J150-2*K150</f>
        <v>150.95066603314132</v>
      </c>
      <c r="N150">
        <f t="shared" ca="1" si="45"/>
        <v>1.0300000000000011</v>
      </c>
      <c r="O150">
        <f t="shared" ca="1" si="46"/>
        <v>1.0300000000000011</v>
      </c>
      <c r="P150">
        <f t="shared" ca="1" si="47"/>
        <v>0</v>
      </c>
      <c r="Q150">
        <f t="shared" ca="1" si="51"/>
        <v>0.47299145639838308</v>
      </c>
      <c r="R150">
        <f t="shared" ca="1" si="52"/>
        <v>0.64456795962534286</v>
      </c>
      <c r="S150">
        <f t="shared" ca="1" si="49"/>
        <v>0.73381161650248772</v>
      </c>
      <c r="T150">
        <f t="shared" ca="1" si="50"/>
        <v>42.323607104603504</v>
      </c>
      <c r="U150">
        <f>70</f>
        <v>70</v>
      </c>
      <c r="V150">
        <f>30</f>
        <v>30</v>
      </c>
      <c r="W150">
        <f t="shared" ca="1" si="48"/>
        <v>154.60069048462421</v>
      </c>
      <c r="X150">
        <f t="shared" ca="1" si="37"/>
        <v>155.72009523511989</v>
      </c>
      <c r="Y150">
        <f t="shared" ca="1" si="36"/>
        <v>-1.1123244372665795</v>
      </c>
      <c r="Z150">
        <f t="shared" ca="1" si="38"/>
        <v>-0.61834486004888278</v>
      </c>
      <c r="AA150">
        <f t="shared" ca="1" si="39"/>
        <v>-0.4939795772176967</v>
      </c>
      <c r="AB150">
        <f t="shared" ca="1" si="40"/>
        <v>158.54299999999998</v>
      </c>
    </row>
    <row r="151" spans="1:28" x14ac:dyDescent="0.25">
      <c r="A151" s="20">
        <f t="shared" ca="1" si="41"/>
        <v>45929</v>
      </c>
      <c r="B151" vm="444">
        <f ca="1"/>
        <v>45930</v>
      </c>
      <c r="C151" vm="445">
        <f ca="1"/>
        <v>153.65</v>
      </c>
      <c r="D151" vm="446">
        <f ca="1"/>
        <v>7762609</v>
      </c>
      <c r="E151">
        <f t="shared" ca="1" si="42"/>
        <v>1192724872.8500001</v>
      </c>
      <c r="F151">
        <f ca="1">SUM($E$2:E151)/SUM($D$2:D151)</f>
        <v>161.47257170551399</v>
      </c>
      <c r="G151">
        <f ca="1">_xlfn.STDEV.P($C$2:C151)</f>
        <v>6.1124568677414803</v>
      </c>
      <c r="H151">
        <f t="shared" ca="1" si="43"/>
        <v>167.58502857325547</v>
      </c>
      <c r="I151">
        <f t="shared" ca="1" si="44"/>
        <v>155.3601148377725</v>
      </c>
      <c r="J151">
        <f t="shared" ca="1" si="53"/>
        <v>156.40600000000001</v>
      </c>
      <c r="K151">
        <f t="shared" ca="1" si="54"/>
        <v>2.8915601325236193</v>
      </c>
      <c r="L151">
        <f t="shared" ca="1" si="55"/>
        <v>162.18912026504725</v>
      </c>
      <c r="M151">
        <f t="shared" ca="1" si="56"/>
        <v>150.62287973495276</v>
      </c>
      <c r="N151">
        <f t="shared" ca="1" si="45"/>
        <v>0.12000000000000455</v>
      </c>
      <c r="O151">
        <f t="shared" ca="1" si="46"/>
        <v>0.12000000000000455</v>
      </c>
      <c r="P151">
        <f t="shared" ca="1" si="47"/>
        <v>0</v>
      </c>
      <c r="Q151">
        <f t="shared" ca="1" si="51"/>
        <v>0.44777778094135601</v>
      </c>
      <c r="R151">
        <f t="shared" ca="1" si="52"/>
        <v>0.59852739108067543</v>
      </c>
      <c r="S151">
        <f t="shared" ca="1" si="49"/>
        <v>0.74813247917170111</v>
      </c>
      <c r="T151">
        <f t="shared" ca="1" si="50"/>
        <v>42.796097440291291</v>
      </c>
      <c r="U151">
        <f>70</f>
        <v>70</v>
      </c>
      <c r="V151">
        <f>30</f>
        <v>30</v>
      </c>
      <c r="W151">
        <f t="shared" ca="1" si="48"/>
        <v>154.45443041006664</v>
      </c>
      <c r="X151">
        <f t="shared" ca="1" si="37"/>
        <v>155.56675484733321</v>
      </c>
      <c r="Y151">
        <f t="shared" ca="1" si="36"/>
        <v>-1.1315939988419075</v>
      </c>
      <c r="Z151">
        <f t="shared" ca="1" si="38"/>
        <v>-0.72099468780748777</v>
      </c>
      <c r="AA151">
        <f t="shared" ca="1" si="39"/>
        <v>-0.41059931103441971</v>
      </c>
      <c r="AB151">
        <f t="shared" ca="1" si="40"/>
        <v>158.48659999999998</v>
      </c>
    </row>
    <row r="152" spans="1:28" x14ac:dyDescent="0.25">
      <c r="A152" s="20">
        <f t="shared" ca="1" si="41"/>
        <v>45929</v>
      </c>
      <c r="B152" vm="447">
        <f ca="1"/>
        <v>45931</v>
      </c>
      <c r="C152" vm="448">
        <f ca="1"/>
        <v>153.18</v>
      </c>
      <c r="D152" vm="449">
        <f ca="1"/>
        <v>7566014</v>
      </c>
      <c r="E152">
        <f t="shared" ca="1" si="42"/>
        <v>1158962024.52</v>
      </c>
      <c r="F152">
        <f ca="1">SUM($E$2:E152)/SUM($D$2:D152)</f>
        <v>161.42142260758533</v>
      </c>
      <c r="G152">
        <f ca="1">_xlfn.STDEV.P($C$2:C152)</f>
        <v>6.1281624518433429</v>
      </c>
      <c r="H152">
        <f t="shared" ca="1" si="43"/>
        <v>167.54958505942867</v>
      </c>
      <c r="I152">
        <f t="shared" ca="1" si="44"/>
        <v>155.29326015574199</v>
      </c>
      <c r="J152">
        <f t="shared" ca="1" si="53"/>
        <v>156.15649999999999</v>
      </c>
      <c r="K152">
        <f t="shared" ca="1" si="54"/>
        <v>2.9461094327050539</v>
      </c>
      <c r="L152">
        <f t="shared" ca="1" si="55"/>
        <v>162.04871886541011</v>
      </c>
      <c r="M152">
        <f t="shared" ca="1" si="56"/>
        <v>150.26428113458988</v>
      </c>
      <c r="N152">
        <f t="shared" ca="1" si="45"/>
        <v>-0.46999999999999886</v>
      </c>
      <c r="O152">
        <f t="shared" ca="1" si="46"/>
        <v>0</v>
      </c>
      <c r="P152">
        <f t="shared" ca="1" si="47"/>
        <v>0.46999999999999886</v>
      </c>
      <c r="Q152">
        <f t="shared" ca="1" si="51"/>
        <v>0.41579365373125915</v>
      </c>
      <c r="R152">
        <f t="shared" ca="1" si="52"/>
        <v>0.58934686314634133</v>
      </c>
      <c r="S152">
        <f t="shared" ca="1" si="49"/>
        <v>0.70551602075467912</v>
      </c>
      <c r="T152">
        <f t="shared" ca="1" si="50"/>
        <v>41.366719055649391</v>
      </c>
      <c r="U152">
        <f>70</f>
        <v>70</v>
      </c>
      <c r="V152">
        <f>30</f>
        <v>30</v>
      </c>
      <c r="W152">
        <f t="shared" ca="1" si="48"/>
        <v>154.2583641931333</v>
      </c>
      <c r="X152">
        <f t="shared" ca="1" si="37"/>
        <v>155.38995819197521</v>
      </c>
      <c r="Y152">
        <f t="shared" ca="1" si="36"/>
        <v>-1.2239380257303765</v>
      </c>
      <c r="Z152">
        <f t="shared" ca="1" si="38"/>
        <v>-0.82158335539206562</v>
      </c>
      <c r="AA152">
        <f t="shared" ca="1" si="39"/>
        <v>-0.40235467033831085</v>
      </c>
      <c r="AB152">
        <f t="shared" ca="1" si="40"/>
        <v>158.43189999999996</v>
      </c>
    </row>
    <row r="153" spans="1:28" x14ac:dyDescent="0.25">
      <c r="A153" s="20">
        <f t="shared" ca="1" si="41"/>
        <v>45929</v>
      </c>
      <c r="B153" vm="450">
        <f ca="1"/>
        <v>45932</v>
      </c>
      <c r="C153" vm="451">
        <f ca="1"/>
        <v>152.05000000000001</v>
      </c>
      <c r="D153" vm="452">
        <f ca="1"/>
        <v>6892089</v>
      </c>
      <c r="E153">
        <f t="shared" ca="1" si="42"/>
        <v>1047942132.45</v>
      </c>
      <c r="F153">
        <f ca="1">SUM($E$2:E153)/SUM($D$2:D153)</f>
        <v>161.36906199958344</v>
      </c>
      <c r="G153">
        <f ca="1">_xlfn.STDEV.P($C$2:C153)</f>
        <v>6.1535877928411482</v>
      </c>
      <c r="H153">
        <f t="shared" ca="1" si="43"/>
        <v>167.52264979242457</v>
      </c>
      <c r="I153">
        <f t="shared" ca="1" si="44"/>
        <v>155.2154742067423</v>
      </c>
      <c r="J153">
        <f t="shared" ca="1" si="53"/>
        <v>155.79950000000002</v>
      </c>
      <c r="K153">
        <f t="shared" ca="1" si="54"/>
        <v>2.9914254215393017</v>
      </c>
      <c r="L153">
        <f t="shared" ca="1" si="55"/>
        <v>161.78235084307863</v>
      </c>
      <c r="M153">
        <f t="shared" ca="1" si="56"/>
        <v>149.81664915692141</v>
      </c>
      <c r="N153">
        <f t="shared" ca="1" si="45"/>
        <v>-1.1299999999999955</v>
      </c>
      <c r="O153">
        <f t="shared" ca="1" si="46"/>
        <v>0</v>
      </c>
      <c r="P153">
        <f t="shared" ca="1" si="47"/>
        <v>1.1299999999999955</v>
      </c>
      <c r="Q153">
        <f t="shared" ca="1" si="51"/>
        <v>0.3860941070361692</v>
      </c>
      <c r="R153">
        <f t="shared" ca="1" si="52"/>
        <v>0.6279649443501738</v>
      </c>
      <c r="S153">
        <f t="shared" ca="1" si="49"/>
        <v>0.61483385419818992</v>
      </c>
      <c r="T153">
        <f t="shared" ca="1" si="50"/>
        <v>38.074124628968228</v>
      </c>
      <c r="U153">
        <f>70</f>
        <v>70</v>
      </c>
      <c r="V153">
        <f>30</f>
        <v>30</v>
      </c>
      <c r="W153">
        <f t="shared" ca="1" si="48"/>
        <v>153.91861585572818</v>
      </c>
      <c r="X153">
        <f t="shared" ca="1" si="37"/>
        <v>155.14255388145855</v>
      </c>
      <c r="Y153">
        <f t="shared" ca="1" si="36"/>
        <v>-1.2647894653070182</v>
      </c>
      <c r="Z153">
        <f t="shared" ca="1" si="38"/>
        <v>-0.91022457737505613</v>
      </c>
      <c r="AA153">
        <f t="shared" ca="1" si="39"/>
        <v>-0.35456488793196206</v>
      </c>
      <c r="AB153">
        <f t="shared" ca="1" si="40"/>
        <v>158.37579999999997</v>
      </c>
    </row>
    <row r="154" spans="1:28" x14ac:dyDescent="0.25">
      <c r="A154" s="20">
        <f t="shared" ca="1" si="41"/>
        <v>45929</v>
      </c>
      <c r="B154" vm="453">
        <f ca="1"/>
        <v>45933</v>
      </c>
      <c r="C154" vm="454">
        <f ca="1"/>
        <v>152.27000000000001</v>
      </c>
      <c r="D154" vm="455">
        <f ca="1"/>
        <v>5212584</v>
      </c>
      <c r="E154">
        <f t="shared" ca="1" si="42"/>
        <v>793720165.68000007</v>
      </c>
      <c r="F154">
        <f ca="1">SUM($E$2:E154)/SUM($D$2:D154)</f>
        <v>161.3307736515568</v>
      </c>
      <c r="G154">
        <f ca="1">_xlfn.STDEV.P($C$2:C154)</f>
        <v>6.1758904115932305</v>
      </c>
      <c r="H154">
        <f t="shared" ca="1" si="43"/>
        <v>167.50666406315003</v>
      </c>
      <c r="I154">
        <f t="shared" ca="1" si="44"/>
        <v>155.15488323996357</v>
      </c>
      <c r="J154">
        <f t="shared" ca="1" si="53"/>
        <v>155.41200000000001</v>
      </c>
      <c r="K154">
        <f t="shared" ca="1" si="54"/>
        <v>2.9169695882794819</v>
      </c>
      <c r="L154">
        <f t="shared" ca="1" si="55"/>
        <v>161.24593917655898</v>
      </c>
      <c r="M154">
        <f t="shared" ca="1" si="56"/>
        <v>149.57806082344104</v>
      </c>
      <c r="N154">
        <f t="shared" ca="1" si="45"/>
        <v>0.21999999999999886</v>
      </c>
      <c r="O154">
        <f t="shared" ca="1" si="46"/>
        <v>0.21999999999999886</v>
      </c>
      <c r="P154">
        <f t="shared" ca="1" si="47"/>
        <v>0</v>
      </c>
      <c r="Q154">
        <f t="shared" ca="1" si="51"/>
        <v>0.37423024224787133</v>
      </c>
      <c r="R154">
        <f t="shared" ca="1" si="52"/>
        <v>0.58311030546801856</v>
      </c>
      <c r="S154">
        <f t="shared" ca="1" si="49"/>
        <v>0.64178293324365965</v>
      </c>
      <c r="T154">
        <f t="shared" ca="1" si="50"/>
        <v>39.090608158271777</v>
      </c>
      <c r="U154">
        <f>70</f>
        <v>70</v>
      </c>
      <c r="V154">
        <f>30</f>
        <v>30</v>
      </c>
      <c r="W154">
        <f t="shared" ca="1" si="48"/>
        <v>153.6649826471546</v>
      </c>
      <c r="X154">
        <f t="shared" ca="1" si="37"/>
        <v>154.92977211246162</v>
      </c>
      <c r="Y154">
        <f t="shared" ca="1" si="36"/>
        <v>-1.4307580921513079</v>
      </c>
      <c r="Z154">
        <f t="shared" ca="1" si="38"/>
        <v>-1.0143312803303064</v>
      </c>
      <c r="AA154">
        <f t="shared" ca="1" si="39"/>
        <v>-0.4164268118210015</v>
      </c>
      <c r="AB154">
        <f t="shared" ca="1" si="40"/>
        <v>158.28949999999998</v>
      </c>
    </row>
    <row r="155" spans="1:28" x14ac:dyDescent="0.25">
      <c r="A155" s="20">
        <f t="shared" ca="1" si="41"/>
        <v>45936</v>
      </c>
      <c r="B155" vm="456">
        <f ca="1"/>
        <v>45936</v>
      </c>
      <c r="C155" vm="457">
        <f ca="1"/>
        <v>150.41</v>
      </c>
      <c r="D155" vm="458">
        <f ca="1"/>
        <v>6736960</v>
      </c>
      <c r="E155">
        <f t="shared" ca="1" si="42"/>
        <v>1013306153.6</v>
      </c>
      <c r="F155">
        <f ca="1">SUM($E$2:E155)/SUM($D$2:D155)</f>
        <v>161.27170204371254</v>
      </c>
      <c r="G155">
        <f ca="1">_xlfn.STDEV.P($C$2:C155)</f>
        <v>6.2163073632807269</v>
      </c>
      <c r="H155">
        <f t="shared" ca="1" si="43"/>
        <v>167.48800940699326</v>
      </c>
      <c r="I155">
        <f t="shared" ca="1" si="44"/>
        <v>155.05539468043182</v>
      </c>
      <c r="J155">
        <f t="shared" ca="1" si="53"/>
        <v>154.98200000000003</v>
      </c>
      <c r="K155">
        <f t="shared" ca="1" si="54"/>
        <v>2.9915839845877827</v>
      </c>
      <c r="L155">
        <f t="shared" ca="1" si="55"/>
        <v>160.96516796917558</v>
      </c>
      <c r="M155">
        <f t="shared" ca="1" si="56"/>
        <v>148.99883203082447</v>
      </c>
      <c r="N155">
        <f t="shared" ca="1" si="45"/>
        <v>-1.8600000000000136</v>
      </c>
      <c r="O155">
        <f t="shared" ca="1" si="46"/>
        <v>0</v>
      </c>
      <c r="P155">
        <f t="shared" ca="1" si="47"/>
        <v>1.8600000000000136</v>
      </c>
      <c r="Q155">
        <f t="shared" ca="1" si="51"/>
        <v>0.34749951065873763</v>
      </c>
      <c r="R155">
        <f t="shared" ca="1" si="52"/>
        <v>0.67431671222030398</v>
      </c>
      <c r="S155">
        <f t="shared" ca="1" si="49"/>
        <v>0.51533575300919887</v>
      </c>
      <c r="T155">
        <f t="shared" ca="1" si="50"/>
        <v>34.008024425334767</v>
      </c>
      <c r="U155">
        <f>70</f>
        <v>70</v>
      </c>
      <c r="V155">
        <f>30</f>
        <v>30</v>
      </c>
      <c r="W155">
        <f t="shared" ca="1" si="48"/>
        <v>153.1642160860539</v>
      </c>
      <c r="X155">
        <f t="shared" ca="1" si="37"/>
        <v>154.59497417820521</v>
      </c>
      <c r="Y155">
        <f t="shared" ca="1" si="36"/>
        <v>-1.3745710266629203</v>
      </c>
      <c r="Z155">
        <f t="shared" ca="1" si="38"/>
        <v>-1.0863792295968293</v>
      </c>
      <c r="AA155">
        <f t="shared" ca="1" si="39"/>
        <v>-0.28819179706609099</v>
      </c>
      <c r="AB155">
        <f t="shared" ca="1" si="40"/>
        <v>158.20629999999994</v>
      </c>
    </row>
    <row r="156" spans="1:28" x14ac:dyDescent="0.25">
      <c r="A156" s="20">
        <f t="shared" ca="1" si="41"/>
        <v>45936</v>
      </c>
      <c r="B156" vm="459">
        <f ca="1"/>
        <v>45937</v>
      </c>
      <c r="C156" vm="460">
        <f ca="1"/>
        <v>152.54</v>
      </c>
      <c r="D156" vm="461">
        <f ca="1"/>
        <v>6844361</v>
      </c>
      <c r="E156">
        <f t="shared" ca="1" si="42"/>
        <v>1044038826.9399999</v>
      </c>
      <c r="F156">
        <f ca="1">SUM($E$2:E156)/SUM($D$2:D156)</f>
        <v>161.22398064415611</v>
      </c>
      <c r="G156">
        <f ca="1">_xlfn.STDEV.P($C$2:C156)</f>
        <v>6.234110229018623</v>
      </c>
      <c r="H156">
        <f t="shared" ca="1" si="43"/>
        <v>167.45809087317474</v>
      </c>
      <c r="I156">
        <f t="shared" ca="1" si="44"/>
        <v>154.98987041513749</v>
      </c>
      <c r="J156">
        <f t="shared" ca="1" si="53"/>
        <v>154.63600000000002</v>
      </c>
      <c r="K156">
        <f t="shared" ca="1" si="54"/>
        <v>2.8428903009363382</v>
      </c>
      <c r="L156">
        <f t="shared" ca="1" si="55"/>
        <v>160.32178060187269</v>
      </c>
      <c r="M156">
        <f t="shared" ca="1" si="56"/>
        <v>148.95021939812736</v>
      </c>
      <c r="N156">
        <f t="shared" ca="1" si="45"/>
        <v>2.1299999999999955</v>
      </c>
      <c r="O156">
        <f t="shared" ca="1" si="46"/>
        <v>2.1299999999999955</v>
      </c>
      <c r="P156">
        <f t="shared" ca="1" si="47"/>
        <v>0</v>
      </c>
      <c r="Q156">
        <f t="shared" ca="1" si="51"/>
        <v>0.4748209741831132</v>
      </c>
      <c r="R156">
        <f t="shared" ca="1" si="52"/>
        <v>0.6261512327759966</v>
      </c>
      <c r="S156">
        <f t="shared" ca="1" si="49"/>
        <v>0.75831676011884297</v>
      </c>
      <c r="T156">
        <f t="shared" ca="1" si="50"/>
        <v>43.127426031450049</v>
      </c>
      <c r="U156">
        <f>70</f>
        <v>70</v>
      </c>
      <c r="V156">
        <f>30</f>
        <v>30</v>
      </c>
      <c r="W156">
        <f t="shared" ca="1" si="48"/>
        <v>153.06818284204562</v>
      </c>
      <c r="X156">
        <f t="shared" ca="1" si="37"/>
        <v>154.44275386870854</v>
      </c>
      <c r="Y156">
        <f t="shared" ref="Y156:Y219" ca="1" si="57">W157-X157</f>
        <v>-1.4624635420020695</v>
      </c>
      <c r="Z156">
        <f t="shared" ca="1" si="38"/>
        <v>-1.1615960920778774</v>
      </c>
      <c r="AA156">
        <f t="shared" ca="1" si="39"/>
        <v>-0.30086744992419212</v>
      </c>
      <c r="AB156">
        <f t="shared" ca="1" si="40"/>
        <v>158.15149999999997</v>
      </c>
    </row>
    <row r="157" spans="1:28" x14ac:dyDescent="0.25">
      <c r="A157" s="20">
        <f t="shared" ca="1" si="41"/>
        <v>45936</v>
      </c>
      <c r="B157" vm="462">
        <f ca="1"/>
        <v>45938</v>
      </c>
      <c r="C157" vm="463">
        <f ca="1"/>
        <v>150.69</v>
      </c>
      <c r="D157" vm="464">
        <f ca="1"/>
        <v>5254728</v>
      </c>
      <c r="E157">
        <f t="shared" ca="1" si="42"/>
        <v>791834962.31999993</v>
      </c>
      <c r="F157">
        <f ca="1">SUM($E$2:E157)/SUM($D$2:D157)</f>
        <v>161.17996514390379</v>
      </c>
      <c r="G157">
        <f ca="1">_xlfn.STDEV.P($C$2:C157)</f>
        <v>6.2689262143527689</v>
      </c>
      <c r="H157">
        <f t="shared" ca="1" si="43"/>
        <v>167.44889135825656</v>
      </c>
      <c r="I157">
        <f t="shared" ca="1" si="44"/>
        <v>154.91103892955101</v>
      </c>
      <c r="J157">
        <f t="shared" ca="1" si="53"/>
        <v>154.303</v>
      </c>
      <c r="K157">
        <f t="shared" ca="1" si="54"/>
        <v>2.8977833633749515</v>
      </c>
      <c r="L157">
        <f t="shared" ca="1" si="55"/>
        <v>160.09856672674991</v>
      </c>
      <c r="M157">
        <f t="shared" ca="1" si="56"/>
        <v>148.50743327325009</v>
      </c>
      <c r="N157">
        <f t="shared" ca="1" si="45"/>
        <v>-1.8499999999999943</v>
      </c>
      <c r="O157">
        <f t="shared" ca="1" si="46"/>
        <v>0</v>
      </c>
      <c r="P157">
        <f t="shared" ca="1" si="47"/>
        <v>1.8499999999999943</v>
      </c>
      <c r="Q157">
        <f t="shared" ca="1" si="51"/>
        <v>0.44090519031289083</v>
      </c>
      <c r="R157">
        <f t="shared" ca="1" si="52"/>
        <v>0.71356900186342498</v>
      </c>
      <c r="S157">
        <f t="shared" ca="1" si="49"/>
        <v>0.61788725289566149</v>
      </c>
      <c r="T157">
        <f t="shared" ca="1" si="50"/>
        <v>38.19099580578186</v>
      </c>
      <c r="U157">
        <f>70</f>
        <v>70</v>
      </c>
      <c r="V157">
        <f>30</f>
        <v>30</v>
      </c>
      <c r="W157">
        <f t="shared" ca="1" si="48"/>
        <v>152.70230855865398</v>
      </c>
      <c r="X157">
        <f t="shared" ref="X157:X220" ca="1" si="58">C157*(2/(26+1)) + X156*(1-(2/(26+1)))</f>
        <v>154.16477210065605</v>
      </c>
      <c r="Y157">
        <f t="shared" ca="1" si="57"/>
        <v>-1.5234338769030842</v>
      </c>
      <c r="Z157">
        <f t="shared" ca="1" si="38"/>
        <v>-1.2339636490429187</v>
      </c>
      <c r="AA157">
        <f t="shared" ca="1" si="39"/>
        <v>-0.28947022786016552</v>
      </c>
      <c r="AB157">
        <f t="shared" ca="1" si="40"/>
        <v>158.03429999999997</v>
      </c>
    </row>
    <row r="158" spans="1:28" x14ac:dyDescent="0.25">
      <c r="A158" s="20">
        <f t="shared" ca="1" si="41"/>
        <v>45936</v>
      </c>
      <c r="B158" vm="465">
        <f ca="1"/>
        <v>45939</v>
      </c>
      <c r="C158" vm="466">
        <f ca="1"/>
        <v>150.58000000000001</v>
      </c>
      <c r="D158" vm="467">
        <f ca="1"/>
        <v>6134461</v>
      </c>
      <c r="E158">
        <f t="shared" ca="1" si="42"/>
        <v>923727137.38000011</v>
      </c>
      <c r="F158">
        <f ca="1">SUM($E$2:E158)/SUM($D$2:D158)</f>
        <v>161.12850980933777</v>
      </c>
      <c r="G158">
        <f ca="1">_xlfn.STDEV.P($C$2:C158)</f>
        <v>6.3035664773760551</v>
      </c>
      <c r="H158">
        <f t="shared" ca="1" si="43"/>
        <v>167.43207628671382</v>
      </c>
      <c r="I158">
        <f t="shared" ca="1" si="44"/>
        <v>154.82494333196172</v>
      </c>
      <c r="J158">
        <f t="shared" ca="1" si="53"/>
        <v>153.90050000000002</v>
      </c>
      <c r="K158">
        <f t="shared" ca="1" si="54"/>
        <v>2.8232446339553903</v>
      </c>
      <c r="L158">
        <f t="shared" ca="1" si="55"/>
        <v>159.54698926791082</v>
      </c>
      <c r="M158">
        <f t="shared" ca="1" si="56"/>
        <v>148.25401073208923</v>
      </c>
      <c r="N158">
        <f t="shared" ca="1" si="45"/>
        <v>-0.10999999999998522</v>
      </c>
      <c r="O158">
        <f t="shared" ca="1" si="46"/>
        <v>0</v>
      </c>
      <c r="P158">
        <f t="shared" ca="1" si="47"/>
        <v>0.10999999999998522</v>
      </c>
      <c r="Q158">
        <f t="shared" ca="1" si="51"/>
        <v>0.40941196243339861</v>
      </c>
      <c r="R158">
        <f t="shared" ca="1" si="52"/>
        <v>0.67045693030175069</v>
      </c>
      <c r="S158">
        <f t="shared" ca="1" si="49"/>
        <v>0.61064617864287829</v>
      </c>
      <c r="T158">
        <f t="shared" ca="1" si="50"/>
        <v>37.913117526371025</v>
      </c>
      <c r="U158">
        <f>70</f>
        <v>70</v>
      </c>
      <c r="V158">
        <f>30</f>
        <v>30</v>
      </c>
      <c r="W158">
        <f t="shared" ca="1" si="48"/>
        <v>152.3757995496303</v>
      </c>
      <c r="X158">
        <f t="shared" ca="1" si="58"/>
        <v>153.89923342653339</v>
      </c>
      <c r="Y158">
        <f t="shared" ca="1" si="57"/>
        <v>-1.6248387389833283</v>
      </c>
      <c r="Z158">
        <f t="shared" ca="1" si="38"/>
        <v>-1.3121386670310007</v>
      </c>
      <c r="AA158">
        <f t="shared" ca="1" si="39"/>
        <v>-0.31270007195232763</v>
      </c>
      <c r="AB158">
        <f t="shared" ca="1" si="40"/>
        <v>157.90729999999999</v>
      </c>
    </row>
    <row r="159" spans="1:28" x14ac:dyDescent="0.25">
      <c r="A159" s="20">
        <f t="shared" ca="1" si="41"/>
        <v>45936</v>
      </c>
      <c r="B159" vm="468">
        <f ca="1"/>
        <v>45940</v>
      </c>
      <c r="C159" vm="469">
        <f ca="1"/>
        <v>149.69</v>
      </c>
      <c r="D159" vm="470">
        <f ca="1"/>
        <v>7374046</v>
      </c>
      <c r="E159">
        <f t="shared" ca="1" si="42"/>
        <v>1103820945.74</v>
      </c>
      <c r="F159">
        <f ca="1">SUM($E$2:E159)/SUM($D$2:D159)</f>
        <v>161.06215108589831</v>
      </c>
      <c r="G159">
        <f ca="1">_xlfn.STDEV.P($C$2:C159)</f>
        <v>6.3464240590750114</v>
      </c>
      <c r="H159">
        <f t="shared" ca="1" si="43"/>
        <v>167.40857514497333</v>
      </c>
      <c r="I159">
        <f t="shared" ca="1" si="44"/>
        <v>154.71572702682329</v>
      </c>
      <c r="J159">
        <f t="shared" ca="1" si="53"/>
        <v>153.49</v>
      </c>
      <c r="K159">
        <f t="shared" ca="1" si="54"/>
        <v>2.8079361216306018</v>
      </c>
      <c r="L159">
        <f t="shared" ca="1" si="55"/>
        <v>159.10587224326122</v>
      </c>
      <c r="M159">
        <f t="shared" ca="1" si="56"/>
        <v>147.8741277567388</v>
      </c>
      <c r="N159">
        <f t="shared" ca="1" si="45"/>
        <v>-0.89000000000001478</v>
      </c>
      <c r="O159">
        <f t="shared" ca="1" si="46"/>
        <v>0</v>
      </c>
      <c r="P159">
        <f t="shared" ca="1" si="47"/>
        <v>0.89000000000001478</v>
      </c>
      <c r="Q159">
        <f t="shared" ca="1" si="51"/>
        <v>0.38016825083101302</v>
      </c>
      <c r="R159">
        <f t="shared" ca="1" si="52"/>
        <v>0.68613857813734103</v>
      </c>
      <c r="S159">
        <f t="shared" ca="1" si="49"/>
        <v>0.55406919672561628</v>
      </c>
      <c r="T159">
        <f t="shared" ca="1" si="50"/>
        <v>35.652800910861998</v>
      </c>
      <c r="U159">
        <f>70</f>
        <v>70</v>
      </c>
      <c r="V159">
        <f>30</f>
        <v>30</v>
      </c>
      <c r="W159">
        <f t="shared" ca="1" si="48"/>
        <v>151.96259961891795</v>
      </c>
      <c r="X159">
        <f t="shared" ca="1" si="58"/>
        <v>153.58743835790128</v>
      </c>
      <c r="Y159">
        <f t="shared" ca="1" si="57"/>
        <v>-1.8612688874623871</v>
      </c>
      <c r="Z159">
        <f t="shared" ca="1" si="38"/>
        <v>-1.421964711117278</v>
      </c>
      <c r="AA159">
        <f t="shared" ca="1" si="39"/>
        <v>-0.4393041763451091</v>
      </c>
      <c r="AB159">
        <f t="shared" ca="1" si="40"/>
        <v>157.75649999999999</v>
      </c>
    </row>
    <row r="160" spans="1:28" x14ac:dyDescent="0.25">
      <c r="A160" s="20">
        <f t="shared" ca="1" si="41"/>
        <v>45943</v>
      </c>
      <c r="B160" vm="471">
        <f ca="1"/>
        <v>45943</v>
      </c>
      <c r="C160" vm="472">
        <f ca="1"/>
        <v>147.49</v>
      </c>
      <c r="D160" vm="473">
        <f ca="1"/>
        <v>7511103</v>
      </c>
      <c r="E160">
        <f t="shared" ca="1" si="42"/>
        <v>1107812581.47</v>
      </c>
      <c r="F160">
        <f ca="1">SUM($E$2:E160)/SUM($D$2:D160)</f>
        <v>160.9824220766356</v>
      </c>
      <c r="G160">
        <f ca="1">_xlfn.STDEV.P($C$2:C160)</f>
        <v>6.4140245840085184</v>
      </c>
      <c r="H160">
        <f t="shared" ca="1" si="43"/>
        <v>167.39644666064413</v>
      </c>
      <c r="I160">
        <f t="shared" ca="1" si="44"/>
        <v>154.56839749262707</v>
      </c>
      <c r="J160">
        <f t="shared" ca="1" si="53"/>
        <v>153.023</v>
      </c>
      <c r="K160">
        <f t="shared" ca="1" si="54"/>
        <v>2.9937498049664812</v>
      </c>
      <c r="L160">
        <f t="shared" ca="1" si="55"/>
        <v>159.01049960993296</v>
      </c>
      <c r="M160">
        <f t="shared" ca="1" si="56"/>
        <v>147.03550039006703</v>
      </c>
      <c r="N160">
        <f t="shared" ca="1" si="45"/>
        <v>-2.1999999999999886</v>
      </c>
      <c r="O160">
        <f t="shared" ca="1" si="46"/>
        <v>0</v>
      </c>
      <c r="P160">
        <f t="shared" ca="1" si="47"/>
        <v>2.1999999999999886</v>
      </c>
      <c r="Q160">
        <f t="shared" ca="1" si="51"/>
        <v>0.35301337577165492</v>
      </c>
      <c r="R160">
        <f t="shared" ca="1" si="52"/>
        <v>0.79427153684181584</v>
      </c>
      <c r="S160">
        <f t="shared" ca="1" si="49"/>
        <v>0.44444923353958704</v>
      </c>
      <c r="T160">
        <f t="shared" ca="1" si="50"/>
        <v>30.769460304982488</v>
      </c>
      <c r="U160">
        <f>70</f>
        <v>70</v>
      </c>
      <c r="V160">
        <f>30</f>
        <v>30</v>
      </c>
      <c r="W160">
        <f t="shared" ca="1" si="48"/>
        <v>151.27450736985364</v>
      </c>
      <c r="X160">
        <f t="shared" ca="1" si="58"/>
        <v>153.13577625731602</v>
      </c>
      <c r="Y160">
        <f t="shared" ca="1" si="57"/>
        <v>-1.8920757686073557</v>
      </c>
      <c r="Z160">
        <f t="shared" ca="1" si="38"/>
        <v>-1.5159869226152938</v>
      </c>
      <c r="AA160">
        <f t="shared" ca="1" si="39"/>
        <v>-0.37608884599206194</v>
      </c>
      <c r="AB160">
        <f t="shared" ca="1" si="40"/>
        <v>157.57499999999999</v>
      </c>
    </row>
    <row r="161" spans="1:28" x14ac:dyDescent="0.25">
      <c r="A161" s="20">
        <f t="shared" ca="1" si="41"/>
        <v>45943</v>
      </c>
      <c r="B161" vm="474">
        <f ca="1"/>
        <v>45944</v>
      </c>
      <c r="C161" vm="475">
        <f ca="1"/>
        <v>149.16</v>
      </c>
      <c r="D161" vm="476">
        <f ca="1"/>
        <v>8585346</v>
      </c>
      <c r="E161">
        <f t="shared" ca="1" si="42"/>
        <v>1280590209.3599999</v>
      </c>
      <c r="F161">
        <f ca="1">SUM($E$2:E161)/SUM($D$2:D161)</f>
        <v>160.90356841787636</v>
      </c>
      <c r="G161">
        <f ca="1">_xlfn.STDEV.P($C$2:C161)</f>
        <v>6.4590670173311411</v>
      </c>
      <c r="H161">
        <f t="shared" ca="1" si="43"/>
        <v>167.36263543520749</v>
      </c>
      <c r="I161">
        <f t="shared" ca="1" si="44"/>
        <v>154.44450140054522</v>
      </c>
      <c r="J161">
        <f t="shared" ca="1" si="53"/>
        <v>152.57849999999999</v>
      </c>
      <c r="K161">
        <f t="shared" ca="1" si="54"/>
        <v>2.8652974035039214</v>
      </c>
      <c r="L161">
        <f t="shared" ca="1" si="55"/>
        <v>158.30909480700782</v>
      </c>
      <c r="M161">
        <f t="shared" ca="1" si="56"/>
        <v>146.84790519299216</v>
      </c>
      <c r="N161">
        <f t="shared" ca="1" si="45"/>
        <v>1.6699999999999875</v>
      </c>
      <c r="O161">
        <f t="shared" ca="1" si="46"/>
        <v>1.6699999999999875</v>
      </c>
      <c r="P161">
        <f t="shared" ca="1" si="47"/>
        <v>0</v>
      </c>
      <c r="Q161">
        <f t="shared" ca="1" si="51"/>
        <v>0.44708384893082148</v>
      </c>
      <c r="R161">
        <f t="shared" ca="1" si="52"/>
        <v>0.73753785563882901</v>
      </c>
      <c r="S161">
        <f t="shared" ca="1" si="49"/>
        <v>0.60618427313615431</v>
      </c>
      <c r="T161">
        <f t="shared" ca="1" si="50"/>
        <v>37.740643042939872</v>
      </c>
      <c r="U161">
        <f>70</f>
        <v>70</v>
      </c>
      <c r="V161">
        <f>30</f>
        <v>30</v>
      </c>
      <c r="W161">
        <f t="shared" ca="1" si="48"/>
        <v>150.9491985437223</v>
      </c>
      <c r="X161">
        <f t="shared" ca="1" si="58"/>
        <v>152.84127431232966</v>
      </c>
      <c r="Y161">
        <f t="shared" ca="1" si="57"/>
        <v>-2.0334535157310825</v>
      </c>
      <c r="Z161">
        <f t="shared" ca="1" si="38"/>
        <v>-1.6194802412384517</v>
      </c>
      <c r="AA161">
        <f t="shared" ca="1" si="39"/>
        <v>-0.41397327449263077</v>
      </c>
      <c r="AB161">
        <f t="shared" ca="1" si="40"/>
        <v>157.41229999999999</v>
      </c>
    </row>
    <row r="162" spans="1:28" x14ac:dyDescent="0.25">
      <c r="A162" s="20">
        <f t="shared" ca="1" si="41"/>
        <v>45943</v>
      </c>
      <c r="B162" vm="477">
        <f ca="1"/>
        <v>45945</v>
      </c>
      <c r="C162" vm="478">
        <f ca="1"/>
        <v>147.41999999999999</v>
      </c>
      <c r="D162" vm="479">
        <f ca="1"/>
        <v>10003073</v>
      </c>
      <c r="E162">
        <f t="shared" ca="1" si="42"/>
        <v>1474653021.6599998</v>
      </c>
      <c r="F162">
        <f ca="1">SUM($E$2:E162)/SUM($D$2:D162)</f>
        <v>160.79959222723622</v>
      </c>
      <c r="G162">
        <f ca="1">_xlfn.STDEV.P($C$2:C162)</f>
        <v>6.5229083276114208</v>
      </c>
      <c r="H162">
        <f t="shared" ca="1" si="43"/>
        <v>167.32250055484764</v>
      </c>
      <c r="I162">
        <f t="shared" ca="1" si="44"/>
        <v>154.2766838996248</v>
      </c>
      <c r="J162">
        <f t="shared" ca="1" si="53"/>
        <v>151.93299999999999</v>
      </c>
      <c r="K162">
        <f t="shared" ca="1" si="54"/>
        <v>2.4514187084646557</v>
      </c>
      <c r="L162">
        <f t="shared" ca="1" si="55"/>
        <v>156.83583741692931</v>
      </c>
      <c r="M162">
        <f t="shared" ca="1" si="56"/>
        <v>147.03016258307068</v>
      </c>
      <c r="N162">
        <f t="shared" ca="1" si="45"/>
        <v>-1.7400000000000091</v>
      </c>
      <c r="O162">
        <f t="shared" ca="1" si="46"/>
        <v>0</v>
      </c>
      <c r="P162">
        <f t="shared" ca="1" si="47"/>
        <v>1.7400000000000091</v>
      </c>
      <c r="Q162">
        <f t="shared" ca="1" si="51"/>
        <v>0.41514928829290565</v>
      </c>
      <c r="R162">
        <f t="shared" ca="1" si="52"/>
        <v>0.80914229452177044</v>
      </c>
      <c r="S162">
        <f t="shared" ca="1" si="49"/>
        <v>0.51307327660862478</v>
      </c>
      <c r="T162">
        <f t="shared" ca="1" si="50"/>
        <v>33.90934758682792</v>
      </c>
      <c r="U162">
        <f>70</f>
        <v>70</v>
      </c>
      <c r="V162">
        <f>30</f>
        <v>30</v>
      </c>
      <c r="W162">
        <f t="shared" ca="1" si="48"/>
        <v>150.40624492161118</v>
      </c>
      <c r="X162">
        <f t="shared" ca="1" si="58"/>
        <v>152.43969843734226</v>
      </c>
      <c r="Y162">
        <f t="shared" ca="1" si="57"/>
        <v>-1.947143163583263</v>
      </c>
      <c r="Z162">
        <f t="shared" ca="1" si="38"/>
        <v>-1.685012825707414</v>
      </c>
      <c r="AA162">
        <f t="shared" ca="1" si="39"/>
        <v>-0.26213033787584905</v>
      </c>
      <c r="AB162">
        <f t="shared" ca="1" si="40"/>
        <v>157.2362</v>
      </c>
    </row>
    <row r="163" spans="1:28" x14ac:dyDescent="0.25">
      <c r="A163" s="20">
        <f t="shared" ca="1" si="41"/>
        <v>45943</v>
      </c>
      <c r="B163" vm="480">
        <f ca="1"/>
        <v>45946</v>
      </c>
      <c r="C163" vm="481">
        <f ca="1"/>
        <v>149.6</v>
      </c>
      <c r="D163" vm="482">
        <f ca="1"/>
        <v>8809673</v>
      </c>
      <c r="E163">
        <f t="shared" ca="1" si="42"/>
        <v>1317927080.8</v>
      </c>
      <c r="F163">
        <f ca="1">SUM($E$2:E163)/SUM($D$2:D163)</f>
        <v>160.72404506617355</v>
      </c>
      <c r="G163">
        <f ca="1">_xlfn.STDEV.P($C$2:C163)</f>
        <v>6.5597106510604819</v>
      </c>
      <c r="H163">
        <f t="shared" ca="1" si="43"/>
        <v>167.28375571723402</v>
      </c>
      <c r="I163">
        <f t="shared" ca="1" si="44"/>
        <v>154.16433441511307</v>
      </c>
      <c r="J163">
        <f t="shared" ca="1" si="53"/>
        <v>151.547</v>
      </c>
      <c r="K163">
        <f t="shared" ca="1" si="54"/>
        <v>2.1474932755240594</v>
      </c>
      <c r="L163">
        <f t="shared" ca="1" si="55"/>
        <v>155.84198655104811</v>
      </c>
      <c r="M163">
        <f t="shared" ca="1" si="56"/>
        <v>147.25201344895189</v>
      </c>
      <c r="N163">
        <f t="shared" ca="1" si="45"/>
        <v>2.1800000000000068</v>
      </c>
      <c r="O163">
        <f t="shared" ca="1" si="46"/>
        <v>2.1800000000000068</v>
      </c>
      <c r="P163">
        <f t="shared" ca="1" si="47"/>
        <v>0</v>
      </c>
      <c r="Q163">
        <f t="shared" ca="1" si="51"/>
        <v>0.54121005341484152</v>
      </c>
      <c r="R163">
        <f t="shared" ca="1" si="52"/>
        <v>0.7513464163416439</v>
      </c>
      <c r="S163">
        <f t="shared" ca="1" si="49"/>
        <v>0.72032026990962383</v>
      </c>
      <c r="T163">
        <f t="shared" ca="1" si="50"/>
        <v>41.87128888200948</v>
      </c>
      <c r="U163">
        <f>70</f>
        <v>70</v>
      </c>
      <c r="V163">
        <f>30</f>
        <v>30</v>
      </c>
      <c r="W163">
        <f t="shared" ca="1" si="48"/>
        <v>150.2822072413633</v>
      </c>
      <c r="X163">
        <f t="shared" ca="1" si="58"/>
        <v>152.22935040494656</v>
      </c>
      <c r="Y163">
        <f t="shared" ca="1" si="57"/>
        <v>-1.7137416835405475</v>
      </c>
      <c r="Z163">
        <f t="shared" ca="1" si="38"/>
        <v>-1.6907585972740407</v>
      </c>
      <c r="AA163">
        <f t="shared" ca="1" si="39"/>
        <v>-2.2983086266506803E-2</v>
      </c>
      <c r="AB163">
        <f t="shared" ca="1" si="40"/>
        <v>157.07359999999997</v>
      </c>
    </row>
    <row r="164" spans="1:28" x14ac:dyDescent="0.25">
      <c r="A164" s="20">
        <f t="shared" ca="1" si="41"/>
        <v>45943</v>
      </c>
      <c r="B164" vm="483">
        <f ca="1"/>
        <v>45947</v>
      </c>
      <c r="C164" vm="484">
        <f ca="1"/>
        <v>151.4</v>
      </c>
      <c r="D164" vm="485">
        <f ca="1"/>
        <v>8612894</v>
      </c>
      <c r="E164">
        <f t="shared" ca="1" si="42"/>
        <v>1303992151.6000001</v>
      </c>
      <c r="F164">
        <f ca="1">SUM($E$2:E164)/SUM($D$2:D164)</f>
        <v>160.66295720637021</v>
      </c>
      <c r="G164">
        <f ca="1">_xlfn.STDEV.P($C$2:C164)</f>
        <v>6.5784338234204274</v>
      </c>
      <c r="H164">
        <f t="shared" ca="1" si="43"/>
        <v>167.24139102979063</v>
      </c>
      <c r="I164">
        <f t="shared" ca="1" si="44"/>
        <v>154.08452338294978</v>
      </c>
      <c r="J164">
        <f t="shared" ca="1" si="53"/>
        <v>151.315</v>
      </c>
      <c r="K164">
        <f t="shared" ca="1" si="54"/>
        <v>1.8691526366103368</v>
      </c>
      <c r="L164">
        <f t="shared" ca="1" si="55"/>
        <v>155.05330527322067</v>
      </c>
      <c r="M164">
        <f t="shared" ca="1" si="56"/>
        <v>147.57669472677932</v>
      </c>
      <c r="N164">
        <f t="shared" ca="1" si="45"/>
        <v>1.8000000000000114</v>
      </c>
      <c r="O164">
        <f t="shared" ca="1" si="46"/>
        <v>1.8000000000000114</v>
      </c>
      <c r="P164">
        <f t="shared" ca="1" si="47"/>
        <v>0</v>
      </c>
      <c r="Q164">
        <f t="shared" ca="1" si="51"/>
        <v>0.63112362102806785</v>
      </c>
      <c r="R164">
        <f t="shared" ca="1" si="52"/>
        <v>0.69767881517438368</v>
      </c>
      <c r="S164">
        <f t="shared" ca="1" si="49"/>
        <v>0.90460482288016664</v>
      </c>
      <c r="T164">
        <f t="shared" ca="1" si="50"/>
        <v>47.495670073554273</v>
      </c>
      <c r="U164">
        <f>70</f>
        <v>70</v>
      </c>
      <c r="V164">
        <f>30</f>
        <v>30</v>
      </c>
      <c r="W164">
        <f t="shared" ca="1" si="48"/>
        <v>150.45417535807664</v>
      </c>
      <c r="X164">
        <f t="shared" ca="1" si="58"/>
        <v>152.16791704161719</v>
      </c>
      <c r="Y164">
        <f t="shared" ca="1" si="57"/>
        <v>-1.4666750916718456</v>
      </c>
      <c r="Z164">
        <f t="shared" ca="1" si="38"/>
        <v>-1.6459418961536016</v>
      </c>
      <c r="AA164">
        <f t="shared" ca="1" si="39"/>
        <v>0.17926680448175603</v>
      </c>
      <c r="AB164">
        <f t="shared" ca="1" si="40"/>
        <v>156.90999999999997</v>
      </c>
    </row>
    <row r="165" spans="1:28" x14ac:dyDescent="0.25">
      <c r="A165" s="20">
        <f t="shared" ca="1" si="41"/>
        <v>45950</v>
      </c>
      <c r="B165" vm="486">
        <f ca="1"/>
        <v>45950</v>
      </c>
      <c r="C165" vm="487">
        <f ca="1"/>
        <v>151.96</v>
      </c>
      <c r="D165" vm="488">
        <f ca="1"/>
        <v>5601287</v>
      </c>
      <c r="E165">
        <f t="shared" ca="1" si="42"/>
        <v>851171572.5200001</v>
      </c>
      <c r="F165">
        <f ca="1">SUM($E$2:E165)/SUM($D$2:D165)</f>
        <v>160.62603313220947</v>
      </c>
      <c r="G165">
        <f ca="1">_xlfn.STDEV.P($C$2:C165)</f>
        <v>6.5918740717275055</v>
      </c>
      <c r="H165">
        <f t="shared" ca="1" si="43"/>
        <v>167.21790720393699</v>
      </c>
      <c r="I165">
        <f t="shared" ca="1" si="44"/>
        <v>154.03415906048195</v>
      </c>
      <c r="J165">
        <f t="shared" ca="1" si="53"/>
        <v>151.25949999999997</v>
      </c>
      <c r="K165">
        <f t="shared" ca="1" si="54"/>
        <v>1.8303766509138313</v>
      </c>
      <c r="L165">
        <f t="shared" ca="1" si="55"/>
        <v>154.92025330182764</v>
      </c>
      <c r="M165">
        <f t="shared" ca="1" si="56"/>
        <v>147.59874669817231</v>
      </c>
      <c r="N165">
        <f t="shared" ca="1" si="45"/>
        <v>0.56000000000000227</v>
      </c>
      <c r="O165">
        <f t="shared" ca="1" si="46"/>
        <v>0.56000000000000227</v>
      </c>
      <c r="P165">
        <f t="shared" ca="1" si="47"/>
        <v>0</v>
      </c>
      <c r="Q165">
        <f t="shared" ca="1" si="51"/>
        <v>0.62604336238320601</v>
      </c>
      <c r="R165">
        <f t="shared" ca="1" si="52"/>
        <v>0.6478446140904992</v>
      </c>
      <c r="S165">
        <f t="shared" ca="1" si="49"/>
        <v>0.96634802353354488</v>
      </c>
      <c r="T165">
        <f t="shared" ca="1" si="50"/>
        <v>49.144302634536125</v>
      </c>
      <c r="U165">
        <f>70</f>
        <v>70</v>
      </c>
      <c r="V165">
        <f>30</f>
        <v>30</v>
      </c>
      <c r="W165">
        <f t="shared" ca="1" si="48"/>
        <v>150.6858406876033</v>
      </c>
      <c r="X165">
        <f t="shared" ca="1" si="58"/>
        <v>152.15251577927515</v>
      </c>
      <c r="Y165">
        <f t="shared" ca="1" si="57"/>
        <v>-1.2835126611004171</v>
      </c>
      <c r="Z165">
        <f t="shared" ca="1" si="38"/>
        <v>-1.573456049142965</v>
      </c>
      <c r="AA165">
        <f t="shared" ca="1" si="39"/>
        <v>0.28994338804254793</v>
      </c>
      <c r="AB165">
        <f t="shared" ca="1" si="40"/>
        <v>156.75599999999997</v>
      </c>
    </row>
    <row r="166" spans="1:28" x14ac:dyDescent="0.25">
      <c r="A166" s="20">
        <f t="shared" ca="1" si="41"/>
        <v>45950</v>
      </c>
      <c r="B166" vm="489">
        <f ca="1"/>
        <v>45951</v>
      </c>
      <c r="C166" vm="490">
        <f ca="1"/>
        <v>151.62</v>
      </c>
      <c r="D166" vm="491">
        <f ca="1"/>
        <v>6013379</v>
      </c>
      <c r="E166">
        <f t="shared" ca="1" si="42"/>
        <v>911748523.98000002</v>
      </c>
      <c r="F166">
        <f ca="1">SUM($E$2:E166)/SUM($D$2:D166)</f>
        <v>160.58519805269995</v>
      </c>
      <c r="G166">
        <f ca="1">_xlfn.STDEV.P($C$2:C166)</f>
        <v>6.6074034314940784</v>
      </c>
      <c r="H166">
        <f t="shared" ca="1" si="43"/>
        <v>167.19260148419403</v>
      </c>
      <c r="I166">
        <f t="shared" ca="1" si="44"/>
        <v>153.97779462120587</v>
      </c>
      <c r="J166">
        <f t="shared" ca="1" si="53"/>
        <v>151.21549999999999</v>
      </c>
      <c r="K166">
        <f t="shared" ca="1" si="54"/>
        <v>1.8094444480354523</v>
      </c>
      <c r="L166">
        <f t="shared" ca="1" si="55"/>
        <v>154.83438889607089</v>
      </c>
      <c r="M166">
        <f t="shared" ca="1" si="56"/>
        <v>147.59661110392909</v>
      </c>
      <c r="N166">
        <f t="shared" ca="1" si="45"/>
        <v>-0.34000000000000341</v>
      </c>
      <c r="O166">
        <f t="shared" ca="1" si="46"/>
        <v>0</v>
      </c>
      <c r="P166">
        <f t="shared" ca="1" si="47"/>
        <v>0.34000000000000341</v>
      </c>
      <c r="Q166">
        <f t="shared" ca="1" si="51"/>
        <v>0.58132597935583419</v>
      </c>
      <c r="R166">
        <f t="shared" ca="1" si="52"/>
        <v>0.6258557130840352</v>
      </c>
      <c r="S166">
        <f t="shared" ca="1" si="49"/>
        <v>0.92884984063056419</v>
      </c>
      <c r="T166">
        <f t="shared" ca="1" si="50"/>
        <v>48.155632494798667</v>
      </c>
      <c r="U166">
        <f>70</f>
        <v>70</v>
      </c>
      <c r="V166">
        <f>30</f>
        <v>30</v>
      </c>
      <c r="W166">
        <f t="shared" ca="1" si="48"/>
        <v>150.82955750489509</v>
      </c>
      <c r="X166">
        <f t="shared" ca="1" si="58"/>
        <v>152.11307016599551</v>
      </c>
      <c r="Y166">
        <f t="shared" ca="1" si="57"/>
        <v>-1.0791146011244734</v>
      </c>
      <c r="Z166">
        <f t="shared" ref="Z166:Z229" ca="1" si="59">Y166*(2/(9+1)) + Z165*(1-(2/(9+1)))</f>
        <v>-1.4745877595392667</v>
      </c>
      <c r="AA166">
        <f t="shared" ref="AA166:AA229" ca="1" si="60">Y166-Z166</f>
        <v>0.39547315841479325</v>
      </c>
      <c r="AB166">
        <f t="shared" ref="AB166:AB229" ca="1" si="61">AVERAGE(C67:C166)</f>
        <v>156.58659999999998</v>
      </c>
    </row>
    <row r="167" spans="1:28" x14ac:dyDescent="0.25">
      <c r="A167" s="20">
        <f t="shared" ca="1" si="41"/>
        <v>45950</v>
      </c>
      <c r="B167" vm="492">
        <f ca="1"/>
        <v>45952</v>
      </c>
      <c r="C167" vm="493">
        <f ca="1"/>
        <v>152.19999999999999</v>
      </c>
      <c r="D167" vm="494">
        <f ca="1"/>
        <v>6394378</v>
      </c>
      <c r="E167">
        <f t="shared" ca="1" si="42"/>
        <v>973224331.5999999</v>
      </c>
      <c r="F167">
        <f ca="1">SUM($E$2:E167)/SUM($D$2:D167)</f>
        <v>160.54496305206754</v>
      </c>
      <c r="G167">
        <f ca="1">_xlfn.STDEV.P($C$2:C167)</f>
        <v>6.6178410378992307</v>
      </c>
      <c r="H167">
        <f t="shared" ca="1" si="43"/>
        <v>167.16280408996678</v>
      </c>
      <c r="I167">
        <f t="shared" ca="1" si="44"/>
        <v>153.9271220141683</v>
      </c>
      <c r="J167">
        <f t="shared" ca="1" si="53"/>
        <v>151.2045</v>
      </c>
      <c r="K167">
        <f t="shared" ca="1" si="54"/>
        <v>1.8023916129176247</v>
      </c>
      <c r="L167">
        <f t="shared" ca="1" si="55"/>
        <v>154.80928322583526</v>
      </c>
      <c r="M167">
        <f t="shared" ca="1" si="56"/>
        <v>147.59971677416473</v>
      </c>
      <c r="N167">
        <f t="shared" ca="1" si="45"/>
        <v>0.57999999999998408</v>
      </c>
      <c r="O167">
        <f t="shared" ca="1" si="46"/>
        <v>0.57999999999998408</v>
      </c>
      <c r="P167">
        <f t="shared" ca="1" si="47"/>
        <v>0</v>
      </c>
      <c r="Q167">
        <f t="shared" ca="1" si="51"/>
        <v>0.58123126654470192</v>
      </c>
      <c r="R167">
        <f t="shared" ca="1" si="52"/>
        <v>0.58115173357803263</v>
      </c>
      <c r="S167">
        <f t="shared" ca="1" si="49"/>
        <v>1.0001368540470139</v>
      </c>
      <c r="T167">
        <f t="shared" ca="1" si="50"/>
        <v>50.003421117078489</v>
      </c>
      <c r="U167">
        <f>70</f>
        <v>70</v>
      </c>
      <c r="V167">
        <f>30</f>
        <v>30</v>
      </c>
      <c r="W167">
        <f t="shared" ca="1" si="48"/>
        <v>151.04039481183432</v>
      </c>
      <c r="X167">
        <f t="shared" ca="1" si="58"/>
        <v>152.11950941295879</v>
      </c>
      <c r="Y167">
        <f t="shared" ca="1" si="57"/>
        <v>-0.90587834785418409</v>
      </c>
      <c r="Z167">
        <f t="shared" ca="1" si="59"/>
        <v>-1.3608458772022503</v>
      </c>
      <c r="AA167">
        <f t="shared" ca="1" si="60"/>
        <v>0.45496752934806617</v>
      </c>
      <c r="AB167">
        <f t="shared" ca="1" si="61"/>
        <v>156.40969999999999</v>
      </c>
    </row>
    <row r="168" spans="1:28" x14ac:dyDescent="0.25">
      <c r="A168" s="20">
        <f t="shared" ca="1" si="41"/>
        <v>45950</v>
      </c>
      <c r="B168" vm="495">
        <f ca="1"/>
        <v>45953</v>
      </c>
      <c r="C168" vm="496">
        <f ca="1"/>
        <v>152.21</v>
      </c>
      <c r="D168" vm="497">
        <f ca="1"/>
        <v>8205353</v>
      </c>
      <c r="E168">
        <f t="shared" ca="1" si="42"/>
        <v>1248936780.1300001</v>
      </c>
      <c r="F168">
        <f ca="1">SUM($E$2:E168)/SUM($D$2:D168)</f>
        <v>160.49395632561917</v>
      </c>
      <c r="G168">
        <f ca="1">_xlfn.STDEV.P($C$2:C168)</f>
        <v>6.6277043429163429</v>
      </c>
      <c r="H168">
        <f t="shared" ca="1" si="43"/>
        <v>167.1216606685355</v>
      </c>
      <c r="I168">
        <f t="shared" ca="1" si="44"/>
        <v>153.86625198270283</v>
      </c>
      <c r="J168">
        <f t="shared" ca="1" si="53"/>
        <v>151.20749999999998</v>
      </c>
      <c r="K168">
        <f t="shared" ca="1" si="54"/>
        <v>1.8040973103641516</v>
      </c>
      <c r="L168">
        <f t="shared" ca="1" si="55"/>
        <v>154.81569462072829</v>
      </c>
      <c r="M168">
        <f t="shared" ca="1" si="56"/>
        <v>147.59930537927167</v>
      </c>
      <c r="N168">
        <f t="shared" ca="1" si="45"/>
        <v>1.0000000000019327E-2</v>
      </c>
      <c r="O168">
        <f t="shared" ca="1" si="46"/>
        <v>1.0000000000019327E-2</v>
      </c>
      <c r="P168">
        <f t="shared" ca="1" si="47"/>
        <v>0</v>
      </c>
      <c r="Q168">
        <f t="shared" ca="1" si="51"/>
        <v>0.54042903322008173</v>
      </c>
      <c r="R168">
        <f t="shared" ca="1" si="52"/>
        <v>0.53964089546531602</v>
      </c>
      <c r="S168">
        <f t="shared" ca="1" si="49"/>
        <v>1.0014604855958631</v>
      </c>
      <c r="T168">
        <f t="shared" ca="1" si="50"/>
        <v>50.036485496625431</v>
      </c>
      <c r="U168">
        <f>70</f>
        <v>70</v>
      </c>
      <c r="V168">
        <f>30</f>
        <v>30</v>
      </c>
      <c r="W168">
        <f t="shared" ca="1" si="48"/>
        <v>151.22033407155212</v>
      </c>
      <c r="X168">
        <f t="shared" ca="1" si="58"/>
        <v>152.1262124194063</v>
      </c>
      <c r="Y168">
        <f t="shared" ca="1" si="57"/>
        <v>-0.73749235628508814</v>
      </c>
      <c r="Z168">
        <f t="shared" ca="1" si="59"/>
        <v>-1.2361751730188177</v>
      </c>
      <c r="AA168">
        <f t="shared" ca="1" si="60"/>
        <v>0.49868281673372961</v>
      </c>
      <c r="AB168">
        <f t="shared" ca="1" si="61"/>
        <v>156.25399999999996</v>
      </c>
    </row>
    <row r="169" spans="1:28" x14ac:dyDescent="0.25">
      <c r="A169" s="20">
        <f t="shared" ca="1" si="41"/>
        <v>45950</v>
      </c>
      <c r="B169" vm="498">
        <f ca="1"/>
        <v>45954</v>
      </c>
      <c r="C169" vm="499">
        <f ca="1"/>
        <v>152.49</v>
      </c>
      <c r="D169" vm="500">
        <f ca="1"/>
        <v>11968491</v>
      </c>
      <c r="E169">
        <f t="shared" ca="1" si="42"/>
        <v>1825075192.5900002</v>
      </c>
      <c r="F169">
        <f ca="1">SUM($E$2:E169)/SUM($D$2:D169)</f>
        <v>160.42314361523282</v>
      </c>
      <c r="G169">
        <f ca="1">_xlfn.STDEV.P($C$2:C169)</f>
        <v>6.6351043169683601</v>
      </c>
      <c r="H169">
        <f t="shared" ca="1" si="43"/>
        <v>167.05824793220117</v>
      </c>
      <c r="I169">
        <f t="shared" ca="1" si="44"/>
        <v>153.78803929826447</v>
      </c>
      <c r="J169">
        <f t="shared" ca="1" si="53"/>
        <v>151.20700000000002</v>
      </c>
      <c r="K169">
        <f t="shared" ca="1" si="54"/>
        <v>1.803721591307089</v>
      </c>
      <c r="L169">
        <f t="shared" ca="1" si="55"/>
        <v>154.81444318261421</v>
      </c>
      <c r="M169">
        <f t="shared" ca="1" si="56"/>
        <v>147.59955681738583</v>
      </c>
      <c r="N169">
        <f t="shared" ca="1" si="45"/>
        <v>0.28000000000000114</v>
      </c>
      <c r="O169">
        <f t="shared" ca="1" si="46"/>
        <v>0.28000000000000114</v>
      </c>
      <c r="P169">
        <f t="shared" ca="1" si="47"/>
        <v>0</v>
      </c>
      <c r="Q169">
        <f t="shared" ca="1" si="51"/>
        <v>0.52182695941864743</v>
      </c>
      <c r="R169">
        <f t="shared" ca="1" si="52"/>
        <v>0.50109511721779343</v>
      </c>
      <c r="S169">
        <f t="shared" ca="1" si="49"/>
        <v>1.0413730676841604</v>
      </c>
      <c r="T169">
        <f t="shared" ca="1" si="50"/>
        <v>51.013363709434465</v>
      </c>
      <c r="U169">
        <f>70</f>
        <v>70</v>
      </c>
      <c r="V169">
        <f>30</f>
        <v>30</v>
      </c>
      <c r="W169">
        <f t="shared" ca="1" si="48"/>
        <v>151.41566729131333</v>
      </c>
      <c r="X169">
        <f t="shared" ca="1" si="58"/>
        <v>152.15315964759841</v>
      </c>
      <c r="Y169">
        <f t="shared" ca="1" si="57"/>
        <v>-0.65699059814653538</v>
      </c>
      <c r="Z169">
        <f t="shared" ca="1" si="59"/>
        <v>-1.1203382580443613</v>
      </c>
      <c r="AA169">
        <f t="shared" ca="1" si="60"/>
        <v>0.46334765989782589</v>
      </c>
      <c r="AB169">
        <f t="shared" ca="1" si="61"/>
        <v>156.11039999999997</v>
      </c>
    </row>
    <row r="170" spans="1:28" x14ac:dyDescent="0.25">
      <c r="A170" s="20">
        <f t="shared" ca="1" si="41"/>
        <v>45957</v>
      </c>
      <c r="B170" vm="501">
        <f ca="1"/>
        <v>45957</v>
      </c>
      <c r="C170" vm="502">
        <f ca="1"/>
        <v>151.74</v>
      </c>
      <c r="D170" vm="503">
        <f ca="1"/>
        <v>7775323</v>
      </c>
      <c r="E170">
        <f t="shared" ca="1" si="42"/>
        <v>1179827512.02</v>
      </c>
      <c r="F170">
        <f ca="1">SUM($E$2:E170)/SUM($D$2:D170)</f>
        <v>160.37352169868547</v>
      </c>
      <c r="G170">
        <f ca="1">_xlfn.STDEV.P($C$2:C170)</f>
        <v>6.6474841973370768</v>
      </c>
      <c r="H170">
        <f t="shared" ca="1" si="43"/>
        <v>167.02100589602253</v>
      </c>
      <c r="I170">
        <f t="shared" ca="1" si="44"/>
        <v>153.7260375013484</v>
      </c>
      <c r="J170">
        <f t="shared" ca="1" si="53"/>
        <v>151.11749999999998</v>
      </c>
      <c r="K170">
        <f t="shared" ca="1" si="54"/>
        <v>1.7250839033752012</v>
      </c>
      <c r="L170">
        <f t="shared" ca="1" si="55"/>
        <v>154.56766780675039</v>
      </c>
      <c r="M170">
        <f t="shared" ca="1" si="56"/>
        <v>147.66733219324956</v>
      </c>
      <c r="N170">
        <f t="shared" ca="1" si="45"/>
        <v>-0.75</v>
      </c>
      <c r="O170">
        <f t="shared" ca="1" si="46"/>
        <v>0</v>
      </c>
      <c r="P170">
        <f t="shared" ca="1" si="47"/>
        <v>0.75</v>
      </c>
      <c r="Q170">
        <f t="shared" ca="1" si="51"/>
        <v>0.48455360517445828</v>
      </c>
      <c r="R170">
        <f t="shared" ca="1" si="52"/>
        <v>0.51887403741652249</v>
      </c>
      <c r="S170">
        <f t="shared" ca="1" si="49"/>
        <v>0.9338559462081667</v>
      </c>
      <c r="T170">
        <f t="shared" ca="1" si="50"/>
        <v>48.289840204449405</v>
      </c>
      <c r="U170">
        <f>70</f>
        <v>70</v>
      </c>
      <c r="V170">
        <f>30</f>
        <v>30</v>
      </c>
      <c r="W170">
        <f t="shared" ca="1" si="48"/>
        <v>151.46556463111128</v>
      </c>
      <c r="X170">
        <f t="shared" ca="1" si="58"/>
        <v>152.12255522925781</v>
      </c>
      <c r="Y170">
        <f t="shared" ca="1" si="57"/>
        <v>-0.61594801728983839</v>
      </c>
      <c r="Z170">
        <f t="shared" ca="1" si="59"/>
        <v>-1.0194602098934566</v>
      </c>
      <c r="AA170">
        <f t="shared" ca="1" si="60"/>
        <v>0.40351219260361826</v>
      </c>
      <c r="AB170">
        <f t="shared" ca="1" si="61"/>
        <v>155.96829999999997</v>
      </c>
    </row>
    <row r="171" spans="1:28" x14ac:dyDescent="0.25">
      <c r="A171" s="20">
        <f t="shared" ca="1" si="41"/>
        <v>45957</v>
      </c>
      <c r="B171" vm="504">
        <f ca="1"/>
        <v>45958</v>
      </c>
      <c r="C171" vm="505">
        <f ca="1"/>
        <v>151.37</v>
      </c>
      <c r="D171" vm="506">
        <f ca="1"/>
        <v>5819257</v>
      </c>
      <c r="E171">
        <f t="shared" ca="1" si="42"/>
        <v>880860932.09000003</v>
      </c>
      <c r="F171">
        <f ca="1">SUM($E$2:E171)/SUM($D$2:D171)</f>
        <v>160.33517707147107</v>
      </c>
      <c r="G171">
        <f ca="1">_xlfn.STDEV.P($C$2:C171)</f>
        <v>6.6621274242248614</v>
      </c>
      <c r="H171">
        <f t="shared" ca="1" si="43"/>
        <v>166.99730449569591</v>
      </c>
      <c r="I171">
        <f t="shared" ca="1" si="44"/>
        <v>153.67304964724622</v>
      </c>
      <c r="J171">
        <f t="shared" ca="1" si="53"/>
        <v>151.00349999999997</v>
      </c>
      <c r="K171">
        <f t="shared" ca="1" si="54"/>
        <v>1.6211213630336934</v>
      </c>
      <c r="L171">
        <f t="shared" ca="1" si="55"/>
        <v>154.24574272606736</v>
      </c>
      <c r="M171">
        <f t="shared" ca="1" si="56"/>
        <v>147.76125727393259</v>
      </c>
      <c r="N171">
        <f t="shared" ca="1" si="45"/>
        <v>-0.37000000000000455</v>
      </c>
      <c r="O171">
        <f t="shared" ca="1" si="46"/>
        <v>0</v>
      </c>
      <c r="P171">
        <f t="shared" ca="1" si="47"/>
        <v>0.37000000000000455</v>
      </c>
      <c r="Q171">
        <f t="shared" ca="1" si="51"/>
        <v>0.44994263337628265</v>
      </c>
      <c r="R171">
        <f t="shared" ca="1" si="52"/>
        <v>0.50824017760105689</v>
      </c>
      <c r="S171">
        <f t="shared" ca="1" si="49"/>
        <v>0.88529528598084406</v>
      </c>
      <c r="T171">
        <f t="shared" ca="1" si="50"/>
        <v>46.957911185793911</v>
      </c>
      <c r="U171">
        <f>70</f>
        <v>70</v>
      </c>
      <c r="V171">
        <f>30</f>
        <v>30</v>
      </c>
      <c r="W171">
        <f t="shared" ca="1" si="48"/>
        <v>151.45086238017109</v>
      </c>
      <c r="X171">
        <f t="shared" ca="1" si="58"/>
        <v>152.06681039746093</v>
      </c>
      <c r="Y171">
        <f t="shared" ca="1" si="57"/>
        <v>-0.78418020588031823</v>
      </c>
      <c r="Z171">
        <f t="shared" ca="1" si="59"/>
        <v>-0.97240420909082903</v>
      </c>
      <c r="AA171">
        <f t="shared" ca="1" si="60"/>
        <v>0.1882240032105108</v>
      </c>
      <c r="AB171">
        <f t="shared" ca="1" si="61"/>
        <v>155.85399999999998</v>
      </c>
    </row>
    <row r="172" spans="1:28" x14ac:dyDescent="0.25">
      <c r="A172" s="20">
        <f t="shared" ca="1" si="41"/>
        <v>45957</v>
      </c>
      <c r="B172" vm="507">
        <f ca="1"/>
        <v>45959</v>
      </c>
      <c r="C172" vm="508">
        <f ca="1"/>
        <v>148.77000000000001</v>
      </c>
      <c r="D172" vm="509">
        <f ca="1"/>
        <v>7405466</v>
      </c>
      <c r="E172">
        <f t="shared" ca="1" si="42"/>
        <v>1101711176.8200002</v>
      </c>
      <c r="F172">
        <f ca="1">SUM($E$2:E172)/SUM($D$2:D172)</f>
        <v>160.27283491140577</v>
      </c>
      <c r="G172">
        <f ca="1">_xlfn.STDEV.P($C$2:C172)</f>
        <v>6.6989268444997503</v>
      </c>
      <c r="H172">
        <f t="shared" ca="1" si="43"/>
        <v>166.9717617559055</v>
      </c>
      <c r="I172">
        <f t="shared" ca="1" si="44"/>
        <v>153.57390806690603</v>
      </c>
      <c r="J172">
        <f t="shared" ca="1" si="53"/>
        <v>150.78299999999996</v>
      </c>
      <c r="K172">
        <f t="shared" ca="1" si="54"/>
        <v>1.6093741836993352</v>
      </c>
      <c r="L172">
        <f t="shared" ca="1" si="55"/>
        <v>154.00174836739862</v>
      </c>
      <c r="M172">
        <f t="shared" ca="1" si="56"/>
        <v>147.5642516326013</v>
      </c>
      <c r="N172">
        <f t="shared" ca="1" si="45"/>
        <v>-2.5999999999999943</v>
      </c>
      <c r="O172">
        <f t="shared" ca="1" si="46"/>
        <v>0</v>
      </c>
      <c r="P172">
        <f t="shared" ca="1" si="47"/>
        <v>2.5999999999999943</v>
      </c>
      <c r="Q172">
        <f t="shared" ca="1" si="51"/>
        <v>0.41780387384940532</v>
      </c>
      <c r="R172">
        <f t="shared" ca="1" si="52"/>
        <v>0.65765159348669522</v>
      </c>
      <c r="S172">
        <f t="shared" ca="1" si="49"/>
        <v>0.63529667986405902</v>
      </c>
      <c r="T172">
        <f t="shared" ca="1" si="50"/>
        <v>38.849016676097627</v>
      </c>
      <c r="U172">
        <f>70</f>
        <v>70</v>
      </c>
      <c r="V172">
        <f>30</f>
        <v>30</v>
      </c>
      <c r="W172">
        <f t="shared" ca="1" si="48"/>
        <v>151.03842201399092</v>
      </c>
      <c r="X172">
        <f t="shared" ca="1" si="58"/>
        <v>151.82260221987124</v>
      </c>
      <c r="Y172">
        <f t="shared" ca="1" si="57"/>
        <v>-0.8424341404639506</v>
      </c>
      <c r="Z172">
        <f t="shared" ca="1" si="59"/>
        <v>-0.94641019536545345</v>
      </c>
      <c r="AA172">
        <f t="shared" ca="1" si="60"/>
        <v>0.10397605490150286</v>
      </c>
      <c r="AB172">
        <f t="shared" ca="1" si="61"/>
        <v>155.70149999999998</v>
      </c>
    </row>
    <row r="173" spans="1:28" x14ac:dyDescent="0.25">
      <c r="A173" s="20">
        <f t="shared" ca="1" si="41"/>
        <v>45957</v>
      </c>
      <c r="B173" vm="510">
        <f ca="1"/>
        <v>45960</v>
      </c>
      <c r="C173" vm="511">
        <f ca="1"/>
        <v>149.58000000000001</v>
      </c>
      <c r="D173" vm="512">
        <f ca="1"/>
        <v>6760702</v>
      </c>
      <c r="E173">
        <f t="shared" ca="1" si="42"/>
        <v>1011265805.1600001</v>
      </c>
      <c r="F173">
        <f ca="1">SUM($E$2:E173)/SUM($D$2:D173)</f>
        <v>160.22047127194858</v>
      </c>
      <c r="G173">
        <f ca="1">_xlfn.STDEV.P($C$2:C173)</f>
        <v>6.7268767579547442</v>
      </c>
      <c r="H173">
        <f t="shared" ca="1" si="43"/>
        <v>166.94734802990334</v>
      </c>
      <c r="I173">
        <f t="shared" ca="1" si="44"/>
        <v>153.49359451399383</v>
      </c>
      <c r="J173">
        <f t="shared" ca="1" si="53"/>
        <v>150.65950000000001</v>
      </c>
      <c r="K173">
        <f t="shared" ca="1" si="54"/>
        <v>1.6017834632552237</v>
      </c>
      <c r="L173">
        <f t="shared" ca="1" si="55"/>
        <v>153.86306692651044</v>
      </c>
      <c r="M173">
        <f t="shared" ca="1" si="56"/>
        <v>147.45593307348958</v>
      </c>
      <c r="N173">
        <f t="shared" ca="1" si="45"/>
        <v>0.81000000000000227</v>
      </c>
      <c r="O173">
        <f t="shared" ca="1" si="46"/>
        <v>0.81000000000000227</v>
      </c>
      <c r="P173">
        <f t="shared" ca="1" si="47"/>
        <v>0</v>
      </c>
      <c r="Q173">
        <f t="shared" ca="1" si="51"/>
        <v>0.44581788286016222</v>
      </c>
      <c r="R173">
        <f t="shared" ca="1" si="52"/>
        <v>0.61067647966621696</v>
      </c>
      <c r="S173">
        <f t="shared" ca="1" si="49"/>
        <v>0.73003938698250992</v>
      </c>
      <c r="T173">
        <f t="shared" ca="1" si="50"/>
        <v>42.197847775929873</v>
      </c>
      <c r="U173">
        <f>70</f>
        <v>70</v>
      </c>
      <c r="V173">
        <f>30</f>
        <v>30</v>
      </c>
      <c r="W173">
        <f t="shared" ca="1" si="48"/>
        <v>150.81404939645387</v>
      </c>
      <c r="X173">
        <f t="shared" ca="1" si="58"/>
        <v>151.65648353691782</v>
      </c>
      <c r="Y173">
        <f t="shared" ca="1" si="57"/>
        <v>-0.81545435541735856</v>
      </c>
      <c r="Z173">
        <f t="shared" ca="1" si="59"/>
        <v>-0.92021902737583461</v>
      </c>
      <c r="AA173">
        <f t="shared" ca="1" si="60"/>
        <v>0.10476467195847605</v>
      </c>
      <c r="AB173">
        <f t="shared" ca="1" si="61"/>
        <v>155.57169999999999</v>
      </c>
    </row>
    <row r="174" spans="1:28" x14ac:dyDescent="0.25">
      <c r="A174" s="20">
        <f t="shared" ca="1" si="41"/>
        <v>45957</v>
      </c>
      <c r="B174" vm="513">
        <f ca="1"/>
        <v>45961</v>
      </c>
      <c r="C174" vm="514">
        <f ca="1"/>
        <v>150.37</v>
      </c>
      <c r="D174" vm="515">
        <f ca="1"/>
        <v>7930334</v>
      </c>
      <c r="E174">
        <f t="shared" ca="1" si="42"/>
        <v>1192484323.5799999</v>
      </c>
      <c r="F174">
        <f ca="1">SUM($E$2:E174)/SUM($D$2:D174)</f>
        <v>160.16421044917996</v>
      </c>
      <c r="G174">
        <f ca="1">_xlfn.STDEV.P($C$2:C174)</f>
        <v>6.7470995710159389</v>
      </c>
      <c r="H174">
        <f t="shared" ca="1" si="43"/>
        <v>166.91131002019591</v>
      </c>
      <c r="I174">
        <f t="shared" ca="1" si="44"/>
        <v>153.41711087816401</v>
      </c>
      <c r="J174">
        <f t="shared" ca="1" si="53"/>
        <v>150.56449999999998</v>
      </c>
      <c r="K174">
        <f t="shared" ca="1" si="54"/>
        <v>1.5569554467478823</v>
      </c>
      <c r="L174">
        <f t="shared" ca="1" si="55"/>
        <v>153.67841089349574</v>
      </c>
      <c r="M174">
        <f t="shared" ca="1" si="56"/>
        <v>147.45058910650422</v>
      </c>
      <c r="N174">
        <f t="shared" ca="1" si="45"/>
        <v>0.78999999999999204</v>
      </c>
      <c r="O174">
        <f t="shared" ca="1" si="46"/>
        <v>0.78999999999999204</v>
      </c>
      <c r="P174">
        <f t="shared" ca="1" si="47"/>
        <v>0</v>
      </c>
      <c r="Q174">
        <f t="shared" ca="1" si="51"/>
        <v>0.47040231979872144</v>
      </c>
      <c r="R174">
        <f t="shared" ca="1" si="52"/>
        <v>0.56705673111862998</v>
      </c>
      <c r="S174">
        <f t="shared" ca="1" si="49"/>
        <v>0.82955072038517408</v>
      </c>
      <c r="T174">
        <f t="shared" ca="1" si="50"/>
        <v>45.34177222539801</v>
      </c>
      <c r="U174">
        <f>70</f>
        <v>70</v>
      </c>
      <c r="V174">
        <f>30</f>
        <v>30</v>
      </c>
      <c r="W174">
        <f t="shared" ca="1" si="48"/>
        <v>150.74573410469173</v>
      </c>
      <c r="X174">
        <f t="shared" ca="1" si="58"/>
        <v>151.56118846010909</v>
      </c>
      <c r="Y174">
        <f t="shared" ca="1" si="57"/>
        <v>-0.97248780752710218</v>
      </c>
      <c r="Z174">
        <f t="shared" ca="1" si="59"/>
        <v>-0.93067278340608817</v>
      </c>
      <c r="AA174">
        <f t="shared" ca="1" si="60"/>
        <v>-4.1815024121014011E-2</v>
      </c>
      <c r="AB174">
        <f t="shared" ca="1" si="61"/>
        <v>155.447</v>
      </c>
    </row>
    <row r="175" spans="1:28" x14ac:dyDescent="0.25">
      <c r="A175" s="20">
        <f t="shared" ca="1" si="41"/>
        <v>45964</v>
      </c>
      <c r="B175" vm="516">
        <f ca="1"/>
        <v>45964</v>
      </c>
      <c r="C175" vm="517">
        <f ca="1"/>
        <v>148.02000000000001</v>
      </c>
      <c r="D175" vm="518">
        <f ca="1"/>
        <v>8946383</v>
      </c>
      <c r="E175">
        <f t="shared" ca="1" si="42"/>
        <v>1324243611.6600001</v>
      </c>
      <c r="F175">
        <f ca="1">SUM($E$2:E175)/SUM($D$2:D175)</f>
        <v>160.08646319307041</v>
      </c>
      <c r="G175">
        <f ca="1">_xlfn.STDEV.P($C$2:C175)</f>
        <v>6.7878973148583839</v>
      </c>
      <c r="H175">
        <f t="shared" ca="1" si="43"/>
        <v>166.8743605079288</v>
      </c>
      <c r="I175">
        <f t="shared" ca="1" si="44"/>
        <v>153.29856587821203</v>
      </c>
      <c r="J175">
        <f t="shared" ca="1" si="53"/>
        <v>150.44499999999999</v>
      </c>
      <c r="K175">
        <f t="shared" ca="1" si="54"/>
        <v>1.6578854636332137</v>
      </c>
      <c r="L175">
        <f t="shared" ca="1" si="55"/>
        <v>153.76077092726641</v>
      </c>
      <c r="M175">
        <f t="shared" ca="1" si="56"/>
        <v>147.12922907273358</v>
      </c>
      <c r="N175">
        <f t="shared" ca="1" si="45"/>
        <v>-2.3499999999999943</v>
      </c>
      <c r="O175">
        <f t="shared" ca="1" si="46"/>
        <v>0</v>
      </c>
      <c r="P175">
        <f t="shared" ca="1" si="47"/>
        <v>2.3499999999999943</v>
      </c>
      <c r="Q175">
        <f t="shared" ca="1" si="51"/>
        <v>0.43680215409881279</v>
      </c>
      <c r="R175">
        <f t="shared" ca="1" si="52"/>
        <v>0.69440982175301313</v>
      </c>
      <c r="S175">
        <f t="shared" ca="1" si="49"/>
        <v>0.62902646307064192</v>
      </c>
      <c r="T175">
        <f t="shared" ca="1" si="50"/>
        <v>38.613643015040729</v>
      </c>
      <c r="U175">
        <f>70</f>
        <v>70</v>
      </c>
      <c r="V175">
        <f>30</f>
        <v>30</v>
      </c>
      <c r="W175">
        <f t="shared" ca="1" si="48"/>
        <v>150.32639039627762</v>
      </c>
      <c r="X175">
        <f t="shared" ca="1" si="58"/>
        <v>151.29887820380472</v>
      </c>
      <c r="Y175">
        <f t="shared" ca="1" si="57"/>
        <v>-1.1522435001199085</v>
      </c>
      <c r="Z175">
        <f t="shared" ca="1" si="59"/>
        <v>-0.97498692674885223</v>
      </c>
      <c r="AA175">
        <f t="shared" ca="1" si="60"/>
        <v>-0.17725657337105627</v>
      </c>
      <c r="AB175">
        <f t="shared" ca="1" si="61"/>
        <v>155.30610000000001</v>
      </c>
    </row>
    <row r="176" spans="1:28" x14ac:dyDescent="0.25">
      <c r="A176" s="20">
        <f t="shared" ca="1" si="41"/>
        <v>45964</v>
      </c>
      <c r="B176" vm="519">
        <f ca="1"/>
        <v>45965</v>
      </c>
      <c r="C176" vm="520">
        <f ca="1"/>
        <v>147.16999999999999</v>
      </c>
      <c r="D176" vm="521">
        <f ca="1"/>
        <v>9295449</v>
      </c>
      <c r="E176">
        <f t="shared" ca="1" si="42"/>
        <v>1368011229.3299999</v>
      </c>
      <c r="F176">
        <f ca="1">SUM($E$2:E176)/SUM($D$2:D176)</f>
        <v>160.00111329407085</v>
      </c>
      <c r="G176">
        <f ca="1">_xlfn.STDEV.P($C$2:C176)</f>
        <v>6.8360003400962395</v>
      </c>
      <c r="H176">
        <f t="shared" ca="1" si="43"/>
        <v>166.83711363416708</v>
      </c>
      <c r="I176">
        <f t="shared" ca="1" si="44"/>
        <v>153.16511295397461</v>
      </c>
      <c r="J176">
        <f t="shared" ca="1" si="53"/>
        <v>150.17649999999998</v>
      </c>
      <c r="K176">
        <f t="shared" ca="1" si="54"/>
        <v>1.7338405044111902</v>
      </c>
      <c r="L176">
        <f t="shared" ca="1" si="55"/>
        <v>153.64418100882236</v>
      </c>
      <c r="M176">
        <f t="shared" ca="1" si="56"/>
        <v>146.70881899117759</v>
      </c>
      <c r="N176">
        <f t="shared" ca="1" si="45"/>
        <v>-0.85000000000002274</v>
      </c>
      <c r="O176">
        <f t="shared" ca="1" si="46"/>
        <v>0</v>
      </c>
      <c r="P176">
        <f t="shared" ca="1" si="47"/>
        <v>0.85000000000002274</v>
      </c>
      <c r="Q176">
        <f t="shared" ca="1" si="51"/>
        <v>0.4056020002346119</v>
      </c>
      <c r="R176">
        <f t="shared" ca="1" si="52"/>
        <v>0.70552340591351381</v>
      </c>
      <c r="S176">
        <f t="shared" ca="1" si="49"/>
        <v>0.57489517262639533</v>
      </c>
      <c r="T176">
        <f t="shared" ca="1" si="50"/>
        <v>36.503710381413107</v>
      </c>
      <c r="U176">
        <f>70</f>
        <v>70</v>
      </c>
      <c r="V176">
        <f>30</f>
        <v>30</v>
      </c>
      <c r="W176">
        <f t="shared" ca="1" si="48"/>
        <v>149.84079187377336</v>
      </c>
      <c r="X176">
        <f t="shared" ca="1" si="58"/>
        <v>150.99303537389326</v>
      </c>
      <c r="Y176">
        <f t="shared" ca="1" si="57"/>
        <v>-1.3900322222353907</v>
      </c>
      <c r="Z176">
        <f t="shared" ca="1" si="59"/>
        <v>-1.0579959858461601</v>
      </c>
      <c r="AA176">
        <f t="shared" ca="1" si="60"/>
        <v>-0.33203623638923063</v>
      </c>
      <c r="AB176">
        <f t="shared" ca="1" si="61"/>
        <v>155.14600000000002</v>
      </c>
    </row>
    <row r="177" spans="1:28" x14ac:dyDescent="0.25">
      <c r="A177" s="20">
        <f t="shared" ca="1" si="41"/>
        <v>45964</v>
      </c>
      <c r="B177" vm="522">
        <f ca="1"/>
        <v>45966</v>
      </c>
      <c r="C177" vm="523">
        <f ca="1"/>
        <v>145.79</v>
      </c>
      <c r="D177" vm="524">
        <f ca="1"/>
        <v>11199878</v>
      </c>
      <c r="E177">
        <f t="shared" ca="1" si="42"/>
        <v>1632830213.6199999</v>
      </c>
      <c r="F177">
        <f ca="1">SUM($E$2:E177)/SUM($D$2:D177)</f>
        <v>159.88886327607824</v>
      </c>
      <c r="G177">
        <f ca="1">_xlfn.STDEV.P($C$2:C177)</f>
        <v>6.8975590436932475</v>
      </c>
      <c r="H177">
        <f t="shared" ca="1" si="43"/>
        <v>166.78642231977148</v>
      </c>
      <c r="I177">
        <f t="shared" ca="1" si="44"/>
        <v>152.991304232385</v>
      </c>
      <c r="J177">
        <f t="shared" ca="1" si="53"/>
        <v>149.9315</v>
      </c>
      <c r="K177">
        <f t="shared" ca="1" si="54"/>
        <v>1.9854080185191185</v>
      </c>
      <c r="L177">
        <f t="shared" ca="1" si="55"/>
        <v>153.90231603703825</v>
      </c>
      <c r="M177">
        <f t="shared" ca="1" si="56"/>
        <v>145.96068396296175</v>
      </c>
      <c r="N177">
        <f t="shared" ca="1" si="45"/>
        <v>-1.3799999999999955</v>
      </c>
      <c r="O177">
        <f t="shared" ca="1" si="46"/>
        <v>0</v>
      </c>
      <c r="P177">
        <f t="shared" ca="1" si="47"/>
        <v>1.3799999999999955</v>
      </c>
      <c r="Q177">
        <f t="shared" ca="1" si="51"/>
        <v>0.37663042878928249</v>
      </c>
      <c r="R177">
        <f t="shared" ca="1" si="52"/>
        <v>0.75370030549111966</v>
      </c>
      <c r="S177">
        <f t="shared" ca="1" si="49"/>
        <v>0.49970847304336147</v>
      </c>
      <c r="T177">
        <f t="shared" ca="1" si="50"/>
        <v>33.320374061053485</v>
      </c>
      <c r="U177">
        <f>70</f>
        <v>70</v>
      </c>
      <c r="V177">
        <f>30</f>
        <v>30</v>
      </c>
      <c r="W177">
        <f t="shared" ca="1" si="48"/>
        <v>149.21759312396208</v>
      </c>
      <c r="X177">
        <f t="shared" ca="1" si="58"/>
        <v>150.60762534619747</v>
      </c>
      <c r="Y177">
        <f t="shared" ca="1" si="57"/>
        <v>-1.5333705974286147</v>
      </c>
      <c r="Z177">
        <f t="shared" ca="1" si="59"/>
        <v>-1.1530709081626511</v>
      </c>
      <c r="AA177">
        <f t="shared" ca="1" si="60"/>
        <v>-0.38029968926596358</v>
      </c>
      <c r="AB177">
        <f t="shared" ca="1" si="61"/>
        <v>155.00110000000004</v>
      </c>
    </row>
    <row r="178" spans="1:28" x14ac:dyDescent="0.25">
      <c r="A178" s="20">
        <f t="shared" ca="1" si="41"/>
        <v>45964</v>
      </c>
      <c r="B178" vm="525">
        <f ca="1"/>
        <v>45967</v>
      </c>
      <c r="C178" vm="526">
        <f ca="1"/>
        <v>146.13</v>
      </c>
      <c r="D178" vm="527">
        <f ca="1"/>
        <v>10024549</v>
      </c>
      <c r="E178">
        <f t="shared" ca="1" si="42"/>
        <v>1464887345.3699999</v>
      </c>
      <c r="F178">
        <f ca="1">SUM($E$2:E178)/SUM($D$2:D178)</f>
        <v>159.79227312800171</v>
      </c>
      <c r="G178">
        <f ca="1">_xlfn.STDEV.P($C$2:C178)</f>
        <v>6.9532072369988871</v>
      </c>
      <c r="H178">
        <f t="shared" ca="1" si="43"/>
        <v>166.74548036500059</v>
      </c>
      <c r="I178">
        <f t="shared" ca="1" si="44"/>
        <v>152.83906589100283</v>
      </c>
      <c r="J178">
        <f t="shared" ca="1" si="53"/>
        <v>149.709</v>
      </c>
      <c r="K178">
        <f t="shared" ca="1" si="54"/>
        <v>2.1513249283565781</v>
      </c>
      <c r="L178">
        <f t="shared" ca="1" si="55"/>
        <v>154.01164985671315</v>
      </c>
      <c r="M178">
        <f t="shared" ca="1" si="56"/>
        <v>145.40635014328686</v>
      </c>
      <c r="N178">
        <f t="shared" ca="1" si="45"/>
        <v>0.34000000000000341</v>
      </c>
      <c r="O178">
        <f t="shared" ca="1" si="46"/>
        <v>0.34000000000000341</v>
      </c>
      <c r="P178">
        <f t="shared" ca="1" si="47"/>
        <v>0</v>
      </c>
      <c r="Q178">
        <f t="shared" ca="1" si="51"/>
        <v>0.37401396959004829</v>
      </c>
      <c r="R178">
        <f t="shared" ca="1" si="52"/>
        <v>0.69986456938461117</v>
      </c>
      <c r="S178">
        <f t="shared" ca="1" si="49"/>
        <v>0.53440906419783141</v>
      </c>
      <c r="T178">
        <f t="shared" ca="1" si="50"/>
        <v>34.828330767011821</v>
      </c>
      <c r="U178">
        <f>70</f>
        <v>70</v>
      </c>
      <c r="V178">
        <f>30</f>
        <v>30</v>
      </c>
      <c r="W178">
        <f t="shared" ca="1" si="48"/>
        <v>148.74257879719869</v>
      </c>
      <c r="X178">
        <f t="shared" ca="1" si="58"/>
        <v>150.2759493946273</v>
      </c>
      <c r="Y178">
        <f t="shared" ca="1" si="57"/>
        <v>-1.5603921666264</v>
      </c>
      <c r="Z178">
        <f t="shared" ca="1" si="59"/>
        <v>-1.2345351598554009</v>
      </c>
      <c r="AA178">
        <f t="shared" ca="1" si="60"/>
        <v>-0.32585700677099916</v>
      </c>
      <c r="AB178">
        <f t="shared" ca="1" si="61"/>
        <v>154.8536</v>
      </c>
    </row>
    <row r="179" spans="1:28" x14ac:dyDescent="0.25">
      <c r="A179" s="20">
        <f t="shared" ca="1" si="41"/>
        <v>45964</v>
      </c>
      <c r="B179" vm="528">
        <f ca="1"/>
        <v>45968</v>
      </c>
      <c r="C179" vm="529">
        <f ca="1"/>
        <v>146.97999999999999</v>
      </c>
      <c r="D179" vm="530">
        <f ca="1"/>
        <v>8500097</v>
      </c>
      <c r="E179">
        <f t="shared" ca="1" si="42"/>
        <v>1249344257.0599999</v>
      </c>
      <c r="F179">
        <f ca="1">SUM($E$2:E179)/SUM($D$2:D179)</f>
        <v>159.71645763369139</v>
      </c>
      <c r="G179">
        <f ca="1">_xlfn.STDEV.P($C$2:C179)</f>
        <v>6.9980828213048243</v>
      </c>
      <c r="H179">
        <f t="shared" ca="1" si="43"/>
        <v>166.71454045499621</v>
      </c>
      <c r="I179">
        <f t="shared" ca="1" si="44"/>
        <v>152.71837481238657</v>
      </c>
      <c r="J179">
        <f t="shared" ca="1" si="53"/>
        <v>149.57350000000002</v>
      </c>
      <c r="K179">
        <f t="shared" ca="1" si="54"/>
        <v>2.2362522101427738</v>
      </c>
      <c r="L179">
        <f t="shared" ca="1" si="55"/>
        <v>154.04600442028558</v>
      </c>
      <c r="M179">
        <f t="shared" ca="1" si="56"/>
        <v>145.10099557971446</v>
      </c>
      <c r="N179">
        <f t="shared" ca="1" si="45"/>
        <v>0.84999999999999432</v>
      </c>
      <c r="O179">
        <f t="shared" ca="1" si="46"/>
        <v>0.84999999999999432</v>
      </c>
      <c r="P179">
        <f t="shared" ca="1" si="47"/>
        <v>0</v>
      </c>
      <c r="Q179">
        <f t="shared" ca="1" si="51"/>
        <v>0.40801297176218732</v>
      </c>
      <c r="R179">
        <f t="shared" ca="1" si="52"/>
        <v>0.64987424299999608</v>
      </c>
      <c r="S179">
        <f t="shared" ca="1" si="49"/>
        <v>0.62783373269063347</v>
      </c>
      <c r="T179">
        <f t="shared" ca="1" si="50"/>
        <v>38.568664605130891</v>
      </c>
      <c r="U179">
        <f>70</f>
        <v>70</v>
      </c>
      <c r="V179">
        <f>30</f>
        <v>30</v>
      </c>
      <c r="W179">
        <f t="shared" ca="1" si="48"/>
        <v>148.47141282839888</v>
      </c>
      <c r="X179">
        <f t="shared" ca="1" si="58"/>
        <v>150.03180499502528</v>
      </c>
      <c r="Y179">
        <f t="shared" ca="1" si="57"/>
        <v>-1.6818433428739183</v>
      </c>
      <c r="Z179">
        <f t="shared" ca="1" si="59"/>
        <v>-1.3239967964591044</v>
      </c>
      <c r="AA179">
        <f t="shared" ca="1" si="60"/>
        <v>-0.35784654641481395</v>
      </c>
      <c r="AB179">
        <f t="shared" ca="1" si="61"/>
        <v>154.73820000000001</v>
      </c>
    </row>
    <row r="180" spans="1:28" x14ac:dyDescent="0.25">
      <c r="A180" s="20">
        <f t="shared" ca="1" si="41"/>
        <v>45971</v>
      </c>
      <c r="B180" vm="531">
        <f ca="1"/>
        <v>45971</v>
      </c>
      <c r="C180" vm="532">
        <f ca="1"/>
        <v>145.5</v>
      </c>
      <c r="D180" vm="533">
        <f ca="1"/>
        <v>10208085</v>
      </c>
      <c r="E180">
        <f t="shared" ca="1" si="42"/>
        <v>1485276367.5</v>
      </c>
      <c r="F180">
        <f ca="1">SUM($E$2:E180)/SUM($D$2:D180)</f>
        <v>159.6161420972328</v>
      </c>
      <c r="G180">
        <f ca="1">_xlfn.STDEV.P($C$2:C180)</f>
        <v>7.0570328971225713</v>
      </c>
      <c r="H180">
        <f t="shared" ca="1" si="43"/>
        <v>166.67317499435538</v>
      </c>
      <c r="I180">
        <f t="shared" ca="1" si="44"/>
        <v>152.55910920011021</v>
      </c>
      <c r="J180">
        <f t="shared" ca="1" si="53"/>
        <v>149.47399999999999</v>
      </c>
      <c r="K180">
        <f t="shared" ca="1" si="54"/>
        <v>2.3738718096015785</v>
      </c>
      <c r="L180">
        <f t="shared" ca="1" si="55"/>
        <v>154.22174361920315</v>
      </c>
      <c r="M180">
        <f t="shared" ca="1" si="56"/>
        <v>144.72625638079683</v>
      </c>
      <c r="N180">
        <f t="shared" ca="1" si="45"/>
        <v>-1.4799999999999898</v>
      </c>
      <c r="O180">
        <f t="shared" ca="1" si="46"/>
        <v>0</v>
      </c>
      <c r="P180">
        <f t="shared" ca="1" si="47"/>
        <v>1.4799999999999898</v>
      </c>
      <c r="Q180">
        <f t="shared" ca="1" si="51"/>
        <v>0.37886918806488817</v>
      </c>
      <c r="R180">
        <f t="shared" ca="1" si="52"/>
        <v>0.709168939928567</v>
      </c>
      <c r="S180">
        <f t="shared" ca="1" si="49"/>
        <v>0.53424391105319813</v>
      </c>
      <c r="T180">
        <f t="shared" ca="1" si="50"/>
        <v>34.821315385665159</v>
      </c>
      <c r="U180">
        <f>70</f>
        <v>70</v>
      </c>
      <c r="V180">
        <f>30</f>
        <v>30</v>
      </c>
      <c r="W180">
        <f t="shared" ca="1" si="48"/>
        <v>148.0142723932606</v>
      </c>
      <c r="X180">
        <f t="shared" ca="1" si="58"/>
        <v>149.69611573613452</v>
      </c>
      <c r="Y180">
        <f t="shared" ca="1" si="57"/>
        <v>-1.5153239699296535</v>
      </c>
      <c r="Z180">
        <f t="shared" ca="1" si="59"/>
        <v>-1.3622622311532144</v>
      </c>
      <c r="AA180">
        <f t="shared" ca="1" si="60"/>
        <v>-0.15306173877643903</v>
      </c>
      <c r="AB180">
        <f t="shared" ca="1" si="61"/>
        <v>154.613</v>
      </c>
    </row>
    <row r="181" spans="1:28" x14ac:dyDescent="0.25">
      <c r="A181" s="20">
        <f t="shared" ca="1" si="41"/>
        <v>45971</v>
      </c>
      <c r="B181" vm="534">
        <f ca="1"/>
        <v>45972</v>
      </c>
      <c r="C181" vm="535">
        <f ca="1"/>
        <v>148.54</v>
      </c>
      <c r="D181" vm="536">
        <f ca="1"/>
        <v>7332540</v>
      </c>
      <c r="E181">
        <f t="shared" ca="1" si="42"/>
        <v>1089175491.5999999</v>
      </c>
      <c r="F181">
        <f ca="1">SUM($E$2:E181)/SUM($D$2:D181)</f>
        <v>159.56028481682009</v>
      </c>
      <c r="G181">
        <f ca="1">_xlfn.STDEV.P($C$2:C181)</f>
        <v>7.0844517722672249</v>
      </c>
      <c r="H181">
        <f t="shared" ca="1" si="43"/>
        <v>166.6447365890873</v>
      </c>
      <c r="I181">
        <f t="shared" ca="1" si="44"/>
        <v>152.47583304455287</v>
      </c>
      <c r="J181">
        <f t="shared" ca="1" si="53"/>
        <v>149.44300000000001</v>
      </c>
      <c r="K181">
        <f t="shared" ca="1" si="54"/>
        <v>2.3822216521558235</v>
      </c>
      <c r="L181">
        <f t="shared" ca="1" si="55"/>
        <v>154.20744330431165</v>
      </c>
      <c r="M181">
        <f t="shared" ca="1" si="56"/>
        <v>144.67855669568837</v>
      </c>
      <c r="N181">
        <f t="shared" ca="1" si="45"/>
        <v>3.039999999999992</v>
      </c>
      <c r="O181">
        <f t="shared" ca="1" si="46"/>
        <v>3.039999999999992</v>
      </c>
      <c r="P181">
        <f t="shared" ca="1" si="47"/>
        <v>0</v>
      </c>
      <c r="Q181">
        <f t="shared" ca="1" si="51"/>
        <v>0.56894996034596701</v>
      </c>
      <c r="R181">
        <f t="shared" ca="1" si="52"/>
        <v>0.65851401564795509</v>
      </c>
      <c r="S181">
        <f t="shared" ca="1" si="49"/>
        <v>0.86399066204557529</v>
      </c>
      <c r="T181">
        <f t="shared" ca="1" si="50"/>
        <v>46.351662572033334</v>
      </c>
      <c r="U181">
        <f>70</f>
        <v>70</v>
      </c>
      <c r="V181">
        <f>30</f>
        <v>30</v>
      </c>
      <c r="W181">
        <f t="shared" ca="1" si="48"/>
        <v>148.09515356352821</v>
      </c>
      <c r="X181">
        <f t="shared" ca="1" si="58"/>
        <v>149.61047753345787</v>
      </c>
      <c r="Y181">
        <f t="shared" ca="1" si="57"/>
        <v>-1.4098706267975274</v>
      </c>
      <c r="Z181">
        <f t="shared" ca="1" si="59"/>
        <v>-1.371783910282077</v>
      </c>
      <c r="AA181">
        <f t="shared" ca="1" si="60"/>
        <v>-3.808671651545037E-2</v>
      </c>
      <c r="AB181">
        <f t="shared" ca="1" si="61"/>
        <v>154.5076</v>
      </c>
    </row>
    <row r="182" spans="1:28" x14ac:dyDescent="0.25">
      <c r="A182" s="20">
        <f t="shared" ca="1" si="41"/>
        <v>45971</v>
      </c>
      <c r="B182" vm="537">
        <f ca="1"/>
        <v>45973</v>
      </c>
      <c r="C182" vm="538">
        <f ca="1"/>
        <v>148.01</v>
      </c>
      <c r="D182" vm="539">
        <f ca="1"/>
        <v>7851052</v>
      </c>
      <c r="E182">
        <f t="shared" ca="1" si="42"/>
        <v>1162034206.52</v>
      </c>
      <c r="F182">
        <f ca="1">SUM($E$2:E182)/SUM($D$2:D182)</f>
        <v>159.49825240740088</v>
      </c>
      <c r="G182">
        <f ca="1">_xlfn.STDEV.P($C$2:C182)</f>
        <v>7.1155233297802214</v>
      </c>
      <c r="H182">
        <f t="shared" ca="1" si="43"/>
        <v>166.6137757371811</v>
      </c>
      <c r="I182">
        <f t="shared" ca="1" si="44"/>
        <v>152.38272907762067</v>
      </c>
      <c r="J182">
        <f t="shared" ca="1" si="53"/>
        <v>149.4725</v>
      </c>
      <c r="K182">
        <f t="shared" ca="1" si="54"/>
        <v>2.359395272656025</v>
      </c>
      <c r="L182">
        <f t="shared" ca="1" si="55"/>
        <v>154.19129054531206</v>
      </c>
      <c r="M182">
        <f t="shared" ca="1" si="56"/>
        <v>144.75370945468794</v>
      </c>
      <c r="N182">
        <f t="shared" ca="1" si="45"/>
        <v>-0.53000000000000114</v>
      </c>
      <c r="O182">
        <f t="shared" ca="1" si="46"/>
        <v>0</v>
      </c>
      <c r="P182">
        <f t="shared" ca="1" si="47"/>
        <v>0.53000000000000114</v>
      </c>
      <c r="Q182">
        <f t="shared" ca="1" si="51"/>
        <v>0.5283106774641122</v>
      </c>
      <c r="R182">
        <f t="shared" ca="1" si="52"/>
        <v>0.64933444310167265</v>
      </c>
      <c r="S182">
        <f t="shared" ca="1" si="49"/>
        <v>0.81361874928508826</v>
      </c>
      <c r="T182">
        <f t="shared" ca="1" si="50"/>
        <v>44.861619874949419</v>
      </c>
      <c r="U182">
        <f>70</f>
        <v>70</v>
      </c>
      <c r="V182">
        <f>30</f>
        <v>30</v>
      </c>
      <c r="W182">
        <f t="shared" ca="1" si="48"/>
        <v>148.0820530152931</v>
      </c>
      <c r="X182">
        <f t="shared" ca="1" si="58"/>
        <v>149.49192364209063</v>
      </c>
      <c r="Y182">
        <f t="shared" ca="1" si="57"/>
        <v>-1.3151721884256631</v>
      </c>
      <c r="Z182">
        <f t="shared" ca="1" si="59"/>
        <v>-1.3604615659107941</v>
      </c>
      <c r="AA182">
        <f t="shared" ca="1" si="60"/>
        <v>4.5289377485131066E-2</v>
      </c>
      <c r="AB182">
        <f t="shared" ca="1" si="61"/>
        <v>154.37739999999999</v>
      </c>
    </row>
    <row r="183" spans="1:28" x14ac:dyDescent="0.25">
      <c r="A183" s="20">
        <f t="shared" ca="1" si="41"/>
        <v>45971</v>
      </c>
      <c r="B183" vm="540">
        <f ca="1"/>
        <v>45974</v>
      </c>
      <c r="C183" vm="541">
        <f ca="1"/>
        <v>147.96</v>
      </c>
      <c r="D183" vm="542">
        <f ca="1"/>
        <v>7566789</v>
      </c>
      <c r="E183">
        <f t="shared" ca="1" si="42"/>
        <v>1119582100.4400001</v>
      </c>
      <c r="F183">
        <f ca="1">SUM($E$2:E183)/SUM($D$2:D183)</f>
        <v>159.4388358381928</v>
      </c>
      <c r="G183">
        <f ca="1">_xlfn.STDEV.P($C$2:C183)</f>
        <v>7.1460069050649428</v>
      </c>
      <c r="H183">
        <f t="shared" ca="1" si="43"/>
        <v>166.58484274325775</v>
      </c>
      <c r="I183">
        <f t="shared" ca="1" si="44"/>
        <v>152.29282893312785</v>
      </c>
      <c r="J183">
        <f t="shared" ca="1" si="53"/>
        <v>149.39050000000003</v>
      </c>
      <c r="K183">
        <f t="shared" ca="1" si="54"/>
        <v>2.3831104729566794</v>
      </c>
      <c r="L183">
        <f t="shared" ca="1" si="55"/>
        <v>154.15672094591338</v>
      </c>
      <c r="M183">
        <f t="shared" ca="1" si="56"/>
        <v>144.62427905408668</v>
      </c>
      <c r="N183">
        <f t="shared" ca="1" si="45"/>
        <v>-4.9999999999982947E-2</v>
      </c>
      <c r="O183">
        <f t="shared" ca="1" si="46"/>
        <v>0</v>
      </c>
      <c r="P183">
        <f t="shared" ca="1" si="47"/>
        <v>4.9999999999982947E-2</v>
      </c>
      <c r="Q183">
        <f t="shared" ca="1" si="51"/>
        <v>0.49057420050238992</v>
      </c>
      <c r="R183">
        <f t="shared" ca="1" si="52"/>
        <v>0.60652484002298046</v>
      </c>
      <c r="S183">
        <f t="shared" ca="1" si="49"/>
        <v>0.80882787996581096</v>
      </c>
      <c r="T183">
        <f t="shared" ca="1" si="50"/>
        <v>44.715580123693073</v>
      </c>
      <c r="U183">
        <f>70</f>
        <v>70</v>
      </c>
      <c r="V183">
        <f>30</f>
        <v>30</v>
      </c>
      <c r="W183">
        <f t="shared" ca="1" si="48"/>
        <v>148.06327562832493</v>
      </c>
      <c r="X183">
        <f t="shared" ca="1" si="58"/>
        <v>149.37844781675059</v>
      </c>
      <c r="Y183">
        <f t="shared" ca="1" si="57"/>
        <v>-1.2491244411152138</v>
      </c>
      <c r="Z183">
        <f t="shared" ca="1" si="59"/>
        <v>-1.338194140951678</v>
      </c>
      <c r="AA183">
        <f t="shared" ca="1" si="60"/>
        <v>8.9069699836464178E-2</v>
      </c>
      <c r="AB183">
        <f t="shared" ca="1" si="61"/>
        <v>154.2534</v>
      </c>
    </row>
    <row r="184" spans="1:28" x14ac:dyDescent="0.25">
      <c r="A184" s="20">
        <f t="shared" ca="1" si="41"/>
        <v>45971</v>
      </c>
      <c r="B184" vm="543">
        <f ca="1"/>
        <v>45975</v>
      </c>
      <c r="C184" vm="544">
        <f ca="1"/>
        <v>147.66999999999999</v>
      </c>
      <c r="D184" vm="545">
        <f ca="1"/>
        <v>9151066</v>
      </c>
      <c r="E184">
        <f t="shared" ca="1" si="42"/>
        <v>1351337916.2199998</v>
      </c>
      <c r="F184">
        <f ca="1">SUM($E$2:E184)/SUM($D$2:D184)</f>
        <v>159.36599669360703</v>
      </c>
      <c r="G184">
        <f ca="1">_xlfn.STDEV.P($C$2:C184)</f>
        <v>7.1780164572383072</v>
      </c>
      <c r="H184">
        <f t="shared" ca="1" si="43"/>
        <v>166.54401315084533</v>
      </c>
      <c r="I184">
        <f t="shared" ca="1" si="44"/>
        <v>152.18798023636873</v>
      </c>
      <c r="J184">
        <f t="shared" ca="1" si="53"/>
        <v>149.20400000000001</v>
      </c>
      <c r="K184">
        <f t="shared" ca="1" si="54"/>
        <v>2.3634439634611759</v>
      </c>
      <c r="L184">
        <f t="shared" ca="1" si="55"/>
        <v>153.93088792692237</v>
      </c>
      <c r="M184">
        <f t="shared" ca="1" si="56"/>
        <v>144.47711207307765</v>
      </c>
      <c r="N184">
        <f t="shared" ca="1" si="45"/>
        <v>-0.29000000000002046</v>
      </c>
      <c r="O184">
        <f t="shared" ca="1" si="46"/>
        <v>0</v>
      </c>
      <c r="P184">
        <f t="shared" ca="1" si="47"/>
        <v>0.29000000000002046</v>
      </c>
      <c r="Q184">
        <f t="shared" ca="1" si="51"/>
        <v>0.45553318618079064</v>
      </c>
      <c r="R184">
        <f t="shared" ca="1" si="52"/>
        <v>0.58391592287848326</v>
      </c>
      <c r="S184">
        <f t="shared" ca="1" si="49"/>
        <v>0.78013489328255581</v>
      </c>
      <c r="T184">
        <f t="shared" ca="1" si="50"/>
        <v>43.824481853956179</v>
      </c>
      <c r="U184">
        <f>70</f>
        <v>70</v>
      </c>
      <c r="V184">
        <f>30</f>
        <v>30</v>
      </c>
      <c r="W184">
        <f t="shared" ca="1" si="48"/>
        <v>148.00277168550571</v>
      </c>
      <c r="X184">
        <f t="shared" ca="1" si="58"/>
        <v>149.25189612662092</v>
      </c>
      <c r="Y184">
        <f t="shared" ca="1" si="57"/>
        <v>-1.3307209417567378</v>
      </c>
      <c r="Z184">
        <f t="shared" ca="1" si="59"/>
        <v>-1.3366995011126901</v>
      </c>
      <c r="AA184">
        <f t="shared" ca="1" si="60"/>
        <v>5.9785593559522621E-3</v>
      </c>
      <c r="AB184">
        <f t="shared" ca="1" si="61"/>
        <v>154.1404</v>
      </c>
    </row>
    <row r="185" spans="1:28" x14ac:dyDescent="0.25">
      <c r="A185" s="20">
        <f t="shared" ca="1" si="41"/>
        <v>45978</v>
      </c>
      <c r="B185" vm="546">
        <f ca="1"/>
        <v>45978</v>
      </c>
      <c r="C185" vm="547">
        <f ca="1"/>
        <v>145.82</v>
      </c>
      <c r="D185" vm="548">
        <f ca="1"/>
        <v>9902310</v>
      </c>
      <c r="E185">
        <f t="shared" ca="1" si="42"/>
        <v>1443954844.2</v>
      </c>
      <c r="F185">
        <f ca="1">SUM($E$2:E185)/SUM($D$2:D185)</f>
        <v>159.2758793777586</v>
      </c>
      <c r="G185">
        <f ca="1">_xlfn.STDEV.P($C$2:C185)</f>
        <v>7.2263186006074918</v>
      </c>
      <c r="H185">
        <f t="shared" ca="1" si="43"/>
        <v>166.5021979783661</v>
      </c>
      <c r="I185">
        <f t="shared" ca="1" si="44"/>
        <v>152.0495607771511</v>
      </c>
      <c r="J185">
        <f t="shared" ca="1" si="53"/>
        <v>148.89699999999999</v>
      </c>
      <c r="K185">
        <f t="shared" ca="1" si="54"/>
        <v>2.3852884631908986</v>
      </c>
      <c r="L185">
        <f t="shared" ca="1" si="55"/>
        <v>153.6675769263818</v>
      </c>
      <c r="M185">
        <f t="shared" ca="1" si="56"/>
        <v>144.12642307361818</v>
      </c>
      <c r="N185">
        <f t="shared" ca="1" si="45"/>
        <v>-1.8499999999999943</v>
      </c>
      <c r="O185">
        <f t="shared" ca="1" si="46"/>
        <v>0</v>
      </c>
      <c r="P185">
        <f t="shared" ca="1" si="47"/>
        <v>1.8499999999999943</v>
      </c>
      <c r="Q185">
        <f t="shared" ca="1" si="51"/>
        <v>0.42299510145359126</v>
      </c>
      <c r="R185">
        <f t="shared" ca="1" si="52"/>
        <v>0.67435049981573414</v>
      </c>
      <c r="S185">
        <f t="shared" ca="1" si="49"/>
        <v>0.62726297610689752</v>
      </c>
      <c r="T185">
        <f t="shared" ca="1" si="50"/>
        <v>38.547117787167771</v>
      </c>
      <c r="U185">
        <f>70</f>
        <v>70</v>
      </c>
      <c r="V185">
        <f>30</f>
        <v>30</v>
      </c>
      <c r="W185">
        <f t="shared" ca="1" si="48"/>
        <v>147.66696065696635</v>
      </c>
      <c r="X185">
        <f t="shared" ca="1" si="58"/>
        <v>148.99768159872309</v>
      </c>
      <c r="Y185">
        <f t="shared" ca="1" si="57"/>
        <v>-1.2861515796752201</v>
      </c>
      <c r="Z185">
        <f t="shared" ca="1" si="59"/>
        <v>-1.326589916825196</v>
      </c>
      <c r="AA185">
        <f t="shared" ca="1" si="60"/>
        <v>4.0438337149975911E-2</v>
      </c>
      <c r="AB185">
        <f t="shared" ca="1" si="61"/>
        <v>154.01230000000001</v>
      </c>
    </row>
    <row r="186" spans="1:28" x14ac:dyDescent="0.25">
      <c r="A186" s="20">
        <f t="shared" ca="1" si="41"/>
        <v>45978</v>
      </c>
      <c r="B186" vm="549">
        <f ca="1"/>
        <v>45979</v>
      </c>
      <c r="C186" vm="550">
        <f ca="1"/>
        <v>146.99</v>
      </c>
      <c r="D186" vm="551">
        <f ca="1"/>
        <v>10735177</v>
      </c>
      <c r="E186">
        <f t="shared" ca="1" si="42"/>
        <v>1577963667.23</v>
      </c>
      <c r="F186">
        <f ca="1">SUM($E$2:E186)/SUM($D$2:D186)</f>
        <v>159.18790519777241</v>
      </c>
      <c r="G186">
        <f ca="1">_xlfn.STDEV.P($C$2:C186)</f>
        <v>7.2620022794941095</v>
      </c>
      <c r="H186">
        <f t="shared" ca="1" si="43"/>
        <v>166.44990747726652</v>
      </c>
      <c r="I186">
        <f t="shared" ca="1" si="44"/>
        <v>151.9259029182783</v>
      </c>
      <c r="J186">
        <f t="shared" ca="1" si="53"/>
        <v>148.66550000000001</v>
      </c>
      <c r="K186">
        <f t="shared" ca="1" si="54"/>
        <v>2.3311674847820951</v>
      </c>
      <c r="L186">
        <f t="shared" ca="1" si="55"/>
        <v>153.32783496956421</v>
      </c>
      <c r="M186">
        <f t="shared" ca="1" si="56"/>
        <v>144.00316503043581</v>
      </c>
      <c r="N186">
        <f t="shared" ca="1" si="45"/>
        <v>1.1700000000000159</v>
      </c>
      <c r="O186">
        <f t="shared" ca="1" si="46"/>
        <v>1.1700000000000159</v>
      </c>
      <c r="P186">
        <f t="shared" ca="1" si="47"/>
        <v>0</v>
      </c>
      <c r="Q186">
        <f t="shared" ca="1" si="51"/>
        <v>0.47635259420690729</v>
      </c>
      <c r="R186">
        <f t="shared" ca="1" si="52"/>
        <v>0.6261826069717531</v>
      </c>
      <c r="S186">
        <f t="shared" ca="1" si="49"/>
        <v>0.76072472934144497</v>
      </c>
      <c r="T186">
        <f t="shared" ca="1" si="50"/>
        <v>43.205205030883789</v>
      </c>
      <c r="U186">
        <f>70</f>
        <v>70</v>
      </c>
      <c r="V186">
        <f>30</f>
        <v>30</v>
      </c>
      <c r="W186">
        <f t="shared" ca="1" si="48"/>
        <v>147.56281286358691</v>
      </c>
      <c r="X186">
        <f t="shared" ca="1" si="58"/>
        <v>148.84896444326213</v>
      </c>
      <c r="Y186">
        <f t="shared" ca="1" si="57"/>
        <v>-1.2365755657404236</v>
      </c>
      <c r="Z186">
        <f t="shared" ca="1" si="59"/>
        <v>-1.3085870466082414</v>
      </c>
      <c r="AA186">
        <f t="shared" ca="1" si="60"/>
        <v>7.2011480867817834E-2</v>
      </c>
      <c r="AB186">
        <f t="shared" ca="1" si="61"/>
        <v>153.88360000000003</v>
      </c>
    </row>
    <row r="187" spans="1:28" x14ac:dyDescent="0.25">
      <c r="A187" s="20">
        <f t="shared" ca="1" si="41"/>
        <v>45978</v>
      </c>
      <c r="B187" vm="552">
        <f ca="1"/>
        <v>45980</v>
      </c>
      <c r="C187" vm="550">
        <f ca="1"/>
        <v>146.99</v>
      </c>
      <c r="D187" vm="553">
        <f ca="1"/>
        <v>6367038</v>
      </c>
      <c r="E187">
        <f t="shared" ca="1" si="42"/>
        <v>935890915.62</v>
      </c>
      <c r="F187">
        <f ca="1">SUM($E$2:E187)/SUM($D$2:D187)</f>
        <v>159.13632037476688</v>
      </c>
      <c r="G187">
        <f ca="1">_xlfn.STDEV.P($C$2:C187)</f>
        <v>7.296544836499419</v>
      </c>
      <c r="H187">
        <f t="shared" ca="1" si="43"/>
        <v>166.43286521126629</v>
      </c>
      <c r="I187">
        <f t="shared" ca="1" si="44"/>
        <v>151.83977553826747</v>
      </c>
      <c r="J187">
        <f t="shared" ca="1" si="53"/>
        <v>148.40500000000003</v>
      </c>
      <c r="K187">
        <f t="shared" ca="1" si="54"/>
        <v>2.2029872064038338</v>
      </c>
      <c r="L187">
        <f t="shared" ca="1" si="55"/>
        <v>152.8109744128077</v>
      </c>
      <c r="M187">
        <f t="shared" ca="1" si="56"/>
        <v>143.99902558719236</v>
      </c>
      <c r="N187">
        <f t="shared" ca="1" si="45"/>
        <v>0</v>
      </c>
      <c r="O187">
        <f t="shared" ca="1" si="46"/>
        <v>0</v>
      </c>
      <c r="P187">
        <f t="shared" ca="1" si="47"/>
        <v>0</v>
      </c>
      <c r="Q187">
        <f t="shared" ca="1" si="51"/>
        <v>0.44232740890641387</v>
      </c>
      <c r="R187">
        <f t="shared" ca="1" si="52"/>
        <v>0.58145527790234219</v>
      </c>
      <c r="S187">
        <f t="shared" ca="1" si="49"/>
        <v>0.76072472934144486</v>
      </c>
      <c r="T187">
        <f t="shared" ca="1" si="50"/>
        <v>43.205205030883782</v>
      </c>
      <c r="U187">
        <f>70</f>
        <v>70</v>
      </c>
      <c r="V187">
        <f>30</f>
        <v>30</v>
      </c>
      <c r="W187">
        <f t="shared" ca="1" si="48"/>
        <v>147.47468780765047</v>
      </c>
      <c r="X187">
        <f t="shared" ca="1" si="58"/>
        <v>148.71126337339089</v>
      </c>
      <c r="Y187">
        <f t="shared" ca="1" si="57"/>
        <v>-1.0879154344155211</v>
      </c>
      <c r="Z187">
        <f t="shared" ca="1" si="59"/>
        <v>-1.2644527241696975</v>
      </c>
      <c r="AA187">
        <f t="shared" ca="1" si="60"/>
        <v>0.17653728975417637</v>
      </c>
      <c r="AB187">
        <f t="shared" ca="1" si="61"/>
        <v>153.76030000000003</v>
      </c>
    </row>
    <row r="188" spans="1:28" x14ac:dyDescent="0.25">
      <c r="A188" s="20">
        <f t="shared" ca="1" si="41"/>
        <v>45978</v>
      </c>
      <c r="B188" vm="554">
        <f ca="1"/>
        <v>45981</v>
      </c>
      <c r="C188" vm="555">
        <f ca="1"/>
        <v>148.19</v>
      </c>
      <c r="D188" vm="556">
        <f ca="1"/>
        <v>9021325</v>
      </c>
      <c r="E188">
        <f t="shared" ca="1" si="42"/>
        <v>1336870151.75</v>
      </c>
      <c r="F188">
        <f ca="1">SUM($E$2:E188)/SUM($D$2:D188)</f>
        <v>159.07112103181592</v>
      </c>
      <c r="G188">
        <f ca="1">_xlfn.STDEV.P($C$2:C188)</f>
        <v>7.3199996273045516</v>
      </c>
      <c r="H188">
        <f t="shared" ca="1" si="43"/>
        <v>166.39112065912047</v>
      </c>
      <c r="I188">
        <f t="shared" ca="1" si="44"/>
        <v>151.75112140451137</v>
      </c>
      <c r="J188">
        <f t="shared" ca="1" si="53"/>
        <v>148.20400000000001</v>
      </c>
      <c r="K188">
        <f t="shared" ca="1" si="54"/>
        <v>2.0127237371545257</v>
      </c>
      <c r="L188">
        <f t="shared" ca="1" si="55"/>
        <v>152.22944747430907</v>
      </c>
      <c r="M188">
        <f t="shared" ca="1" si="56"/>
        <v>144.17855252569095</v>
      </c>
      <c r="N188">
        <f t="shared" ca="1" si="45"/>
        <v>1.1999999999999886</v>
      </c>
      <c r="O188">
        <f t="shared" ca="1" si="46"/>
        <v>1.1999999999999886</v>
      </c>
      <c r="P188">
        <f t="shared" ca="1" si="47"/>
        <v>0</v>
      </c>
      <c r="Q188">
        <f t="shared" ca="1" si="51"/>
        <v>0.49644687969881207</v>
      </c>
      <c r="R188">
        <f t="shared" ca="1" si="52"/>
        <v>0.53992275805217493</v>
      </c>
      <c r="S188">
        <f t="shared" ca="1" si="49"/>
        <v>0.91947759618393121</v>
      </c>
      <c r="T188">
        <f t="shared" ca="1" si="50"/>
        <v>47.902491699404216</v>
      </c>
      <c r="U188">
        <f>70</f>
        <v>70</v>
      </c>
      <c r="V188">
        <f>30</f>
        <v>30</v>
      </c>
      <c r="W188">
        <f t="shared" ca="1" si="48"/>
        <v>147.5847358372427</v>
      </c>
      <c r="X188">
        <f t="shared" ca="1" si="58"/>
        <v>148.67265127165822</v>
      </c>
      <c r="Y188">
        <f t="shared" ca="1" si="57"/>
        <v>-0.74126814708787947</v>
      </c>
      <c r="Z188">
        <f t="shared" ca="1" si="59"/>
        <v>-1.1598158087533339</v>
      </c>
      <c r="AA188">
        <f t="shared" ca="1" si="60"/>
        <v>0.41854766166545443</v>
      </c>
      <c r="AB188">
        <f t="shared" ca="1" si="61"/>
        <v>153.63000000000002</v>
      </c>
    </row>
    <row r="189" spans="1:28" x14ac:dyDescent="0.25">
      <c r="A189" s="20">
        <f t="shared" ca="1" si="41"/>
        <v>45978</v>
      </c>
      <c r="B189" vm="557">
        <f ca="1"/>
        <v>45982</v>
      </c>
      <c r="C189" vm="558">
        <f ca="1"/>
        <v>150.91999999999999</v>
      </c>
      <c r="D189" vm="559">
        <f ca="1"/>
        <v>12017986</v>
      </c>
      <c r="E189">
        <f t="shared" ca="1" si="42"/>
        <v>1813754447.1199999</v>
      </c>
      <c r="F189">
        <f ca="1">SUM($E$2:E189)/SUM($D$2:D189)</f>
        <v>159.0069526145316</v>
      </c>
      <c r="G189">
        <f ca="1">_xlfn.STDEV.P($C$2:C189)</f>
        <v>7.3240882012999435</v>
      </c>
      <c r="H189">
        <f t="shared" ca="1" si="43"/>
        <v>166.33104081583156</v>
      </c>
      <c r="I189">
        <f t="shared" ca="1" si="44"/>
        <v>151.68286441323164</v>
      </c>
      <c r="J189">
        <f t="shared" ca="1" si="53"/>
        <v>148.12549999999999</v>
      </c>
      <c r="K189">
        <f t="shared" ca="1" si="54"/>
        <v>1.8617153239333963</v>
      </c>
      <c r="L189">
        <f t="shared" ca="1" si="55"/>
        <v>151.84893064786678</v>
      </c>
      <c r="M189">
        <f t="shared" ca="1" si="56"/>
        <v>144.4020693521332</v>
      </c>
      <c r="N189">
        <f t="shared" ca="1" si="45"/>
        <v>2.7299999999999898</v>
      </c>
      <c r="O189">
        <f t="shared" ca="1" si="46"/>
        <v>2.7299999999999898</v>
      </c>
      <c r="P189">
        <f t="shared" ca="1" si="47"/>
        <v>0</v>
      </c>
      <c r="Q189">
        <f t="shared" ca="1" si="51"/>
        <v>0.65598638829175326</v>
      </c>
      <c r="R189">
        <f t="shared" ca="1" si="52"/>
        <v>0.50135684676273384</v>
      </c>
      <c r="S189">
        <f t="shared" ca="1" si="49"/>
        <v>1.3084221199480248</v>
      </c>
      <c r="T189">
        <f t="shared" ca="1" si="50"/>
        <v>56.680366586397319</v>
      </c>
      <c r="U189">
        <f>70</f>
        <v>70</v>
      </c>
      <c r="V189">
        <f>30</f>
        <v>30</v>
      </c>
      <c r="W189">
        <f t="shared" ca="1" si="48"/>
        <v>148.09785340074382</v>
      </c>
      <c r="X189">
        <f t="shared" ca="1" si="58"/>
        <v>148.8391215478317</v>
      </c>
      <c r="Y189">
        <f t="shared" ca="1" si="57"/>
        <v>-0.77553288610937443</v>
      </c>
      <c r="Z189">
        <f t="shared" ca="1" si="59"/>
        <v>-1.082959224224542</v>
      </c>
      <c r="AA189">
        <f t="shared" ca="1" si="60"/>
        <v>0.30742633811516762</v>
      </c>
      <c r="AB189">
        <f t="shared" ca="1" si="61"/>
        <v>153.52720000000002</v>
      </c>
    </row>
    <row r="190" spans="1:28" x14ac:dyDescent="0.25">
      <c r="A190" s="20">
        <f t="shared" ca="1" si="41"/>
        <v>45985</v>
      </c>
      <c r="B190" vm="560">
        <f ca="1"/>
        <v>45985</v>
      </c>
      <c r="C190" vm="529">
        <f ca="1"/>
        <v>146.97999999999999</v>
      </c>
      <c r="D190" vm="561">
        <f ca="1"/>
        <v>13846906</v>
      </c>
      <c r="E190">
        <f t="shared" ca="1" si="42"/>
        <v>2035218243.8799999</v>
      </c>
      <c r="F190">
        <f ca="1">SUM($E$2:E190)/SUM($D$2:D190)</f>
        <v>158.89884427879977</v>
      </c>
      <c r="G190">
        <f ca="1">_xlfn.STDEV.P($C$2:C190)</f>
        <v>7.3561291368528146</v>
      </c>
      <c r="H190">
        <f t="shared" ca="1" si="43"/>
        <v>166.25497341565259</v>
      </c>
      <c r="I190">
        <f t="shared" ca="1" si="44"/>
        <v>151.54271514194696</v>
      </c>
      <c r="J190">
        <f t="shared" ca="1" si="53"/>
        <v>147.88749999999999</v>
      </c>
      <c r="K190">
        <f t="shared" ca="1" si="54"/>
        <v>1.6696733843857974</v>
      </c>
      <c r="L190">
        <f t="shared" ca="1" si="55"/>
        <v>151.22684676877159</v>
      </c>
      <c r="M190">
        <f t="shared" ca="1" si="56"/>
        <v>144.54815323122838</v>
      </c>
      <c r="N190">
        <f t="shared" ca="1" si="45"/>
        <v>-3.9399999999999977</v>
      </c>
      <c r="O190">
        <f t="shared" ca="1" si="46"/>
        <v>0</v>
      </c>
      <c r="P190">
        <f t="shared" ca="1" si="47"/>
        <v>3.9399999999999977</v>
      </c>
      <c r="Q190">
        <f t="shared" ca="1" si="51"/>
        <v>0.60913021769948517</v>
      </c>
      <c r="R190">
        <f t="shared" ca="1" si="52"/>
        <v>0.74697421485110993</v>
      </c>
      <c r="S190">
        <f t="shared" ca="1" si="49"/>
        <v>0.8154635134505942</v>
      </c>
      <c r="T190">
        <f t="shared" ca="1" si="50"/>
        <v>44.917648160312986</v>
      </c>
      <c r="U190">
        <f>70</f>
        <v>70</v>
      </c>
      <c r="V190">
        <f>30</f>
        <v>30</v>
      </c>
      <c r="W190">
        <f t="shared" ca="1" si="48"/>
        <v>147.92587595447554</v>
      </c>
      <c r="X190">
        <f t="shared" ca="1" si="58"/>
        <v>148.70140884058492</v>
      </c>
      <c r="Y190">
        <f t="shared" ca="1" si="57"/>
        <v>-0.67308465729590239</v>
      </c>
      <c r="Z190">
        <f t="shared" ca="1" si="59"/>
        <v>-1.0009843108388141</v>
      </c>
      <c r="AA190">
        <f t="shared" ca="1" si="60"/>
        <v>0.32789965354291173</v>
      </c>
      <c r="AB190">
        <f t="shared" ca="1" si="61"/>
        <v>153.38870000000003</v>
      </c>
    </row>
    <row r="191" spans="1:28" x14ac:dyDescent="0.25">
      <c r="A191" s="20">
        <f t="shared" ca="1" si="41"/>
        <v>45985</v>
      </c>
      <c r="B191" vm="562">
        <f ca="1"/>
        <v>45986</v>
      </c>
      <c r="C191" vm="563">
        <f ca="1"/>
        <v>148.49</v>
      </c>
      <c r="D191" vm="564">
        <f ca="1"/>
        <v>10477661</v>
      </c>
      <c r="E191">
        <f t="shared" ca="1" si="42"/>
        <v>1555827881.8900001</v>
      </c>
      <c r="F191">
        <f ca="1">SUM($E$2:E191)/SUM($D$2:D191)</f>
        <v>158.82852510371748</v>
      </c>
      <c r="G191">
        <f ca="1">_xlfn.STDEV.P($C$2:C191)</f>
        <v>7.3752168128137807</v>
      </c>
      <c r="H191">
        <f t="shared" ca="1" si="43"/>
        <v>166.20374191653127</v>
      </c>
      <c r="I191">
        <f t="shared" ca="1" si="44"/>
        <v>151.45330829090369</v>
      </c>
      <c r="J191">
        <f t="shared" ca="1" si="53"/>
        <v>147.74349999999998</v>
      </c>
      <c r="K191">
        <f t="shared" ca="1" si="54"/>
        <v>1.4651900361745807</v>
      </c>
      <c r="L191">
        <f t="shared" ca="1" si="55"/>
        <v>150.67388007234914</v>
      </c>
      <c r="M191">
        <f t="shared" ca="1" si="56"/>
        <v>144.81311992765083</v>
      </c>
      <c r="N191">
        <f t="shared" ca="1" si="45"/>
        <v>1.5100000000000193</v>
      </c>
      <c r="O191">
        <f t="shared" ca="1" si="46"/>
        <v>1.5100000000000193</v>
      </c>
      <c r="P191">
        <f t="shared" ca="1" si="47"/>
        <v>0</v>
      </c>
      <c r="Q191">
        <f t="shared" ca="1" si="51"/>
        <v>0.67347805929238036</v>
      </c>
      <c r="R191">
        <f t="shared" ca="1" si="52"/>
        <v>0.69361891379031637</v>
      </c>
      <c r="S191">
        <f t="shared" ca="1" si="49"/>
        <v>0.97096265096366063</v>
      </c>
      <c r="T191">
        <f t="shared" ca="1" si="50"/>
        <v>49.263371403254595</v>
      </c>
      <c r="U191">
        <f>70</f>
        <v>70</v>
      </c>
      <c r="V191">
        <f>30</f>
        <v>30</v>
      </c>
      <c r="W191">
        <f t="shared" ca="1" si="48"/>
        <v>148.01266426917161</v>
      </c>
      <c r="X191">
        <f t="shared" ca="1" si="58"/>
        <v>148.68574892646751</v>
      </c>
      <c r="Y191">
        <f t="shared" ca="1" si="57"/>
        <v>-0.60429376968082238</v>
      </c>
      <c r="Z191">
        <f t="shared" ca="1" si="59"/>
        <v>-0.92164620260721586</v>
      </c>
      <c r="AA191">
        <f t="shared" ca="1" si="60"/>
        <v>0.31735243292639348</v>
      </c>
      <c r="AB191">
        <f t="shared" ca="1" si="61"/>
        <v>153.26860000000002</v>
      </c>
    </row>
    <row r="192" spans="1:28" x14ac:dyDescent="0.25">
      <c r="A192" s="20">
        <f t="shared" ca="1" si="41"/>
        <v>45985</v>
      </c>
      <c r="B192" vm="565">
        <f ca="1"/>
        <v>45987</v>
      </c>
      <c r="C192" vm="566">
        <f ca="1"/>
        <v>148.25</v>
      </c>
      <c r="D192" vm="567">
        <f ca="1"/>
        <v>9238450</v>
      </c>
      <c r="E192">
        <f t="shared" ca="1" si="42"/>
        <v>1369600212.5</v>
      </c>
      <c r="F192">
        <f ca="1">SUM($E$2:E192)/SUM($D$2:D192)</f>
        <v>158.76588508807569</v>
      </c>
      <c r="G192">
        <f ca="1">_xlfn.STDEV.P($C$2:C192)</f>
        <v>7.3954260443949131</v>
      </c>
      <c r="H192">
        <f t="shared" ca="1" si="43"/>
        <v>166.16131113247062</v>
      </c>
      <c r="I192">
        <f t="shared" ca="1" si="44"/>
        <v>151.37045904368077</v>
      </c>
      <c r="J192">
        <f t="shared" ca="1" si="53"/>
        <v>147.71749999999997</v>
      </c>
      <c r="K192">
        <f t="shared" ca="1" si="54"/>
        <v>1.4505566082315489</v>
      </c>
      <c r="L192">
        <f t="shared" ca="1" si="55"/>
        <v>150.61861321646307</v>
      </c>
      <c r="M192">
        <f t="shared" ca="1" si="56"/>
        <v>144.81638678353687</v>
      </c>
      <c r="N192">
        <f t="shared" ca="1" si="45"/>
        <v>-0.24000000000000909</v>
      </c>
      <c r="O192">
        <f t="shared" ca="1" si="46"/>
        <v>0</v>
      </c>
      <c r="P192">
        <f t="shared" ca="1" si="47"/>
        <v>0.24000000000000909</v>
      </c>
      <c r="Q192">
        <f t="shared" ca="1" si="51"/>
        <v>0.62537248362863895</v>
      </c>
      <c r="R192">
        <f t="shared" ca="1" si="52"/>
        <v>0.66121756280529442</v>
      </c>
      <c r="S192">
        <f t="shared" ca="1" si="49"/>
        <v>0.94578928148160724</v>
      </c>
      <c r="T192">
        <f t="shared" ca="1" si="50"/>
        <v>48.606973554785071</v>
      </c>
      <c r="U192">
        <f>70</f>
        <v>70</v>
      </c>
      <c r="V192">
        <f>30</f>
        <v>30</v>
      </c>
      <c r="W192">
        <f t="shared" ca="1" si="48"/>
        <v>148.04917745852984</v>
      </c>
      <c r="X192">
        <f t="shared" ca="1" si="58"/>
        <v>148.65347122821066</v>
      </c>
      <c r="Y192">
        <f t="shared" ca="1" si="57"/>
        <v>-0.5506907236042764</v>
      </c>
      <c r="Z192">
        <f t="shared" ca="1" si="59"/>
        <v>-0.84745510680662794</v>
      </c>
      <c r="AA192">
        <f t="shared" ca="1" si="60"/>
        <v>0.29676438320235154</v>
      </c>
      <c r="AB192">
        <f t="shared" ca="1" si="61"/>
        <v>153.17220000000003</v>
      </c>
    </row>
    <row r="193" spans="1:28" x14ac:dyDescent="0.25">
      <c r="A193" s="20">
        <f t="shared" ca="1" si="41"/>
        <v>45985</v>
      </c>
      <c r="B193" vm="568">
        <f ca="1"/>
        <v>45989</v>
      </c>
      <c r="C193" vm="569">
        <f ca="1"/>
        <v>148.16</v>
      </c>
      <c r="D193" vm="570">
        <f ca="1"/>
        <v>4707161</v>
      </c>
      <c r="E193">
        <f t="shared" ca="1" si="42"/>
        <v>697412973.75999999</v>
      </c>
      <c r="F193">
        <f ca="1">SUM($E$2:E193)/SUM($D$2:D193)</f>
        <v>158.73398254777922</v>
      </c>
      <c r="G193">
        <f ca="1">_xlfn.STDEV.P($C$2:C193)</f>
        <v>7.4156278209056641</v>
      </c>
      <c r="H193">
        <f t="shared" ca="1" si="43"/>
        <v>166.14961036868488</v>
      </c>
      <c r="I193">
        <f t="shared" ca="1" si="44"/>
        <v>151.31835472687357</v>
      </c>
      <c r="J193">
        <f t="shared" ca="1" si="53"/>
        <v>147.6465</v>
      </c>
      <c r="K193">
        <f t="shared" ca="1" si="54"/>
        <v>1.3879984642794483</v>
      </c>
      <c r="L193">
        <f t="shared" ca="1" si="55"/>
        <v>150.4224969285589</v>
      </c>
      <c r="M193">
        <f t="shared" ca="1" si="56"/>
        <v>144.87050307144111</v>
      </c>
      <c r="N193">
        <f t="shared" ca="1" si="45"/>
        <v>-9.0000000000003411E-2</v>
      </c>
      <c r="O193">
        <f t="shared" ca="1" si="46"/>
        <v>0</v>
      </c>
      <c r="P193">
        <f t="shared" ca="1" si="47"/>
        <v>9.0000000000003411E-2</v>
      </c>
      <c r="Q193">
        <f t="shared" ca="1" si="51"/>
        <v>0.58070302051230749</v>
      </c>
      <c r="R193">
        <f t="shared" ca="1" si="52"/>
        <v>0.62041630831920214</v>
      </c>
      <c r="S193">
        <f t="shared" ca="1" si="49"/>
        <v>0.93598929094161998</v>
      </c>
      <c r="T193">
        <f t="shared" ca="1" si="50"/>
        <v>48.346821716476363</v>
      </c>
      <c r="U193">
        <f>70</f>
        <v>70</v>
      </c>
      <c r="V193">
        <f>30</f>
        <v>30</v>
      </c>
      <c r="W193">
        <f t="shared" ca="1" si="48"/>
        <v>148.06622708029448</v>
      </c>
      <c r="X193">
        <f t="shared" ca="1" si="58"/>
        <v>148.61691780389876</v>
      </c>
      <c r="Y193">
        <f t="shared" ca="1" si="57"/>
        <v>-0.55985425475680017</v>
      </c>
      <c r="Z193">
        <f t="shared" ca="1" si="59"/>
        <v>-0.78993493639666246</v>
      </c>
      <c r="AA193">
        <f t="shared" ca="1" si="60"/>
        <v>0.23008068163986228</v>
      </c>
      <c r="AB193">
        <f t="shared" ca="1" si="61"/>
        <v>153.07859999999999</v>
      </c>
    </row>
    <row r="194" spans="1:28" x14ac:dyDescent="0.25">
      <c r="A194" s="20">
        <f t="shared" ca="1" si="41"/>
        <v>45992</v>
      </c>
      <c r="B194" vm="571">
        <f ca="1"/>
        <v>45992</v>
      </c>
      <c r="C194" vm="572">
        <f ca="1"/>
        <v>147.44</v>
      </c>
      <c r="D194" vm="573">
        <f ca="1"/>
        <v>8240689</v>
      </c>
      <c r="E194">
        <f t="shared" ca="1" si="42"/>
        <v>1215007186.1600001</v>
      </c>
      <c r="F194">
        <f ca="1">SUM($E$2:E194)/SUM($D$2:D194)</f>
        <v>158.67481971940535</v>
      </c>
      <c r="G194">
        <f ca="1">_xlfn.STDEV.P($C$2:C194)</f>
        <v>7.4406110232826963</v>
      </c>
      <c r="H194">
        <f t="shared" ca="1" si="43"/>
        <v>166.11543074268803</v>
      </c>
      <c r="I194">
        <f t="shared" ca="1" si="44"/>
        <v>151.23420869612266</v>
      </c>
      <c r="J194">
        <f t="shared" ca="1" si="53"/>
        <v>147.50000000000003</v>
      </c>
      <c r="K194">
        <f t="shared" ca="1" si="54"/>
        <v>1.2311782974045633</v>
      </c>
      <c r="L194">
        <f t="shared" ca="1" si="55"/>
        <v>149.96235659480917</v>
      </c>
      <c r="M194">
        <f t="shared" ca="1" si="56"/>
        <v>145.03764340519089</v>
      </c>
      <c r="N194">
        <f t="shared" ca="1" si="45"/>
        <v>-0.71999999999999886</v>
      </c>
      <c r="O194">
        <f t="shared" ca="1" si="46"/>
        <v>0</v>
      </c>
      <c r="P194">
        <f t="shared" ca="1" si="47"/>
        <v>0.71999999999999886</v>
      </c>
      <c r="Q194">
        <f t="shared" ca="1" si="51"/>
        <v>0.53922423333285696</v>
      </c>
      <c r="R194">
        <f t="shared" ca="1" si="52"/>
        <v>0.6275294291535447</v>
      </c>
      <c r="S194">
        <f t="shared" ca="1" si="49"/>
        <v>0.85928118791209529</v>
      </c>
      <c r="T194">
        <f t="shared" ca="1" si="50"/>
        <v>46.215773789280185</v>
      </c>
      <c r="U194">
        <f>70</f>
        <v>70</v>
      </c>
      <c r="V194">
        <f>30</f>
        <v>30</v>
      </c>
      <c r="W194">
        <f t="shared" ca="1" si="48"/>
        <v>147.96988445255687</v>
      </c>
      <c r="X194">
        <f t="shared" ca="1" si="58"/>
        <v>148.52973870731367</v>
      </c>
      <c r="Y194">
        <f t="shared" ca="1" si="57"/>
        <v>-0.68669344007849986</v>
      </c>
      <c r="Z194">
        <f t="shared" ca="1" si="59"/>
        <v>-0.76928663713303003</v>
      </c>
      <c r="AA194">
        <f t="shared" ca="1" si="60"/>
        <v>8.2593197054530165E-2</v>
      </c>
      <c r="AB194">
        <f t="shared" ca="1" si="61"/>
        <v>152.96810000000002</v>
      </c>
    </row>
    <row r="195" spans="1:28" x14ac:dyDescent="0.25">
      <c r="A195" s="20">
        <f t="shared" ref="A195:A252" ca="1" si="62">B195 - WEEKDAY(B195, 2) + 1</f>
        <v>45992</v>
      </c>
      <c r="B195" vm="574">
        <f ca="1"/>
        <v>45993</v>
      </c>
      <c r="C195" vm="575">
        <f ca="1"/>
        <v>145.86000000000001</v>
      </c>
      <c r="D195" vm="576">
        <f ca="1"/>
        <v>16376769</v>
      </c>
      <c r="E195">
        <f t="shared" ref="E195:E252" ca="1" si="63">C195*D195</f>
        <v>2388715526.3400002</v>
      </c>
      <c r="F195">
        <f ca="1">SUM($E$2:E195)/SUM($D$2:D195)</f>
        <v>158.54278710681794</v>
      </c>
      <c r="G195">
        <f ca="1">_xlfn.STDEV.P($C$2:C195)</f>
        <v>7.4778318986064072</v>
      </c>
      <c r="H195">
        <f t="shared" ref="H195:H252" ca="1" si="64">F195 + G195</f>
        <v>166.02061900542435</v>
      </c>
      <c r="I195">
        <f t="shared" ref="I195:I252" ca="1" si="65">F195 - G195</f>
        <v>151.06495520821153</v>
      </c>
      <c r="J195">
        <f t="shared" ca="1" si="53"/>
        <v>147.392</v>
      </c>
      <c r="K195">
        <f t="shared" ca="1" si="54"/>
        <v>1.2770467575827547</v>
      </c>
      <c r="L195">
        <f t="shared" ca="1" si="55"/>
        <v>149.9460935151655</v>
      </c>
      <c r="M195">
        <f t="shared" ca="1" si="56"/>
        <v>144.83790648483449</v>
      </c>
      <c r="N195">
        <f t="shared" ca="1" si="45"/>
        <v>-1.5799999999999841</v>
      </c>
      <c r="O195">
        <f t="shared" ca="1" si="46"/>
        <v>0</v>
      </c>
      <c r="P195">
        <f t="shared" ca="1" si="47"/>
        <v>1.5799999999999841</v>
      </c>
      <c r="Q195">
        <f t="shared" ca="1" si="51"/>
        <v>0.50070821666622434</v>
      </c>
      <c r="R195">
        <f t="shared" ca="1" si="52"/>
        <v>0.69556304135686176</v>
      </c>
      <c r="S195">
        <f t="shared" ca="1" si="49"/>
        <v>0.7198602957533129</v>
      </c>
      <c r="T195">
        <f t="shared" ca="1" si="50"/>
        <v>41.855742442034121</v>
      </c>
      <c r="U195">
        <f>70</f>
        <v>70</v>
      </c>
      <c r="V195">
        <f>30</f>
        <v>30</v>
      </c>
      <c r="W195">
        <f t="shared" ca="1" si="48"/>
        <v>147.6452868444712</v>
      </c>
      <c r="X195">
        <f t="shared" ca="1" si="58"/>
        <v>148.3319802845497</v>
      </c>
      <c r="Y195">
        <f t="shared" ca="1" si="57"/>
        <v>-0.71043703609885256</v>
      </c>
      <c r="Z195">
        <f t="shared" ca="1" si="59"/>
        <v>-0.7575167169261946</v>
      </c>
      <c r="AA195">
        <f t="shared" ca="1" si="60"/>
        <v>4.7079680827342041E-2</v>
      </c>
      <c r="AB195">
        <f t="shared" ca="1" si="61"/>
        <v>152.85620000000003</v>
      </c>
    </row>
    <row r="196" spans="1:28" x14ac:dyDescent="0.25">
      <c r="A196" s="20">
        <f t="shared" ca="1" si="62"/>
        <v>45992</v>
      </c>
      <c r="B196" vm="577">
        <f ca="1"/>
        <v>45994</v>
      </c>
      <c r="C196" vm="578">
        <f ca="1"/>
        <v>146.71</v>
      </c>
      <c r="D196" vm="579">
        <f ca="1"/>
        <v>9125320</v>
      </c>
      <c r="E196">
        <f t="shared" ca="1" si="63"/>
        <v>1338775697.2</v>
      </c>
      <c r="F196">
        <f ca="1">SUM($E$2:E196)/SUM($D$2:D196)</f>
        <v>158.47524268542202</v>
      </c>
      <c r="G196">
        <f ca="1">_xlfn.STDEV.P($C$2:C196)</f>
        <v>7.506809205102698</v>
      </c>
      <c r="H196">
        <f t="shared" ca="1" si="64"/>
        <v>165.9820518905247</v>
      </c>
      <c r="I196">
        <f t="shared" ca="1" si="65"/>
        <v>150.96843348031933</v>
      </c>
      <c r="J196">
        <f t="shared" ca="1" si="53"/>
        <v>147.369</v>
      </c>
      <c r="K196">
        <f t="shared" ca="1" si="54"/>
        <v>1.2853707226854192</v>
      </c>
      <c r="L196">
        <f t="shared" ca="1" si="55"/>
        <v>149.93974144537083</v>
      </c>
      <c r="M196">
        <f t="shared" ca="1" si="56"/>
        <v>144.79825855462917</v>
      </c>
      <c r="N196">
        <f t="shared" ref="N196:N252" ca="1" si="66">C196-C195</f>
        <v>0.84999999999999432</v>
      </c>
      <c r="O196">
        <f t="shared" ref="O196:O252" ca="1" si="67">MAX(N196,0)</f>
        <v>0.84999999999999432</v>
      </c>
      <c r="P196">
        <f t="shared" ref="P196:P252" ca="1" si="68">MAX(-N196,0)</f>
        <v>0</v>
      </c>
      <c r="Q196">
        <f t="shared" ca="1" si="51"/>
        <v>0.52565762976149366</v>
      </c>
      <c r="R196">
        <f t="shared" ca="1" si="52"/>
        <v>0.64587996697422878</v>
      </c>
      <c r="S196">
        <f t="shared" ca="1" si="49"/>
        <v>0.8138627247165694</v>
      </c>
      <c r="T196">
        <f t="shared" ca="1" si="50"/>
        <v>44.86903631826614</v>
      </c>
      <c r="U196">
        <f>70</f>
        <v>70</v>
      </c>
      <c r="V196">
        <f>30</f>
        <v>30</v>
      </c>
      <c r="W196">
        <f t="shared" ca="1" si="48"/>
        <v>147.50139656070641</v>
      </c>
      <c r="X196">
        <f t="shared" ca="1" si="58"/>
        <v>148.21183359680526</v>
      </c>
      <c r="Y196">
        <f t="shared" ca="1" si="57"/>
        <v>-0.82863572772623684</v>
      </c>
      <c r="Z196">
        <f t="shared" ca="1" si="59"/>
        <v>-0.77174051908620311</v>
      </c>
      <c r="AA196">
        <f t="shared" ca="1" si="60"/>
        <v>-5.6895208640033723E-2</v>
      </c>
      <c r="AB196">
        <f t="shared" ca="1" si="61"/>
        <v>152.78570000000002</v>
      </c>
    </row>
    <row r="197" spans="1:28" x14ac:dyDescent="0.25">
      <c r="A197" s="20">
        <f t="shared" ca="1" si="62"/>
        <v>45992</v>
      </c>
      <c r="B197" vm="580">
        <f ca="1"/>
        <v>45995</v>
      </c>
      <c r="C197" vm="581">
        <f ca="1"/>
        <v>145.36000000000001</v>
      </c>
      <c r="D197" vm="582">
        <f ca="1"/>
        <v>10479267</v>
      </c>
      <c r="E197">
        <f t="shared" ca="1" si="63"/>
        <v>1523266251.1200001</v>
      </c>
      <c r="F197">
        <f ca="1">SUM($E$2:E197)/SUM($D$2:D197)</f>
        <v>158.38982968526636</v>
      </c>
      <c r="G197">
        <f ca="1">_xlfn.STDEV.P($C$2:C197)</f>
        <v>7.546256446732384</v>
      </c>
      <c r="H197">
        <f t="shared" ca="1" si="64"/>
        <v>165.93608613199874</v>
      </c>
      <c r="I197">
        <f t="shared" ca="1" si="65"/>
        <v>150.84357323853399</v>
      </c>
      <c r="J197">
        <f t="shared" ca="1" si="53"/>
        <v>147.34750000000003</v>
      </c>
      <c r="K197">
        <f t="shared" ca="1" si="54"/>
        <v>1.3163940979253221</v>
      </c>
      <c r="L197">
        <f t="shared" ca="1" si="55"/>
        <v>149.98028819585068</v>
      </c>
      <c r="M197">
        <f t="shared" ca="1" si="56"/>
        <v>144.71471180414937</v>
      </c>
      <c r="N197">
        <f t="shared" ca="1" si="66"/>
        <v>-1.3499999999999943</v>
      </c>
      <c r="O197">
        <f t="shared" ca="1" si="67"/>
        <v>0</v>
      </c>
      <c r="P197">
        <f t="shared" ca="1" si="68"/>
        <v>1.3499999999999943</v>
      </c>
      <c r="Q197">
        <f t="shared" ca="1" si="51"/>
        <v>0.48811065620710126</v>
      </c>
      <c r="R197">
        <f t="shared" ca="1" si="52"/>
        <v>0.69617425504749775</v>
      </c>
      <c r="S197">
        <f t="shared" ca="1" si="49"/>
        <v>0.7011328739437499</v>
      </c>
      <c r="T197">
        <f t="shared" ca="1" si="50"/>
        <v>41.215644273472179</v>
      </c>
      <c r="U197">
        <f>70</f>
        <v>70</v>
      </c>
      <c r="V197">
        <f>30</f>
        <v>30</v>
      </c>
      <c r="W197">
        <f t="shared" ca="1" si="48"/>
        <v>147.17195093598235</v>
      </c>
      <c r="X197">
        <f t="shared" ca="1" si="58"/>
        <v>148.00058666370859</v>
      </c>
      <c r="Y197">
        <f t="shared" ca="1" si="57"/>
        <v>-1.0641630704231773</v>
      </c>
      <c r="Z197">
        <f t="shared" ca="1" si="59"/>
        <v>-0.83022502935359799</v>
      </c>
      <c r="AA197">
        <f t="shared" ca="1" si="60"/>
        <v>-0.23393804106957927</v>
      </c>
      <c r="AB197">
        <f t="shared" ca="1" si="61"/>
        <v>152.71250000000001</v>
      </c>
    </row>
    <row r="198" spans="1:28" x14ac:dyDescent="0.25">
      <c r="A198" s="20">
        <f t="shared" ca="1" si="62"/>
        <v>45992</v>
      </c>
      <c r="B198" vm="583">
        <f ca="1"/>
        <v>45996</v>
      </c>
      <c r="C198" vm="584">
        <f ca="1"/>
        <v>143.44999999999999</v>
      </c>
      <c r="D198" vm="585">
        <f ca="1"/>
        <v>12791745</v>
      </c>
      <c r="E198">
        <f t="shared" ca="1" si="63"/>
        <v>1834975820.2499998</v>
      </c>
      <c r="F198">
        <f ca="1">SUM($E$2:E198)/SUM($D$2:D198)</f>
        <v>158.27200037028339</v>
      </c>
      <c r="G198">
        <f ca="1">_xlfn.STDEV.P($C$2:C198)</f>
        <v>7.6023808215581239</v>
      </c>
      <c r="H198">
        <f t="shared" ca="1" si="64"/>
        <v>165.87438119184151</v>
      </c>
      <c r="I198">
        <f t="shared" ca="1" si="65"/>
        <v>150.66961954872528</v>
      </c>
      <c r="J198">
        <f t="shared" ca="1" si="53"/>
        <v>147.21350000000001</v>
      </c>
      <c r="K198">
        <f t="shared" ca="1" si="54"/>
        <v>1.5606013517062465</v>
      </c>
      <c r="L198">
        <f t="shared" ca="1" si="55"/>
        <v>150.33470270341252</v>
      </c>
      <c r="M198">
        <f t="shared" ca="1" si="56"/>
        <v>144.0922972965875</v>
      </c>
      <c r="N198">
        <f t="shared" ca="1" si="66"/>
        <v>-1.910000000000025</v>
      </c>
      <c r="O198">
        <f t="shared" ca="1" si="67"/>
        <v>0</v>
      </c>
      <c r="P198">
        <f t="shared" ca="1" si="68"/>
        <v>1.910000000000025</v>
      </c>
      <c r="Q198">
        <f t="shared" ca="1" si="51"/>
        <v>0.45324560933516544</v>
      </c>
      <c r="R198">
        <f t="shared" ca="1" si="52"/>
        <v>0.78287609397267832</v>
      </c>
      <c r="S198">
        <f t="shared" ca="1" si="49"/>
        <v>0.57894935459733599</v>
      </c>
      <c r="T198">
        <f t="shared" ca="1" si="50"/>
        <v>36.666746334304044</v>
      </c>
      <c r="U198">
        <f>70</f>
        <v>70</v>
      </c>
      <c r="V198">
        <f>30</f>
        <v>30</v>
      </c>
      <c r="W198">
        <f t="shared" ca="1" si="48"/>
        <v>146.59934309967736</v>
      </c>
      <c r="X198">
        <f t="shared" ca="1" si="58"/>
        <v>147.66350617010053</v>
      </c>
      <c r="Y198">
        <f t="shared" ca="1" si="57"/>
        <v>-1.6442011529301794</v>
      </c>
      <c r="Z198">
        <f t="shared" ca="1" si="59"/>
        <v>-0.99302025406891437</v>
      </c>
      <c r="AA198">
        <f t="shared" ca="1" si="60"/>
        <v>-0.65118089886126507</v>
      </c>
      <c r="AB198">
        <f t="shared" ca="1" si="61"/>
        <v>152.60970000000003</v>
      </c>
    </row>
    <row r="199" spans="1:28" x14ac:dyDescent="0.25">
      <c r="A199" s="20">
        <f t="shared" ca="1" si="62"/>
        <v>45999</v>
      </c>
      <c r="B199" vm="586">
        <f ca="1"/>
        <v>45999</v>
      </c>
      <c r="C199" vm="587">
        <f ca="1"/>
        <v>138.34</v>
      </c>
      <c r="D199" vm="588">
        <f ca="1"/>
        <v>17507504</v>
      </c>
      <c r="E199">
        <f t="shared" ca="1" si="63"/>
        <v>2421988103.3600001</v>
      </c>
      <c r="F199">
        <f ca="1">SUM($E$2:E199)/SUM($D$2:D199)</f>
        <v>158.05914227687686</v>
      </c>
      <c r="G199">
        <f ca="1">_xlfn.STDEV.P($C$2:C199)</f>
        <v>7.715243997590278</v>
      </c>
      <c r="H199">
        <f t="shared" ca="1" si="64"/>
        <v>165.77438627446713</v>
      </c>
      <c r="I199">
        <f t="shared" ca="1" si="65"/>
        <v>150.34389827928658</v>
      </c>
      <c r="J199">
        <f t="shared" ca="1" si="53"/>
        <v>146.78150000000002</v>
      </c>
      <c r="K199">
        <f t="shared" ca="1" si="54"/>
        <v>2.5259292714188408</v>
      </c>
      <c r="L199">
        <f t="shared" ca="1" si="55"/>
        <v>151.83335854283771</v>
      </c>
      <c r="M199">
        <f t="shared" ca="1" si="56"/>
        <v>141.72964145716233</v>
      </c>
      <c r="N199">
        <f t="shared" ca="1" si="66"/>
        <v>-5.1099999999999852</v>
      </c>
      <c r="O199">
        <f t="shared" ca="1" si="67"/>
        <v>0</v>
      </c>
      <c r="P199">
        <f t="shared" ca="1" si="68"/>
        <v>5.1099999999999852</v>
      </c>
      <c r="Q199">
        <f t="shared" ca="1" si="51"/>
        <v>0.42087092295408224</v>
      </c>
      <c r="R199">
        <f t="shared" ca="1" si="52"/>
        <v>1.0919563729746289</v>
      </c>
      <c r="S199">
        <f t="shared" ca="1" si="49"/>
        <v>0.38542833154366413</v>
      </c>
      <c r="T199">
        <f t="shared" ca="1" si="50"/>
        <v>27.820156609199287</v>
      </c>
      <c r="U199">
        <f>70</f>
        <v>70</v>
      </c>
      <c r="V199">
        <f>30</f>
        <v>30</v>
      </c>
      <c r="W199">
        <f t="shared" ca="1" si="48"/>
        <v>145.32867493049622</v>
      </c>
      <c r="X199">
        <f t="shared" ca="1" si="58"/>
        <v>146.9728760834264</v>
      </c>
      <c r="Y199">
        <f t="shared" ca="1" si="57"/>
        <v>-1.9770036260860309</v>
      </c>
      <c r="Z199">
        <f t="shared" ca="1" si="59"/>
        <v>-1.1898169284723377</v>
      </c>
      <c r="AA199">
        <f t="shared" ca="1" si="60"/>
        <v>-0.7871866976136932</v>
      </c>
      <c r="AB199">
        <f t="shared" ca="1" si="61"/>
        <v>152.43690000000004</v>
      </c>
    </row>
    <row r="200" spans="1:28" x14ac:dyDescent="0.25">
      <c r="A200" s="20">
        <f t="shared" ca="1" si="62"/>
        <v>45999</v>
      </c>
      <c r="B200" vm="589">
        <f ca="1"/>
        <v>46000</v>
      </c>
      <c r="C200" vm="590">
        <f ca="1"/>
        <v>139.63</v>
      </c>
      <c r="D200" vm="591">
        <f ca="1"/>
        <v>10375688</v>
      </c>
      <c r="E200">
        <f t="shared" ca="1" si="63"/>
        <v>1448757315.4400001</v>
      </c>
      <c r="F200">
        <f ca="1">SUM($E$2:E200)/SUM($D$2:D200)</f>
        <v>157.94323862886736</v>
      </c>
      <c r="G200">
        <f ca="1">_xlfn.STDEV.P($C$2:C200)</f>
        <v>7.808146523504913</v>
      </c>
      <c r="H200">
        <f t="shared" ca="1" si="64"/>
        <v>165.75138515237228</v>
      </c>
      <c r="I200">
        <f t="shared" ca="1" si="65"/>
        <v>150.13509210536245</v>
      </c>
      <c r="J200">
        <f t="shared" ca="1" si="53"/>
        <v>146.48800000000003</v>
      </c>
      <c r="K200">
        <f t="shared" ca="1" si="54"/>
        <v>2.9824479525171395</v>
      </c>
      <c r="L200">
        <f t="shared" ca="1" si="55"/>
        <v>152.4528959050343</v>
      </c>
      <c r="M200">
        <f t="shared" ca="1" si="56"/>
        <v>140.52310409496576</v>
      </c>
      <c r="N200">
        <f t="shared" ca="1" si="66"/>
        <v>1.289999999999992</v>
      </c>
      <c r="O200">
        <f t="shared" ca="1" si="67"/>
        <v>1.289999999999992</v>
      </c>
      <c r="P200">
        <f t="shared" ca="1" si="68"/>
        <v>0</v>
      </c>
      <c r="Q200">
        <f t="shared" ca="1" si="51"/>
        <v>0.48295157131450439</v>
      </c>
      <c r="R200">
        <f t="shared" ca="1" si="52"/>
        <v>1.0139594891907269</v>
      </c>
      <c r="S200">
        <f t="shared" ca="1" si="49"/>
        <v>0.47630262990088817</v>
      </c>
      <c r="T200">
        <f t="shared" ca="1" si="50"/>
        <v>32.263210825064021</v>
      </c>
      <c r="U200">
        <f>70</f>
        <v>70</v>
      </c>
      <c r="V200">
        <f>30</f>
        <v>30</v>
      </c>
      <c r="W200">
        <f t="shared" ca="1" si="48"/>
        <v>144.4519557104199</v>
      </c>
      <c r="X200">
        <f t="shared" ca="1" si="58"/>
        <v>146.42895933650593</v>
      </c>
      <c r="Y200">
        <f t="shared" ca="1" si="57"/>
        <v>-2.2000596534749661</v>
      </c>
      <c r="Z200">
        <f t="shared" ca="1" si="59"/>
        <v>-1.3918654734728633</v>
      </c>
      <c r="AA200">
        <f t="shared" ca="1" si="60"/>
        <v>-0.80819418000210286</v>
      </c>
      <c r="AB200">
        <f t="shared" ca="1" si="61"/>
        <v>152.28220000000002</v>
      </c>
    </row>
    <row r="201" spans="1:28" x14ac:dyDescent="0.25">
      <c r="A201" s="20">
        <f t="shared" ca="1" si="62"/>
        <v>45999</v>
      </c>
      <c r="B201" vm="592">
        <f ca="1"/>
        <v>46001</v>
      </c>
      <c r="C201" vm="593">
        <f ca="1"/>
        <v>139.82</v>
      </c>
      <c r="D201" vm="594">
        <f ca="1"/>
        <v>13650378</v>
      </c>
      <c r="E201">
        <f t="shared" ca="1" si="63"/>
        <v>1908595851.9599998</v>
      </c>
      <c r="F201">
        <f ca="1">SUM($E$2:E201)/SUM($D$2:D201)</f>
        <v>157.79451603131275</v>
      </c>
      <c r="G201">
        <f ca="1">_xlfn.STDEV.P($C$2:C201)</f>
        <v>7.8957357833200073</v>
      </c>
      <c r="H201">
        <f t="shared" ca="1" si="64"/>
        <v>165.69025181463277</v>
      </c>
      <c r="I201">
        <f t="shared" ca="1" si="65"/>
        <v>149.89878024799273</v>
      </c>
      <c r="J201">
        <f t="shared" ca="1" si="53"/>
        <v>146.05200000000005</v>
      </c>
      <c r="K201">
        <f t="shared" ca="1" si="54"/>
        <v>3.2883728178954534</v>
      </c>
      <c r="L201">
        <f t="shared" ca="1" si="55"/>
        <v>152.62874563579095</v>
      </c>
      <c r="M201">
        <f t="shared" ca="1" si="56"/>
        <v>139.47525436420915</v>
      </c>
      <c r="N201">
        <f t="shared" ca="1" si="66"/>
        <v>0.18999999999999773</v>
      </c>
      <c r="O201">
        <f t="shared" ca="1" si="67"/>
        <v>0.18999999999999773</v>
      </c>
      <c r="P201">
        <f t="shared" ca="1" si="68"/>
        <v>0</v>
      </c>
      <c r="Q201">
        <f t="shared" ca="1" si="51"/>
        <v>0.46202645907775391</v>
      </c>
      <c r="R201">
        <f t="shared" ca="1" si="52"/>
        <v>0.94153381139138925</v>
      </c>
      <c r="S201">
        <f t="shared" ca="1" si="49"/>
        <v>0.49071680006369162</v>
      </c>
      <c r="T201">
        <f t="shared" ca="1" si="50"/>
        <v>32.918177352178873</v>
      </c>
      <c r="U201">
        <f>70</f>
        <v>70</v>
      </c>
      <c r="V201">
        <f>30</f>
        <v>30</v>
      </c>
      <c r="W201">
        <f t="shared" ca="1" si="48"/>
        <v>143.73934713958607</v>
      </c>
      <c r="X201">
        <f t="shared" ca="1" si="58"/>
        <v>145.93940679306104</v>
      </c>
      <c r="Y201">
        <f t="shared" ca="1" si="57"/>
        <v>-2.2747609894238678</v>
      </c>
      <c r="Z201">
        <f t="shared" ca="1" si="59"/>
        <v>-1.5684445766630644</v>
      </c>
      <c r="AA201">
        <f t="shared" ca="1" si="60"/>
        <v>-0.70631641276080348</v>
      </c>
      <c r="AB201">
        <f t="shared" ca="1" si="61"/>
        <v>152.1301</v>
      </c>
    </row>
    <row r="202" spans="1:28" x14ac:dyDescent="0.25">
      <c r="A202" s="20">
        <f t="shared" ca="1" si="62"/>
        <v>45999</v>
      </c>
      <c r="B202" vm="595">
        <f ca="1"/>
        <v>46002</v>
      </c>
      <c r="C202" vm="596">
        <f ca="1"/>
        <v>140.76</v>
      </c>
      <c r="D202" vm="597">
        <f ca="1"/>
        <v>11797981</v>
      </c>
      <c r="E202">
        <f t="shared" ca="1" si="63"/>
        <v>1660683805.5599999</v>
      </c>
      <c r="F202">
        <f ca="1">SUM($E$2:E202)/SUM($D$2:D202)</f>
        <v>157.67454826535081</v>
      </c>
      <c r="G202">
        <f ca="1">_xlfn.STDEV.P($C$2:C202)</f>
        <v>7.9700691327082618</v>
      </c>
      <c r="H202">
        <f t="shared" ca="1" si="64"/>
        <v>165.64461739805907</v>
      </c>
      <c r="I202">
        <f t="shared" ca="1" si="65"/>
        <v>149.70447913264255</v>
      </c>
      <c r="J202">
        <f t="shared" ca="1" si="53"/>
        <v>145.68950000000004</v>
      </c>
      <c r="K202">
        <f t="shared" ca="1" si="54"/>
        <v>3.4564805267177414</v>
      </c>
      <c r="L202">
        <f t="shared" ca="1" si="55"/>
        <v>152.60246105343552</v>
      </c>
      <c r="M202">
        <f t="shared" ca="1" si="56"/>
        <v>138.77653894656456</v>
      </c>
      <c r="N202">
        <f t="shared" ca="1" si="66"/>
        <v>0.93999999999999773</v>
      </c>
      <c r="O202">
        <f t="shared" ca="1" si="67"/>
        <v>0.93999999999999773</v>
      </c>
      <c r="P202">
        <f t="shared" ca="1" si="68"/>
        <v>0</v>
      </c>
      <c r="Q202">
        <f t="shared" ca="1" si="51"/>
        <v>0.49616742628648558</v>
      </c>
      <c r="R202">
        <f t="shared" ca="1" si="52"/>
        <v>0.8742813962920043</v>
      </c>
      <c r="S202">
        <f t="shared" ca="1" si="49"/>
        <v>0.56751456497968178</v>
      </c>
      <c r="T202">
        <f t="shared" ca="1" si="50"/>
        <v>36.204739506649368</v>
      </c>
      <c r="U202">
        <f>70</f>
        <v>70</v>
      </c>
      <c r="V202">
        <f>30</f>
        <v>30</v>
      </c>
      <c r="W202">
        <f t="shared" ca="1" si="48"/>
        <v>143.28098604118821</v>
      </c>
      <c r="X202">
        <f t="shared" ca="1" si="58"/>
        <v>145.55574703061208</v>
      </c>
      <c r="Y202">
        <f t="shared" ca="1" si="57"/>
        <v>-2.1414385490485017</v>
      </c>
      <c r="Z202">
        <f t="shared" ca="1" si="59"/>
        <v>-1.683043371140152</v>
      </c>
      <c r="AA202">
        <f t="shared" ca="1" si="60"/>
        <v>-0.45839517790834972</v>
      </c>
      <c r="AB202">
        <f t="shared" ca="1" si="61"/>
        <v>151.95450000000002</v>
      </c>
    </row>
    <row r="203" spans="1:28" x14ac:dyDescent="0.25">
      <c r="A203" s="20">
        <f t="shared" ca="1" si="62"/>
        <v>45999</v>
      </c>
      <c r="B203" vm="598">
        <f ca="1"/>
        <v>46003</v>
      </c>
      <c r="C203" vm="599">
        <f ca="1"/>
        <v>142.84</v>
      </c>
      <c r="D203" vm="600">
        <f ca="1"/>
        <v>10268768</v>
      </c>
      <c r="E203">
        <f t="shared" ca="1" si="63"/>
        <v>1466790821.1200001</v>
      </c>
      <c r="F203">
        <f ca="1">SUM($E$2:E203)/SUM($D$2:D203)</f>
        <v>157.584169638059</v>
      </c>
      <c r="G203">
        <f ca="1">_xlfn.STDEV.P($C$2:C203)</f>
        <v>8.02138572187671</v>
      </c>
      <c r="H203">
        <f t="shared" ca="1" si="64"/>
        <v>165.60555535993569</v>
      </c>
      <c r="I203">
        <f t="shared" ca="1" si="65"/>
        <v>149.5627839161823</v>
      </c>
      <c r="J203">
        <f t="shared" ca="1" si="53"/>
        <v>145.43350000000004</v>
      </c>
      <c r="K203">
        <f t="shared" ca="1" si="54"/>
        <v>3.4690485196345917</v>
      </c>
      <c r="L203">
        <f t="shared" ca="1" si="55"/>
        <v>152.37159703926923</v>
      </c>
      <c r="M203">
        <f t="shared" ca="1" si="56"/>
        <v>138.49540296073084</v>
      </c>
      <c r="N203">
        <f t="shared" ca="1" si="66"/>
        <v>2.0800000000000125</v>
      </c>
      <c r="O203">
        <f t="shared" ca="1" si="67"/>
        <v>2.0800000000000125</v>
      </c>
      <c r="P203">
        <f t="shared" ca="1" si="68"/>
        <v>0</v>
      </c>
      <c r="Q203">
        <f t="shared" ca="1" si="51"/>
        <v>0.60929832440888032</v>
      </c>
      <c r="R203">
        <f t="shared" ca="1" si="52"/>
        <v>0.81183272512828974</v>
      </c>
      <c r="S203">
        <f t="shared" ca="1" si="49"/>
        <v>0.7505220047794896</v>
      </c>
      <c r="T203">
        <f t="shared" ca="1" si="50"/>
        <v>42.874182828340487</v>
      </c>
      <c r="U203">
        <f>70</f>
        <v>70</v>
      </c>
      <c r="V203">
        <f>30</f>
        <v>30</v>
      </c>
      <c r="W203">
        <f t="shared" ca="1" si="48"/>
        <v>143.21314203485156</v>
      </c>
      <c r="X203">
        <f t="shared" ca="1" si="58"/>
        <v>145.35458058390006</v>
      </c>
      <c r="Y203">
        <f t="shared" ca="1" si="57"/>
        <v>-1.8299017248336611</v>
      </c>
      <c r="Z203">
        <f t="shared" ca="1" si="59"/>
        <v>-1.712415041878854</v>
      </c>
      <c r="AA203">
        <f t="shared" ca="1" si="60"/>
        <v>-0.11748668295480713</v>
      </c>
      <c r="AB203">
        <f t="shared" ca="1" si="61"/>
        <v>151.80010000000001</v>
      </c>
    </row>
    <row r="204" spans="1:28" x14ac:dyDescent="0.25">
      <c r="A204" s="20">
        <f t="shared" ca="1" si="62"/>
        <v>46006</v>
      </c>
      <c r="B204" vm="601">
        <f ca="1"/>
        <v>46006</v>
      </c>
      <c r="C204" vm="602">
        <f ca="1"/>
        <v>145.13</v>
      </c>
      <c r="D204" vm="603">
        <f ca="1"/>
        <v>13877674</v>
      </c>
      <c r="E204">
        <f t="shared" ca="1" si="63"/>
        <v>2014066827.6199999</v>
      </c>
      <c r="F204">
        <f ca="1">SUM($E$2:E204)/SUM($D$2:D204)</f>
        <v>157.48246438970193</v>
      </c>
      <c r="G204">
        <f ca="1">_xlfn.STDEV.P($C$2:C204)</f>
        <v>8.0517476497041454</v>
      </c>
      <c r="H204">
        <f t="shared" ca="1" si="64"/>
        <v>165.53421203940607</v>
      </c>
      <c r="I204">
        <f t="shared" ca="1" si="65"/>
        <v>149.43071673999779</v>
      </c>
      <c r="J204">
        <f t="shared" ca="1" si="53"/>
        <v>145.30650000000006</v>
      </c>
      <c r="K204">
        <f t="shared" ca="1" si="54"/>
        <v>3.4291264423894812</v>
      </c>
      <c r="L204">
        <f t="shared" ca="1" si="55"/>
        <v>152.16475288477901</v>
      </c>
      <c r="M204">
        <f t="shared" ca="1" si="56"/>
        <v>138.44824711522111</v>
      </c>
      <c r="N204">
        <f t="shared" ca="1" si="66"/>
        <v>2.289999999999992</v>
      </c>
      <c r="O204">
        <f t="shared" ca="1" si="67"/>
        <v>2.289999999999992</v>
      </c>
      <c r="P204">
        <f t="shared" ca="1" si="68"/>
        <v>0</v>
      </c>
      <c r="Q204">
        <f t="shared" ca="1" si="51"/>
        <v>0.72934844409395971</v>
      </c>
      <c r="R204">
        <f t="shared" ca="1" si="52"/>
        <v>0.75384467333341199</v>
      </c>
      <c r="S204">
        <f t="shared" ca="1" si="49"/>
        <v>0.96750493821076844</v>
      </c>
      <c r="T204">
        <f t="shared" ca="1" si="50"/>
        <v>49.174206347385784</v>
      </c>
      <c r="U204">
        <f>70</f>
        <v>70</v>
      </c>
      <c r="V204">
        <f>30</f>
        <v>30</v>
      </c>
      <c r="W204">
        <f t="shared" ca="1" si="48"/>
        <v>143.508043260259</v>
      </c>
      <c r="X204">
        <f t="shared" ca="1" si="58"/>
        <v>145.33794498509266</v>
      </c>
      <c r="Y204">
        <f t="shared" ca="1" si="57"/>
        <v>-1.5585848201087913</v>
      </c>
      <c r="Z204">
        <f t="shared" ca="1" si="59"/>
        <v>-1.6816489975248416</v>
      </c>
      <c r="AA204">
        <f t="shared" ca="1" si="60"/>
        <v>0.12306417741605036</v>
      </c>
      <c r="AB204">
        <f t="shared" ca="1" si="61"/>
        <v>151.66329999999999</v>
      </c>
    </row>
    <row r="205" spans="1:28" x14ac:dyDescent="0.25">
      <c r="A205" s="20">
        <f t="shared" ca="1" si="62"/>
        <v>46006</v>
      </c>
      <c r="B205" vm="604">
        <f ca="1"/>
        <v>46007</v>
      </c>
      <c r="C205" vm="605">
        <f ca="1"/>
        <v>145.21</v>
      </c>
      <c r="D205" vm="606">
        <f ca="1"/>
        <v>10251720</v>
      </c>
      <c r="E205">
        <f t="shared" ca="1" si="63"/>
        <v>1488652261.2</v>
      </c>
      <c r="F205">
        <f ca="1">SUM($E$2:E205)/SUM($D$2:D205)</f>
        <v>157.40887277291714</v>
      </c>
      <c r="G205">
        <f ca="1">_xlfn.STDEV.P($C$2:C205)</f>
        <v>8.080599785719043</v>
      </c>
      <c r="H205">
        <f t="shared" ca="1" si="64"/>
        <v>165.48947255863618</v>
      </c>
      <c r="I205">
        <f t="shared" ca="1" si="65"/>
        <v>149.32827298719809</v>
      </c>
      <c r="J205">
        <f t="shared" ca="1" si="53"/>
        <v>145.27600000000001</v>
      </c>
      <c r="K205">
        <f t="shared" ca="1" si="54"/>
        <v>3.4270309383826092</v>
      </c>
      <c r="L205">
        <f t="shared" ca="1" si="55"/>
        <v>152.13006187676524</v>
      </c>
      <c r="M205">
        <f t="shared" ca="1" si="56"/>
        <v>138.42193812323478</v>
      </c>
      <c r="N205">
        <f t="shared" ca="1" si="66"/>
        <v>8.0000000000012506E-2</v>
      </c>
      <c r="O205">
        <f t="shared" ca="1" si="67"/>
        <v>8.0000000000012506E-2</v>
      </c>
      <c r="P205">
        <f t="shared" ca="1" si="68"/>
        <v>0</v>
      </c>
      <c r="Q205">
        <f t="shared" ca="1" si="51"/>
        <v>0.68296641237296352</v>
      </c>
      <c r="R205">
        <f t="shared" ca="1" si="52"/>
        <v>0.69999862523816836</v>
      </c>
      <c r="S205">
        <f t="shared" ca="1" si="49"/>
        <v>0.97566821954913152</v>
      </c>
      <c r="T205">
        <f t="shared" ca="1" si="50"/>
        <v>49.38421390266577</v>
      </c>
      <c r="U205">
        <f>70</f>
        <v>70</v>
      </c>
      <c r="V205">
        <f>30</f>
        <v>30</v>
      </c>
      <c r="W205">
        <f t="shared" ca="1" si="48"/>
        <v>143.76988275868069</v>
      </c>
      <c r="X205">
        <f t="shared" ca="1" si="58"/>
        <v>145.32846757878949</v>
      </c>
      <c r="Y205">
        <f t="shared" ca="1" si="57"/>
        <v>-1.1208455378302347</v>
      </c>
      <c r="Z205">
        <f t="shared" ca="1" si="59"/>
        <v>-1.5694883055859203</v>
      </c>
      <c r="AA205">
        <f t="shared" ca="1" si="60"/>
        <v>0.44864276775568568</v>
      </c>
      <c r="AB205">
        <f t="shared" ca="1" si="61"/>
        <v>151.5324</v>
      </c>
    </row>
    <row r="206" spans="1:28" x14ac:dyDescent="0.25">
      <c r="A206" s="20">
        <f t="shared" ca="1" si="62"/>
        <v>46006</v>
      </c>
      <c r="B206" vm="607">
        <f ca="1"/>
        <v>46008</v>
      </c>
      <c r="C206" vm="608">
        <f ca="1"/>
        <v>147.81</v>
      </c>
      <c r="D206" vm="609">
        <f ca="1"/>
        <v>9833261</v>
      </c>
      <c r="E206">
        <f t="shared" ca="1" si="63"/>
        <v>1453454308.4100001</v>
      </c>
      <c r="F206">
        <f ca="1">SUM($E$2:E206)/SUM($D$2:D206)</f>
        <v>157.35397852394263</v>
      </c>
      <c r="G206">
        <f ca="1">_xlfn.STDEV.P($C$2:C206)</f>
        <v>8.0909779638594816</v>
      </c>
      <c r="H206">
        <f t="shared" ca="1" si="64"/>
        <v>165.4449564878021</v>
      </c>
      <c r="I206">
        <f t="shared" ca="1" si="65"/>
        <v>149.26300056008316</v>
      </c>
      <c r="J206">
        <f t="shared" ca="1" si="53"/>
        <v>145.31700000000004</v>
      </c>
      <c r="K206">
        <f t="shared" ca="1" si="54"/>
        <v>3.4534195105416137</v>
      </c>
      <c r="L206">
        <f t="shared" ca="1" si="55"/>
        <v>152.22383902108325</v>
      </c>
      <c r="M206">
        <f t="shared" ca="1" si="56"/>
        <v>138.41016097891682</v>
      </c>
      <c r="N206">
        <f t="shared" ca="1" si="66"/>
        <v>2.5999999999999943</v>
      </c>
      <c r="O206">
        <f t="shared" ca="1" si="67"/>
        <v>2.5999999999999943</v>
      </c>
      <c r="P206">
        <f t="shared" ca="1" si="68"/>
        <v>0</v>
      </c>
      <c r="Q206">
        <f t="shared" ca="1" si="51"/>
        <v>0.81989738291775149</v>
      </c>
      <c r="R206">
        <f t="shared" ca="1" si="52"/>
        <v>0.64999872343544207</v>
      </c>
      <c r="S206">
        <f t="shared" ca="1" si="49"/>
        <v>1.2613830663917969</v>
      </c>
      <c r="T206">
        <f t="shared" ca="1" si="50"/>
        <v>55.779274424497501</v>
      </c>
      <c r="U206">
        <f>70</f>
        <v>70</v>
      </c>
      <c r="V206">
        <f>30</f>
        <v>30</v>
      </c>
      <c r="W206">
        <f t="shared" ca="1" si="48"/>
        <v>144.39143925734521</v>
      </c>
      <c r="X206">
        <f t="shared" ca="1" si="58"/>
        <v>145.51228479517545</v>
      </c>
      <c r="Y206">
        <f t="shared" ca="1" si="57"/>
        <v>-0.94779230484468258</v>
      </c>
      <c r="Z206">
        <f t="shared" ca="1" si="59"/>
        <v>-1.4451491054376728</v>
      </c>
      <c r="AA206">
        <f t="shared" ca="1" si="60"/>
        <v>0.49735680059299026</v>
      </c>
      <c r="AB206">
        <f t="shared" ca="1" si="61"/>
        <v>151.43939999999998</v>
      </c>
    </row>
    <row r="207" spans="1:28" x14ac:dyDescent="0.25">
      <c r="A207" s="20">
        <f t="shared" ca="1" si="62"/>
        <v>46006</v>
      </c>
      <c r="B207" vm="610">
        <f ca="1"/>
        <v>46009</v>
      </c>
      <c r="C207" vm="611">
        <f ca="1"/>
        <v>145.52000000000001</v>
      </c>
      <c r="D207" vm="612">
        <f ca="1"/>
        <v>12239860</v>
      </c>
      <c r="E207">
        <f t="shared" ca="1" si="63"/>
        <v>1781144427.2</v>
      </c>
      <c r="F207">
        <f ca="1">SUM($E$2:E207)/SUM($D$2:D207)</f>
        <v>157.27033434540809</v>
      </c>
      <c r="G207">
        <f ca="1">_xlfn.STDEV.P($C$2:C207)</f>
        <v>8.1161038516690613</v>
      </c>
      <c r="H207">
        <f t="shared" ca="1" si="64"/>
        <v>165.38643819707715</v>
      </c>
      <c r="I207">
        <f t="shared" ca="1" si="65"/>
        <v>149.15423049373902</v>
      </c>
      <c r="J207">
        <f t="shared" ca="1" si="53"/>
        <v>145.24350000000001</v>
      </c>
      <c r="K207">
        <f t="shared" ca="1" si="54"/>
        <v>3.4315122874539399</v>
      </c>
      <c r="L207">
        <f t="shared" ca="1" si="55"/>
        <v>152.10652457490789</v>
      </c>
      <c r="M207">
        <f t="shared" ca="1" si="56"/>
        <v>138.38047542509213</v>
      </c>
      <c r="N207">
        <f t="shared" ca="1" si="66"/>
        <v>-2.289999999999992</v>
      </c>
      <c r="O207">
        <f t="shared" ca="1" si="67"/>
        <v>0</v>
      </c>
      <c r="P207">
        <f t="shared" ca="1" si="68"/>
        <v>2.289999999999992</v>
      </c>
      <c r="Q207">
        <f t="shared" ca="1" si="51"/>
        <v>0.76133328413791213</v>
      </c>
      <c r="R207">
        <f t="shared" ca="1" si="52"/>
        <v>0.7671416717614814</v>
      </c>
      <c r="S207">
        <f t="shared" ca="1" si="49"/>
        <v>0.99242853329785585</v>
      </c>
      <c r="T207">
        <f t="shared" ca="1" si="50"/>
        <v>49.8099940204728</v>
      </c>
      <c r="U207">
        <f>70</f>
        <v>70</v>
      </c>
      <c r="V207">
        <f>30</f>
        <v>30</v>
      </c>
      <c r="W207">
        <f t="shared" ref="W207:W252" ca="1" si="69">C207*(2/(12+1)) + W206*(1-(2/(12+1)))</f>
        <v>144.56506398698443</v>
      </c>
      <c r="X207">
        <f t="shared" ca="1" si="58"/>
        <v>145.51285629182911</v>
      </c>
      <c r="Y207">
        <f t="shared" ca="1" si="57"/>
        <v>-0.8859666401996833</v>
      </c>
      <c r="Z207">
        <f t="shared" ca="1" si="59"/>
        <v>-1.3333126123900749</v>
      </c>
      <c r="AA207">
        <f t="shared" ca="1" si="60"/>
        <v>0.44734597219039163</v>
      </c>
      <c r="AB207">
        <f t="shared" ca="1" si="61"/>
        <v>151.32849999999999</v>
      </c>
    </row>
    <row r="208" spans="1:28" x14ac:dyDescent="0.25">
      <c r="A208" s="20">
        <f t="shared" ca="1" si="62"/>
        <v>46006</v>
      </c>
      <c r="B208" vm="613">
        <f ca="1"/>
        <v>46010</v>
      </c>
      <c r="C208" vm="614">
        <f ca="1"/>
        <v>144.46</v>
      </c>
      <c r="D208" vm="615">
        <f ca="1"/>
        <v>19345622</v>
      </c>
      <c r="E208">
        <f t="shared" ca="1" si="63"/>
        <v>2794668554.1200004</v>
      </c>
      <c r="F208">
        <f ca="1">SUM($E$2:E208)/SUM($D$2:D208)</f>
        <v>157.12880488901911</v>
      </c>
      <c r="G208">
        <f ca="1">_xlfn.STDEV.P($C$2:C208)</f>
        <v>8.1484421245651326</v>
      </c>
      <c r="H208">
        <f t="shared" ca="1" si="64"/>
        <v>165.27724701358423</v>
      </c>
      <c r="I208">
        <f t="shared" ca="1" si="65"/>
        <v>148.98036276445399</v>
      </c>
      <c r="J208">
        <f t="shared" ca="1" si="53"/>
        <v>145.05700000000002</v>
      </c>
      <c r="K208">
        <f t="shared" ca="1" si="54"/>
        <v>3.3636338432681625</v>
      </c>
      <c r="L208">
        <f t="shared" ca="1" si="55"/>
        <v>151.78426768653634</v>
      </c>
      <c r="M208">
        <f t="shared" ca="1" si="56"/>
        <v>138.32973231346369</v>
      </c>
      <c r="N208">
        <f t="shared" ca="1" si="66"/>
        <v>-1.0600000000000023</v>
      </c>
      <c r="O208">
        <f t="shared" ca="1" si="67"/>
        <v>0</v>
      </c>
      <c r="P208">
        <f t="shared" ca="1" si="68"/>
        <v>1.0600000000000023</v>
      </c>
      <c r="Q208">
        <f t="shared" ca="1" si="51"/>
        <v>0.7069523352709185</v>
      </c>
      <c r="R208">
        <f t="shared" ca="1" si="52"/>
        <v>0.78806012377851864</v>
      </c>
      <c r="S208">
        <f t="shared" ref="S208:S252" ca="1" si="70">IF(R208=0,NA(),Q208/R208)</f>
        <v>0.89707918715806612</v>
      </c>
      <c r="T208">
        <f t="shared" ref="T208:T252" ca="1" si="71">100-(100/(1+S208))</f>
        <v>47.287387539259363</v>
      </c>
      <c r="U208">
        <f>70</f>
        <v>70</v>
      </c>
      <c r="V208">
        <f>30</f>
        <v>30</v>
      </c>
      <c r="W208">
        <f t="shared" ca="1" si="69"/>
        <v>144.54890029667914</v>
      </c>
      <c r="X208">
        <f t="shared" ca="1" si="58"/>
        <v>145.43486693687882</v>
      </c>
      <c r="Y208">
        <f t="shared" ca="1" si="57"/>
        <v>-0.96862782442138951</v>
      </c>
      <c r="Z208">
        <f t="shared" ca="1" si="59"/>
        <v>-1.2603756547963378</v>
      </c>
      <c r="AA208">
        <f t="shared" ca="1" si="60"/>
        <v>0.29174783037494834</v>
      </c>
      <c r="AB208">
        <f t="shared" ca="1" si="61"/>
        <v>151.24429999999998</v>
      </c>
    </row>
    <row r="209" spans="1:28" x14ac:dyDescent="0.25">
      <c r="A209" s="20">
        <f t="shared" ca="1" si="62"/>
        <v>46013</v>
      </c>
      <c r="B209" vm="616">
        <f ca="1"/>
        <v>46013</v>
      </c>
      <c r="C209" vm="617">
        <f ca="1"/>
        <v>142.69</v>
      </c>
      <c r="D209" vm="618">
        <f ca="1"/>
        <v>11731360</v>
      </c>
      <c r="E209">
        <f t="shared" ca="1" si="63"/>
        <v>1673947758.3999999</v>
      </c>
      <c r="F209">
        <f ca="1">SUM($E$2:E209)/SUM($D$2:D209)</f>
        <v>157.03271374389612</v>
      </c>
      <c r="G209">
        <f ca="1">_xlfn.STDEV.P($C$2:C209)</f>
        <v>8.1944058611219592</v>
      </c>
      <c r="H209">
        <f t="shared" ca="1" si="64"/>
        <v>165.22711960501809</v>
      </c>
      <c r="I209">
        <f t="shared" ca="1" si="65"/>
        <v>148.83830788277416</v>
      </c>
      <c r="J209">
        <f t="shared" ca="1" si="53"/>
        <v>144.6455</v>
      </c>
      <c r="K209">
        <f t="shared" ca="1" si="54"/>
        <v>3.1018491513764421</v>
      </c>
      <c r="L209">
        <f t="shared" ca="1" si="55"/>
        <v>150.84919830275288</v>
      </c>
      <c r="M209">
        <f t="shared" ca="1" si="56"/>
        <v>138.44180169724712</v>
      </c>
      <c r="N209">
        <f t="shared" ca="1" si="66"/>
        <v>-1.7700000000000102</v>
      </c>
      <c r="O209">
        <f t="shared" ca="1" si="67"/>
        <v>0</v>
      </c>
      <c r="P209">
        <f t="shared" ca="1" si="68"/>
        <v>1.7700000000000102</v>
      </c>
      <c r="Q209">
        <f t="shared" ref="Q209:Q252" ca="1" si="72">(Q208*13+O209)/14</f>
        <v>0.65645573989442429</v>
      </c>
      <c r="R209">
        <f t="shared" ref="R209:R252" ca="1" si="73">(R208*13+P209)/14</f>
        <v>0.85819868636576813</v>
      </c>
      <c r="S209">
        <f t="shared" ca="1" si="70"/>
        <v>0.76492279739360958</v>
      </c>
      <c r="T209">
        <f t="shared" ca="1" si="71"/>
        <v>43.340297860236554</v>
      </c>
      <c r="U209">
        <f>70</f>
        <v>70</v>
      </c>
      <c r="V209">
        <f>30</f>
        <v>30</v>
      </c>
      <c r="W209">
        <f t="shared" ca="1" si="69"/>
        <v>144.26291563565158</v>
      </c>
      <c r="X209">
        <f t="shared" ca="1" si="58"/>
        <v>145.23154346007297</v>
      </c>
      <c r="Y209">
        <f t="shared" ca="1" si="57"/>
        <v>-0.98326404767863096</v>
      </c>
      <c r="Z209">
        <f t="shared" ca="1" si="59"/>
        <v>-1.2049533333727966</v>
      </c>
      <c r="AA209">
        <f t="shared" ca="1" si="60"/>
        <v>0.22168928569416568</v>
      </c>
      <c r="AB209">
        <f t="shared" ca="1" si="61"/>
        <v>151.16649999999998</v>
      </c>
    </row>
    <row r="210" spans="1:28" x14ac:dyDescent="0.25">
      <c r="A210" s="20">
        <f t="shared" ca="1" si="62"/>
        <v>46013</v>
      </c>
      <c r="B210" vm="619">
        <f ca="1"/>
        <v>46014</v>
      </c>
      <c r="C210" vm="620">
        <f ca="1"/>
        <v>143.18</v>
      </c>
      <c r="D210" vm="621">
        <f ca="1"/>
        <v>9541563</v>
      </c>
      <c r="E210">
        <f t="shared" ca="1" si="63"/>
        <v>1366160990.3400002</v>
      </c>
      <c r="F210">
        <f ca="1">SUM($E$2:E210)/SUM($D$2:D210)</f>
        <v>156.95813523017563</v>
      </c>
      <c r="G210">
        <f ca="1">_xlfn.STDEV.P($C$2:C210)</f>
        <v>8.2349112732057694</v>
      </c>
      <c r="H210">
        <f t="shared" ca="1" si="64"/>
        <v>165.1930465033814</v>
      </c>
      <c r="I210">
        <f t="shared" ca="1" si="65"/>
        <v>148.72322395696986</v>
      </c>
      <c r="J210">
        <f t="shared" ca="1" si="53"/>
        <v>144.45549999999997</v>
      </c>
      <c r="K210">
        <f t="shared" ca="1" si="54"/>
        <v>3.0675182408414057</v>
      </c>
      <c r="L210">
        <f t="shared" ca="1" si="55"/>
        <v>150.59053648168279</v>
      </c>
      <c r="M210">
        <f t="shared" ca="1" si="56"/>
        <v>138.32046351831715</v>
      </c>
      <c r="N210">
        <f t="shared" ca="1" si="66"/>
        <v>0.49000000000000909</v>
      </c>
      <c r="O210">
        <f t="shared" ca="1" si="67"/>
        <v>0.49000000000000909</v>
      </c>
      <c r="P210">
        <f t="shared" ca="1" si="68"/>
        <v>0</v>
      </c>
      <c r="Q210">
        <f t="shared" ca="1" si="72"/>
        <v>0.64456604418768038</v>
      </c>
      <c r="R210">
        <f t="shared" ca="1" si="73"/>
        <v>0.79689878019678473</v>
      </c>
      <c r="S210">
        <f t="shared" ca="1" si="70"/>
        <v>0.80884305536082313</v>
      </c>
      <c r="T210">
        <f t="shared" ca="1" si="71"/>
        <v>44.716043935579435</v>
      </c>
      <c r="U210">
        <f>70</f>
        <v>70</v>
      </c>
      <c r="V210">
        <f>30</f>
        <v>30</v>
      </c>
      <c r="W210">
        <f t="shared" ca="1" si="69"/>
        <v>144.09631323016671</v>
      </c>
      <c r="X210">
        <f t="shared" ca="1" si="58"/>
        <v>145.07957727784535</v>
      </c>
      <c r="Y210">
        <f t="shared" ca="1" si="57"/>
        <v>-0.87902446136817503</v>
      </c>
      <c r="Z210">
        <f t="shared" ca="1" si="59"/>
        <v>-1.1397675589718723</v>
      </c>
      <c r="AA210">
        <f t="shared" ca="1" si="60"/>
        <v>0.26074309760369729</v>
      </c>
      <c r="AB210">
        <f t="shared" ca="1" si="61"/>
        <v>151.09179999999998</v>
      </c>
    </row>
    <row r="211" spans="1:28" x14ac:dyDescent="0.25">
      <c r="A211" s="20">
        <f t="shared" ca="1" si="62"/>
        <v>46013</v>
      </c>
      <c r="B211" vm="622">
        <f ca="1"/>
        <v>46015</v>
      </c>
      <c r="C211" vm="623">
        <f ca="1"/>
        <v>144.49</v>
      </c>
      <c r="D211" vm="624">
        <f ca="1"/>
        <v>3259209</v>
      </c>
      <c r="E211">
        <f t="shared" ca="1" si="63"/>
        <v>470923108.41000003</v>
      </c>
      <c r="F211">
        <f ca="1">SUM($E$2:E211)/SUM($D$2:D211)</f>
        <v>156.93524895362685</v>
      </c>
      <c r="G211">
        <f ca="1">_xlfn.STDEV.P($C$2:C211)</f>
        <v>8.2640059412659479</v>
      </c>
      <c r="H211">
        <f t="shared" ca="1" si="64"/>
        <v>165.19925489489279</v>
      </c>
      <c r="I211">
        <f t="shared" ca="1" si="65"/>
        <v>148.67124301236092</v>
      </c>
      <c r="J211">
        <f t="shared" ca="1" si="53"/>
        <v>144.25549999999998</v>
      </c>
      <c r="K211">
        <f t="shared" ca="1" si="54"/>
        <v>2.9173500502664202</v>
      </c>
      <c r="L211">
        <f t="shared" ca="1" si="55"/>
        <v>150.09020010053283</v>
      </c>
      <c r="M211">
        <f t="shared" ca="1" si="56"/>
        <v>138.42079989946714</v>
      </c>
      <c r="N211">
        <f t="shared" ca="1" si="66"/>
        <v>1.3100000000000023</v>
      </c>
      <c r="O211">
        <f t="shared" ca="1" si="67"/>
        <v>1.3100000000000023</v>
      </c>
      <c r="P211">
        <f t="shared" ca="1" si="68"/>
        <v>0</v>
      </c>
      <c r="Q211">
        <f t="shared" ca="1" si="72"/>
        <v>0.69209704103141767</v>
      </c>
      <c r="R211">
        <f t="shared" ca="1" si="73"/>
        <v>0.73997743875415722</v>
      </c>
      <c r="S211">
        <f t="shared" ca="1" si="70"/>
        <v>0.93529478709060088</v>
      </c>
      <c r="T211">
        <f t="shared" ca="1" si="71"/>
        <v>48.32828535112543</v>
      </c>
      <c r="U211">
        <f>70</f>
        <v>70</v>
      </c>
      <c r="V211">
        <f>30</f>
        <v>30</v>
      </c>
      <c r="W211">
        <f t="shared" ca="1" si="69"/>
        <v>144.15688042552569</v>
      </c>
      <c r="X211">
        <f t="shared" ca="1" si="58"/>
        <v>145.03590488689386</v>
      </c>
      <c r="Y211">
        <f t="shared" ca="1" si="57"/>
        <v>-0.76739487709221521</v>
      </c>
      <c r="Z211">
        <f t="shared" ca="1" si="59"/>
        <v>-1.0652930225959409</v>
      </c>
      <c r="AA211">
        <f t="shared" ca="1" si="60"/>
        <v>0.29789814550372573</v>
      </c>
      <c r="AB211">
        <f t="shared" ca="1" si="61"/>
        <v>151.02909999999997</v>
      </c>
    </row>
    <row r="212" spans="1:28" x14ac:dyDescent="0.25">
      <c r="A212" s="20">
        <f t="shared" ca="1" si="62"/>
        <v>46013</v>
      </c>
      <c r="B212" vm="625">
        <f ca="1"/>
        <v>46017</v>
      </c>
      <c r="C212" vm="626">
        <f ca="1"/>
        <v>144.74</v>
      </c>
      <c r="D212" vm="627">
        <f ca="1"/>
        <v>4711505</v>
      </c>
      <c r="E212">
        <f t="shared" ca="1" si="63"/>
        <v>681943233.70000005</v>
      </c>
      <c r="F212">
        <f ca="1">SUM($E$2:E212)/SUM($D$2:D212)</f>
        <v>156.90297435322577</v>
      </c>
      <c r="G212">
        <f ca="1">_xlfn.STDEV.P($C$2:C212)</f>
        <v>8.2904428348532431</v>
      </c>
      <c r="H212">
        <f t="shared" ca="1" si="64"/>
        <v>165.19341718807902</v>
      </c>
      <c r="I212">
        <f t="shared" ca="1" si="65"/>
        <v>148.61253151837252</v>
      </c>
      <c r="J212">
        <f t="shared" ca="1" si="53"/>
        <v>144.07999999999998</v>
      </c>
      <c r="K212">
        <f t="shared" ca="1" si="54"/>
        <v>2.7660574260507573</v>
      </c>
      <c r="L212">
        <f t="shared" ca="1" si="55"/>
        <v>149.61211485210151</v>
      </c>
      <c r="M212">
        <f t="shared" ca="1" si="56"/>
        <v>138.54788514789846</v>
      </c>
      <c r="N212">
        <f t="shared" ca="1" si="66"/>
        <v>0.25</v>
      </c>
      <c r="O212">
        <f t="shared" ca="1" si="67"/>
        <v>0.25</v>
      </c>
      <c r="P212">
        <f t="shared" ca="1" si="68"/>
        <v>0</v>
      </c>
      <c r="Q212">
        <f t="shared" ca="1" si="72"/>
        <v>0.66051868095774502</v>
      </c>
      <c r="R212">
        <f t="shared" ca="1" si="73"/>
        <v>0.68712190741457457</v>
      </c>
      <c r="S212">
        <f t="shared" ca="1" si="70"/>
        <v>0.96128310541439554</v>
      </c>
      <c r="T212">
        <f t="shared" ca="1" si="71"/>
        <v>49.012970272401752</v>
      </c>
      <c r="U212">
        <f>70</f>
        <v>70</v>
      </c>
      <c r="V212">
        <f>30</f>
        <v>30</v>
      </c>
      <c r="W212">
        <f t="shared" ca="1" si="69"/>
        <v>144.24659112929098</v>
      </c>
      <c r="X212">
        <f t="shared" ca="1" si="58"/>
        <v>145.01398600638319</v>
      </c>
      <c r="Y212">
        <f t="shared" ca="1" si="57"/>
        <v>-0.68475181388922124</v>
      </c>
      <c r="Z212">
        <f t="shared" ca="1" si="59"/>
        <v>-0.98918478085459705</v>
      </c>
      <c r="AA212">
        <f t="shared" ca="1" si="60"/>
        <v>0.30443296696537581</v>
      </c>
      <c r="AB212">
        <f t="shared" ca="1" si="61"/>
        <v>150.97139999999999</v>
      </c>
    </row>
    <row r="213" spans="1:28" x14ac:dyDescent="0.25">
      <c r="A213" s="20">
        <f t="shared" ca="1" si="62"/>
        <v>46020</v>
      </c>
      <c r="B213" vm="628">
        <f ca="1"/>
        <v>46020</v>
      </c>
      <c r="C213" vm="629">
        <f ca="1"/>
        <v>144.57</v>
      </c>
      <c r="D213" vm="630">
        <f ca="1"/>
        <v>7662127</v>
      </c>
      <c r="E213">
        <f t="shared" ca="1" si="63"/>
        <v>1107713700.3899999</v>
      </c>
      <c r="F213">
        <f ca="1">SUM($E$2:E213)/SUM($D$2:D213)</f>
        <v>156.85012221255684</v>
      </c>
      <c r="G213">
        <f ca="1">_xlfn.STDEV.P($C$2:C213)</f>
        <v>8.3173392371882997</v>
      </c>
      <c r="H213">
        <f t="shared" ca="1" si="64"/>
        <v>165.16746144974513</v>
      </c>
      <c r="I213">
        <f t="shared" ca="1" si="65"/>
        <v>148.53278297536855</v>
      </c>
      <c r="J213">
        <f t="shared" ca="1" si="53"/>
        <v>143.90049999999999</v>
      </c>
      <c r="K213">
        <f t="shared" ca="1" si="54"/>
        <v>2.5987820527883354</v>
      </c>
      <c r="L213">
        <f t="shared" ca="1" si="55"/>
        <v>149.09806410557667</v>
      </c>
      <c r="M213">
        <f t="shared" ca="1" si="56"/>
        <v>138.70293589442332</v>
      </c>
      <c r="N213">
        <f t="shared" ca="1" si="66"/>
        <v>-0.17000000000001592</v>
      </c>
      <c r="O213">
        <f t="shared" ca="1" si="67"/>
        <v>0</v>
      </c>
      <c r="P213">
        <f t="shared" ca="1" si="68"/>
        <v>0.17000000000001592</v>
      </c>
      <c r="Q213">
        <f t="shared" ca="1" si="72"/>
        <v>0.61333877517504898</v>
      </c>
      <c r="R213">
        <f t="shared" ca="1" si="73"/>
        <v>0.65018462831353474</v>
      </c>
      <c r="S213">
        <f t="shared" ca="1" si="70"/>
        <v>0.94333016879519671</v>
      </c>
      <c r="T213">
        <f t="shared" ca="1" si="71"/>
        <v>48.541940219043255</v>
      </c>
      <c r="U213">
        <f>70</f>
        <v>70</v>
      </c>
      <c r="V213">
        <f>30</f>
        <v>30</v>
      </c>
      <c r="W213">
        <f t="shared" ca="1" si="69"/>
        <v>144.29634634016929</v>
      </c>
      <c r="X213">
        <f t="shared" ca="1" si="58"/>
        <v>144.98109815405851</v>
      </c>
      <c r="Y213">
        <f t="shared" ca="1" si="57"/>
        <v>-0.65368101720437721</v>
      </c>
      <c r="Z213">
        <f t="shared" ca="1" si="59"/>
        <v>-0.92208402812455315</v>
      </c>
      <c r="AA213">
        <f t="shared" ca="1" si="60"/>
        <v>0.26840301092017593</v>
      </c>
      <c r="AB213">
        <f t="shared" ca="1" si="61"/>
        <v>150.88849999999999</v>
      </c>
    </row>
    <row r="214" spans="1:28" x14ac:dyDescent="0.25">
      <c r="A214" s="20">
        <f t="shared" ca="1" si="62"/>
        <v>46020</v>
      </c>
      <c r="B214" vm="631">
        <f ca="1"/>
        <v>46021</v>
      </c>
      <c r="C214" vm="632">
        <f ca="1"/>
        <v>144.05000000000001</v>
      </c>
      <c r="D214" vm="633">
        <f ca="1"/>
        <v>6006432</v>
      </c>
      <c r="E214">
        <f t="shared" ca="1" si="63"/>
        <v>865226529.60000002</v>
      </c>
      <c r="F214">
        <f ca="1">SUM($E$2:E214)/SUM($D$2:D214)</f>
        <v>156.80726542995515</v>
      </c>
      <c r="G214">
        <f ca="1">_xlfn.STDEV.P($C$2:C214)</f>
        <v>8.3472549953221691</v>
      </c>
      <c r="H214">
        <f t="shared" ca="1" si="64"/>
        <v>165.15452042527733</v>
      </c>
      <c r="I214">
        <f t="shared" ca="1" si="65"/>
        <v>148.46001043463298</v>
      </c>
      <c r="J214">
        <f t="shared" ref="J214:J252" ca="1" si="74">AVERAGE(C195:C214)</f>
        <v>143.73100000000002</v>
      </c>
      <c r="K214">
        <f t="shared" ref="K214:K252" ca="1" si="75">_xlfn.STDEV.S(C195:C214)</f>
        <v>2.4627688739132236</v>
      </c>
      <c r="L214">
        <f t="shared" ref="L214:L252" ca="1" si="76">J214 + 2*K214</f>
        <v>148.65653774782646</v>
      </c>
      <c r="M214">
        <f t="shared" ref="M214:M252" ca="1" si="77">J214-2*K214</f>
        <v>138.80546225217358</v>
      </c>
      <c r="N214">
        <f t="shared" ca="1" si="66"/>
        <v>-0.51999999999998181</v>
      </c>
      <c r="O214">
        <f t="shared" ca="1" si="67"/>
        <v>0</v>
      </c>
      <c r="P214">
        <f t="shared" ca="1" si="68"/>
        <v>0.51999999999998181</v>
      </c>
      <c r="Q214">
        <f t="shared" ca="1" si="72"/>
        <v>0.56952886266254554</v>
      </c>
      <c r="R214">
        <f t="shared" ca="1" si="73"/>
        <v>0.64088572629113816</v>
      </c>
      <c r="S214">
        <f t="shared" ca="1" si="70"/>
        <v>0.888658990672891</v>
      </c>
      <c r="T214">
        <f t="shared" ca="1" si="71"/>
        <v>47.052379231058531</v>
      </c>
      <c r="U214">
        <f>70</f>
        <v>70</v>
      </c>
      <c r="V214">
        <f>30</f>
        <v>30</v>
      </c>
      <c r="W214">
        <f t="shared" ca="1" si="69"/>
        <v>144.25844690322018</v>
      </c>
      <c r="X214">
        <f t="shared" ca="1" si="58"/>
        <v>144.91212792042455</v>
      </c>
      <c r="Y214">
        <f t="shared" ca="1" si="57"/>
        <v>-0.68091978313839263</v>
      </c>
      <c r="Z214">
        <f t="shared" ca="1" si="59"/>
        <v>-0.87385117912732113</v>
      </c>
      <c r="AA214">
        <f t="shared" ca="1" si="60"/>
        <v>0.1929313959889285</v>
      </c>
      <c r="AB214">
        <f t="shared" ca="1" si="61"/>
        <v>150.79409999999996</v>
      </c>
    </row>
    <row r="215" spans="1:28" x14ac:dyDescent="0.25">
      <c r="A215" s="20">
        <f t="shared" ca="1" si="62"/>
        <v>46020</v>
      </c>
      <c r="B215" vm="634">
        <f ca="1"/>
        <v>46022</v>
      </c>
      <c r="C215" vm="635">
        <f ca="1"/>
        <v>143.31</v>
      </c>
      <c r="D215" vm="636">
        <f ca="1"/>
        <v>5293220</v>
      </c>
      <c r="E215">
        <f t="shared" ca="1" si="63"/>
        <v>758571358.20000005</v>
      </c>
      <c r="F215">
        <f ca="1">SUM($E$2:E215)/SUM($D$2:D215)</f>
        <v>156.76755769828796</v>
      </c>
      <c r="G215">
        <f ca="1">_xlfn.STDEV.P($C$2:C215)</f>
        <v>8.3819073647773816</v>
      </c>
      <c r="H215">
        <f t="shared" ca="1" si="64"/>
        <v>165.14946506306535</v>
      </c>
      <c r="I215">
        <f t="shared" ca="1" si="65"/>
        <v>148.38565033351057</v>
      </c>
      <c r="J215">
        <f t="shared" ca="1" si="74"/>
        <v>143.6035</v>
      </c>
      <c r="K215">
        <f t="shared" ca="1" si="75"/>
        <v>2.4122369504804402</v>
      </c>
      <c r="L215">
        <f t="shared" ca="1" si="76"/>
        <v>148.42797390096086</v>
      </c>
      <c r="M215">
        <f t="shared" ca="1" si="77"/>
        <v>138.77902609903913</v>
      </c>
      <c r="N215">
        <f t="shared" ca="1" si="66"/>
        <v>-0.74000000000000909</v>
      </c>
      <c r="O215">
        <f t="shared" ca="1" si="67"/>
        <v>0</v>
      </c>
      <c r="P215">
        <f t="shared" ca="1" si="68"/>
        <v>0.74000000000000909</v>
      </c>
      <c r="Q215">
        <f t="shared" ca="1" si="72"/>
        <v>0.52884822961522082</v>
      </c>
      <c r="R215">
        <f t="shared" ca="1" si="73"/>
        <v>0.64796531727034323</v>
      </c>
      <c r="S215">
        <f t="shared" ca="1" si="70"/>
        <v>0.81616749464782767</v>
      </c>
      <c r="T215">
        <f t="shared" ca="1" si="71"/>
        <v>44.938999131580118</v>
      </c>
      <c r="U215">
        <f>70</f>
        <v>70</v>
      </c>
      <c r="V215">
        <f>30</f>
        <v>30</v>
      </c>
      <c r="W215">
        <f t="shared" ca="1" si="69"/>
        <v>144.11253199503247</v>
      </c>
      <c r="X215">
        <f t="shared" ca="1" si="58"/>
        <v>144.79345177817086</v>
      </c>
      <c r="Y215">
        <f t="shared" ca="1" si="57"/>
        <v>-0.81575448826461638</v>
      </c>
      <c r="Z215">
        <f t="shared" ca="1" si="59"/>
        <v>-0.86223184095478023</v>
      </c>
      <c r="AA215">
        <f t="shared" ca="1" si="60"/>
        <v>4.6477352690163842E-2</v>
      </c>
      <c r="AB215">
        <f t="shared" ca="1" si="61"/>
        <v>150.69209999999995</v>
      </c>
    </row>
    <row r="216" spans="1:28" x14ac:dyDescent="0.25">
      <c r="A216" s="20">
        <f t="shared" ca="1" si="62"/>
        <v>46020</v>
      </c>
      <c r="B216" vm="637">
        <f ca="1"/>
        <v>46024</v>
      </c>
      <c r="C216" vm="638">
        <f ca="1"/>
        <v>141.79</v>
      </c>
      <c r="D216" vm="639">
        <f ca="1"/>
        <v>8946091</v>
      </c>
      <c r="E216">
        <f t="shared" ca="1" si="63"/>
        <v>1268466242.8899999</v>
      </c>
      <c r="F216">
        <f ca="1">SUM($E$2:E216)/SUM($D$2:D216)</f>
        <v>156.69345574789261</v>
      </c>
      <c r="G216">
        <f ca="1">_xlfn.STDEV.P($C$2:C216)</f>
        <v>8.4278365844896488</v>
      </c>
      <c r="H216">
        <f t="shared" ca="1" si="64"/>
        <v>165.12129233238227</v>
      </c>
      <c r="I216">
        <f t="shared" ca="1" si="65"/>
        <v>148.26561916340296</v>
      </c>
      <c r="J216">
        <f t="shared" ca="1" si="74"/>
        <v>143.35750000000002</v>
      </c>
      <c r="K216">
        <f t="shared" ca="1" si="75"/>
        <v>2.328168186635831</v>
      </c>
      <c r="L216">
        <f t="shared" ca="1" si="76"/>
        <v>148.01383637327169</v>
      </c>
      <c r="M216">
        <f t="shared" ca="1" si="77"/>
        <v>138.70116362672834</v>
      </c>
      <c r="N216">
        <f t="shared" ca="1" si="66"/>
        <v>-1.5200000000000102</v>
      </c>
      <c r="O216">
        <f t="shared" ca="1" si="67"/>
        <v>0</v>
      </c>
      <c r="P216">
        <f t="shared" ca="1" si="68"/>
        <v>1.5200000000000102</v>
      </c>
      <c r="Q216">
        <f t="shared" ca="1" si="72"/>
        <v>0.4910733560712765</v>
      </c>
      <c r="R216">
        <f t="shared" ca="1" si="73"/>
        <v>0.71025350889389094</v>
      </c>
      <c r="S216">
        <f t="shared" ca="1" si="70"/>
        <v>0.69140574445882941</v>
      </c>
      <c r="T216">
        <f t="shared" ca="1" si="71"/>
        <v>40.877580481438343</v>
      </c>
      <c r="U216">
        <f>70</f>
        <v>70</v>
      </c>
      <c r="V216">
        <f>30</f>
        <v>30</v>
      </c>
      <c r="W216">
        <f t="shared" ca="1" si="69"/>
        <v>143.75521938041209</v>
      </c>
      <c r="X216">
        <f t="shared" ca="1" si="58"/>
        <v>144.5709738686767</v>
      </c>
      <c r="Y216">
        <f t="shared" ca="1" si="57"/>
        <v>-1.0253742203348679</v>
      </c>
      <c r="Z216">
        <f t="shared" ca="1" si="59"/>
        <v>-0.89486031683079781</v>
      </c>
      <c r="AA216">
        <f t="shared" ca="1" si="60"/>
        <v>-0.13051390350407011</v>
      </c>
      <c r="AB216">
        <f t="shared" ca="1" si="61"/>
        <v>150.56019999999998</v>
      </c>
    </row>
    <row r="217" spans="1:28" x14ac:dyDescent="0.25">
      <c r="A217" s="20">
        <f t="shared" ca="1" si="62"/>
        <v>46027</v>
      </c>
      <c r="B217" vm="640">
        <f ca="1"/>
        <v>46027</v>
      </c>
      <c r="C217" vm="641">
        <f ca="1"/>
        <v>140.37</v>
      </c>
      <c r="D217" vm="642">
        <f ca="1"/>
        <v>12297334</v>
      </c>
      <c r="E217">
        <f t="shared" ca="1" si="63"/>
        <v>1726176773.5800002</v>
      </c>
      <c r="F217">
        <f ca="1">SUM($E$2:E217)/SUM($D$2:D217)</f>
        <v>156.5831914778727</v>
      </c>
      <c r="G217">
        <f ca="1">_xlfn.STDEV.P($C$2:C217)</f>
        <v>8.4848802081571186</v>
      </c>
      <c r="H217">
        <f t="shared" ca="1" si="64"/>
        <v>165.06807168602981</v>
      </c>
      <c r="I217">
        <f t="shared" ca="1" si="65"/>
        <v>148.09831126971559</v>
      </c>
      <c r="J217">
        <f t="shared" ca="1" si="74"/>
        <v>143.108</v>
      </c>
      <c r="K217">
        <f t="shared" ca="1" si="75"/>
        <v>2.369289478214716</v>
      </c>
      <c r="L217">
        <f t="shared" ca="1" si="76"/>
        <v>147.84657895642943</v>
      </c>
      <c r="M217">
        <f t="shared" ca="1" si="77"/>
        <v>138.36942104357058</v>
      </c>
      <c r="N217">
        <f t="shared" ca="1" si="66"/>
        <v>-1.4199999999999875</v>
      </c>
      <c r="O217">
        <f t="shared" ca="1" si="67"/>
        <v>0</v>
      </c>
      <c r="P217">
        <f t="shared" ca="1" si="68"/>
        <v>1.4199999999999875</v>
      </c>
      <c r="Q217">
        <f t="shared" ca="1" si="72"/>
        <v>0.45599668778047103</v>
      </c>
      <c r="R217">
        <f t="shared" ca="1" si="73"/>
        <v>0.76094968683004072</v>
      </c>
      <c r="S217">
        <f t="shared" ca="1" si="70"/>
        <v>0.59924683020773561</v>
      </c>
      <c r="T217">
        <f t="shared" ca="1" si="71"/>
        <v>37.470565449230619</v>
      </c>
      <c r="U217">
        <f>70</f>
        <v>70</v>
      </c>
      <c r="V217">
        <f>30</f>
        <v>30</v>
      </c>
      <c r="W217">
        <f t="shared" ca="1" si="69"/>
        <v>143.23441639881023</v>
      </c>
      <c r="X217">
        <f t="shared" ca="1" si="58"/>
        <v>144.25979061914509</v>
      </c>
      <c r="Y217">
        <f t="shared" ca="1" si="57"/>
        <v>-1.2146161845456334</v>
      </c>
      <c r="Z217">
        <f t="shared" ca="1" si="59"/>
        <v>-0.9588114903737649</v>
      </c>
      <c r="AA217">
        <f t="shared" ca="1" si="60"/>
        <v>-0.25580469417186846</v>
      </c>
      <c r="AB217">
        <f t="shared" ca="1" si="61"/>
        <v>150.41299999999998</v>
      </c>
    </row>
    <row r="218" spans="1:28" x14ac:dyDescent="0.25">
      <c r="A218" s="20">
        <f t="shared" ca="1" si="62"/>
        <v>46027</v>
      </c>
      <c r="B218" vm="643">
        <f ca="1"/>
        <v>46028</v>
      </c>
      <c r="C218" vm="644">
        <f ca="1"/>
        <v>139.91</v>
      </c>
      <c r="D218" vm="645">
        <f ca="1"/>
        <v>10421756</v>
      </c>
      <c r="E218">
        <f t="shared" ca="1" si="63"/>
        <v>1458107881.96</v>
      </c>
      <c r="F218">
        <f ca="1">SUM($E$2:E218)/SUM($D$2:D218)</f>
        <v>156.4882857870727</v>
      </c>
      <c r="G218">
        <f ca="1">_xlfn.STDEV.P($C$2:C218)</f>
        <v>8.5445037679785081</v>
      </c>
      <c r="H218">
        <f t="shared" ca="1" si="64"/>
        <v>165.03278955505121</v>
      </c>
      <c r="I218">
        <f t="shared" ca="1" si="65"/>
        <v>147.94378201909419</v>
      </c>
      <c r="J218">
        <f t="shared" ca="1" si="74"/>
        <v>142.93099999999998</v>
      </c>
      <c r="K218">
        <f t="shared" ca="1" si="75"/>
        <v>2.4723819752576586</v>
      </c>
      <c r="L218">
        <f t="shared" ca="1" si="76"/>
        <v>147.87576395051531</v>
      </c>
      <c r="M218">
        <f t="shared" ca="1" si="77"/>
        <v>137.98623604948466</v>
      </c>
      <c r="N218">
        <f t="shared" ca="1" si="66"/>
        <v>-0.46000000000000796</v>
      </c>
      <c r="O218">
        <f t="shared" ca="1" si="67"/>
        <v>0</v>
      </c>
      <c r="P218">
        <f t="shared" ca="1" si="68"/>
        <v>0.46000000000000796</v>
      </c>
      <c r="Q218">
        <f t="shared" ca="1" si="72"/>
        <v>0.42342549579615169</v>
      </c>
      <c r="R218">
        <f t="shared" ca="1" si="73"/>
        <v>0.7394532806278955</v>
      </c>
      <c r="S218">
        <f t="shared" ca="1" si="70"/>
        <v>0.57261967305981298</v>
      </c>
      <c r="T218">
        <f t="shared" ca="1" si="71"/>
        <v>36.411834524852338</v>
      </c>
      <c r="U218">
        <f>70</f>
        <v>70</v>
      </c>
      <c r="V218">
        <f>30</f>
        <v>30</v>
      </c>
      <c r="W218">
        <f t="shared" ca="1" si="69"/>
        <v>142.72296772207019</v>
      </c>
      <c r="X218">
        <f t="shared" ca="1" si="58"/>
        <v>143.93758390661583</v>
      </c>
      <c r="Y218">
        <f t="shared" ca="1" si="57"/>
        <v>-1.4982146900151179</v>
      </c>
      <c r="Z218">
        <f t="shared" ca="1" si="59"/>
        <v>-1.0666921303020356</v>
      </c>
      <c r="AA218">
        <f t="shared" ca="1" si="60"/>
        <v>-0.43152255971308229</v>
      </c>
      <c r="AB218">
        <f t="shared" ca="1" si="61"/>
        <v>150.25799999999998</v>
      </c>
    </row>
    <row r="219" spans="1:28" x14ac:dyDescent="0.25">
      <c r="A219" s="20">
        <f t="shared" ca="1" si="62"/>
        <v>46027</v>
      </c>
      <c r="B219" vm="646">
        <f ca="1"/>
        <v>46029</v>
      </c>
      <c r="C219" vm="647">
        <f ca="1"/>
        <v>138.04</v>
      </c>
      <c r="D219" vm="648">
        <f ca="1"/>
        <v>14369142</v>
      </c>
      <c r="E219">
        <f t="shared" ca="1" si="63"/>
        <v>1983516361.6799998</v>
      </c>
      <c r="F219">
        <f ca="1">SUM($E$2:E219)/SUM($D$2:D219)</f>
        <v>156.34462957945246</v>
      </c>
      <c r="G219">
        <f ca="1">_xlfn.STDEV.P($C$2:C219)</f>
        <v>8.6202988426018585</v>
      </c>
      <c r="H219">
        <f t="shared" ca="1" si="64"/>
        <v>164.96492842205433</v>
      </c>
      <c r="I219">
        <f t="shared" ca="1" si="65"/>
        <v>147.72433073685059</v>
      </c>
      <c r="J219">
        <f t="shared" ca="1" si="74"/>
        <v>142.916</v>
      </c>
      <c r="K219">
        <f t="shared" ca="1" si="75"/>
        <v>2.5024291356494772</v>
      </c>
      <c r="L219">
        <f t="shared" ca="1" si="76"/>
        <v>147.92085827129895</v>
      </c>
      <c r="M219">
        <f t="shared" ca="1" si="77"/>
        <v>137.91114172870104</v>
      </c>
      <c r="N219">
        <f t="shared" ca="1" si="66"/>
        <v>-1.8700000000000045</v>
      </c>
      <c r="O219">
        <f t="shared" ca="1" si="67"/>
        <v>0</v>
      </c>
      <c r="P219">
        <f t="shared" ca="1" si="68"/>
        <v>1.8700000000000045</v>
      </c>
      <c r="Q219">
        <f t="shared" ca="1" si="72"/>
        <v>0.39318081752499801</v>
      </c>
      <c r="R219">
        <f t="shared" ca="1" si="73"/>
        <v>0.82020661772590331</v>
      </c>
      <c r="S219">
        <f t="shared" ca="1" si="70"/>
        <v>0.47936801414151864</v>
      </c>
      <c r="T219">
        <f t="shared" ca="1" si="71"/>
        <v>32.40356757474558</v>
      </c>
      <c r="U219">
        <f>70</f>
        <v>70</v>
      </c>
      <c r="V219">
        <f>30</f>
        <v>30</v>
      </c>
      <c r="W219">
        <f t="shared" ca="1" si="69"/>
        <v>142.00251114944399</v>
      </c>
      <c r="X219">
        <f t="shared" ca="1" si="58"/>
        <v>143.50072583945911</v>
      </c>
      <c r="Y219">
        <f t="shared" ca="1" si="57"/>
        <v>-1.4249290211947141</v>
      </c>
      <c r="Z219">
        <f t="shared" ca="1" si="59"/>
        <v>-1.1383395084805712</v>
      </c>
      <c r="AA219">
        <f t="shared" ca="1" si="60"/>
        <v>-0.2865895127141429</v>
      </c>
      <c r="AB219">
        <f t="shared" ca="1" si="61"/>
        <v>150.101</v>
      </c>
    </row>
    <row r="220" spans="1:28" x14ac:dyDescent="0.25">
      <c r="A220" s="20">
        <f t="shared" ca="1" si="62"/>
        <v>46027</v>
      </c>
      <c r="B220" vm="649">
        <f ca="1"/>
        <v>46030</v>
      </c>
      <c r="C220" vm="650">
        <f ca="1"/>
        <v>141.53</v>
      </c>
      <c r="D220" vm="651">
        <f ca="1"/>
        <v>9297080</v>
      </c>
      <c r="E220">
        <f t="shared" ca="1" si="63"/>
        <v>1315815732.4000001</v>
      </c>
      <c r="F220">
        <f ca="1">SUM($E$2:E220)/SUM($D$2:D220)</f>
        <v>156.2703631926307</v>
      </c>
      <c r="G220">
        <f ca="1">_xlfn.STDEV.P($C$2:C220)</f>
        <v>8.6626439947606571</v>
      </c>
      <c r="H220">
        <f t="shared" ca="1" si="64"/>
        <v>164.93300718739135</v>
      </c>
      <c r="I220">
        <f t="shared" ca="1" si="65"/>
        <v>147.60771919787004</v>
      </c>
      <c r="J220">
        <f t="shared" ca="1" si="74"/>
        <v>143.011</v>
      </c>
      <c r="K220">
        <f t="shared" ca="1" si="75"/>
        <v>2.4052965677744162</v>
      </c>
      <c r="L220">
        <f t="shared" ca="1" si="76"/>
        <v>147.82159313554882</v>
      </c>
      <c r="M220">
        <f t="shared" ca="1" si="77"/>
        <v>138.20040686445117</v>
      </c>
      <c r="N220">
        <f t="shared" ca="1" si="66"/>
        <v>3.4900000000000091</v>
      </c>
      <c r="O220">
        <f t="shared" ca="1" si="67"/>
        <v>3.4900000000000091</v>
      </c>
      <c r="P220">
        <f t="shared" ca="1" si="68"/>
        <v>0</v>
      </c>
      <c r="Q220">
        <f t="shared" ca="1" si="72"/>
        <v>0.61438218770178454</v>
      </c>
      <c r="R220">
        <f t="shared" ca="1" si="73"/>
        <v>0.76162043074548169</v>
      </c>
      <c r="S220">
        <f t="shared" ca="1" si="70"/>
        <v>0.80667766107642502</v>
      </c>
      <c r="T220">
        <f t="shared" ca="1" si="71"/>
        <v>44.649783326362908</v>
      </c>
      <c r="U220">
        <f>70</f>
        <v>70</v>
      </c>
      <c r="V220">
        <f>30</f>
        <v>30</v>
      </c>
      <c r="W220">
        <f t="shared" ca="1" si="69"/>
        <v>141.9298171264526</v>
      </c>
      <c r="X220">
        <f t="shared" ca="1" si="58"/>
        <v>143.35474614764732</v>
      </c>
      <c r="Y220">
        <f t="shared" ref="Y220:Y252" ca="1" si="78">W221-X221</f>
        <v>-1.3241504599115501</v>
      </c>
      <c r="Z220">
        <f t="shared" ca="1" si="59"/>
        <v>-1.175501698766767</v>
      </c>
      <c r="AA220">
        <f t="shared" ca="1" si="60"/>
        <v>-0.14864876114478309</v>
      </c>
      <c r="AB220">
        <f t="shared" ca="1" si="61"/>
        <v>149.97269999999997</v>
      </c>
    </row>
    <row r="221" spans="1:28" x14ac:dyDescent="0.25">
      <c r="A221" s="20">
        <f t="shared" ca="1" si="62"/>
        <v>46027</v>
      </c>
      <c r="B221" vm="652">
        <f ca="1"/>
        <v>46031</v>
      </c>
      <c r="C221" vm="653">
        <f ca="1"/>
        <v>141.87</v>
      </c>
      <c r="D221" vm="654">
        <f ca="1"/>
        <v>9528476</v>
      </c>
      <c r="E221">
        <f t="shared" ca="1" si="63"/>
        <v>1351804890.1200001</v>
      </c>
      <c r="F221">
        <f ca="1">SUM($E$2:E221)/SUM($D$2:D221)</f>
        <v>156.19675499078596</v>
      </c>
      <c r="G221">
        <f ca="1">_xlfn.STDEV.P($C$2:C221)</f>
        <v>8.7011728072182528</v>
      </c>
      <c r="H221">
        <f t="shared" ca="1" si="64"/>
        <v>164.89792779800422</v>
      </c>
      <c r="I221">
        <f t="shared" ca="1" si="65"/>
        <v>147.49558218356771</v>
      </c>
      <c r="J221">
        <f t="shared" ca="1" si="74"/>
        <v>143.11349999999999</v>
      </c>
      <c r="K221">
        <f t="shared" ca="1" si="75"/>
        <v>2.3036910314582268</v>
      </c>
      <c r="L221">
        <f t="shared" ca="1" si="76"/>
        <v>147.72088206291644</v>
      </c>
      <c r="M221">
        <f t="shared" ca="1" si="77"/>
        <v>138.50611793708353</v>
      </c>
      <c r="N221">
        <f t="shared" ca="1" si="66"/>
        <v>0.34000000000000341</v>
      </c>
      <c r="O221">
        <f t="shared" ca="1" si="67"/>
        <v>0.34000000000000341</v>
      </c>
      <c r="P221">
        <f t="shared" ca="1" si="68"/>
        <v>0</v>
      </c>
      <c r="Q221">
        <f t="shared" ca="1" si="72"/>
        <v>0.59478346000880022</v>
      </c>
      <c r="R221">
        <f t="shared" ca="1" si="73"/>
        <v>0.70721897140651868</v>
      </c>
      <c r="S221">
        <f t="shared" ca="1" si="70"/>
        <v>0.84101739921638918</v>
      </c>
      <c r="T221">
        <f t="shared" ca="1" si="71"/>
        <v>45.682208086374409</v>
      </c>
      <c r="U221">
        <f>70</f>
        <v>70</v>
      </c>
      <c r="V221">
        <f>30</f>
        <v>30</v>
      </c>
      <c r="W221">
        <f t="shared" ca="1" si="69"/>
        <v>141.92061449161375</v>
      </c>
      <c r="X221">
        <f t="shared" ref="X221:X252" ca="1" si="79">C221*(2/(26+1)) + X220*(1-(2/(26+1)))</f>
        <v>143.2447649515253</v>
      </c>
      <c r="Y221">
        <f t="shared" ca="1" si="78"/>
        <v>-1.1032652570838479</v>
      </c>
      <c r="Z221">
        <f t="shared" ca="1" si="59"/>
        <v>-1.1610544104301832</v>
      </c>
      <c r="AA221">
        <f t="shared" ca="1" si="60"/>
        <v>5.7789153346335276E-2</v>
      </c>
      <c r="AB221">
        <f t="shared" ca="1" si="61"/>
        <v>149.83419999999998</v>
      </c>
    </row>
    <row r="222" spans="1:28" x14ac:dyDescent="0.25">
      <c r="A222" s="20">
        <f t="shared" ca="1" si="62"/>
        <v>46034</v>
      </c>
      <c r="B222" vm="655">
        <f ca="1"/>
        <v>46034</v>
      </c>
      <c r="C222" vm="656">
        <f ca="1"/>
        <v>143.46</v>
      </c>
      <c r="D222" vm="657">
        <f ca="1"/>
        <v>12812014</v>
      </c>
      <c r="E222">
        <f t="shared" ca="1" si="63"/>
        <v>1838011528.4400001</v>
      </c>
      <c r="F222">
        <f ca="1">SUM($E$2:E222)/SUM($D$2:D222)</f>
        <v>156.10981275182752</v>
      </c>
      <c r="G222">
        <f ca="1">_xlfn.STDEV.P($C$2:C222)</f>
        <v>8.7271188991093549</v>
      </c>
      <c r="H222">
        <f t="shared" ca="1" si="64"/>
        <v>164.83693165093686</v>
      </c>
      <c r="I222">
        <f t="shared" ca="1" si="65"/>
        <v>147.38269385271818</v>
      </c>
      <c r="J222">
        <f t="shared" ca="1" si="74"/>
        <v>143.24849999999998</v>
      </c>
      <c r="K222">
        <f t="shared" ca="1" si="75"/>
        <v>2.2366499267290032</v>
      </c>
      <c r="L222">
        <f t="shared" ca="1" si="76"/>
        <v>147.72179985345798</v>
      </c>
      <c r="M222">
        <f t="shared" ca="1" si="77"/>
        <v>138.77520014654198</v>
      </c>
      <c r="N222">
        <f t="shared" ca="1" si="66"/>
        <v>1.5900000000000034</v>
      </c>
      <c r="O222">
        <f t="shared" ca="1" si="67"/>
        <v>1.5900000000000034</v>
      </c>
      <c r="P222">
        <f t="shared" ca="1" si="68"/>
        <v>0</v>
      </c>
      <c r="Q222">
        <f t="shared" ca="1" si="72"/>
        <v>0.66587035572245767</v>
      </c>
      <c r="R222">
        <f t="shared" ca="1" si="73"/>
        <v>0.65670333059176733</v>
      </c>
      <c r="S222">
        <f t="shared" ca="1" si="70"/>
        <v>1.0139591573601885</v>
      </c>
      <c r="T222">
        <f t="shared" ca="1" si="71"/>
        <v>50.346560090585101</v>
      </c>
      <c r="U222">
        <f>70</f>
        <v>70</v>
      </c>
      <c r="V222">
        <f>30</f>
        <v>30</v>
      </c>
      <c r="W222">
        <f t="shared" ca="1" si="69"/>
        <v>142.15744303136549</v>
      </c>
      <c r="X222">
        <f t="shared" ca="1" si="79"/>
        <v>143.26070828844934</v>
      </c>
      <c r="Y222">
        <f t="shared" ca="1" si="78"/>
        <v>-0.85541200407544693</v>
      </c>
      <c r="Z222">
        <f t="shared" ca="1" si="59"/>
        <v>-1.099925929159236</v>
      </c>
      <c r="AA222">
        <f t="shared" ca="1" si="60"/>
        <v>0.24451392508378911</v>
      </c>
      <c r="AB222">
        <f t="shared" ca="1" si="61"/>
        <v>149.68479999999997</v>
      </c>
    </row>
    <row r="223" spans="1:28" x14ac:dyDescent="0.25">
      <c r="A223" s="20">
        <f t="shared" ca="1" si="62"/>
        <v>46034</v>
      </c>
      <c r="B223" vm="658">
        <f ca="1"/>
        <v>46035</v>
      </c>
      <c r="C223" vm="659">
        <f ca="1"/>
        <v>144.24</v>
      </c>
      <c r="D223" vm="660">
        <f ca="1"/>
        <v>15549150</v>
      </c>
      <c r="E223">
        <f t="shared" ca="1" si="63"/>
        <v>2242809396</v>
      </c>
      <c r="F223">
        <f ca="1">SUM($E$2:E223)/SUM($D$2:D223)</f>
        <v>156.01228637452502</v>
      </c>
      <c r="G223">
        <f ca="1">_xlfn.STDEV.P($C$2:C223)</f>
        <v>8.7472181927697878</v>
      </c>
      <c r="H223">
        <f t="shared" ca="1" si="64"/>
        <v>164.75950456729481</v>
      </c>
      <c r="I223">
        <f t="shared" ca="1" si="65"/>
        <v>147.26506818175523</v>
      </c>
      <c r="J223">
        <f t="shared" ca="1" si="74"/>
        <v>143.3185</v>
      </c>
      <c r="K223">
        <f t="shared" ca="1" si="75"/>
        <v>2.2450841620609361</v>
      </c>
      <c r="L223">
        <f t="shared" ca="1" si="76"/>
        <v>147.80866832412187</v>
      </c>
      <c r="M223">
        <f t="shared" ca="1" si="77"/>
        <v>138.82833167587813</v>
      </c>
      <c r="N223">
        <f t="shared" ca="1" si="66"/>
        <v>0.78000000000000114</v>
      </c>
      <c r="O223">
        <f t="shared" ca="1" si="67"/>
        <v>0.78000000000000114</v>
      </c>
      <c r="P223">
        <f t="shared" ca="1" si="68"/>
        <v>0</v>
      </c>
      <c r="Q223">
        <f t="shared" ca="1" si="72"/>
        <v>0.67402247317085362</v>
      </c>
      <c r="R223">
        <f t="shared" ca="1" si="73"/>
        <v>0.60979594983521246</v>
      </c>
      <c r="S223">
        <f t="shared" ca="1" si="70"/>
        <v>1.1053246144927615</v>
      </c>
      <c r="T223">
        <f t="shared" ca="1" si="71"/>
        <v>52.501386574016223</v>
      </c>
      <c r="U223">
        <f>70</f>
        <v>70</v>
      </c>
      <c r="V223">
        <f>30</f>
        <v>30</v>
      </c>
      <c r="W223">
        <f t="shared" ca="1" si="69"/>
        <v>142.47783641115541</v>
      </c>
      <c r="X223">
        <f t="shared" ca="1" si="79"/>
        <v>143.33324841523086</v>
      </c>
      <c r="Y223">
        <f t="shared" ca="1" si="78"/>
        <v>-0.48315760922184836</v>
      </c>
      <c r="Z223">
        <f t="shared" ca="1" si="59"/>
        <v>-0.97657226517175855</v>
      </c>
      <c r="AA223">
        <f t="shared" ca="1" si="60"/>
        <v>0.49341465594991019</v>
      </c>
      <c r="AB223">
        <f t="shared" ca="1" si="61"/>
        <v>149.53209999999999</v>
      </c>
    </row>
    <row r="224" spans="1:28" x14ac:dyDescent="0.25">
      <c r="A224" s="20">
        <f t="shared" ca="1" si="62"/>
        <v>46034</v>
      </c>
      <c r="B224" vm="661">
        <f ca="1"/>
        <v>46036</v>
      </c>
      <c r="C224" vm="662">
        <f ca="1"/>
        <v>146.35</v>
      </c>
      <c r="D224" vm="663">
        <f ca="1"/>
        <v>13474983</v>
      </c>
      <c r="E224">
        <f t="shared" ca="1" si="63"/>
        <v>1972063762.05</v>
      </c>
      <c r="F224">
        <f ca="1">SUM($E$2:E224)/SUM($D$2:D224)</f>
        <v>155.94397416356338</v>
      </c>
      <c r="G224">
        <f ca="1">_xlfn.STDEV.P($C$2:C224)</f>
        <v>8.7545539675201418</v>
      </c>
      <c r="H224">
        <f t="shared" ca="1" si="64"/>
        <v>164.69852813108352</v>
      </c>
      <c r="I224">
        <f t="shared" ca="1" si="65"/>
        <v>147.18942019604324</v>
      </c>
      <c r="J224">
        <f t="shared" ca="1" si="74"/>
        <v>143.37950000000004</v>
      </c>
      <c r="K224">
        <f t="shared" ca="1" si="75"/>
        <v>2.3124570550777714</v>
      </c>
      <c r="L224">
        <f t="shared" ca="1" si="76"/>
        <v>148.00441411015558</v>
      </c>
      <c r="M224">
        <f t="shared" ca="1" si="77"/>
        <v>138.75458588984449</v>
      </c>
      <c r="N224">
        <f t="shared" ca="1" si="66"/>
        <v>2.1099999999999852</v>
      </c>
      <c r="O224">
        <f t="shared" ca="1" si="67"/>
        <v>2.1099999999999852</v>
      </c>
      <c r="P224">
        <f t="shared" ca="1" si="68"/>
        <v>0</v>
      </c>
      <c r="Q224">
        <f t="shared" ca="1" si="72"/>
        <v>0.77659229651579154</v>
      </c>
      <c r="R224">
        <f t="shared" ca="1" si="73"/>
        <v>0.56623909627555447</v>
      </c>
      <c r="S224">
        <f t="shared" ca="1" si="70"/>
        <v>1.3714918337921882</v>
      </c>
      <c r="T224">
        <f t="shared" ca="1" si="71"/>
        <v>57.832450200727564</v>
      </c>
      <c r="U224">
        <f>70</f>
        <v>70</v>
      </c>
      <c r="V224">
        <f>30</f>
        <v>30</v>
      </c>
      <c r="W224">
        <f t="shared" ca="1" si="69"/>
        <v>143.07355388636228</v>
      </c>
      <c r="X224">
        <f t="shared" ca="1" si="79"/>
        <v>143.55671149558412</v>
      </c>
      <c r="Y224">
        <f t="shared" ca="1" si="78"/>
        <v>-0.32320721314886214</v>
      </c>
      <c r="Z224">
        <f t="shared" ca="1" si="59"/>
        <v>-0.84589925476717931</v>
      </c>
      <c r="AA224">
        <f t="shared" ca="1" si="60"/>
        <v>0.52269204161831717</v>
      </c>
      <c r="AB224">
        <f t="shared" ca="1" si="61"/>
        <v>149.4083</v>
      </c>
    </row>
    <row r="225" spans="1:28" x14ac:dyDescent="0.25">
      <c r="A225" s="20">
        <f t="shared" ca="1" si="62"/>
        <v>46034</v>
      </c>
      <c r="B225" vm="664">
        <f ca="1"/>
        <v>46037</v>
      </c>
      <c r="C225" vm="665">
        <f ca="1"/>
        <v>144.63</v>
      </c>
      <c r="D225" vm="666">
        <f ca="1"/>
        <v>10102757</v>
      </c>
      <c r="E225">
        <f t="shared" ca="1" si="63"/>
        <v>1461161744.9099998</v>
      </c>
      <c r="F225">
        <f ca="1">SUM($E$2:E225)/SUM($D$2:D225)</f>
        <v>155.88431882266076</v>
      </c>
      <c r="G225">
        <f ca="1">_xlfn.STDEV.P($C$2:C225)</f>
        <v>8.7712503298067261</v>
      </c>
      <c r="H225">
        <f t="shared" ca="1" si="64"/>
        <v>164.65556915246748</v>
      </c>
      <c r="I225">
        <f t="shared" ca="1" si="65"/>
        <v>147.11306849285404</v>
      </c>
      <c r="J225">
        <f t="shared" ca="1" si="74"/>
        <v>143.35049999999998</v>
      </c>
      <c r="K225">
        <f t="shared" ca="1" si="75"/>
        <v>2.2918378628240035</v>
      </c>
      <c r="L225">
        <f t="shared" ca="1" si="76"/>
        <v>147.934175725648</v>
      </c>
      <c r="M225">
        <f t="shared" ca="1" si="77"/>
        <v>138.76682427435196</v>
      </c>
      <c r="N225">
        <f t="shared" ca="1" si="66"/>
        <v>-1.7199999999999989</v>
      </c>
      <c r="O225">
        <f t="shared" ca="1" si="67"/>
        <v>0</v>
      </c>
      <c r="P225">
        <f t="shared" ca="1" si="68"/>
        <v>1.7199999999999989</v>
      </c>
      <c r="Q225">
        <f t="shared" ca="1" si="72"/>
        <v>0.72112141819323494</v>
      </c>
      <c r="R225">
        <f t="shared" ca="1" si="73"/>
        <v>0.6486505893987291</v>
      </c>
      <c r="S225">
        <f t="shared" ca="1" si="70"/>
        <v>1.1117255267765704</v>
      </c>
      <c r="T225">
        <f t="shared" ca="1" si="71"/>
        <v>52.645360994122974</v>
      </c>
      <c r="U225">
        <f>70</f>
        <v>70</v>
      </c>
      <c r="V225">
        <f>30</f>
        <v>30</v>
      </c>
      <c r="W225">
        <f t="shared" ca="1" si="69"/>
        <v>143.31300713461422</v>
      </c>
      <c r="X225">
        <f t="shared" ca="1" si="79"/>
        <v>143.63621434776309</v>
      </c>
      <c r="Y225">
        <f t="shared" ca="1" si="78"/>
        <v>-0.20218388616117977</v>
      </c>
      <c r="Z225">
        <f t="shared" ca="1" si="59"/>
        <v>-0.71715618104597945</v>
      </c>
      <c r="AA225">
        <f t="shared" ca="1" si="60"/>
        <v>0.51497229488479968</v>
      </c>
      <c r="AB225">
        <f t="shared" ca="1" si="61"/>
        <v>149.2679</v>
      </c>
    </row>
    <row r="226" spans="1:28" x14ac:dyDescent="0.25">
      <c r="A226" s="20">
        <f t="shared" ca="1" si="62"/>
        <v>46034</v>
      </c>
      <c r="B226" vm="667">
        <f ca="1"/>
        <v>46038</v>
      </c>
      <c r="C226" vm="668">
        <f ca="1"/>
        <v>144.53</v>
      </c>
      <c r="D226" vm="669">
        <f ca="1"/>
        <v>11729334</v>
      </c>
      <c r="E226">
        <f t="shared" ca="1" si="63"/>
        <v>1695240643.02</v>
      </c>
      <c r="F226">
        <f ca="1">SUM($E$2:E226)/SUM($D$2:D226)</f>
        <v>155.81523470880478</v>
      </c>
      <c r="G226">
        <f ca="1">_xlfn.STDEV.P($C$2:C226)</f>
        <v>8.7880489348311936</v>
      </c>
      <c r="H226">
        <f t="shared" ca="1" si="64"/>
        <v>164.60328364363596</v>
      </c>
      <c r="I226">
        <f t="shared" ca="1" si="65"/>
        <v>147.0271857739736</v>
      </c>
      <c r="J226">
        <f t="shared" ca="1" si="74"/>
        <v>143.18650000000002</v>
      </c>
      <c r="K226">
        <f t="shared" ca="1" si="75"/>
        <v>2.0617322175399293</v>
      </c>
      <c r="L226">
        <f t="shared" ca="1" si="76"/>
        <v>147.30996443507988</v>
      </c>
      <c r="M226">
        <f t="shared" ca="1" si="77"/>
        <v>139.06303556492017</v>
      </c>
      <c r="N226">
        <f t="shared" ca="1" si="66"/>
        <v>-9.9999999999994316E-2</v>
      </c>
      <c r="O226">
        <f t="shared" ca="1" si="67"/>
        <v>0</v>
      </c>
      <c r="P226">
        <f t="shared" ca="1" si="68"/>
        <v>9.9999999999994316E-2</v>
      </c>
      <c r="Q226">
        <f t="shared" ca="1" si="72"/>
        <v>0.66961274546514671</v>
      </c>
      <c r="R226">
        <f t="shared" ca="1" si="73"/>
        <v>0.60946126158453384</v>
      </c>
      <c r="S226">
        <f t="shared" ca="1" si="70"/>
        <v>1.0986961562154507</v>
      </c>
      <c r="T226">
        <f t="shared" ca="1" si="71"/>
        <v>52.351368394208812</v>
      </c>
      <c r="U226">
        <f>70</f>
        <v>70</v>
      </c>
      <c r="V226">
        <f>30</f>
        <v>30</v>
      </c>
      <c r="W226">
        <f t="shared" ca="1" si="69"/>
        <v>143.50023680621206</v>
      </c>
      <c r="X226">
        <f t="shared" ca="1" si="79"/>
        <v>143.70242069237324</v>
      </c>
      <c r="Y226">
        <f t="shared" ca="1" si="78"/>
        <v>9.1976086677163948E-2</v>
      </c>
      <c r="Z226">
        <f t="shared" ca="1" si="59"/>
        <v>-0.55532972750135079</v>
      </c>
      <c r="AA226">
        <f t="shared" ca="1" si="60"/>
        <v>0.64730581417851474</v>
      </c>
      <c r="AB226">
        <f t="shared" ca="1" si="61"/>
        <v>149.15170000000001</v>
      </c>
    </row>
    <row r="227" spans="1:28" x14ac:dyDescent="0.25">
      <c r="A227" s="20">
        <f t="shared" ca="1" si="62"/>
        <v>46041</v>
      </c>
      <c r="B227" vm="670">
        <f ca="1"/>
        <v>46042</v>
      </c>
      <c r="C227" vm="671">
        <f ca="1"/>
        <v>147</v>
      </c>
      <c r="D227" vm="672">
        <f ca="1"/>
        <v>12901430</v>
      </c>
      <c r="E227">
        <f t="shared" ca="1" si="63"/>
        <v>1896510210</v>
      </c>
      <c r="F227">
        <f ca="1">SUM($E$2:E227)/SUM($D$2:D227)</f>
        <v>155.75663186444135</v>
      </c>
      <c r="G227">
        <f ca="1">_xlfn.STDEV.P($C$2:C227)</f>
        <v>8.7911035354218576</v>
      </c>
      <c r="H227">
        <f t="shared" ca="1" si="64"/>
        <v>164.5477353998632</v>
      </c>
      <c r="I227">
        <f t="shared" ca="1" si="65"/>
        <v>146.96552832901949</v>
      </c>
      <c r="J227">
        <f t="shared" ca="1" si="74"/>
        <v>143.26050000000001</v>
      </c>
      <c r="K227">
        <f t="shared" ca="1" si="75"/>
        <v>2.1734291968417598</v>
      </c>
      <c r="L227">
        <f t="shared" ca="1" si="76"/>
        <v>147.60735839368354</v>
      </c>
      <c r="M227">
        <f t="shared" ca="1" si="77"/>
        <v>138.91364160631647</v>
      </c>
      <c r="N227">
        <f t="shared" ca="1" si="66"/>
        <v>2.4699999999999989</v>
      </c>
      <c r="O227">
        <f t="shared" ca="1" si="67"/>
        <v>2.4699999999999989</v>
      </c>
      <c r="P227">
        <f t="shared" ca="1" si="68"/>
        <v>0</v>
      </c>
      <c r="Q227">
        <f t="shared" ca="1" si="72"/>
        <v>0.798211835074779</v>
      </c>
      <c r="R227">
        <f t="shared" ca="1" si="73"/>
        <v>0.56592831432849577</v>
      </c>
      <c r="S227">
        <f t="shared" ca="1" si="70"/>
        <v>1.4104468973634938</v>
      </c>
      <c r="T227">
        <f t="shared" ca="1" si="71"/>
        <v>58.513917021205359</v>
      </c>
      <c r="U227">
        <f>70</f>
        <v>70</v>
      </c>
      <c r="V227">
        <f>30</f>
        <v>30</v>
      </c>
      <c r="W227">
        <f t="shared" ca="1" si="69"/>
        <v>144.03866191294867</v>
      </c>
      <c r="X227">
        <f t="shared" ca="1" si="79"/>
        <v>143.9466858262715</v>
      </c>
      <c r="Y227">
        <f t="shared" ca="1" si="78"/>
        <v>0.24640938634618692</v>
      </c>
      <c r="Z227">
        <f t="shared" ca="1" si="59"/>
        <v>-0.39498190473184325</v>
      </c>
      <c r="AA227">
        <f t="shared" ca="1" si="60"/>
        <v>0.64139129107803017</v>
      </c>
      <c r="AB227">
        <f t="shared" ca="1" si="61"/>
        <v>149.06199999999998</v>
      </c>
    </row>
    <row r="228" spans="1:28" x14ac:dyDescent="0.25">
      <c r="A228" s="20">
        <f t="shared" ca="1" si="62"/>
        <v>46041</v>
      </c>
      <c r="B228" vm="673">
        <f ca="1"/>
        <v>46043</v>
      </c>
      <c r="C228" vm="674">
        <f ca="1"/>
        <v>146.06</v>
      </c>
      <c r="D228" vm="675">
        <f ca="1"/>
        <v>14126814</v>
      </c>
      <c r="E228">
        <f t="shared" ca="1" si="63"/>
        <v>2063362452.8399999</v>
      </c>
      <c r="F228">
        <f ca="1">SUM($E$2:E228)/SUM($D$2:D228)</f>
        <v>155.68655701399382</v>
      </c>
      <c r="G228">
        <f ca="1">_xlfn.STDEV.P($C$2:C228)</f>
        <v>8.7985741290826311</v>
      </c>
      <c r="H228">
        <f t="shared" ca="1" si="64"/>
        <v>164.48513114307644</v>
      </c>
      <c r="I228">
        <f t="shared" ca="1" si="65"/>
        <v>146.8879828849112</v>
      </c>
      <c r="J228">
        <f t="shared" ca="1" si="74"/>
        <v>143.34049999999999</v>
      </c>
      <c r="K228">
        <f t="shared" ca="1" si="75"/>
        <v>2.2480692885931686</v>
      </c>
      <c r="L228">
        <f t="shared" ca="1" si="76"/>
        <v>147.83663857718633</v>
      </c>
      <c r="M228">
        <f t="shared" ca="1" si="77"/>
        <v>138.84436142281365</v>
      </c>
      <c r="N228">
        <f t="shared" ca="1" si="66"/>
        <v>-0.93999999999999773</v>
      </c>
      <c r="O228">
        <f t="shared" ca="1" si="67"/>
        <v>0</v>
      </c>
      <c r="P228">
        <f t="shared" ca="1" si="68"/>
        <v>0.93999999999999773</v>
      </c>
      <c r="Q228">
        <f t="shared" ca="1" si="72"/>
        <v>0.74119670399800908</v>
      </c>
      <c r="R228">
        <f t="shared" ca="1" si="73"/>
        <v>0.59264772044788872</v>
      </c>
      <c r="S228">
        <f t="shared" ca="1" si="70"/>
        <v>1.2506530919208727</v>
      </c>
      <c r="T228">
        <f t="shared" ca="1" si="71"/>
        <v>55.568452393232818</v>
      </c>
      <c r="U228">
        <f>70</f>
        <v>70</v>
      </c>
      <c r="V228">
        <f>30</f>
        <v>30</v>
      </c>
      <c r="W228">
        <f t="shared" ca="1" si="69"/>
        <v>144.34963700326426</v>
      </c>
      <c r="X228">
        <f t="shared" ca="1" si="79"/>
        <v>144.10322761691808</v>
      </c>
      <c r="Y228">
        <f t="shared" ca="1" si="78"/>
        <v>0.67331400134219166</v>
      </c>
      <c r="Z228">
        <f t="shared" ca="1" si="59"/>
        <v>-0.18132272351703629</v>
      </c>
      <c r="AA228">
        <f t="shared" ca="1" si="60"/>
        <v>0.85463672485922793</v>
      </c>
      <c r="AB228">
        <f t="shared" ca="1" si="61"/>
        <v>148.95299999999997</v>
      </c>
    </row>
    <row r="229" spans="1:28" x14ac:dyDescent="0.25">
      <c r="A229" s="20">
        <f t="shared" ca="1" si="62"/>
        <v>46041</v>
      </c>
      <c r="B229" vm="676">
        <f ca="1"/>
        <v>46044</v>
      </c>
      <c r="C229" vm="677">
        <f ca="1"/>
        <v>149.93</v>
      </c>
      <c r="D229" vm="678">
        <f ca="1"/>
        <v>18501854</v>
      </c>
      <c r="E229">
        <f t="shared" ca="1" si="63"/>
        <v>2773982970.2200003</v>
      </c>
      <c r="F229">
        <f ca="1">SUM($E$2:E229)/SUM($D$2:D229)</f>
        <v>155.63258309947531</v>
      </c>
      <c r="G229">
        <f ca="1">_xlfn.STDEV.P($C$2:C229)</f>
        <v>8.7896195503663037</v>
      </c>
      <c r="H229">
        <f t="shared" ca="1" si="64"/>
        <v>164.42220264984161</v>
      </c>
      <c r="I229">
        <f t="shared" ca="1" si="65"/>
        <v>146.84296354910902</v>
      </c>
      <c r="J229">
        <f t="shared" ca="1" si="74"/>
        <v>143.70250000000001</v>
      </c>
      <c r="K229">
        <f t="shared" ca="1" si="75"/>
        <v>2.6793555293449933</v>
      </c>
      <c r="L229">
        <f t="shared" ca="1" si="76"/>
        <v>149.06121105868999</v>
      </c>
      <c r="M229">
        <f t="shared" ca="1" si="77"/>
        <v>138.34378894131004</v>
      </c>
      <c r="N229">
        <f t="shared" ca="1" si="66"/>
        <v>3.8700000000000045</v>
      </c>
      <c r="O229">
        <f t="shared" ca="1" si="67"/>
        <v>3.8700000000000045</v>
      </c>
      <c r="P229">
        <f t="shared" ca="1" si="68"/>
        <v>0</v>
      </c>
      <c r="Q229">
        <f t="shared" ca="1" si="72"/>
        <v>0.96468265371243722</v>
      </c>
      <c r="R229">
        <f t="shared" ca="1" si="73"/>
        <v>0.5503157404158967</v>
      </c>
      <c r="S229">
        <f t="shared" ca="1" si="70"/>
        <v>1.7529621322177447</v>
      </c>
      <c r="T229">
        <f t="shared" ca="1" si="71"/>
        <v>63.675490182118295</v>
      </c>
      <c r="U229">
        <f>70</f>
        <v>70</v>
      </c>
      <c r="V229">
        <f>30</f>
        <v>30</v>
      </c>
      <c r="W229">
        <f t="shared" ca="1" si="69"/>
        <v>145.20815438737745</v>
      </c>
      <c r="X229">
        <f t="shared" ca="1" si="79"/>
        <v>144.53484038603526</v>
      </c>
      <c r="Y229">
        <f t="shared" ca="1" si="78"/>
        <v>1.0176601925630848</v>
      </c>
      <c r="Z229">
        <f t="shared" ca="1" si="59"/>
        <v>5.847385969898794E-2</v>
      </c>
      <c r="AA229">
        <f t="shared" ca="1" si="60"/>
        <v>0.95918633286409682</v>
      </c>
      <c r="AB229">
        <f t="shared" ca="1" si="61"/>
        <v>148.89579999999998</v>
      </c>
    </row>
    <row r="230" spans="1:28" x14ac:dyDescent="0.25">
      <c r="A230" s="20">
        <f t="shared" ca="1" si="62"/>
        <v>46041</v>
      </c>
      <c r="B230" vm="679">
        <f ca="1"/>
        <v>46045</v>
      </c>
      <c r="C230" vm="680">
        <f ca="1"/>
        <v>150.15</v>
      </c>
      <c r="D230" vm="681">
        <f ca="1"/>
        <v>14562626</v>
      </c>
      <c r="E230">
        <f t="shared" ca="1" si="63"/>
        <v>2186578293.9000001</v>
      </c>
      <c r="F230">
        <f ca="1">SUM($E$2:E230)/SUM($D$2:D230)</f>
        <v>155.59241904653641</v>
      </c>
      <c r="G230">
        <f ca="1">_xlfn.STDEV.P($C$2:C230)</f>
        <v>8.7799557182118075</v>
      </c>
      <c r="H230">
        <f t="shared" ca="1" si="64"/>
        <v>164.3723747647482</v>
      </c>
      <c r="I230">
        <f t="shared" ca="1" si="65"/>
        <v>146.81246332832461</v>
      </c>
      <c r="J230">
        <f t="shared" ca="1" si="74"/>
        <v>144.05099999999999</v>
      </c>
      <c r="K230">
        <f t="shared" ca="1" si="75"/>
        <v>3.0372094186327674</v>
      </c>
      <c r="L230">
        <f t="shared" ca="1" si="76"/>
        <v>150.12541883726553</v>
      </c>
      <c r="M230">
        <f t="shared" ca="1" si="77"/>
        <v>137.97658116273445</v>
      </c>
      <c r="N230">
        <f t="shared" ca="1" si="66"/>
        <v>0.21999999999999886</v>
      </c>
      <c r="O230">
        <f t="shared" ca="1" si="67"/>
        <v>0.21999999999999886</v>
      </c>
      <c r="P230">
        <f t="shared" ca="1" si="68"/>
        <v>0</v>
      </c>
      <c r="Q230">
        <f t="shared" ca="1" si="72"/>
        <v>0.91149103559012012</v>
      </c>
      <c r="R230">
        <f t="shared" ca="1" si="73"/>
        <v>0.51100747324333262</v>
      </c>
      <c r="S230">
        <f t="shared" ca="1" si="70"/>
        <v>1.7837137093219855</v>
      </c>
      <c r="T230">
        <f t="shared" ca="1" si="71"/>
        <v>64.076765629624873</v>
      </c>
      <c r="U230">
        <f>70</f>
        <v>70</v>
      </c>
      <c r="V230">
        <f>30</f>
        <v>30</v>
      </c>
      <c r="W230">
        <f t="shared" ca="1" si="69"/>
        <v>145.96843832778092</v>
      </c>
      <c r="X230">
        <f t="shared" ca="1" si="79"/>
        <v>144.95077813521783</v>
      </c>
      <c r="Y230">
        <f t="shared" ca="1" si="78"/>
        <v>1.2232002547154934</v>
      </c>
      <c r="Z230">
        <f t="shared" ref="Z230:Z252" ca="1" si="80">Y230*(2/(9+1)) + Z229*(1-(2/(9+1)))</f>
        <v>0.29141913870228908</v>
      </c>
      <c r="AA230">
        <f t="shared" ref="AA230:AA252" ca="1" si="81">Y230-Z230</f>
        <v>0.93178111601320435</v>
      </c>
      <c r="AB230">
        <f t="shared" ref="AB230:AB252" ca="1" si="82">AVERAGE(C131:C230)</f>
        <v>148.82689999999997</v>
      </c>
    </row>
    <row r="231" spans="1:28" x14ac:dyDescent="0.25">
      <c r="A231" s="20">
        <f t="shared" ca="1" si="62"/>
        <v>46048</v>
      </c>
      <c r="B231" vm="682">
        <f ca="1"/>
        <v>46048</v>
      </c>
      <c r="C231" vm="683">
        <f ca="1"/>
        <v>149.49</v>
      </c>
      <c r="D231" vm="684">
        <f ca="1"/>
        <v>12655663</v>
      </c>
      <c r="E231">
        <f t="shared" ca="1" si="63"/>
        <v>1891895061.8700001</v>
      </c>
      <c r="F231">
        <f ca="1">SUM($E$2:E231)/SUM($D$2:D231)</f>
        <v>155.55381406142183</v>
      </c>
      <c r="G231">
        <f ca="1">_xlfn.STDEV.P($C$2:C231)</f>
        <v>8.7724036087958481</v>
      </c>
      <c r="H231">
        <f t="shared" ca="1" si="64"/>
        <v>164.32621767021769</v>
      </c>
      <c r="I231">
        <f t="shared" ca="1" si="65"/>
        <v>146.78141045262598</v>
      </c>
      <c r="J231">
        <f t="shared" ca="1" si="74"/>
        <v>144.30099999999999</v>
      </c>
      <c r="K231">
        <f t="shared" ca="1" si="75"/>
        <v>3.2719556360394839</v>
      </c>
      <c r="L231">
        <f t="shared" ca="1" si="76"/>
        <v>150.84491127207895</v>
      </c>
      <c r="M231">
        <f t="shared" ca="1" si="77"/>
        <v>137.75708872792103</v>
      </c>
      <c r="N231">
        <f t="shared" ca="1" si="66"/>
        <v>-0.65999999999999659</v>
      </c>
      <c r="O231">
        <f t="shared" ca="1" si="67"/>
        <v>0</v>
      </c>
      <c r="P231">
        <f t="shared" ca="1" si="68"/>
        <v>0.65999999999999659</v>
      </c>
      <c r="Q231">
        <f t="shared" ca="1" si="72"/>
        <v>0.84638453304796868</v>
      </c>
      <c r="R231">
        <f t="shared" ca="1" si="73"/>
        <v>0.52164979658309429</v>
      </c>
      <c r="S231">
        <f t="shared" ca="1" si="70"/>
        <v>1.62251483388271</v>
      </c>
      <c r="T231">
        <f t="shared" ca="1" si="71"/>
        <v>61.868661824899171</v>
      </c>
      <c r="U231">
        <f>70</f>
        <v>70</v>
      </c>
      <c r="V231">
        <f>30</f>
        <v>30</v>
      </c>
      <c r="W231">
        <f t="shared" ca="1" si="69"/>
        <v>146.51021704658385</v>
      </c>
      <c r="X231">
        <f t="shared" ca="1" si="79"/>
        <v>145.28701679186835</v>
      </c>
      <c r="Y231">
        <f t="shared" ca="1" si="78"/>
        <v>1.2785584201657514</v>
      </c>
      <c r="Z231">
        <f t="shared" ca="1" si="80"/>
        <v>0.48884699499498158</v>
      </c>
      <c r="AA231">
        <f t="shared" ca="1" si="81"/>
        <v>0.78971142517076975</v>
      </c>
      <c r="AB231">
        <f t="shared" ca="1" si="82"/>
        <v>148.74189999999999</v>
      </c>
    </row>
    <row r="232" spans="1:28" x14ac:dyDescent="0.25">
      <c r="A232" s="20">
        <f t="shared" ca="1" si="62"/>
        <v>46048</v>
      </c>
      <c r="B232" vm="685">
        <f ca="1"/>
        <v>46049</v>
      </c>
      <c r="C232" vm="686">
        <f ca="1"/>
        <v>148.34</v>
      </c>
      <c r="D232" vm="687">
        <f ca="1"/>
        <v>9546000</v>
      </c>
      <c r="E232">
        <f t="shared" ca="1" si="63"/>
        <v>1416053640</v>
      </c>
      <c r="F232">
        <f ca="1">SUM($E$2:E232)/SUM($D$2:D232)</f>
        <v>155.51955500338067</v>
      </c>
      <c r="G232">
        <f ca="1">_xlfn.STDEV.P($C$2:C232)</f>
        <v>8.7689871663288361</v>
      </c>
      <c r="H232">
        <f t="shared" ca="1" si="64"/>
        <v>164.2885421697095</v>
      </c>
      <c r="I232">
        <f t="shared" ca="1" si="65"/>
        <v>146.75056783705185</v>
      </c>
      <c r="J232">
        <f t="shared" ca="1" si="74"/>
        <v>144.48099999999999</v>
      </c>
      <c r="K232">
        <f t="shared" ca="1" si="75"/>
        <v>3.3941201479834775</v>
      </c>
      <c r="L232">
        <f t="shared" ca="1" si="76"/>
        <v>151.26924029596694</v>
      </c>
      <c r="M232">
        <f t="shared" ca="1" si="77"/>
        <v>137.69275970403305</v>
      </c>
      <c r="N232">
        <f t="shared" ca="1" si="66"/>
        <v>-1.1500000000000057</v>
      </c>
      <c r="O232">
        <f t="shared" ca="1" si="67"/>
        <v>0</v>
      </c>
      <c r="P232">
        <f t="shared" ca="1" si="68"/>
        <v>1.1500000000000057</v>
      </c>
      <c r="Q232">
        <f t="shared" ca="1" si="72"/>
        <v>0.78592849497311368</v>
      </c>
      <c r="R232">
        <f t="shared" ca="1" si="73"/>
        <v>0.56653195397001654</v>
      </c>
      <c r="S232">
        <f t="shared" ca="1" si="70"/>
        <v>1.3872624297105554</v>
      </c>
      <c r="T232">
        <f t="shared" ca="1" si="71"/>
        <v>58.111015045746548</v>
      </c>
      <c r="U232">
        <f>70</f>
        <v>70</v>
      </c>
      <c r="V232">
        <f>30</f>
        <v>30</v>
      </c>
      <c r="W232">
        <f t="shared" ca="1" si="69"/>
        <v>146.79172211634017</v>
      </c>
      <c r="X232">
        <f t="shared" ca="1" si="79"/>
        <v>145.51316369617442</v>
      </c>
      <c r="Y232">
        <f t="shared" ca="1" si="78"/>
        <v>1.2275876561149346</v>
      </c>
      <c r="Z232">
        <f t="shared" ca="1" si="80"/>
        <v>0.63659512721897227</v>
      </c>
      <c r="AA232">
        <f t="shared" ca="1" si="81"/>
        <v>0.59099252889596232</v>
      </c>
      <c r="AB232">
        <f t="shared" ca="1" si="82"/>
        <v>148.64359999999999</v>
      </c>
    </row>
    <row r="233" spans="1:28" x14ac:dyDescent="0.25">
      <c r="A233" s="20">
        <f t="shared" ca="1" si="62"/>
        <v>46048</v>
      </c>
      <c r="B233" vm="688">
        <f ca="1"/>
        <v>46050</v>
      </c>
      <c r="C233" vm="689">
        <f ca="1"/>
        <v>147.34</v>
      </c>
      <c r="D233" vm="690">
        <f ca="1"/>
        <v>7465812</v>
      </c>
      <c r="E233">
        <f t="shared" ca="1" si="63"/>
        <v>1100012740.0799999</v>
      </c>
      <c r="F233">
        <f ca="1">SUM($E$2:E233)/SUM($D$2:D233)</f>
        <v>155.48928686581624</v>
      </c>
      <c r="G233">
        <f ca="1">_xlfn.STDEV.P($C$2:C233)</f>
        <v>8.7695901957204896</v>
      </c>
      <c r="H233">
        <f t="shared" ca="1" si="64"/>
        <v>164.25887706153674</v>
      </c>
      <c r="I233">
        <f t="shared" ca="1" si="65"/>
        <v>146.71969667009574</v>
      </c>
      <c r="J233">
        <f t="shared" ca="1" si="74"/>
        <v>144.61950000000002</v>
      </c>
      <c r="K233">
        <f t="shared" ca="1" si="75"/>
        <v>3.4539321222721178</v>
      </c>
      <c r="L233">
        <f t="shared" ca="1" si="76"/>
        <v>151.52736424454426</v>
      </c>
      <c r="M233">
        <f t="shared" ca="1" si="77"/>
        <v>137.71163575545577</v>
      </c>
      <c r="N233">
        <f t="shared" ca="1" si="66"/>
        <v>-1</v>
      </c>
      <c r="O233">
        <f t="shared" ca="1" si="67"/>
        <v>0</v>
      </c>
      <c r="P233">
        <f t="shared" ca="1" si="68"/>
        <v>1</v>
      </c>
      <c r="Q233">
        <f t="shared" ca="1" si="72"/>
        <v>0.72979074533217692</v>
      </c>
      <c r="R233">
        <f t="shared" ca="1" si="73"/>
        <v>0.59749395725787247</v>
      </c>
      <c r="S233">
        <f t="shared" ca="1" si="70"/>
        <v>1.2214194578326194</v>
      </c>
      <c r="T233">
        <f t="shared" ca="1" si="71"/>
        <v>54.98373814661398</v>
      </c>
      <c r="U233">
        <f>70</f>
        <v>70</v>
      </c>
      <c r="V233">
        <f>30</f>
        <v>30</v>
      </c>
      <c r="W233">
        <f t="shared" ca="1" si="69"/>
        <v>146.87607255998014</v>
      </c>
      <c r="X233">
        <f t="shared" ca="1" si="79"/>
        <v>145.64848490386521</v>
      </c>
      <c r="Y233">
        <f t="shared" ca="1" si="78"/>
        <v>1.3778802181136882</v>
      </c>
      <c r="Z233">
        <f t="shared" ca="1" si="80"/>
        <v>0.78485214539791537</v>
      </c>
      <c r="AA233">
        <f t="shared" ca="1" si="81"/>
        <v>0.59302807271577285</v>
      </c>
      <c r="AB233">
        <f t="shared" ca="1" si="82"/>
        <v>148.52509999999998</v>
      </c>
    </row>
    <row r="234" spans="1:28" x14ac:dyDescent="0.25">
      <c r="A234" s="20">
        <f t="shared" ca="1" si="62"/>
        <v>46048</v>
      </c>
      <c r="B234" vm="691">
        <f ca="1"/>
        <v>46051</v>
      </c>
      <c r="C234" vm="692">
        <f ca="1"/>
        <v>149.9</v>
      </c>
      <c r="D234" vm="693">
        <f ca="1"/>
        <v>11035563</v>
      </c>
      <c r="E234">
        <f t="shared" ca="1" si="63"/>
        <v>1654230893.7</v>
      </c>
      <c r="F234">
        <f ca="1">SUM($E$2:E234)/SUM($D$2:D234)</f>
        <v>155.45888075842612</v>
      </c>
      <c r="G234">
        <f ca="1">_xlfn.STDEV.P($C$2:C234)</f>
        <v>8.760525057416503</v>
      </c>
      <c r="H234">
        <f t="shared" ca="1" si="64"/>
        <v>164.21940581584263</v>
      </c>
      <c r="I234">
        <f t="shared" ca="1" si="65"/>
        <v>146.6983557010096</v>
      </c>
      <c r="J234">
        <f t="shared" ca="1" si="74"/>
        <v>144.91200000000001</v>
      </c>
      <c r="K234">
        <f t="shared" ca="1" si="75"/>
        <v>3.6455561989907688</v>
      </c>
      <c r="L234">
        <f t="shared" ca="1" si="76"/>
        <v>152.20311239798156</v>
      </c>
      <c r="M234">
        <f t="shared" ca="1" si="77"/>
        <v>137.62088760201846</v>
      </c>
      <c r="N234">
        <f t="shared" ca="1" si="66"/>
        <v>2.5600000000000023</v>
      </c>
      <c r="O234">
        <f t="shared" ca="1" si="67"/>
        <v>2.5600000000000023</v>
      </c>
      <c r="P234">
        <f t="shared" ca="1" si="68"/>
        <v>0</v>
      </c>
      <c r="Q234">
        <f t="shared" ca="1" si="72"/>
        <v>0.86051997780845013</v>
      </c>
      <c r="R234">
        <f t="shared" ca="1" si="73"/>
        <v>0.55481581745373876</v>
      </c>
      <c r="S234">
        <f t="shared" ca="1" si="70"/>
        <v>1.5510011624356788</v>
      </c>
      <c r="T234">
        <f t="shared" ca="1" si="71"/>
        <v>60.799704260220452</v>
      </c>
      <c r="U234">
        <f>70</f>
        <v>70</v>
      </c>
      <c r="V234">
        <f>30</f>
        <v>30</v>
      </c>
      <c r="W234">
        <f t="shared" ca="1" si="69"/>
        <v>147.34129216613704</v>
      </c>
      <c r="X234">
        <f t="shared" ca="1" si="79"/>
        <v>145.96341194802335</v>
      </c>
      <c r="Y234">
        <f t="shared" ca="1" si="78"/>
        <v>1.6291022513820792</v>
      </c>
      <c r="Z234">
        <f t="shared" ca="1" si="80"/>
        <v>0.95370216659474827</v>
      </c>
      <c r="AA234">
        <f t="shared" ca="1" si="81"/>
        <v>0.67540008478733093</v>
      </c>
      <c r="AB234">
        <f t="shared" ca="1" si="82"/>
        <v>148.42389999999997</v>
      </c>
    </row>
    <row r="235" spans="1:28" x14ac:dyDescent="0.25">
      <c r="A235" s="20">
        <f t="shared" ca="1" si="62"/>
        <v>46048</v>
      </c>
      <c r="B235" vm="694">
        <f ca="1"/>
        <v>46052</v>
      </c>
      <c r="C235" vm="695">
        <f ca="1"/>
        <v>151.77000000000001</v>
      </c>
      <c r="D235" vm="696">
        <f ca="1"/>
        <v>12651426</v>
      </c>
      <c r="E235">
        <f t="shared" ca="1" si="63"/>
        <v>1920106924.0200002</v>
      </c>
      <c r="F235">
        <f ca="1">SUM($E$2:E235)/SUM($D$2:D235)</f>
        <v>155.43601719557316</v>
      </c>
      <c r="G235">
        <f ca="1">_xlfn.STDEV.P($C$2:C235)</f>
        <v>8.7465641025473975</v>
      </c>
      <c r="H235">
        <f t="shared" ca="1" si="64"/>
        <v>164.18258129812057</v>
      </c>
      <c r="I235">
        <f t="shared" ca="1" si="65"/>
        <v>146.68945309302575</v>
      </c>
      <c r="J235">
        <f t="shared" ca="1" si="74"/>
        <v>145.33500000000004</v>
      </c>
      <c r="K235">
        <f t="shared" ca="1" si="75"/>
        <v>3.9296357136642182</v>
      </c>
      <c r="L235">
        <f t="shared" ca="1" si="76"/>
        <v>153.19427142732846</v>
      </c>
      <c r="M235">
        <f t="shared" ca="1" si="77"/>
        <v>137.47572857267161</v>
      </c>
      <c r="N235">
        <f t="shared" ca="1" si="66"/>
        <v>1.8700000000000045</v>
      </c>
      <c r="O235">
        <f t="shared" ca="1" si="67"/>
        <v>1.8700000000000045</v>
      </c>
      <c r="P235">
        <f t="shared" ca="1" si="68"/>
        <v>0</v>
      </c>
      <c r="Q235">
        <f t="shared" ca="1" si="72"/>
        <v>0.9326256936792755</v>
      </c>
      <c r="R235">
        <f t="shared" ca="1" si="73"/>
        <v>0.51518611620704313</v>
      </c>
      <c r="S235">
        <f t="shared" ca="1" si="70"/>
        <v>1.8102694625110427</v>
      </c>
      <c r="T235">
        <f t="shared" ca="1" si="71"/>
        <v>64.416223663246996</v>
      </c>
      <c r="U235">
        <f>70</f>
        <v>70</v>
      </c>
      <c r="V235">
        <f>30</f>
        <v>30</v>
      </c>
      <c r="W235">
        <f t="shared" ca="1" si="69"/>
        <v>148.02263183288517</v>
      </c>
      <c r="X235">
        <f t="shared" ca="1" si="79"/>
        <v>146.39352958150309</v>
      </c>
      <c r="Y235">
        <f t="shared" ca="1" si="78"/>
        <v>1.9206397161777318</v>
      </c>
      <c r="Z235">
        <f t="shared" ca="1" si="80"/>
        <v>1.147089676511345</v>
      </c>
      <c r="AA235">
        <f t="shared" ca="1" si="81"/>
        <v>0.7735500396663868</v>
      </c>
      <c r="AB235">
        <f t="shared" ca="1" si="82"/>
        <v>148.35149999999999</v>
      </c>
    </row>
    <row r="236" spans="1:28" x14ac:dyDescent="0.25">
      <c r="A236" s="20">
        <f t="shared" ca="1" si="62"/>
        <v>46055</v>
      </c>
      <c r="B236" vm="697">
        <f ca="1"/>
        <v>46055</v>
      </c>
      <c r="C236" vm="698">
        <f ca="1"/>
        <v>153.19</v>
      </c>
      <c r="D236" vm="699">
        <f ca="1"/>
        <v>10554872</v>
      </c>
      <c r="E236">
        <f t="shared" ca="1" si="63"/>
        <v>1616900841.6800001</v>
      </c>
      <c r="F236">
        <f ca="1">SUM($E$2:E236)/SUM($D$2:D236)</f>
        <v>155.42446309963793</v>
      </c>
      <c r="G236">
        <f ca="1">_xlfn.STDEV.P($C$2:C236)</f>
        <v>8.7301079871171723</v>
      </c>
      <c r="H236">
        <f t="shared" ca="1" si="64"/>
        <v>164.15457108675511</v>
      </c>
      <c r="I236">
        <f t="shared" ca="1" si="65"/>
        <v>146.69435511252075</v>
      </c>
      <c r="J236">
        <f t="shared" ca="1" si="74"/>
        <v>145.90500000000003</v>
      </c>
      <c r="K236">
        <f t="shared" ca="1" si="75"/>
        <v>4.2054770052997892</v>
      </c>
      <c r="L236">
        <f t="shared" ca="1" si="76"/>
        <v>154.3159540105996</v>
      </c>
      <c r="M236">
        <f t="shared" ca="1" si="77"/>
        <v>137.49404598940046</v>
      </c>
      <c r="N236">
        <f t="shared" ca="1" si="66"/>
        <v>1.4199999999999875</v>
      </c>
      <c r="O236">
        <f t="shared" ca="1" si="67"/>
        <v>1.4199999999999875</v>
      </c>
      <c r="P236">
        <f t="shared" ca="1" si="68"/>
        <v>0</v>
      </c>
      <c r="Q236">
        <f t="shared" ca="1" si="72"/>
        <v>0.96743814413075491</v>
      </c>
      <c r="R236">
        <f t="shared" ca="1" si="73"/>
        <v>0.4783871079065401</v>
      </c>
      <c r="S236">
        <f t="shared" ca="1" si="70"/>
        <v>2.0222914207791698</v>
      </c>
      <c r="T236">
        <f t="shared" ca="1" si="71"/>
        <v>66.91252229600704</v>
      </c>
      <c r="U236">
        <f>70</f>
        <v>70</v>
      </c>
      <c r="V236">
        <f>30</f>
        <v>30</v>
      </c>
      <c r="W236">
        <f t="shared" ca="1" si="69"/>
        <v>148.81761155090283</v>
      </c>
      <c r="X236">
        <f t="shared" ca="1" si="79"/>
        <v>146.89697183472509</v>
      </c>
      <c r="Y236">
        <f t="shared" ca="1" si="78"/>
        <v>2.297079157642429</v>
      </c>
      <c r="Z236">
        <f t="shared" ca="1" si="80"/>
        <v>1.3770875727375618</v>
      </c>
      <c r="AA236">
        <f t="shared" ca="1" si="81"/>
        <v>0.91999158490486721</v>
      </c>
      <c r="AB236">
        <f t="shared" ca="1" si="82"/>
        <v>148.28879999999998</v>
      </c>
    </row>
    <row r="237" spans="1:28" x14ac:dyDescent="0.25">
      <c r="A237" s="20">
        <f t="shared" ca="1" si="62"/>
        <v>46055</v>
      </c>
      <c r="B237" vm="700">
        <f ca="1"/>
        <v>46056</v>
      </c>
      <c r="C237" vm="701">
        <f ca="1"/>
        <v>155.32</v>
      </c>
      <c r="D237" vm="702">
        <f ca="1"/>
        <v>12424740</v>
      </c>
      <c r="E237">
        <f t="shared" ca="1" si="63"/>
        <v>1929810616.8</v>
      </c>
      <c r="F237">
        <f ca="1">SUM($E$2:E237)/SUM($D$2:D237)</f>
        <v>155.42383432045384</v>
      </c>
      <c r="G237">
        <f ca="1">_xlfn.STDEV.P($C$2:C237)</f>
        <v>8.7117672201390057</v>
      </c>
      <c r="H237">
        <f t="shared" ca="1" si="64"/>
        <v>164.13560154059283</v>
      </c>
      <c r="I237">
        <f t="shared" ca="1" si="65"/>
        <v>146.71206710031484</v>
      </c>
      <c r="J237">
        <f t="shared" ca="1" si="74"/>
        <v>146.65250000000003</v>
      </c>
      <c r="K237">
        <f t="shared" ca="1" si="75"/>
        <v>4.4889664441653059</v>
      </c>
      <c r="L237">
        <f t="shared" ca="1" si="76"/>
        <v>155.63043288833063</v>
      </c>
      <c r="M237">
        <f t="shared" ca="1" si="77"/>
        <v>137.67456711166943</v>
      </c>
      <c r="N237">
        <f t="shared" ca="1" si="66"/>
        <v>2.1299999999999955</v>
      </c>
      <c r="O237">
        <f t="shared" ca="1" si="67"/>
        <v>2.1299999999999955</v>
      </c>
      <c r="P237">
        <f t="shared" ca="1" si="68"/>
        <v>0</v>
      </c>
      <c r="Q237">
        <f t="shared" ca="1" si="72"/>
        <v>1.0504782766928435</v>
      </c>
      <c r="R237">
        <f t="shared" ca="1" si="73"/>
        <v>0.44421660019893011</v>
      </c>
      <c r="S237">
        <f t="shared" ca="1" si="70"/>
        <v>2.3647884302892237</v>
      </c>
      <c r="T237">
        <f t="shared" ca="1" si="71"/>
        <v>70.28044940364812</v>
      </c>
      <c r="U237">
        <f>70</f>
        <v>70</v>
      </c>
      <c r="V237">
        <f>30</f>
        <v>30</v>
      </c>
      <c r="W237">
        <f t="shared" ca="1" si="69"/>
        <v>149.81797900461009</v>
      </c>
      <c r="X237">
        <f t="shared" ca="1" si="79"/>
        <v>147.52089984696767</v>
      </c>
      <c r="Y237">
        <f t="shared" ca="1" si="78"/>
        <v>2.6894795273638579</v>
      </c>
      <c r="Z237">
        <f t="shared" ca="1" si="80"/>
        <v>1.6395659636628208</v>
      </c>
      <c r="AA237">
        <f t="shared" ca="1" si="81"/>
        <v>1.0499135637010371</v>
      </c>
      <c r="AB237">
        <f t="shared" ca="1" si="82"/>
        <v>148.26849999999996</v>
      </c>
    </row>
    <row r="238" spans="1:28" x14ac:dyDescent="0.25">
      <c r="A238" s="20">
        <f t="shared" ca="1" si="62"/>
        <v>46055</v>
      </c>
      <c r="B238" vm="703">
        <f ca="1"/>
        <v>46057</v>
      </c>
      <c r="C238" vm="704">
        <f ca="1"/>
        <v>156.87</v>
      </c>
      <c r="D238" vm="705">
        <f ca="1"/>
        <v>12178463</v>
      </c>
      <c r="E238">
        <f t="shared" ca="1" si="63"/>
        <v>1910435490.8099999</v>
      </c>
      <c r="F238">
        <f ca="1">SUM($E$2:E238)/SUM($D$2:D238)</f>
        <v>155.43231642712277</v>
      </c>
      <c r="G238">
        <f ca="1">_xlfn.STDEV.P($C$2:C238)</f>
        <v>8.6934882546325927</v>
      </c>
      <c r="H238">
        <f t="shared" ca="1" si="64"/>
        <v>164.12580468175537</v>
      </c>
      <c r="I238">
        <f t="shared" ca="1" si="65"/>
        <v>146.73882817249017</v>
      </c>
      <c r="J238">
        <f t="shared" ca="1" si="74"/>
        <v>147.50050000000002</v>
      </c>
      <c r="K238">
        <f t="shared" ca="1" si="75"/>
        <v>4.7429698391131314</v>
      </c>
      <c r="L238">
        <f t="shared" ca="1" si="76"/>
        <v>156.98643967822628</v>
      </c>
      <c r="M238">
        <f t="shared" ca="1" si="77"/>
        <v>138.01456032177376</v>
      </c>
      <c r="N238">
        <f t="shared" ca="1" si="66"/>
        <v>1.5500000000000114</v>
      </c>
      <c r="O238">
        <f t="shared" ca="1" si="67"/>
        <v>1.5500000000000114</v>
      </c>
      <c r="P238">
        <f t="shared" ca="1" si="68"/>
        <v>0</v>
      </c>
      <c r="Q238">
        <f t="shared" ca="1" si="72"/>
        <v>1.0861583997862128</v>
      </c>
      <c r="R238">
        <f t="shared" ca="1" si="73"/>
        <v>0.41248684304186367</v>
      </c>
      <c r="S238">
        <f t="shared" ca="1" si="70"/>
        <v>2.6331952596994168</v>
      </c>
      <c r="T238">
        <f t="shared" ca="1" si="71"/>
        <v>72.476018256097461</v>
      </c>
      <c r="U238">
        <f>70</f>
        <v>70</v>
      </c>
      <c r="V238">
        <f>30</f>
        <v>30</v>
      </c>
      <c r="W238">
        <f t="shared" ca="1" si="69"/>
        <v>150.90290531159317</v>
      </c>
      <c r="X238">
        <f t="shared" ca="1" si="79"/>
        <v>148.21342578422932</v>
      </c>
      <c r="Y238">
        <f t="shared" ca="1" si="78"/>
        <v>3.1050697939277541</v>
      </c>
      <c r="Z238">
        <f t="shared" ca="1" si="80"/>
        <v>1.9326667297158076</v>
      </c>
      <c r="AA238">
        <f t="shared" ca="1" si="81"/>
        <v>1.1724030642119465</v>
      </c>
      <c r="AB238">
        <f t="shared" ca="1" si="82"/>
        <v>148.2509</v>
      </c>
    </row>
    <row r="239" spans="1:28" x14ac:dyDescent="0.25">
      <c r="A239" s="20">
        <f t="shared" ca="1" si="62"/>
        <v>46055</v>
      </c>
      <c r="B239" vm="706">
        <f ca="1"/>
        <v>46058</v>
      </c>
      <c r="C239" vm="707">
        <f ca="1"/>
        <v>158.61000000000001</v>
      </c>
      <c r="D239" vm="708">
        <f ca="1"/>
        <v>13077657</v>
      </c>
      <c r="E239">
        <f t="shared" ca="1" si="63"/>
        <v>2074247176.7700002</v>
      </c>
      <c r="F239">
        <f ca="1">SUM($E$2:E239)/SUM($D$2:D239)</f>
        <v>155.45220515711102</v>
      </c>
      <c r="G239">
        <f ca="1">_xlfn.STDEV.P($C$2:C239)</f>
        <v>8.6766420249813869</v>
      </c>
      <c r="H239">
        <f t="shared" ca="1" si="64"/>
        <v>164.12884718209241</v>
      </c>
      <c r="I239">
        <f t="shared" ca="1" si="65"/>
        <v>146.77556313212963</v>
      </c>
      <c r="J239">
        <f t="shared" ca="1" si="74"/>
        <v>148.52900000000002</v>
      </c>
      <c r="K239">
        <f t="shared" ca="1" si="75"/>
        <v>4.8132666443356005</v>
      </c>
      <c r="L239">
        <f t="shared" ca="1" si="76"/>
        <v>158.15553328867122</v>
      </c>
      <c r="M239">
        <f t="shared" ca="1" si="77"/>
        <v>138.90246671132883</v>
      </c>
      <c r="N239">
        <f t="shared" ca="1" si="66"/>
        <v>1.7400000000000091</v>
      </c>
      <c r="O239">
        <f t="shared" ca="1" si="67"/>
        <v>1.7400000000000091</v>
      </c>
      <c r="P239">
        <f t="shared" ca="1" si="68"/>
        <v>0</v>
      </c>
      <c r="Q239">
        <f t="shared" ca="1" si="72"/>
        <v>1.1328613712300553</v>
      </c>
      <c r="R239">
        <f t="shared" ca="1" si="73"/>
        <v>0.38302349711030198</v>
      </c>
      <c r="S239">
        <f t="shared" ca="1" si="70"/>
        <v>2.9576811338647904</v>
      </c>
      <c r="T239">
        <f t="shared" ca="1" si="71"/>
        <v>74.732678905248974</v>
      </c>
      <c r="U239">
        <f>70</f>
        <v>70</v>
      </c>
      <c r="V239">
        <f>30</f>
        <v>30</v>
      </c>
      <c r="W239">
        <f t="shared" ca="1" si="69"/>
        <v>152.08861218673269</v>
      </c>
      <c r="X239">
        <f t="shared" ca="1" si="79"/>
        <v>148.98354239280494</v>
      </c>
      <c r="Y239">
        <f t="shared" ca="1" si="78"/>
        <v>3.4399616575441598</v>
      </c>
      <c r="Z239">
        <f t="shared" ca="1" si="80"/>
        <v>2.2341257152814782</v>
      </c>
      <c r="AA239">
        <f t="shared" ca="1" si="81"/>
        <v>1.2058359422626816</v>
      </c>
      <c r="AB239">
        <f t="shared" ca="1" si="82"/>
        <v>148.25799999999998</v>
      </c>
    </row>
    <row r="240" spans="1:28" x14ac:dyDescent="0.25">
      <c r="A240" s="20">
        <f t="shared" ca="1" si="62"/>
        <v>46055</v>
      </c>
      <c r="B240" vm="709">
        <f ca="1"/>
        <v>46059</v>
      </c>
      <c r="C240" vm="710">
        <f ca="1"/>
        <v>159.16999999999999</v>
      </c>
      <c r="D240" vm="711">
        <f ca="1"/>
        <v>10441737</v>
      </c>
      <c r="E240">
        <f t="shared" ca="1" si="63"/>
        <v>1662011278.29</v>
      </c>
      <c r="F240">
        <f ca="1">SUM($E$2:E240)/SUM($D$2:D240)</f>
        <v>155.47069187089647</v>
      </c>
      <c r="G240">
        <f ca="1">_xlfn.STDEV.P($C$2:C240)</f>
        <v>8.6606227255690413</v>
      </c>
      <c r="H240">
        <f t="shared" ca="1" si="64"/>
        <v>164.13131459646553</v>
      </c>
      <c r="I240">
        <f t="shared" ca="1" si="65"/>
        <v>146.81006914532742</v>
      </c>
      <c r="J240">
        <f t="shared" ca="1" si="74"/>
        <v>149.411</v>
      </c>
      <c r="K240">
        <f t="shared" ca="1" si="75"/>
        <v>5.072472562245836</v>
      </c>
      <c r="L240">
        <f t="shared" ca="1" si="76"/>
        <v>159.55594512449167</v>
      </c>
      <c r="M240">
        <f t="shared" ca="1" si="77"/>
        <v>139.26605487550833</v>
      </c>
      <c r="N240">
        <f t="shared" ca="1" si="66"/>
        <v>0.55999999999997385</v>
      </c>
      <c r="O240">
        <f t="shared" ca="1" si="67"/>
        <v>0.55999999999997385</v>
      </c>
      <c r="P240">
        <f t="shared" ca="1" si="68"/>
        <v>0</v>
      </c>
      <c r="Q240">
        <f t="shared" ca="1" si="72"/>
        <v>1.091942701856478</v>
      </c>
      <c r="R240">
        <f t="shared" ca="1" si="73"/>
        <v>0.35566467588813755</v>
      </c>
      <c r="S240">
        <f t="shared" ca="1" si="70"/>
        <v>3.0701466181024739</v>
      </c>
      <c r="T240">
        <f t="shared" ca="1" si="71"/>
        <v>75.430860511206703</v>
      </c>
      <c r="U240">
        <f>70</f>
        <v>70</v>
      </c>
      <c r="V240">
        <f>30</f>
        <v>30</v>
      </c>
      <c r="W240">
        <f t="shared" ca="1" si="69"/>
        <v>153.17805646569687</v>
      </c>
      <c r="X240">
        <f t="shared" ca="1" si="79"/>
        <v>149.73809480815271</v>
      </c>
      <c r="Y240">
        <f t="shared" ca="1" si="78"/>
        <v>3.5163588537388364</v>
      </c>
      <c r="Z240">
        <f t="shared" ca="1" si="80"/>
        <v>2.4905723429729498</v>
      </c>
      <c r="AA240">
        <f t="shared" ca="1" si="81"/>
        <v>1.0257865107658866</v>
      </c>
      <c r="AB240">
        <f t="shared" ca="1" si="82"/>
        <v>148.28139999999996</v>
      </c>
    </row>
    <row r="241" spans="1:28" x14ac:dyDescent="0.25">
      <c r="A241" s="20">
        <f t="shared" ca="1" si="62"/>
        <v>46062</v>
      </c>
      <c r="B241" vm="712">
        <f ca="1"/>
        <v>46062</v>
      </c>
      <c r="C241" vm="713">
        <f ca="1"/>
        <v>157.33000000000001</v>
      </c>
      <c r="D241" vm="714">
        <f ca="1"/>
        <v>11439942</v>
      </c>
      <c r="E241">
        <f t="shared" ca="1" si="63"/>
        <v>1799846074.8600001</v>
      </c>
      <c r="F241">
        <f ca="1">SUM($E$2:E241)/SUM($D$2:D241)</f>
        <v>155.48076622440607</v>
      </c>
      <c r="G241">
        <f ca="1">_xlfn.STDEV.P($C$2:C241)</f>
        <v>8.6428718621787812</v>
      </c>
      <c r="H241">
        <f t="shared" ca="1" si="64"/>
        <v>164.12363808658486</v>
      </c>
      <c r="I241">
        <f t="shared" ca="1" si="65"/>
        <v>146.83789436222727</v>
      </c>
      <c r="J241">
        <f t="shared" ca="1" si="74"/>
        <v>150.18400000000003</v>
      </c>
      <c r="K241">
        <f t="shared" ca="1" si="75"/>
        <v>5.04069168186063</v>
      </c>
      <c r="L241">
        <f t="shared" ca="1" si="76"/>
        <v>160.2653833637213</v>
      </c>
      <c r="M241">
        <f t="shared" ca="1" si="77"/>
        <v>140.10261663627875</v>
      </c>
      <c r="N241">
        <f t="shared" ca="1" si="66"/>
        <v>-1.839999999999975</v>
      </c>
      <c r="O241">
        <f t="shared" ca="1" si="67"/>
        <v>0</v>
      </c>
      <c r="P241">
        <f t="shared" ca="1" si="68"/>
        <v>1.839999999999975</v>
      </c>
      <c r="Q241">
        <f t="shared" ca="1" si="72"/>
        <v>1.0139467945810152</v>
      </c>
      <c r="R241">
        <f t="shared" ca="1" si="73"/>
        <v>0.46168862761041168</v>
      </c>
      <c r="S241">
        <f t="shared" ca="1" si="70"/>
        <v>2.1961701760534105</v>
      </c>
      <c r="T241">
        <f t="shared" ca="1" si="71"/>
        <v>68.712554560070799</v>
      </c>
      <c r="U241">
        <f>70</f>
        <v>70</v>
      </c>
      <c r="V241">
        <f>30</f>
        <v>30</v>
      </c>
      <c r="W241">
        <f t="shared" ca="1" si="69"/>
        <v>153.81681700943579</v>
      </c>
      <c r="X241">
        <f t="shared" ca="1" si="79"/>
        <v>150.30045815569696</v>
      </c>
      <c r="Y241">
        <f t="shared" ca="1" si="78"/>
        <v>3.6757428809142993</v>
      </c>
      <c r="Z241">
        <f t="shared" ca="1" si="80"/>
        <v>2.7276064505612196</v>
      </c>
      <c r="AA241">
        <f t="shared" ca="1" si="81"/>
        <v>0.94813643035307971</v>
      </c>
      <c r="AB241">
        <f t="shared" ca="1" si="82"/>
        <v>148.27419999999998</v>
      </c>
    </row>
    <row r="242" spans="1:28" x14ac:dyDescent="0.25">
      <c r="A242" s="20">
        <f t="shared" ca="1" si="62"/>
        <v>46062</v>
      </c>
      <c r="B242" vm="715">
        <f ca="1"/>
        <v>46063</v>
      </c>
      <c r="C242" vm="238">
        <f ca="1"/>
        <v>159.08000000000001</v>
      </c>
      <c r="D242" vm="716">
        <f ca="1"/>
        <v>9910099</v>
      </c>
      <c r="E242">
        <f t="shared" ca="1" si="63"/>
        <v>1576498548.9200001</v>
      </c>
      <c r="F242">
        <f ca="1">SUM($E$2:E242)/SUM($D$2:D242)</f>
        <v>155.49758120395379</v>
      </c>
      <c r="G242">
        <f ca="1">_xlfn.STDEV.P($C$2:C242)</f>
        <v>8.6269132871756593</v>
      </c>
      <c r="H242">
        <f t="shared" ca="1" si="64"/>
        <v>164.12449449112944</v>
      </c>
      <c r="I242">
        <f t="shared" ca="1" si="65"/>
        <v>146.87066791677813</v>
      </c>
      <c r="J242">
        <f t="shared" ca="1" si="74"/>
        <v>150.965</v>
      </c>
      <c r="K242">
        <f t="shared" ca="1" si="75"/>
        <v>5.1528750278491708</v>
      </c>
      <c r="L242">
        <f t="shared" ca="1" si="76"/>
        <v>161.27075005569836</v>
      </c>
      <c r="M242">
        <f t="shared" ca="1" si="77"/>
        <v>140.65924994430165</v>
      </c>
      <c r="N242">
        <f t="shared" ca="1" si="66"/>
        <v>1.75</v>
      </c>
      <c r="O242">
        <f t="shared" ca="1" si="67"/>
        <v>1.75</v>
      </c>
      <c r="P242">
        <f t="shared" ca="1" si="68"/>
        <v>0</v>
      </c>
      <c r="Q242">
        <f t="shared" ca="1" si="72"/>
        <v>1.0665220235395141</v>
      </c>
      <c r="R242">
        <f t="shared" ca="1" si="73"/>
        <v>0.42871086849538231</v>
      </c>
      <c r="S242">
        <f t="shared" ca="1" si="70"/>
        <v>2.4877419769706672</v>
      </c>
      <c r="T242">
        <f t="shared" ca="1" si="71"/>
        <v>71.328154244123141</v>
      </c>
      <c r="U242">
        <f>70</f>
        <v>70</v>
      </c>
      <c r="V242">
        <f>30</f>
        <v>30</v>
      </c>
      <c r="W242">
        <f t="shared" ca="1" si="69"/>
        <v>154.62653746952259</v>
      </c>
      <c r="X242">
        <f t="shared" ca="1" si="79"/>
        <v>150.95079458860829</v>
      </c>
      <c r="Y242">
        <f t="shared" ca="1" si="78"/>
        <v>3.8321179121097373</v>
      </c>
      <c r="Z242">
        <f t="shared" ca="1" si="80"/>
        <v>2.9485087428709233</v>
      </c>
      <c r="AA242">
        <f t="shared" ca="1" si="81"/>
        <v>0.88360916923881394</v>
      </c>
      <c r="AB242">
        <f t="shared" ca="1" si="82"/>
        <v>148.26169999999999</v>
      </c>
    </row>
    <row r="243" spans="1:28" x14ac:dyDescent="0.25">
      <c r="A243" s="20">
        <f t="shared" ca="1" si="62"/>
        <v>46062</v>
      </c>
      <c r="B243" vm="717">
        <f ca="1"/>
        <v>46064</v>
      </c>
      <c r="C243" vm="718">
        <f ca="1"/>
        <v>160</v>
      </c>
      <c r="D243" vm="719">
        <f ca="1"/>
        <v>10217309</v>
      </c>
      <c r="E243">
        <f t="shared" ca="1" si="63"/>
        <v>1634769440</v>
      </c>
      <c r="F243">
        <f ca="1">SUM($E$2:E243)/SUM($D$2:D243)</f>
        <v>155.51916381031722</v>
      </c>
      <c r="G243">
        <f ca="1">_xlfn.STDEV.P($C$2:C243)</f>
        <v>8.6125055424937962</v>
      </c>
      <c r="H243">
        <f t="shared" ca="1" si="64"/>
        <v>164.13166935281103</v>
      </c>
      <c r="I243">
        <f t="shared" ca="1" si="65"/>
        <v>146.90665826782342</v>
      </c>
      <c r="J243">
        <f t="shared" ca="1" si="74"/>
        <v>151.75299999999999</v>
      </c>
      <c r="K243">
        <f t="shared" ca="1" si="75"/>
        <v>5.2739529766580224</v>
      </c>
      <c r="L243">
        <f t="shared" ca="1" si="76"/>
        <v>162.30090595331603</v>
      </c>
      <c r="M243">
        <f t="shared" ca="1" si="77"/>
        <v>141.20509404668394</v>
      </c>
      <c r="N243">
        <f t="shared" ca="1" si="66"/>
        <v>0.91999999999998749</v>
      </c>
      <c r="O243">
        <f t="shared" ca="1" si="67"/>
        <v>0.91999999999998749</v>
      </c>
      <c r="P243">
        <f t="shared" ca="1" si="68"/>
        <v>0</v>
      </c>
      <c r="Q243">
        <f t="shared" ca="1" si="72"/>
        <v>1.0560561647152622</v>
      </c>
      <c r="R243">
        <f t="shared" ca="1" si="73"/>
        <v>0.398088663602855</v>
      </c>
      <c r="S243">
        <f t="shared" ca="1" si="70"/>
        <v>2.6528164734899735</v>
      </c>
      <c r="T243">
        <f t="shared" ca="1" si="71"/>
        <v>72.623864153662765</v>
      </c>
      <c r="U243">
        <f>70</f>
        <v>70</v>
      </c>
      <c r="V243">
        <f>30</f>
        <v>30</v>
      </c>
      <c r="W243">
        <f t="shared" ca="1" si="69"/>
        <v>155.45322401267296</v>
      </c>
      <c r="X243">
        <f t="shared" ca="1" si="79"/>
        <v>151.62110610056322</v>
      </c>
      <c r="Y243">
        <f t="shared" ca="1" si="78"/>
        <v>4.0074873193185852</v>
      </c>
      <c r="Z243">
        <f t="shared" ca="1" si="80"/>
        <v>3.1603044581604558</v>
      </c>
      <c r="AA243">
        <f t="shared" ca="1" si="81"/>
        <v>0.84718286115812935</v>
      </c>
      <c r="AB243">
        <f t="shared" ca="1" si="82"/>
        <v>148.28849999999997</v>
      </c>
    </row>
    <row r="244" spans="1:28" x14ac:dyDescent="0.25">
      <c r="A244" s="20">
        <f t="shared" ca="1" si="62"/>
        <v>46062</v>
      </c>
      <c r="B244" vm="720">
        <f ca="1"/>
        <v>46065</v>
      </c>
      <c r="C244" vm="721">
        <f ca="1"/>
        <v>161.21</v>
      </c>
      <c r="D244" vm="722">
        <f ca="1"/>
        <v>13512862</v>
      </c>
      <c r="E244">
        <f t="shared" ca="1" si="63"/>
        <v>2178408483.02</v>
      </c>
      <c r="F244">
        <f ca="1">SUM($E$2:E244)/SUM($D$2:D244)</f>
        <v>155.55501472932067</v>
      </c>
      <c r="G244">
        <f ca="1">_xlfn.STDEV.P($C$2:C244)</f>
        <v>8.6006905317926918</v>
      </c>
      <c r="H244">
        <f t="shared" ca="1" si="64"/>
        <v>164.15570526111335</v>
      </c>
      <c r="I244">
        <f t="shared" ca="1" si="65"/>
        <v>146.954324197528</v>
      </c>
      <c r="J244">
        <f t="shared" ca="1" si="74"/>
        <v>152.49600000000001</v>
      </c>
      <c r="K244">
        <f t="shared" ca="1" si="75"/>
        <v>5.5139940629561623</v>
      </c>
      <c r="L244">
        <f t="shared" ca="1" si="76"/>
        <v>163.52398812591233</v>
      </c>
      <c r="M244">
        <f t="shared" ca="1" si="77"/>
        <v>141.46801187408769</v>
      </c>
      <c r="N244">
        <f t="shared" ca="1" si="66"/>
        <v>1.210000000000008</v>
      </c>
      <c r="O244">
        <f t="shared" ca="1" si="67"/>
        <v>1.210000000000008</v>
      </c>
      <c r="P244">
        <f t="shared" ca="1" si="68"/>
        <v>0</v>
      </c>
      <c r="Q244">
        <f t="shared" ca="1" si="72"/>
        <v>1.0670521529498869</v>
      </c>
      <c r="R244">
        <f t="shared" ca="1" si="73"/>
        <v>0.36965375905979397</v>
      </c>
      <c r="S244">
        <f t="shared" ca="1" si="70"/>
        <v>2.8866260028409019</v>
      </c>
      <c r="T244">
        <f t="shared" ca="1" si="71"/>
        <v>74.270742817316176</v>
      </c>
      <c r="U244">
        <f>70</f>
        <v>70</v>
      </c>
      <c r="V244">
        <f>30</f>
        <v>30</v>
      </c>
      <c r="W244">
        <f t="shared" ca="1" si="69"/>
        <v>156.33888185687712</v>
      </c>
      <c r="X244">
        <f t="shared" ca="1" si="79"/>
        <v>152.33139453755854</v>
      </c>
      <c r="Y244">
        <f t="shared" ca="1" si="78"/>
        <v>4.0082754609287292</v>
      </c>
      <c r="Z244">
        <f t="shared" ca="1" si="80"/>
        <v>3.3298986587141108</v>
      </c>
      <c r="AA244">
        <f t="shared" ca="1" si="81"/>
        <v>0.67837680221461838</v>
      </c>
      <c r="AB244">
        <f t="shared" ca="1" si="82"/>
        <v>148.34019999999995</v>
      </c>
    </row>
    <row r="245" spans="1:28" x14ac:dyDescent="0.25">
      <c r="A245" s="20">
        <f t="shared" ca="1" si="62"/>
        <v>46062</v>
      </c>
      <c r="B245" vm="723">
        <f ca="1"/>
        <v>46066</v>
      </c>
      <c r="C245" vm="724">
        <f ca="1"/>
        <v>160.07</v>
      </c>
      <c r="D245" vm="725">
        <f ca="1"/>
        <v>13999208</v>
      </c>
      <c r="E245">
        <f t="shared" ca="1" si="63"/>
        <v>2240853224.5599999</v>
      </c>
      <c r="F245">
        <f ca="1">SUM($E$2:E245)/SUM($D$2:D245)</f>
        <v>155.58429071036767</v>
      </c>
      <c r="G245">
        <f ca="1">_xlfn.STDEV.P($C$2:C245)</f>
        <v>8.5865264858290384</v>
      </c>
      <c r="H245">
        <f t="shared" ca="1" si="64"/>
        <v>164.17081719619671</v>
      </c>
      <c r="I245">
        <f t="shared" ca="1" si="65"/>
        <v>146.99776422453863</v>
      </c>
      <c r="J245">
        <f t="shared" ca="1" si="74"/>
        <v>153.268</v>
      </c>
      <c r="K245">
        <f t="shared" ca="1" si="75"/>
        <v>5.4350244273890604</v>
      </c>
      <c r="L245">
        <f t="shared" ca="1" si="76"/>
        <v>164.13804885477813</v>
      </c>
      <c r="M245">
        <f t="shared" ca="1" si="77"/>
        <v>142.39795114522187</v>
      </c>
      <c r="N245">
        <f t="shared" ca="1" si="66"/>
        <v>-1.1400000000000148</v>
      </c>
      <c r="O245">
        <f t="shared" ca="1" si="67"/>
        <v>0</v>
      </c>
      <c r="P245">
        <f t="shared" ca="1" si="68"/>
        <v>1.1400000000000148</v>
      </c>
      <c r="Q245">
        <f t="shared" ca="1" si="72"/>
        <v>0.99083414202489506</v>
      </c>
      <c r="R245">
        <f t="shared" ca="1" si="73"/>
        <v>0.42467849055552404</v>
      </c>
      <c r="S245">
        <f t="shared" ca="1" si="70"/>
        <v>2.3331394550469935</v>
      </c>
      <c r="T245">
        <f t="shared" ca="1" si="71"/>
        <v>69.998254993927304</v>
      </c>
      <c r="U245">
        <f>70</f>
        <v>70</v>
      </c>
      <c r="V245">
        <f>30</f>
        <v>30</v>
      </c>
      <c r="W245">
        <f t="shared" ca="1" si="69"/>
        <v>156.91290003274219</v>
      </c>
      <c r="X245">
        <f t="shared" ca="1" si="79"/>
        <v>152.90462457181346</v>
      </c>
      <c r="Y245">
        <f t="shared" ca="1" si="78"/>
        <v>3.9217331164816471</v>
      </c>
      <c r="Z245">
        <f t="shared" ca="1" si="80"/>
        <v>3.4482655502676183</v>
      </c>
      <c r="AA245">
        <f t="shared" ca="1" si="81"/>
        <v>0.47346756621402886</v>
      </c>
      <c r="AB245">
        <f t="shared" ca="1" si="82"/>
        <v>148.41019999999995</v>
      </c>
    </row>
    <row r="246" spans="1:28" x14ac:dyDescent="0.25">
      <c r="A246" s="20">
        <f t="shared" ca="1" si="62"/>
        <v>46069</v>
      </c>
      <c r="B246" vm="726">
        <f ca="1"/>
        <v>46070</v>
      </c>
      <c r="C246" vm="727">
        <f ca="1"/>
        <v>159.55000000000001</v>
      </c>
      <c r="D246" vm="728">
        <f ca="1"/>
        <v>13319135</v>
      </c>
      <c r="E246">
        <f t="shared" ca="1" si="63"/>
        <v>2125067989.2500002</v>
      </c>
      <c r="F246">
        <f ca="1">SUM($E$2:E246)/SUM($D$2:D246)</f>
        <v>155.60860589305642</v>
      </c>
      <c r="G246">
        <f ca="1">_xlfn.STDEV.P($C$2:C246)</f>
        <v>8.5715513363414466</v>
      </c>
      <c r="H246">
        <f t="shared" ca="1" si="64"/>
        <v>164.18015722939788</v>
      </c>
      <c r="I246">
        <f t="shared" ca="1" si="65"/>
        <v>147.03705455671496</v>
      </c>
      <c r="J246">
        <f t="shared" ca="1" si="74"/>
        <v>154.01900000000003</v>
      </c>
      <c r="K246">
        <f t="shared" ca="1" si="75"/>
        <v>5.19656354060825</v>
      </c>
      <c r="L246">
        <f t="shared" ca="1" si="76"/>
        <v>164.41212708121654</v>
      </c>
      <c r="M246">
        <f t="shared" ca="1" si="77"/>
        <v>143.62587291878353</v>
      </c>
      <c r="N246">
        <f t="shared" ca="1" si="66"/>
        <v>-0.51999999999998181</v>
      </c>
      <c r="O246">
        <f t="shared" ca="1" si="67"/>
        <v>0</v>
      </c>
      <c r="P246">
        <f t="shared" ca="1" si="68"/>
        <v>0.51999999999998181</v>
      </c>
      <c r="Q246">
        <f t="shared" ca="1" si="72"/>
        <v>0.92006027473740259</v>
      </c>
      <c r="R246">
        <f t="shared" ca="1" si="73"/>
        <v>0.43148716980155671</v>
      </c>
      <c r="S246">
        <f t="shared" ca="1" si="70"/>
        <v>2.1323004231169684</v>
      </c>
      <c r="T246">
        <f t="shared" ca="1" si="71"/>
        <v>68.074582098836657</v>
      </c>
      <c r="U246">
        <f>70</f>
        <v>70</v>
      </c>
      <c r="V246">
        <f>30</f>
        <v>30</v>
      </c>
      <c r="W246">
        <f t="shared" ca="1" si="69"/>
        <v>157.31860772001264</v>
      </c>
      <c r="X246">
        <f t="shared" ca="1" si="79"/>
        <v>153.39687460353099</v>
      </c>
      <c r="Y246">
        <f t="shared" ca="1" si="78"/>
        <v>3.5946502754877088</v>
      </c>
      <c r="Z246">
        <f t="shared" ca="1" si="80"/>
        <v>3.4775424953116367</v>
      </c>
      <c r="AA246">
        <f t="shared" ca="1" si="81"/>
        <v>0.11710778017607204</v>
      </c>
      <c r="AB246">
        <f t="shared" ca="1" si="82"/>
        <v>148.48069999999996</v>
      </c>
    </row>
    <row r="247" spans="1:28" x14ac:dyDescent="0.25">
      <c r="A247" s="20">
        <f t="shared" ca="1" si="62"/>
        <v>46069</v>
      </c>
      <c r="B247" vm="729">
        <f ca="1"/>
        <v>46071</v>
      </c>
      <c r="C247" vm="730">
        <f ca="1"/>
        <v>156.86000000000001</v>
      </c>
      <c r="D247" vm="731">
        <f ca="1"/>
        <v>14434308</v>
      </c>
      <c r="E247">
        <f t="shared" ca="1" si="63"/>
        <v>2264165552.8800001</v>
      </c>
      <c r="F247">
        <f ca="1">SUM($E$2:E247)/SUM($D$2:D247)</f>
        <v>155.61686616785639</v>
      </c>
      <c r="G247">
        <f ca="1">_xlfn.STDEV.P($C$2:C247)</f>
        <v>8.5541930381504407</v>
      </c>
      <c r="H247">
        <f t="shared" ca="1" si="64"/>
        <v>164.17105920600682</v>
      </c>
      <c r="I247">
        <f t="shared" ca="1" si="65"/>
        <v>147.06267312970596</v>
      </c>
      <c r="J247">
        <f t="shared" ca="1" si="74"/>
        <v>154.51200000000003</v>
      </c>
      <c r="K247">
        <f t="shared" ca="1" si="75"/>
        <v>4.9578492790406816</v>
      </c>
      <c r="L247">
        <f t="shared" ca="1" si="76"/>
        <v>164.4276985580814</v>
      </c>
      <c r="M247">
        <f t="shared" ca="1" si="77"/>
        <v>144.59630144191865</v>
      </c>
      <c r="N247">
        <f t="shared" ca="1" si="66"/>
        <v>-2.6899999999999977</v>
      </c>
      <c r="O247">
        <f t="shared" ca="1" si="67"/>
        <v>0</v>
      </c>
      <c r="P247">
        <f t="shared" ca="1" si="68"/>
        <v>2.6899999999999977</v>
      </c>
      <c r="Q247">
        <f t="shared" ca="1" si="72"/>
        <v>0.85434168368473096</v>
      </c>
      <c r="R247">
        <f t="shared" ca="1" si="73"/>
        <v>0.59280951481573108</v>
      </c>
      <c r="S247">
        <f t="shared" ca="1" si="70"/>
        <v>1.4411740404509104</v>
      </c>
      <c r="T247">
        <f t="shared" ca="1" si="71"/>
        <v>59.036103799658235</v>
      </c>
      <c r="U247">
        <f>70</f>
        <v>70</v>
      </c>
      <c r="V247">
        <f>30</f>
        <v>30</v>
      </c>
      <c r="W247">
        <f t="shared" ca="1" si="69"/>
        <v>157.24805268616456</v>
      </c>
      <c r="X247">
        <f t="shared" ca="1" si="79"/>
        <v>153.65340241067685</v>
      </c>
      <c r="Y247">
        <f t="shared" ca="1" si="78"/>
        <v>3.433036650486855</v>
      </c>
      <c r="Z247">
        <f t="shared" ca="1" si="80"/>
        <v>3.4686413263466807</v>
      </c>
      <c r="AA247">
        <f t="shared" ca="1" si="81"/>
        <v>-3.560467585982563E-2</v>
      </c>
      <c r="AB247">
        <f t="shared" ca="1" si="82"/>
        <v>148.52509999999995</v>
      </c>
    </row>
    <row r="248" spans="1:28" x14ac:dyDescent="0.25">
      <c r="A248" s="20">
        <f t="shared" ca="1" si="62"/>
        <v>46069</v>
      </c>
      <c r="B248" vm="732">
        <f ca="1"/>
        <v>46072</v>
      </c>
      <c r="C248" vm="733">
        <f ca="1"/>
        <v>158.56</v>
      </c>
      <c r="D248" vm="734">
        <f ca="1"/>
        <v>10724558</v>
      </c>
      <c r="E248">
        <f t="shared" ca="1" si="63"/>
        <v>1700485916.48</v>
      </c>
      <c r="F248">
        <f ca="1">SUM($E$2:E248)/SUM($D$2:D248)</f>
        <v>155.63122995952784</v>
      </c>
      <c r="G248">
        <f ca="1">_xlfn.STDEV.P($C$2:C248)</f>
        <v>8.538090910959502</v>
      </c>
      <c r="H248">
        <f t="shared" ca="1" si="64"/>
        <v>164.16932087048735</v>
      </c>
      <c r="I248">
        <f t="shared" ca="1" si="65"/>
        <v>147.09313904856833</v>
      </c>
      <c r="J248">
        <f t="shared" ca="1" si="74"/>
        <v>155.13700000000003</v>
      </c>
      <c r="K248">
        <f t="shared" ca="1" si="75"/>
        <v>4.6121271493861977</v>
      </c>
      <c r="L248">
        <f t="shared" ca="1" si="76"/>
        <v>164.36125429877242</v>
      </c>
      <c r="M248">
        <f t="shared" ca="1" si="77"/>
        <v>145.91274570122764</v>
      </c>
      <c r="N248">
        <f t="shared" ca="1" si="66"/>
        <v>1.6999999999999886</v>
      </c>
      <c r="O248">
        <f t="shared" ca="1" si="67"/>
        <v>1.6999999999999886</v>
      </c>
      <c r="P248">
        <f t="shared" ca="1" si="68"/>
        <v>0</v>
      </c>
      <c r="Q248">
        <f t="shared" ca="1" si="72"/>
        <v>0.9147458491358208</v>
      </c>
      <c r="R248">
        <f t="shared" ca="1" si="73"/>
        <v>0.55046597804317887</v>
      </c>
      <c r="S248">
        <f t="shared" ca="1" si="70"/>
        <v>1.6617663681733799</v>
      </c>
      <c r="T248">
        <f t="shared" ca="1" si="71"/>
        <v>62.430962688650858</v>
      </c>
      <c r="U248">
        <f>70</f>
        <v>70</v>
      </c>
      <c r="V248">
        <f>30</f>
        <v>30</v>
      </c>
      <c r="W248">
        <f t="shared" ca="1" si="69"/>
        <v>157.44989073444691</v>
      </c>
      <c r="X248">
        <f t="shared" ca="1" si="79"/>
        <v>154.01685408396006</v>
      </c>
      <c r="Y248">
        <f t="shared" ca="1" si="78"/>
        <v>3.4443873813211212</v>
      </c>
      <c r="Z248">
        <f t="shared" ca="1" si="80"/>
        <v>3.4637905373415689</v>
      </c>
      <c r="AA248">
        <f t="shared" ca="1" si="81"/>
        <v>-1.9403156020447732E-2</v>
      </c>
      <c r="AB248">
        <f t="shared" ca="1" si="82"/>
        <v>148.58919999999995</v>
      </c>
    </row>
    <row r="249" spans="1:28" x14ac:dyDescent="0.25">
      <c r="A249" s="20">
        <f t="shared" ca="1" si="62"/>
        <v>46069</v>
      </c>
      <c r="B249" vm="735">
        <f ca="1"/>
        <v>46073</v>
      </c>
      <c r="C249" vm="736">
        <f ca="1"/>
        <v>160.78</v>
      </c>
      <c r="D249" vm="737">
        <f ca="1"/>
        <v>11508133</v>
      </c>
      <c r="E249">
        <f t="shared" ca="1" si="63"/>
        <v>1850277623.74</v>
      </c>
      <c r="F249">
        <f ca="1">SUM($E$2:E249)/SUM($D$2:D249)</f>
        <v>155.65805371468619</v>
      </c>
      <c r="G249">
        <f ca="1">_xlfn.STDEV.P($C$2:C249)</f>
        <v>8.5256186829402019</v>
      </c>
      <c r="H249">
        <f t="shared" ca="1" si="64"/>
        <v>164.1836723976264</v>
      </c>
      <c r="I249">
        <f t="shared" ca="1" si="65"/>
        <v>147.13243503174598</v>
      </c>
      <c r="J249">
        <f t="shared" ca="1" si="74"/>
        <v>155.67950000000002</v>
      </c>
      <c r="K249">
        <f t="shared" ca="1" si="75"/>
        <v>4.60552925697385</v>
      </c>
      <c r="L249">
        <f t="shared" ca="1" si="76"/>
        <v>164.89055851394772</v>
      </c>
      <c r="M249">
        <f t="shared" ca="1" si="77"/>
        <v>146.46844148605231</v>
      </c>
      <c r="N249">
        <f t="shared" ca="1" si="66"/>
        <v>2.2199999999999989</v>
      </c>
      <c r="O249">
        <f t="shared" ca="1" si="67"/>
        <v>2.2199999999999989</v>
      </c>
      <c r="P249">
        <f t="shared" ca="1" si="68"/>
        <v>0</v>
      </c>
      <c r="Q249">
        <f t="shared" ca="1" si="72"/>
        <v>1.0079782884832622</v>
      </c>
      <c r="R249">
        <f t="shared" ca="1" si="73"/>
        <v>0.51114697961152322</v>
      </c>
      <c r="S249">
        <f t="shared" ca="1" si="70"/>
        <v>1.9719930444455247</v>
      </c>
      <c r="T249">
        <f t="shared" ca="1" si="71"/>
        <v>66.352545748081766</v>
      </c>
      <c r="U249">
        <f>70</f>
        <v>70</v>
      </c>
      <c r="V249">
        <f>30</f>
        <v>30</v>
      </c>
      <c r="W249">
        <f t="shared" ca="1" si="69"/>
        <v>157.96221523683968</v>
      </c>
      <c r="X249">
        <f t="shared" ca="1" si="79"/>
        <v>154.51782785551856</v>
      </c>
      <c r="Y249">
        <f t="shared" ca="1" si="78"/>
        <v>3.7642275564041086</v>
      </c>
      <c r="Z249">
        <f t="shared" ca="1" si="80"/>
        <v>3.523877941154077</v>
      </c>
      <c r="AA249">
        <f t="shared" ca="1" si="81"/>
        <v>0.24034961525003151</v>
      </c>
      <c r="AB249">
        <f t="shared" ca="1" si="82"/>
        <v>148.67199999999997</v>
      </c>
    </row>
    <row r="250" spans="1:28" x14ac:dyDescent="0.25">
      <c r="A250" s="20">
        <f t="shared" ca="1" si="62"/>
        <v>46076</v>
      </c>
      <c r="B250" vm="738">
        <f ca="1"/>
        <v>46076</v>
      </c>
      <c r="C250" vm="739">
        <f ca="1"/>
        <v>165.17</v>
      </c>
      <c r="D250" vm="740">
        <f ca="1"/>
        <v>14772449</v>
      </c>
      <c r="E250">
        <f t="shared" ca="1" si="63"/>
        <v>2439965401.3299999</v>
      </c>
      <c r="F250">
        <f ca="1">SUM($E$2:E250)/SUM($D$2:D250)</f>
        <v>155.72124226932209</v>
      </c>
      <c r="G250">
        <f ca="1">_xlfn.STDEV.P($C$2:C250)</f>
        <v>8.5269400517810006</v>
      </c>
      <c r="H250">
        <f t="shared" ca="1" si="64"/>
        <v>164.24818232110309</v>
      </c>
      <c r="I250">
        <f t="shared" ca="1" si="65"/>
        <v>147.19430221754109</v>
      </c>
      <c r="J250">
        <f t="shared" ca="1" si="74"/>
        <v>156.43050000000002</v>
      </c>
      <c r="K250">
        <f t="shared" ca="1" si="75"/>
        <v>4.8732421662099146</v>
      </c>
      <c r="L250">
        <f t="shared" ca="1" si="76"/>
        <v>166.17698433241986</v>
      </c>
      <c r="M250">
        <f t="shared" ca="1" si="77"/>
        <v>146.68401566758018</v>
      </c>
      <c r="N250">
        <f t="shared" ca="1" si="66"/>
        <v>4.3899999999999864</v>
      </c>
      <c r="O250">
        <f t="shared" ca="1" si="67"/>
        <v>4.3899999999999864</v>
      </c>
      <c r="P250">
        <f t="shared" ca="1" si="68"/>
        <v>0</v>
      </c>
      <c r="Q250">
        <f t="shared" ca="1" si="72"/>
        <v>1.2495512678773137</v>
      </c>
      <c r="R250">
        <f t="shared" ca="1" si="73"/>
        <v>0.47463648106784301</v>
      </c>
      <c r="S250">
        <f t="shared" ca="1" si="70"/>
        <v>2.6326490223972203</v>
      </c>
      <c r="T250">
        <f t="shared" ca="1" si="71"/>
        <v>72.471879506264813</v>
      </c>
      <c r="U250">
        <f>70</f>
        <v>70</v>
      </c>
      <c r="V250">
        <f>30</f>
        <v>30</v>
      </c>
      <c r="W250">
        <f t="shared" ca="1" si="69"/>
        <v>159.0711052004028</v>
      </c>
      <c r="X250">
        <f t="shared" ca="1" si="79"/>
        <v>155.30687764399869</v>
      </c>
      <c r="Y250">
        <f t="shared" ca="1" si="78"/>
        <v>3.9806923368092555</v>
      </c>
      <c r="Z250">
        <f t="shared" ca="1" si="80"/>
        <v>3.6152408202851127</v>
      </c>
      <c r="AA250">
        <f t="shared" ca="1" si="81"/>
        <v>0.36545151652414276</v>
      </c>
      <c r="AB250">
        <f t="shared" ca="1" si="82"/>
        <v>148.7884</v>
      </c>
    </row>
    <row r="251" spans="1:28" x14ac:dyDescent="0.25">
      <c r="A251" s="20">
        <f t="shared" ca="1" si="62"/>
        <v>46076</v>
      </c>
      <c r="B251" vm="741">
        <f ca="1"/>
        <v>46077</v>
      </c>
      <c r="C251" vm="742">
        <f ca="1"/>
        <v>165.28</v>
      </c>
      <c r="D251" vm="743">
        <f ca="1"/>
        <v>9709847</v>
      </c>
      <c r="E251">
        <f t="shared" ca="1" si="63"/>
        <v>1604843512.1600001</v>
      </c>
      <c r="F251">
        <f ca="1">SUM($E$2:E251)/SUM($D$2:D251)</f>
        <v>155.76279869395032</v>
      </c>
      <c r="G251">
        <f ca="1">_xlfn.STDEV.P($C$2:C251)</f>
        <v>8.5285603591696528</v>
      </c>
      <c r="H251">
        <f t="shared" ca="1" si="64"/>
        <v>164.29135905311998</v>
      </c>
      <c r="I251">
        <f t="shared" ca="1" si="65"/>
        <v>147.23423833478066</v>
      </c>
      <c r="J251">
        <f t="shared" ca="1" si="74"/>
        <v>157.22000000000006</v>
      </c>
      <c r="K251">
        <f t="shared" ca="1" si="75"/>
        <v>4.9677814597241419</v>
      </c>
      <c r="L251">
        <f t="shared" ca="1" si="76"/>
        <v>167.15556291944833</v>
      </c>
      <c r="M251">
        <f t="shared" ca="1" si="77"/>
        <v>147.28443708055178</v>
      </c>
      <c r="N251">
        <f t="shared" ca="1" si="66"/>
        <v>0.11000000000001364</v>
      </c>
      <c r="O251">
        <f t="shared" ca="1" si="67"/>
        <v>0.11000000000001364</v>
      </c>
      <c r="P251">
        <f t="shared" ca="1" si="68"/>
        <v>0</v>
      </c>
      <c r="Q251">
        <f t="shared" ca="1" si="72"/>
        <v>1.1681547487432209</v>
      </c>
      <c r="R251">
        <f t="shared" ca="1" si="73"/>
        <v>0.4407338752772828</v>
      </c>
      <c r="S251">
        <f t="shared" ca="1" si="70"/>
        <v>2.6504764309489244</v>
      </c>
      <c r="T251">
        <f t="shared" ca="1" si="71"/>
        <v>72.606315397027373</v>
      </c>
      <c r="U251">
        <f>70</f>
        <v>70</v>
      </c>
      <c r="V251">
        <f>30</f>
        <v>30</v>
      </c>
      <c r="W251">
        <f t="shared" ca="1" si="69"/>
        <v>160.0263197849562</v>
      </c>
      <c r="X251">
        <f t="shared" ca="1" si="79"/>
        <v>156.04562744814694</v>
      </c>
      <c r="Y251">
        <f t="shared" ca="1" si="78"/>
        <v>3.9541540042285988</v>
      </c>
      <c r="Z251">
        <f t="shared" ca="1" si="80"/>
        <v>3.6830234570738098</v>
      </c>
      <c r="AA251">
        <f t="shared" ca="1" si="81"/>
        <v>0.2711305471547889</v>
      </c>
      <c r="AB251">
        <f t="shared" ca="1" si="82"/>
        <v>148.90469999999999</v>
      </c>
    </row>
    <row r="252" spans="1:28" x14ac:dyDescent="0.25">
      <c r="A252" s="20">
        <f t="shared" ca="1" si="62"/>
        <v>46076</v>
      </c>
      <c r="B252" vm="744">
        <f ca="1"/>
        <v>46078</v>
      </c>
      <c r="C252" vm="745">
        <f ca="1"/>
        <v>163.38999999999999</v>
      </c>
      <c r="D252" vm="746">
        <f ca="1"/>
        <v>7878458</v>
      </c>
      <c r="E252">
        <f t="shared" ca="1" si="63"/>
        <v>1287261252.6199999</v>
      </c>
      <c r="F252">
        <f ca="1">SUM($E$2:E252)/SUM($D$2:D252)</f>
        <v>155.78960898287787</v>
      </c>
      <c r="G252">
        <f ca="1">_xlfn.STDEV.P($C$2:C252)</f>
        <v>8.5230177254721191</v>
      </c>
      <c r="H252">
        <f t="shared" ca="1" si="64"/>
        <v>164.31262670835</v>
      </c>
      <c r="I252">
        <f t="shared" ca="1" si="65"/>
        <v>147.26659125740574</v>
      </c>
      <c r="J252">
        <f t="shared" ca="1" si="74"/>
        <v>157.97250000000003</v>
      </c>
      <c r="K252">
        <f t="shared" ca="1" si="75"/>
        <v>4.6836084548022061</v>
      </c>
      <c r="L252">
        <f t="shared" ca="1" si="76"/>
        <v>167.33971690960445</v>
      </c>
      <c r="M252">
        <f t="shared" ca="1" si="77"/>
        <v>148.6052830903956</v>
      </c>
      <c r="N252">
        <f t="shared" ca="1" si="66"/>
        <v>-1.8900000000000148</v>
      </c>
      <c r="O252">
        <f t="shared" ca="1" si="67"/>
        <v>0</v>
      </c>
      <c r="P252">
        <f t="shared" ca="1" si="68"/>
        <v>1.8900000000000148</v>
      </c>
      <c r="Q252">
        <f t="shared" ca="1" si="72"/>
        <v>1.0847151238329908</v>
      </c>
      <c r="R252">
        <f t="shared" ca="1" si="73"/>
        <v>0.54425288418604933</v>
      </c>
      <c r="S252">
        <f t="shared" ca="1" si="70"/>
        <v>1.993035141109492</v>
      </c>
      <c r="T252">
        <f t="shared" ca="1" si="71"/>
        <v>66.589099263655527</v>
      </c>
      <c r="U252">
        <f>70</f>
        <v>70</v>
      </c>
      <c r="V252">
        <f>30</f>
        <v>30</v>
      </c>
      <c r="W252">
        <f t="shared" ca="1" si="69"/>
        <v>160.54380904880909</v>
      </c>
      <c r="X252">
        <f t="shared" ca="1" si="79"/>
        <v>156.5896550445805</v>
      </c>
      <c r="Y252">
        <f t="shared" si="78"/>
        <v>0</v>
      </c>
      <c r="Z252">
        <f t="shared" ca="1" si="80"/>
        <v>2.9464187656590481</v>
      </c>
      <c r="AA252">
        <f t="shared" ca="1" si="81"/>
        <v>-2.9464187656590481</v>
      </c>
      <c r="AB252">
        <f t="shared" ca="1" si="82"/>
        <v>149.0068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4C35-70BE-41E7-92F0-6607B2127896}">
  <dimension ref="A1:B1000"/>
  <sheetViews>
    <sheetView workbookViewId="0">
      <selection sqref="A1:B1048576"/>
    </sheetView>
  </sheetViews>
  <sheetFormatPr defaultRowHeight="15" x14ac:dyDescent="0.25"/>
  <cols>
    <col min="1" max="1" width="10.7109375" style="20" bestFit="1" customWidth="1"/>
    <col min="2" max="2" width="9.85546875" bestFit="1" customWidth="1"/>
  </cols>
  <sheetData>
    <row r="1" spans="1:2" ht="18" customHeight="1" thickBot="1" x14ac:dyDescent="0.3">
      <c r="A1" s="26" t="s">
        <v>47</v>
      </c>
      <c r="B1" s="22" t="s">
        <v>48</v>
      </c>
    </row>
    <row r="2" spans="1:2" ht="15.75" thickBot="1" x14ac:dyDescent="0.3">
      <c r="A2" s="27">
        <v>36544</v>
      </c>
      <c r="B2" s="24">
        <v>0.16</v>
      </c>
    </row>
    <row r="3" spans="1:2" ht="15.75" thickBot="1" x14ac:dyDescent="0.3">
      <c r="A3" s="27">
        <v>36634</v>
      </c>
      <c r="B3" s="24">
        <v>0.16</v>
      </c>
    </row>
    <row r="4" spans="1:2" ht="15.75" thickBot="1" x14ac:dyDescent="0.3">
      <c r="A4" s="27">
        <v>36726</v>
      </c>
      <c r="B4" s="24">
        <v>0.18</v>
      </c>
    </row>
    <row r="5" spans="1:2" ht="15.75" thickBot="1" x14ac:dyDescent="0.3">
      <c r="A5" s="27">
        <v>36817</v>
      </c>
      <c r="B5" s="24">
        <v>0.18</v>
      </c>
    </row>
    <row r="6" spans="1:2" ht="15.75" thickBot="1" x14ac:dyDescent="0.3">
      <c r="A6" s="27">
        <v>36908</v>
      </c>
      <c r="B6" s="24">
        <v>0.18</v>
      </c>
    </row>
    <row r="7" spans="1:2" ht="15.75" thickBot="1" x14ac:dyDescent="0.3">
      <c r="A7" s="27">
        <v>36999</v>
      </c>
      <c r="B7" s="24">
        <v>0.18</v>
      </c>
    </row>
    <row r="8" spans="1:2" ht="15.75" thickBot="1" x14ac:dyDescent="0.3">
      <c r="A8" s="27">
        <v>37090</v>
      </c>
      <c r="B8" s="24">
        <v>0.19</v>
      </c>
    </row>
    <row r="9" spans="1:2" ht="15.75" thickBot="1" x14ac:dyDescent="0.3">
      <c r="A9" s="27">
        <v>37181</v>
      </c>
      <c r="B9" s="24">
        <v>0.19</v>
      </c>
    </row>
    <row r="10" spans="1:2" ht="15.75" thickBot="1" x14ac:dyDescent="0.3">
      <c r="A10" s="27">
        <v>37272</v>
      </c>
      <c r="B10" s="24">
        <v>0.19</v>
      </c>
    </row>
    <row r="11" spans="1:2" ht="15.75" thickBot="1" x14ac:dyDescent="0.3">
      <c r="A11" s="27">
        <v>37363</v>
      </c>
      <c r="B11" s="24">
        <v>0.19</v>
      </c>
    </row>
    <row r="12" spans="1:2" ht="15.75" thickBot="1" x14ac:dyDescent="0.3">
      <c r="A12" s="27">
        <v>37410</v>
      </c>
      <c r="B12" s="24">
        <v>0.35</v>
      </c>
    </row>
    <row r="13" spans="1:2" ht="15.75" thickBot="1" x14ac:dyDescent="0.3">
      <c r="A13" s="27">
        <v>37454</v>
      </c>
      <c r="B13" s="24">
        <v>0.21</v>
      </c>
    </row>
    <row r="14" spans="1:2" ht="15.75" thickBot="1" x14ac:dyDescent="0.3">
      <c r="A14" s="27">
        <v>37545</v>
      </c>
      <c r="B14" s="24">
        <v>0.21</v>
      </c>
    </row>
    <row r="15" spans="1:2" ht="15.75" thickBot="1" x14ac:dyDescent="0.3">
      <c r="A15" s="27">
        <v>37643</v>
      </c>
      <c r="B15" s="24">
        <v>0.21</v>
      </c>
    </row>
    <row r="16" spans="1:2" ht="15.75" thickBot="1" x14ac:dyDescent="0.3">
      <c r="A16" s="27">
        <v>37726</v>
      </c>
      <c r="B16" s="24">
        <v>0.21</v>
      </c>
    </row>
    <row r="17" spans="1:2" ht="15.75" thickBot="1" x14ac:dyDescent="0.3">
      <c r="A17" s="27">
        <v>37818</v>
      </c>
      <c r="B17" s="24">
        <v>0.23</v>
      </c>
    </row>
    <row r="18" spans="1:2" ht="15.75" thickBot="1" x14ac:dyDescent="0.3">
      <c r="A18" s="27">
        <v>37916</v>
      </c>
      <c r="B18" s="24">
        <v>0.23</v>
      </c>
    </row>
    <row r="19" spans="1:2" ht="15.75" thickBot="1" x14ac:dyDescent="0.3">
      <c r="A19" s="27">
        <v>38007</v>
      </c>
      <c r="B19" s="24">
        <v>0.23</v>
      </c>
    </row>
    <row r="20" spans="1:2" ht="15.75" thickBot="1" x14ac:dyDescent="0.3">
      <c r="A20" s="27">
        <v>38098</v>
      </c>
      <c r="B20" s="24">
        <v>0.25</v>
      </c>
    </row>
    <row r="21" spans="1:2" ht="15.75" thickBot="1" x14ac:dyDescent="0.3">
      <c r="A21" s="27">
        <v>38189</v>
      </c>
      <c r="B21" s="24">
        <v>0.25</v>
      </c>
    </row>
    <row r="22" spans="1:2" ht="15.75" thickBot="1" x14ac:dyDescent="0.3">
      <c r="A22" s="27">
        <v>38280</v>
      </c>
      <c r="B22" s="24">
        <v>0.25</v>
      </c>
    </row>
    <row r="23" spans="1:2" ht="15.75" thickBot="1" x14ac:dyDescent="0.3">
      <c r="A23" s="27">
        <v>38371</v>
      </c>
      <c r="B23" s="24">
        <v>0.25</v>
      </c>
    </row>
    <row r="24" spans="1:2" ht="15.75" thickBot="1" x14ac:dyDescent="0.3">
      <c r="A24" s="27">
        <v>38462</v>
      </c>
      <c r="B24" s="24">
        <v>0.28000000000000003</v>
      </c>
    </row>
    <row r="25" spans="1:2" ht="15.75" thickBot="1" x14ac:dyDescent="0.3">
      <c r="A25" s="27">
        <v>38553</v>
      </c>
      <c r="B25" s="24">
        <v>0.28000000000000003</v>
      </c>
    </row>
    <row r="26" spans="1:2" ht="15.75" thickBot="1" x14ac:dyDescent="0.3">
      <c r="A26" s="27">
        <v>38644</v>
      </c>
      <c r="B26" s="24">
        <v>0.28000000000000003</v>
      </c>
    </row>
    <row r="27" spans="1:2" ht="15.75" thickBot="1" x14ac:dyDescent="0.3">
      <c r="A27" s="27">
        <v>38735</v>
      </c>
      <c r="B27" s="24">
        <v>0.28000000000000003</v>
      </c>
    </row>
    <row r="28" spans="1:2" ht="15.75" thickBot="1" x14ac:dyDescent="0.3">
      <c r="A28" s="27">
        <v>38826</v>
      </c>
      <c r="B28" s="24">
        <v>0.31</v>
      </c>
    </row>
    <row r="29" spans="1:2" ht="15.75" thickBot="1" x14ac:dyDescent="0.3">
      <c r="A29" s="27">
        <v>38917</v>
      </c>
      <c r="B29" s="24">
        <v>0.31</v>
      </c>
    </row>
    <row r="30" spans="1:2" ht="15.75" thickBot="1" x14ac:dyDescent="0.3">
      <c r="A30" s="27">
        <v>39008</v>
      </c>
      <c r="B30" s="24">
        <v>0.31</v>
      </c>
    </row>
    <row r="31" spans="1:2" ht="15.75" thickBot="1" x14ac:dyDescent="0.3">
      <c r="A31" s="27">
        <v>39099</v>
      </c>
      <c r="B31" s="24">
        <v>0.31</v>
      </c>
    </row>
    <row r="32" spans="1:2" ht="15.75" thickBot="1" x14ac:dyDescent="0.3">
      <c r="A32" s="27">
        <v>39197</v>
      </c>
      <c r="B32" s="24">
        <v>0.35</v>
      </c>
    </row>
    <row r="33" spans="1:2" ht="15.75" thickBot="1" x14ac:dyDescent="0.3">
      <c r="A33" s="27">
        <v>39281</v>
      </c>
      <c r="B33" s="24">
        <v>0.35</v>
      </c>
    </row>
    <row r="34" spans="1:2" ht="15.75" thickBot="1" x14ac:dyDescent="0.3">
      <c r="A34" s="27">
        <v>39372</v>
      </c>
      <c r="B34" s="24">
        <v>0.35</v>
      </c>
    </row>
    <row r="35" spans="1:2" ht="15.75" thickBot="1" x14ac:dyDescent="0.3">
      <c r="A35" s="27">
        <v>39463</v>
      </c>
      <c r="B35" s="24">
        <v>0.35</v>
      </c>
    </row>
    <row r="36" spans="1:2" ht="15.75" thickBot="1" x14ac:dyDescent="0.3">
      <c r="A36" s="27">
        <v>39554</v>
      </c>
      <c r="B36" s="24">
        <v>0.4</v>
      </c>
    </row>
    <row r="37" spans="1:2" ht="15.75" thickBot="1" x14ac:dyDescent="0.3">
      <c r="A37" s="27">
        <v>39645</v>
      </c>
      <c r="B37" s="24">
        <v>0.4</v>
      </c>
    </row>
    <row r="38" spans="1:2" ht="15.75" thickBot="1" x14ac:dyDescent="0.3">
      <c r="A38" s="27">
        <v>39743</v>
      </c>
      <c r="B38" s="24">
        <v>0.4</v>
      </c>
    </row>
    <row r="39" spans="1:2" ht="15.75" thickBot="1" x14ac:dyDescent="0.3">
      <c r="A39" s="27">
        <v>39834</v>
      </c>
      <c r="B39" s="24">
        <v>0.4</v>
      </c>
    </row>
    <row r="40" spans="1:2" ht="15.75" thickBot="1" x14ac:dyDescent="0.3">
      <c r="A40" s="27">
        <v>39925</v>
      </c>
      <c r="B40" s="24">
        <v>0.44</v>
      </c>
    </row>
    <row r="41" spans="1:2" ht="15.75" thickBot="1" x14ac:dyDescent="0.3">
      <c r="A41" s="27">
        <v>40016</v>
      </c>
      <c r="B41" s="24">
        <v>0.44</v>
      </c>
    </row>
    <row r="42" spans="1:2" ht="15.75" thickBot="1" x14ac:dyDescent="0.3">
      <c r="A42" s="27">
        <v>40107</v>
      </c>
      <c r="B42" s="24">
        <v>0.44</v>
      </c>
    </row>
    <row r="43" spans="1:2" ht="15.75" thickBot="1" x14ac:dyDescent="0.3">
      <c r="A43" s="27">
        <v>40198</v>
      </c>
      <c r="B43" s="24">
        <v>0.44</v>
      </c>
    </row>
    <row r="44" spans="1:2" ht="15.75" thickBot="1" x14ac:dyDescent="0.3">
      <c r="A44" s="27">
        <v>40296</v>
      </c>
      <c r="B44" s="24">
        <v>0.48</v>
      </c>
    </row>
    <row r="45" spans="1:2" ht="15.75" thickBot="1" x14ac:dyDescent="0.3">
      <c r="A45" s="27">
        <v>40380</v>
      </c>
      <c r="B45" s="24">
        <v>0.48</v>
      </c>
    </row>
    <row r="46" spans="1:2" ht="15.75" thickBot="1" x14ac:dyDescent="0.3">
      <c r="A46" s="27">
        <v>40471</v>
      </c>
      <c r="B46" s="24">
        <v>0.48</v>
      </c>
    </row>
    <row r="47" spans="1:2" ht="15.75" thickBot="1" x14ac:dyDescent="0.3">
      <c r="A47" s="27">
        <v>40562</v>
      </c>
      <c r="B47" s="24">
        <v>0.48</v>
      </c>
    </row>
    <row r="48" spans="1:2" ht="15.75" thickBot="1" x14ac:dyDescent="0.3">
      <c r="A48" s="27">
        <v>40660</v>
      </c>
      <c r="B48" s="24">
        <v>0.53</v>
      </c>
    </row>
    <row r="49" spans="1:2" ht="15.75" thickBot="1" x14ac:dyDescent="0.3">
      <c r="A49" s="27">
        <v>40744</v>
      </c>
      <c r="B49" s="24">
        <v>0.53</v>
      </c>
    </row>
    <row r="50" spans="1:2" ht="15.75" thickBot="1" x14ac:dyDescent="0.3">
      <c r="A50" s="27">
        <v>40835</v>
      </c>
      <c r="B50" s="24">
        <v>0.53</v>
      </c>
    </row>
    <row r="51" spans="1:2" ht="15.75" thickBot="1" x14ac:dyDescent="0.3">
      <c r="A51" s="27">
        <v>40926</v>
      </c>
      <c r="B51" s="24">
        <v>0.53</v>
      </c>
    </row>
    <row r="52" spans="1:2" ht="15.75" thickBot="1" x14ac:dyDescent="0.3">
      <c r="A52" s="27">
        <v>41024</v>
      </c>
      <c r="B52" s="24">
        <v>0.56000000000000005</v>
      </c>
    </row>
    <row r="53" spans="1:2" ht="15.75" thickBot="1" x14ac:dyDescent="0.3">
      <c r="A53" s="27">
        <v>41108</v>
      </c>
      <c r="B53" s="24">
        <v>0.56000000000000005</v>
      </c>
    </row>
    <row r="54" spans="1:2" ht="15.75" thickBot="1" x14ac:dyDescent="0.3">
      <c r="A54" s="27">
        <v>41199</v>
      </c>
      <c r="B54" s="24">
        <v>0.56000000000000005</v>
      </c>
    </row>
    <row r="55" spans="1:2" ht="15.75" thickBot="1" x14ac:dyDescent="0.3">
      <c r="A55" s="27">
        <v>41290</v>
      </c>
      <c r="B55" s="24">
        <v>0.56000000000000005</v>
      </c>
    </row>
    <row r="56" spans="1:2" ht="15.75" thickBot="1" x14ac:dyDescent="0.3">
      <c r="A56" s="27">
        <v>41388</v>
      </c>
      <c r="B56" s="24">
        <v>0.6</v>
      </c>
    </row>
    <row r="57" spans="1:2" ht="15.75" thickBot="1" x14ac:dyDescent="0.3">
      <c r="A57" s="27">
        <v>41472</v>
      </c>
      <c r="B57" s="24">
        <v>0.6</v>
      </c>
    </row>
    <row r="58" spans="1:2" ht="15.75" thickBot="1" x14ac:dyDescent="0.3">
      <c r="A58" s="27">
        <v>41563</v>
      </c>
      <c r="B58" s="24">
        <v>0.6</v>
      </c>
    </row>
    <row r="59" spans="1:2" ht="15.75" thickBot="1" x14ac:dyDescent="0.3">
      <c r="A59" s="27">
        <v>41661</v>
      </c>
      <c r="B59" s="24">
        <v>0.6</v>
      </c>
    </row>
    <row r="60" spans="1:2" ht="15.75" thickBot="1" x14ac:dyDescent="0.3">
      <c r="A60" s="27">
        <v>41752</v>
      </c>
      <c r="B60" s="24">
        <v>0.64</v>
      </c>
    </row>
    <row r="61" spans="1:2" ht="15.75" thickBot="1" x14ac:dyDescent="0.3">
      <c r="A61" s="27">
        <v>41836</v>
      </c>
      <c r="B61" s="24">
        <v>0.64</v>
      </c>
    </row>
    <row r="62" spans="1:2" ht="15.75" thickBot="1" x14ac:dyDescent="0.3">
      <c r="A62" s="27">
        <v>41934</v>
      </c>
      <c r="B62" s="24">
        <v>0.64</v>
      </c>
    </row>
    <row r="63" spans="1:2" ht="15.75" thickBot="1" x14ac:dyDescent="0.3">
      <c r="A63" s="27">
        <v>42025</v>
      </c>
      <c r="B63" s="24">
        <v>0.64</v>
      </c>
    </row>
    <row r="64" spans="1:2" ht="15.75" thickBot="1" x14ac:dyDescent="0.3">
      <c r="A64" s="27">
        <v>42117</v>
      </c>
      <c r="B64" s="24">
        <v>0.66</v>
      </c>
    </row>
    <row r="65" spans="1:2" ht="15.75" thickBot="1" x14ac:dyDescent="0.3">
      <c r="A65" s="27">
        <v>42207</v>
      </c>
      <c r="B65" s="24">
        <v>0.66</v>
      </c>
    </row>
    <row r="66" spans="1:2" ht="15.75" thickBot="1" x14ac:dyDescent="0.3">
      <c r="A66" s="27">
        <v>42298</v>
      </c>
      <c r="B66" s="24">
        <v>0.66</v>
      </c>
    </row>
    <row r="67" spans="1:2" ht="15.75" thickBot="1" x14ac:dyDescent="0.3">
      <c r="A67" s="27">
        <v>42389</v>
      </c>
      <c r="B67" s="24">
        <v>0.66</v>
      </c>
    </row>
    <row r="68" spans="1:2" ht="15.75" thickBot="1" x14ac:dyDescent="0.3">
      <c r="A68" s="27">
        <v>42474</v>
      </c>
      <c r="B68" s="24">
        <v>0.67</v>
      </c>
    </row>
    <row r="69" spans="1:2" ht="15.75" thickBot="1" x14ac:dyDescent="0.3">
      <c r="A69" s="27">
        <v>42571</v>
      </c>
      <c r="B69" s="24">
        <v>0.67</v>
      </c>
    </row>
    <row r="70" spans="1:2" ht="15.75" thickBot="1" x14ac:dyDescent="0.3">
      <c r="A70" s="27">
        <v>42662</v>
      </c>
      <c r="B70" s="24">
        <v>0.67</v>
      </c>
    </row>
    <row r="71" spans="1:2" ht="15.75" thickBot="1" x14ac:dyDescent="0.3">
      <c r="A71" s="27">
        <v>42753</v>
      </c>
      <c r="B71" s="24">
        <v>0.67</v>
      </c>
    </row>
    <row r="72" spans="1:2" ht="15.75" thickBot="1" x14ac:dyDescent="0.3">
      <c r="A72" s="27">
        <v>42844</v>
      </c>
      <c r="B72" s="24">
        <v>0.69</v>
      </c>
    </row>
    <row r="73" spans="1:2" ht="15.75" thickBot="1" x14ac:dyDescent="0.3">
      <c r="A73" s="27">
        <v>42935</v>
      </c>
      <c r="B73" s="24">
        <v>0.69</v>
      </c>
    </row>
    <row r="74" spans="1:2" ht="15.75" thickBot="1" x14ac:dyDescent="0.3">
      <c r="A74" s="27">
        <v>43027</v>
      </c>
      <c r="B74" s="24">
        <v>0.69</v>
      </c>
    </row>
    <row r="75" spans="1:2" ht="15.75" thickBot="1" x14ac:dyDescent="0.3">
      <c r="A75" s="27">
        <v>43118</v>
      </c>
      <c r="B75" s="24">
        <v>0.69</v>
      </c>
    </row>
    <row r="76" spans="1:2" ht="15.75" thickBot="1" x14ac:dyDescent="0.3">
      <c r="A76" s="27">
        <v>43209</v>
      </c>
      <c r="B76" s="24">
        <v>0.72</v>
      </c>
    </row>
    <row r="77" spans="1:2" ht="15.75" thickBot="1" x14ac:dyDescent="0.3">
      <c r="A77" s="27">
        <v>43300</v>
      </c>
      <c r="B77" s="24">
        <v>0.72</v>
      </c>
    </row>
    <row r="78" spans="1:2" ht="15.75" thickBot="1" x14ac:dyDescent="0.3">
      <c r="A78" s="27">
        <v>43391</v>
      </c>
      <c r="B78" s="24">
        <v>0.72</v>
      </c>
    </row>
    <row r="79" spans="1:2" ht="15.75" thickBot="1" x14ac:dyDescent="0.3">
      <c r="A79" s="27">
        <v>43482</v>
      </c>
      <c r="B79" s="24">
        <v>0.72</v>
      </c>
    </row>
    <row r="80" spans="1:2" ht="15.75" thickBot="1" x14ac:dyDescent="0.3">
      <c r="A80" s="27">
        <v>43572</v>
      </c>
      <c r="B80" s="24">
        <v>0.75</v>
      </c>
    </row>
    <row r="81" spans="1:2" ht="15.75" thickBot="1" x14ac:dyDescent="0.3">
      <c r="A81" s="27">
        <v>43664</v>
      </c>
      <c r="B81" s="24">
        <v>0.75</v>
      </c>
    </row>
    <row r="82" spans="1:2" ht="15.75" thickBot="1" x14ac:dyDescent="0.3">
      <c r="A82" s="27">
        <v>43755</v>
      </c>
      <c r="B82" s="24">
        <v>0.75</v>
      </c>
    </row>
    <row r="83" spans="1:2" ht="15.75" thickBot="1" x14ac:dyDescent="0.3">
      <c r="A83" s="27">
        <v>43853</v>
      </c>
      <c r="B83" s="24">
        <v>0.75</v>
      </c>
    </row>
    <row r="84" spans="1:2" ht="15.75" thickBot="1" x14ac:dyDescent="0.3">
      <c r="A84" s="27">
        <v>43944</v>
      </c>
      <c r="B84" s="24">
        <v>0.79</v>
      </c>
    </row>
    <row r="85" spans="1:2" ht="15.75" thickBot="1" x14ac:dyDescent="0.3">
      <c r="A85" s="27">
        <v>44035</v>
      </c>
      <c r="B85" s="24">
        <v>0.79</v>
      </c>
    </row>
    <row r="86" spans="1:2" ht="15.75" thickBot="1" x14ac:dyDescent="0.3">
      <c r="A86" s="27">
        <v>44126</v>
      </c>
      <c r="B86" s="24">
        <v>0.79</v>
      </c>
    </row>
    <row r="87" spans="1:2" ht="15.75" thickBot="1" x14ac:dyDescent="0.3">
      <c r="A87" s="27">
        <v>44217</v>
      </c>
      <c r="B87" s="24">
        <v>0.79</v>
      </c>
    </row>
    <row r="88" spans="1:2" ht="15.75" thickBot="1" x14ac:dyDescent="0.3">
      <c r="A88" s="27">
        <v>44308</v>
      </c>
      <c r="B88" s="24">
        <v>0.87</v>
      </c>
    </row>
    <row r="89" spans="1:2" ht="15.75" thickBot="1" x14ac:dyDescent="0.3">
      <c r="A89" s="27">
        <v>44399</v>
      </c>
      <c r="B89" s="24">
        <v>0.87</v>
      </c>
    </row>
    <row r="90" spans="1:2" ht="15.75" thickBot="1" x14ac:dyDescent="0.3">
      <c r="A90" s="27">
        <v>44490</v>
      </c>
      <c r="B90" s="24">
        <v>0.87</v>
      </c>
    </row>
    <row r="91" spans="1:2" ht="15.75" thickBot="1" x14ac:dyDescent="0.3">
      <c r="A91" s="27">
        <v>44581</v>
      </c>
      <c r="B91" s="24">
        <v>0.87</v>
      </c>
    </row>
    <row r="92" spans="1:2" ht="15.75" thickBot="1" x14ac:dyDescent="0.3">
      <c r="A92" s="27">
        <v>44672</v>
      </c>
      <c r="B92" s="24">
        <v>0.91</v>
      </c>
    </row>
    <row r="93" spans="1:2" ht="15.75" thickBot="1" x14ac:dyDescent="0.3">
      <c r="A93" s="27">
        <v>44763</v>
      </c>
      <c r="B93" s="24">
        <v>0.91</v>
      </c>
    </row>
    <row r="94" spans="1:2" ht="15.75" thickBot="1" x14ac:dyDescent="0.3">
      <c r="A94" s="27">
        <v>44854</v>
      </c>
      <c r="B94" s="24">
        <v>0.91</v>
      </c>
    </row>
    <row r="95" spans="1:2" ht="15.75" thickBot="1" x14ac:dyDescent="0.3">
      <c r="A95" s="27">
        <v>44945</v>
      </c>
      <c r="B95" s="24">
        <v>0.91</v>
      </c>
    </row>
    <row r="96" spans="1:2" ht="15.75" thickBot="1" x14ac:dyDescent="0.3">
      <c r="A96" s="27">
        <v>45036</v>
      </c>
      <c r="B96" s="24">
        <v>0.94</v>
      </c>
    </row>
    <row r="97" spans="1:2" ht="15.75" thickBot="1" x14ac:dyDescent="0.3">
      <c r="A97" s="27">
        <v>45127</v>
      </c>
      <c r="B97" s="24">
        <v>0.94</v>
      </c>
    </row>
    <row r="98" spans="1:2" ht="15.75" thickBot="1" x14ac:dyDescent="0.3">
      <c r="A98" s="27">
        <v>45218</v>
      </c>
      <c r="B98" s="24">
        <v>0.94</v>
      </c>
    </row>
    <row r="99" spans="1:2" ht="15.75" thickBot="1" x14ac:dyDescent="0.3">
      <c r="A99" s="27">
        <v>45309</v>
      </c>
      <c r="B99" s="24">
        <v>0.94</v>
      </c>
    </row>
    <row r="100" spans="1:2" ht="15.75" thickBot="1" x14ac:dyDescent="0.3">
      <c r="A100" s="27">
        <v>45400</v>
      </c>
      <c r="B100" s="24">
        <v>1.01</v>
      </c>
    </row>
    <row r="101" spans="1:2" ht="15.75" thickBot="1" x14ac:dyDescent="0.3">
      <c r="A101" s="27">
        <v>45492</v>
      </c>
      <c r="B101" s="24">
        <v>1.01</v>
      </c>
    </row>
    <row r="102" spans="1:2" ht="15.75" thickBot="1" x14ac:dyDescent="0.3">
      <c r="A102" s="27">
        <v>45583</v>
      </c>
      <c r="B102" s="24">
        <v>1.01</v>
      </c>
    </row>
    <row r="103" spans="1:2" ht="15.75" thickBot="1" x14ac:dyDescent="0.3">
      <c r="A103" s="27">
        <v>45681</v>
      </c>
      <c r="B103" s="24">
        <v>1.01</v>
      </c>
    </row>
    <row r="104" spans="1:2" ht="15.75" thickBot="1" x14ac:dyDescent="0.3">
      <c r="A104" s="27">
        <v>45768</v>
      </c>
      <c r="B104" s="24">
        <v>1.06</v>
      </c>
    </row>
    <row r="105" spans="1:2" ht="15.75" thickBot="1" x14ac:dyDescent="0.3">
      <c r="A105" s="27">
        <v>45856</v>
      </c>
      <c r="B105" s="24">
        <v>1.06</v>
      </c>
    </row>
    <row r="106" spans="1:2" ht="15.75" thickBot="1" x14ac:dyDescent="0.3">
      <c r="A106" s="27">
        <v>45954</v>
      </c>
      <c r="B106" s="24">
        <v>1.06</v>
      </c>
    </row>
    <row r="107" spans="1:2" ht="15.75" thickBot="1" x14ac:dyDescent="0.3">
      <c r="A107" s="27">
        <v>46045</v>
      </c>
      <c r="B107" s="24">
        <v>1.06</v>
      </c>
    </row>
    <row r="108" spans="1:2" ht="15.75" thickBot="1" x14ac:dyDescent="0.3">
      <c r="A108" s="28"/>
      <c r="B108" s="25"/>
    </row>
    <row r="109" spans="1:2" ht="15.75" thickBot="1" x14ac:dyDescent="0.3">
      <c r="A109" s="28"/>
      <c r="B109" s="25"/>
    </row>
    <row r="110" spans="1:2" ht="15.75" thickBot="1" x14ac:dyDescent="0.3">
      <c r="A110" s="28"/>
      <c r="B110" s="25"/>
    </row>
    <row r="111" spans="1:2" ht="15.75" thickBot="1" x14ac:dyDescent="0.3">
      <c r="A111" s="28"/>
      <c r="B111" s="25"/>
    </row>
    <row r="112" spans="1:2" ht="15.75" thickBot="1" x14ac:dyDescent="0.3">
      <c r="A112" s="28"/>
      <c r="B112" s="25"/>
    </row>
    <row r="113" spans="1:2" ht="15.75" thickBot="1" x14ac:dyDescent="0.3">
      <c r="A113" s="28"/>
      <c r="B113" s="25"/>
    </row>
    <row r="114" spans="1:2" ht="15.75" thickBot="1" x14ac:dyDescent="0.3">
      <c r="A114" s="28"/>
      <c r="B114" s="25"/>
    </row>
    <row r="115" spans="1:2" ht="15.75" thickBot="1" x14ac:dyDescent="0.3">
      <c r="A115" s="28"/>
      <c r="B115" s="25"/>
    </row>
    <row r="116" spans="1:2" ht="15.75" thickBot="1" x14ac:dyDescent="0.3">
      <c r="A116" s="28"/>
      <c r="B116" s="25"/>
    </row>
    <row r="117" spans="1:2" ht="15.75" thickBot="1" x14ac:dyDescent="0.3">
      <c r="A117" s="28"/>
      <c r="B117" s="25"/>
    </row>
    <row r="118" spans="1:2" ht="15.75" thickBot="1" x14ac:dyDescent="0.3">
      <c r="A118" s="28"/>
      <c r="B118" s="25"/>
    </row>
    <row r="119" spans="1:2" ht="15.75" thickBot="1" x14ac:dyDescent="0.3">
      <c r="A119" s="28"/>
      <c r="B119" s="25"/>
    </row>
    <row r="120" spans="1:2" ht="15.75" thickBot="1" x14ac:dyDescent="0.3">
      <c r="A120" s="28"/>
      <c r="B120" s="25"/>
    </row>
    <row r="121" spans="1:2" ht="15.75" thickBot="1" x14ac:dyDescent="0.3">
      <c r="A121" s="28"/>
      <c r="B121" s="25"/>
    </row>
    <row r="122" spans="1:2" ht="15.75" thickBot="1" x14ac:dyDescent="0.3">
      <c r="A122" s="28"/>
      <c r="B122" s="25"/>
    </row>
    <row r="123" spans="1:2" ht="15.75" thickBot="1" x14ac:dyDescent="0.3">
      <c r="A123" s="28"/>
      <c r="B123" s="25"/>
    </row>
    <row r="124" spans="1:2" ht="15.75" thickBot="1" x14ac:dyDescent="0.3">
      <c r="A124" s="28"/>
      <c r="B124" s="25"/>
    </row>
    <row r="125" spans="1:2" ht="15.75" thickBot="1" x14ac:dyDescent="0.3">
      <c r="A125" s="28"/>
      <c r="B125" s="25"/>
    </row>
    <row r="126" spans="1:2" ht="15.75" thickBot="1" x14ac:dyDescent="0.3">
      <c r="A126" s="28"/>
      <c r="B126" s="25"/>
    </row>
    <row r="127" spans="1:2" ht="15.75" thickBot="1" x14ac:dyDescent="0.3">
      <c r="A127" s="28"/>
      <c r="B127" s="25"/>
    </row>
    <row r="128" spans="1:2" ht="15.75" thickBot="1" x14ac:dyDescent="0.3">
      <c r="A128" s="28"/>
      <c r="B128" s="25"/>
    </row>
    <row r="129" spans="1:2" ht="15.75" thickBot="1" x14ac:dyDescent="0.3">
      <c r="A129" s="28"/>
      <c r="B129" s="25"/>
    </row>
    <row r="130" spans="1:2" ht="15.75" thickBot="1" x14ac:dyDescent="0.3">
      <c r="A130" s="28"/>
      <c r="B130" s="25"/>
    </row>
    <row r="131" spans="1:2" ht="15.75" thickBot="1" x14ac:dyDescent="0.3">
      <c r="A131" s="28"/>
      <c r="B131" s="25"/>
    </row>
    <row r="132" spans="1:2" ht="15.75" thickBot="1" x14ac:dyDescent="0.3">
      <c r="A132" s="28"/>
      <c r="B132" s="25"/>
    </row>
    <row r="133" spans="1:2" ht="15.75" thickBot="1" x14ac:dyDescent="0.3">
      <c r="A133" s="28"/>
      <c r="B133" s="25"/>
    </row>
    <row r="134" spans="1:2" ht="15.75" thickBot="1" x14ac:dyDescent="0.3">
      <c r="A134" s="28"/>
      <c r="B134" s="25"/>
    </row>
    <row r="135" spans="1:2" ht="15.75" thickBot="1" x14ac:dyDescent="0.3">
      <c r="A135" s="28"/>
      <c r="B135" s="25"/>
    </row>
    <row r="136" spans="1:2" ht="15.75" thickBot="1" x14ac:dyDescent="0.3">
      <c r="A136" s="28"/>
      <c r="B136" s="25"/>
    </row>
    <row r="137" spans="1:2" ht="15.75" thickBot="1" x14ac:dyDescent="0.3">
      <c r="A137" s="28"/>
      <c r="B137" s="25"/>
    </row>
    <row r="138" spans="1:2" ht="15.75" thickBot="1" x14ac:dyDescent="0.3">
      <c r="A138" s="28"/>
      <c r="B138" s="25"/>
    </row>
    <row r="139" spans="1:2" ht="15.75" thickBot="1" x14ac:dyDescent="0.3">
      <c r="A139" s="28"/>
      <c r="B139" s="25"/>
    </row>
    <row r="140" spans="1:2" ht="15.75" thickBot="1" x14ac:dyDescent="0.3">
      <c r="A140" s="28"/>
      <c r="B140" s="25"/>
    </row>
    <row r="141" spans="1:2" ht="15.75" thickBot="1" x14ac:dyDescent="0.3">
      <c r="A141" s="28"/>
      <c r="B141" s="25"/>
    </row>
    <row r="142" spans="1:2" ht="15.75" thickBot="1" x14ac:dyDescent="0.3">
      <c r="A142" s="28"/>
      <c r="B142" s="25"/>
    </row>
    <row r="143" spans="1:2" ht="15.75" thickBot="1" x14ac:dyDescent="0.3">
      <c r="A143" s="28"/>
      <c r="B143" s="25"/>
    </row>
    <row r="144" spans="1:2" ht="15.75" thickBot="1" x14ac:dyDescent="0.3">
      <c r="A144" s="28"/>
      <c r="B144" s="25"/>
    </row>
    <row r="145" spans="1:2" ht="15.75" thickBot="1" x14ac:dyDescent="0.3">
      <c r="A145" s="28"/>
      <c r="B145" s="25"/>
    </row>
    <row r="146" spans="1:2" ht="15.75" thickBot="1" x14ac:dyDescent="0.3">
      <c r="A146" s="28"/>
      <c r="B146" s="25"/>
    </row>
    <row r="147" spans="1:2" ht="15.75" thickBot="1" x14ac:dyDescent="0.3">
      <c r="A147" s="28"/>
      <c r="B147" s="25"/>
    </row>
    <row r="148" spans="1:2" ht="15.75" thickBot="1" x14ac:dyDescent="0.3">
      <c r="A148" s="28"/>
      <c r="B148" s="25"/>
    </row>
    <row r="149" spans="1:2" ht="15.75" thickBot="1" x14ac:dyDescent="0.3">
      <c r="A149" s="28"/>
      <c r="B149" s="25"/>
    </row>
    <row r="150" spans="1:2" ht="15.75" thickBot="1" x14ac:dyDescent="0.3">
      <c r="A150" s="28"/>
      <c r="B150" s="25"/>
    </row>
    <row r="151" spans="1:2" ht="15.75" thickBot="1" x14ac:dyDescent="0.3">
      <c r="A151" s="28"/>
      <c r="B151" s="25"/>
    </row>
    <row r="152" spans="1:2" ht="15.75" thickBot="1" x14ac:dyDescent="0.3">
      <c r="A152" s="28"/>
      <c r="B152" s="25"/>
    </row>
    <row r="153" spans="1:2" ht="15.75" thickBot="1" x14ac:dyDescent="0.3">
      <c r="A153" s="28"/>
      <c r="B153" s="25"/>
    </row>
    <row r="154" spans="1:2" ht="15.75" thickBot="1" x14ac:dyDescent="0.3">
      <c r="A154" s="28"/>
      <c r="B154" s="25"/>
    </row>
    <row r="155" spans="1:2" ht="15.75" thickBot="1" x14ac:dyDescent="0.3">
      <c r="A155" s="28"/>
      <c r="B155" s="25"/>
    </row>
    <row r="156" spans="1:2" ht="15.75" thickBot="1" x14ac:dyDescent="0.3">
      <c r="A156" s="28"/>
      <c r="B156" s="25"/>
    </row>
    <row r="157" spans="1:2" ht="15.75" thickBot="1" x14ac:dyDescent="0.3">
      <c r="A157" s="28"/>
      <c r="B157" s="25"/>
    </row>
    <row r="158" spans="1:2" ht="15.75" thickBot="1" x14ac:dyDescent="0.3">
      <c r="A158" s="28"/>
      <c r="B158" s="25"/>
    </row>
    <row r="159" spans="1:2" ht="15.75" thickBot="1" x14ac:dyDescent="0.3">
      <c r="A159" s="28"/>
      <c r="B159" s="25"/>
    </row>
    <row r="160" spans="1:2" ht="15.75" thickBot="1" x14ac:dyDescent="0.3">
      <c r="A160" s="28"/>
      <c r="B160" s="25"/>
    </row>
    <row r="161" spans="1:2" ht="15.75" thickBot="1" x14ac:dyDescent="0.3">
      <c r="A161" s="28"/>
      <c r="B161" s="25"/>
    </row>
    <row r="162" spans="1:2" ht="15.75" thickBot="1" x14ac:dyDescent="0.3">
      <c r="A162" s="28"/>
      <c r="B162" s="25"/>
    </row>
    <row r="163" spans="1:2" ht="15.75" thickBot="1" x14ac:dyDescent="0.3">
      <c r="A163" s="28"/>
      <c r="B163" s="25"/>
    </row>
    <row r="164" spans="1:2" ht="15.75" thickBot="1" x14ac:dyDescent="0.3">
      <c r="A164" s="28"/>
      <c r="B164" s="25"/>
    </row>
    <row r="165" spans="1:2" ht="15.75" thickBot="1" x14ac:dyDescent="0.3">
      <c r="A165" s="28"/>
      <c r="B165" s="25"/>
    </row>
    <row r="166" spans="1:2" ht="15.75" thickBot="1" x14ac:dyDescent="0.3">
      <c r="A166" s="28"/>
      <c r="B166" s="25"/>
    </row>
    <row r="167" spans="1:2" ht="15.75" thickBot="1" x14ac:dyDescent="0.3">
      <c r="A167" s="28"/>
      <c r="B167" s="25"/>
    </row>
    <row r="168" spans="1:2" ht="15.75" thickBot="1" x14ac:dyDescent="0.3">
      <c r="A168" s="28"/>
      <c r="B168" s="25"/>
    </row>
    <row r="169" spans="1:2" ht="15.75" thickBot="1" x14ac:dyDescent="0.3">
      <c r="A169" s="28"/>
      <c r="B169" s="25"/>
    </row>
    <row r="170" spans="1:2" ht="15.75" thickBot="1" x14ac:dyDescent="0.3">
      <c r="A170" s="28"/>
      <c r="B170" s="25"/>
    </row>
    <row r="171" spans="1:2" ht="15.75" thickBot="1" x14ac:dyDescent="0.3">
      <c r="A171" s="28"/>
      <c r="B171" s="25"/>
    </row>
    <row r="172" spans="1:2" ht="15.75" thickBot="1" x14ac:dyDescent="0.3">
      <c r="A172" s="28"/>
      <c r="B172" s="25"/>
    </row>
    <row r="173" spans="1:2" ht="15.75" thickBot="1" x14ac:dyDescent="0.3">
      <c r="A173" s="28"/>
      <c r="B173" s="25"/>
    </row>
    <row r="174" spans="1:2" ht="15.75" thickBot="1" x14ac:dyDescent="0.3">
      <c r="A174" s="28"/>
      <c r="B174" s="25"/>
    </row>
    <row r="175" spans="1:2" ht="15.75" thickBot="1" x14ac:dyDescent="0.3">
      <c r="A175" s="28"/>
      <c r="B175" s="25"/>
    </row>
    <row r="176" spans="1:2" ht="15.75" thickBot="1" x14ac:dyDescent="0.3">
      <c r="A176" s="28"/>
      <c r="B176" s="25"/>
    </row>
    <row r="177" spans="1:2" ht="15.75" thickBot="1" x14ac:dyDescent="0.3">
      <c r="A177" s="28"/>
      <c r="B177" s="25"/>
    </row>
    <row r="178" spans="1:2" ht="15.75" thickBot="1" x14ac:dyDescent="0.3">
      <c r="A178" s="28"/>
      <c r="B178" s="25"/>
    </row>
    <row r="179" spans="1:2" ht="15.75" thickBot="1" x14ac:dyDescent="0.3">
      <c r="A179" s="28"/>
      <c r="B179" s="25"/>
    </row>
    <row r="180" spans="1:2" ht="15.75" thickBot="1" x14ac:dyDescent="0.3">
      <c r="A180" s="28"/>
      <c r="B180" s="25"/>
    </row>
    <row r="181" spans="1:2" ht="15.75" thickBot="1" x14ac:dyDescent="0.3">
      <c r="A181" s="28"/>
      <c r="B181" s="25"/>
    </row>
    <row r="182" spans="1:2" ht="15.75" thickBot="1" x14ac:dyDescent="0.3">
      <c r="A182" s="28"/>
      <c r="B182" s="25"/>
    </row>
    <row r="183" spans="1:2" ht="15.75" thickBot="1" x14ac:dyDescent="0.3">
      <c r="A183" s="28"/>
      <c r="B183" s="25"/>
    </row>
    <row r="184" spans="1:2" ht="15.75" thickBot="1" x14ac:dyDescent="0.3">
      <c r="A184" s="28"/>
      <c r="B184" s="25"/>
    </row>
    <row r="185" spans="1:2" ht="15.75" thickBot="1" x14ac:dyDescent="0.3">
      <c r="A185" s="28"/>
      <c r="B185" s="25"/>
    </row>
    <row r="186" spans="1:2" ht="15.75" thickBot="1" x14ac:dyDescent="0.3">
      <c r="A186" s="28"/>
      <c r="B186" s="25"/>
    </row>
    <row r="187" spans="1:2" ht="15.75" thickBot="1" x14ac:dyDescent="0.3">
      <c r="A187" s="28"/>
      <c r="B187" s="25"/>
    </row>
    <row r="188" spans="1:2" ht="15.75" thickBot="1" x14ac:dyDescent="0.3">
      <c r="A188" s="28"/>
      <c r="B188" s="25"/>
    </row>
    <row r="189" spans="1:2" ht="15.75" thickBot="1" x14ac:dyDescent="0.3">
      <c r="A189" s="28"/>
      <c r="B189" s="25"/>
    </row>
    <row r="190" spans="1:2" ht="15.75" thickBot="1" x14ac:dyDescent="0.3">
      <c r="A190" s="28"/>
      <c r="B190" s="25"/>
    </row>
    <row r="191" spans="1:2" ht="15.75" thickBot="1" x14ac:dyDescent="0.3">
      <c r="A191" s="28"/>
      <c r="B191" s="25"/>
    </row>
    <row r="192" spans="1:2" ht="15.75" thickBot="1" x14ac:dyDescent="0.3">
      <c r="A192" s="28"/>
      <c r="B192" s="25"/>
    </row>
    <row r="193" spans="1:2" ht="15.75" thickBot="1" x14ac:dyDescent="0.3">
      <c r="A193" s="28"/>
      <c r="B193" s="25"/>
    </row>
    <row r="194" spans="1:2" ht="15.75" thickBot="1" x14ac:dyDescent="0.3">
      <c r="A194" s="28"/>
      <c r="B194" s="25"/>
    </row>
    <row r="195" spans="1:2" ht="15.75" thickBot="1" x14ac:dyDescent="0.3">
      <c r="A195" s="28"/>
      <c r="B195" s="25"/>
    </row>
    <row r="196" spans="1:2" ht="15.75" thickBot="1" x14ac:dyDescent="0.3">
      <c r="A196" s="28"/>
      <c r="B196" s="25"/>
    </row>
    <row r="197" spans="1:2" ht="15.75" thickBot="1" x14ac:dyDescent="0.3">
      <c r="A197" s="28"/>
      <c r="B197" s="25"/>
    </row>
    <row r="198" spans="1:2" ht="15.75" thickBot="1" x14ac:dyDescent="0.3">
      <c r="A198" s="28"/>
      <c r="B198" s="25"/>
    </row>
    <row r="199" spans="1:2" ht="15.75" thickBot="1" x14ac:dyDescent="0.3">
      <c r="A199" s="28"/>
      <c r="B199" s="25"/>
    </row>
    <row r="200" spans="1:2" ht="15.75" thickBot="1" x14ac:dyDescent="0.3">
      <c r="A200" s="28"/>
      <c r="B200" s="25"/>
    </row>
    <row r="201" spans="1:2" ht="15.75" thickBot="1" x14ac:dyDescent="0.3">
      <c r="A201" s="28"/>
      <c r="B201" s="25"/>
    </row>
    <row r="202" spans="1:2" ht="15.75" thickBot="1" x14ac:dyDescent="0.3">
      <c r="A202" s="28"/>
      <c r="B202" s="25"/>
    </row>
    <row r="203" spans="1:2" ht="15.75" thickBot="1" x14ac:dyDescent="0.3">
      <c r="A203" s="28"/>
      <c r="B203" s="25"/>
    </row>
    <row r="204" spans="1:2" ht="15.75" thickBot="1" x14ac:dyDescent="0.3">
      <c r="A204" s="28"/>
      <c r="B204" s="25"/>
    </row>
    <row r="205" spans="1:2" ht="15.75" thickBot="1" x14ac:dyDescent="0.3">
      <c r="A205" s="28"/>
      <c r="B205" s="25"/>
    </row>
    <row r="206" spans="1:2" ht="15.75" thickBot="1" x14ac:dyDescent="0.3">
      <c r="A206" s="28"/>
      <c r="B206" s="25"/>
    </row>
    <row r="207" spans="1:2" ht="15.75" thickBot="1" x14ac:dyDescent="0.3">
      <c r="A207" s="28"/>
      <c r="B207" s="25"/>
    </row>
    <row r="208" spans="1:2" ht="15.75" thickBot="1" x14ac:dyDescent="0.3">
      <c r="A208" s="28"/>
      <c r="B208" s="25"/>
    </row>
    <row r="209" spans="1:2" ht="15.75" thickBot="1" x14ac:dyDescent="0.3">
      <c r="A209" s="28"/>
      <c r="B209" s="25"/>
    </row>
    <row r="210" spans="1:2" ht="15.75" thickBot="1" x14ac:dyDescent="0.3">
      <c r="A210" s="28"/>
      <c r="B210" s="25"/>
    </row>
    <row r="211" spans="1:2" ht="15.75" thickBot="1" x14ac:dyDescent="0.3">
      <c r="A211" s="28"/>
      <c r="B211" s="25"/>
    </row>
    <row r="212" spans="1:2" ht="15.75" thickBot="1" x14ac:dyDescent="0.3">
      <c r="A212" s="28"/>
      <c r="B212" s="25"/>
    </row>
    <row r="213" spans="1:2" ht="15.75" thickBot="1" x14ac:dyDescent="0.3">
      <c r="A213" s="28"/>
      <c r="B213" s="25"/>
    </row>
    <row r="214" spans="1:2" ht="15.75" thickBot="1" x14ac:dyDescent="0.3">
      <c r="A214" s="28"/>
      <c r="B214" s="25"/>
    </row>
    <row r="215" spans="1:2" ht="15.75" thickBot="1" x14ac:dyDescent="0.3">
      <c r="A215" s="28"/>
      <c r="B215" s="25"/>
    </row>
    <row r="216" spans="1:2" ht="15.75" thickBot="1" x14ac:dyDescent="0.3">
      <c r="A216" s="28"/>
      <c r="B216" s="25"/>
    </row>
    <row r="217" spans="1:2" ht="15.75" thickBot="1" x14ac:dyDescent="0.3">
      <c r="A217" s="28"/>
      <c r="B217" s="25"/>
    </row>
    <row r="218" spans="1:2" ht="15.75" thickBot="1" x14ac:dyDescent="0.3">
      <c r="A218" s="28"/>
      <c r="B218" s="25"/>
    </row>
    <row r="219" spans="1:2" ht="15.75" thickBot="1" x14ac:dyDescent="0.3">
      <c r="A219" s="28"/>
      <c r="B219" s="25"/>
    </row>
    <row r="220" spans="1:2" ht="15.75" thickBot="1" x14ac:dyDescent="0.3">
      <c r="A220" s="28"/>
      <c r="B220" s="25"/>
    </row>
    <row r="221" spans="1:2" ht="15.75" thickBot="1" x14ac:dyDescent="0.3">
      <c r="A221" s="28"/>
      <c r="B221" s="25"/>
    </row>
    <row r="222" spans="1:2" ht="15.75" thickBot="1" x14ac:dyDescent="0.3">
      <c r="A222" s="28"/>
      <c r="B222" s="25"/>
    </row>
    <row r="223" spans="1:2" ht="15.75" thickBot="1" x14ac:dyDescent="0.3">
      <c r="A223" s="28"/>
      <c r="B223" s="25"/>
    </row>
    <row r="224" spans="1:2" ht="15.75" thickBot="1" x14ac:dyDescent="0.3">
      <c r="A224" s="28"/>
      <c r="B224" s="25"/>
    </row>
    <row r="225" spans="1:2" ht="15.75" thickBot="1" x14ac:dyDescent="0.3">
      <c r="A225" s="28"/>
      <c r="B225" s="25"/>
    </row>
    <row r="226" spans="1:2" ht="15.75" thickBot="1" x14ac:dyDescent="0.3">
      <c r="A226" s="28"/>
      <c r="B226" s="25"/>
    </row>
    <row r="227" spans="1:2" ht="15.75" thickBot="1" x14ac:dyDescent="0.3">
      <c r="A227" s="28"/>
      <c r="B227" s="25"/>
    </row>
    <row r="228" spans="1:2" ht="15.75" thickBot="1" x14ac:dyDescent="0.3">
      <c r="A228" s="28"/>
      <c r="B228" s="25"/>
    </row>
    <row r="229" spans="1:2" ht="15.75" thickBot="1" x14ac:dyDescent="0.3">
      <c r="A229" s="28"/>
      <c r="B229" s="25"/>
    </row>
    <row r="230" spans="1:2" ht="15.75" thickBot="1" x14ac:dyDescent="0.3">
      <c r="A230" s="28"/>
      <c r="B230" s="25"/>
    </row>
    <row r="231" spans="1:2" ht="15.75" thickBot="1" x14ac:dyDescent="0.3">
      <c r="A231" s="28"/>
      <c r="B231" s="25"/>
    </row>
    <row r="232" spans="1:2" ht="15.75" thickBot="1" x14ac:dyDescent="0.3">
      <c r="A232" s="28"/>
      <c r="B232" s="25"/>
    </row>
    <row r="233" spans="1:2" ht="15.75" thickBot="1" x14ac:dyDescent="0.3">
      <c r="A233" s="28"/>
      <c r="B233" s="25"/>
    </row>
    <row r="234" spans="1:2" ht="15.75" thickBot="1" x14ac:dyDescent="0.3">
      <c r="A234" s="28"/>
      <c r="B234" s="25"/>
    </row>
    <row r="235" spans="1:2" ht="15.75" thickBot="1" x14ac:dyDescent="0.3">
      <c r="A235" s="28"/>
      <c r="B235" s="25"/>
    </row>
    <row r="236" spans="1:2" ht="15.75" thickBot="1" x14ac:dyDescent="0.3">
      <c r="A236" s="28"/>
      <c r="B236" s="25"/>
    </row>
    <row r="237" spans="1:2" ht="15.75" thickBot="1" x14ac:dyDescent="0.3">
      <c r="A237" s="28"/>
      <c r="B237" s="25"/>
    </row>
    <row r="238" spans="1:2" ht="15.75" thickBot="1" x14ac:dyDescent="0.3">
      <c r="A238" s="28"/>
      <c r="B238" s="25"/>
    </row>
    <row r="239" spans="1:2" ht="15.75" thickBot="1" x14ac:dyDescent="0.3">
      <c r="A239" s="28"/>
      <c r="B239" s="25"/>
    </row>
    <row r="240" spans="1:2" ht="15.75" thickBot="1" x14ac:dyDescent="0.3">
      <c r="A240" s="28"/>
      <c r="B240" s="25"/>
    </row>
    <row r="241" spans="1:2" ht="15.75" thickBot="1" x14ac:dyDescent="0.3">
      <c r="A241" s="28"/>
      <c r="B241" s="25"/>
    </row>
    <row r="242" spans="1:2" ht="15.75" thickBot="1" x14ac:dyDescent="0.3">
      <c r="A242" s="28"/>
      <c r="B242" s="25"/>
    </row>
    <row r="243" spans="1:2" ht="15.75" thickBot="1" x14ac:dyDescent="0.3">
      <c r="A243" s="28"/>
      <c r="B243" s="25"/>
    </row>
    <row r="244" spans="1:2" ht="15.75" thickBot="1" x14ac:dyDescent="0.3">
      <c r="A244" s="28"/>
      <c r="B244" s="25"/>
    </row>
    <row r="245" spans="1:2" ht="15.75" thickBot="1" x14ac:dyDescent="0.3">
      <c r="A245" s="28"/>
      <c r="B245" s="25"/>
    </row>
    <row r="246" spans="1:2" ht="15.75" thickBot="1" x14ac:dyDescent="0.3">
      <c r="A246" s="28"/>
      <c r="B246" s="25"/>
    </row>
    <row r="247" spans="1:2" ht="15.75" thickBot="1" x14ac:dyDescent="0.3">
      <c r="A247" s="28"/>
      <c r="B247" s="25"/>
    </row>
    <row r="248" spans="1:2" ht="15.75" thickBot="1" x14ac:dyDescent="0.3">
      <c r="A248" s="28"/>
      <c r="B248" s="25"/>
    </row>
    <row r="249" spans="1:2" ht="15.75" thickBot="1" x14ac:dyDescent="0.3">
      <c r="A249" s="28"/>
      <c r="B249" s="25"/>
    </row>
    <row r="250" spans="1:2" ht="15.75" thickBot="1" x14ac:dyDescent="0.3">
      <c r="A250" s="28"/>
      <c r="B250" s="25"/>
    </row>
    <row r="251" spans="1:2" ht="15.75" thickBot="1" x14ac:dyDescent="0.3">
      <c r="A251" s="28"/>
      <c r="B251" s="25"/>
    </row>
    <row r="252" spans="1:2" ht="15.75" thickBot="1" x14ac:dyDescent="0.3">
      <c r="A252" s="28"/>
      <c r="B252" s="25"/>
    </row>
    <row r="253" spans="1:2" ht="15.75" thickBot="1" x14ac:dyDescent="0.3">
      <c r="A253" s="28"/>
      <c r="B253" s="25"/>
    </row>
    <row r="254" spans="1:2" ht="15.75" thickBot="1" x14ac:dyDescent="0.3">
      <c r="A254" s="28"/>
      <c r="B254" s="25"/>
    </row>
    <row r="255" spans="1:2" ht="15.75" thickBot="1" x14ac:dyDescent="0.3">
      <c r="A255" s="28"/>
      <c r="B255" s="25"/>
    </row>
    <row r="256" spans="1:2" ht="15.75" thickBot="1" x14ac:dyDescent="0.3">
      <c r="A256" s="28"/>
      <c r="B256" s="25"/>
    </row>
    <row r="257" spans="1:2" ht="15.75" thickBot="1" x14ac:dyDescent="0.3">
      <c r="A257" s="28"/>
      <c r="B257" s="25"/>
    </row>
    <row r="258" spans="1:2" ht="15.75" thickBot="1" x14ac:dyDescent="0.3">
      <c r="A258" s="28"/>
      <c r="B258" s="25"/>
    </row>
    <row r="259" spans="1:2" ht="15.75" thickBot="1" x14ac:dyDescent="0.3">
      <c r="A259" s="28"/>
      <c r="B259" s="25"/>
    </row>
    <row r="260" spans="1:2" ht="15.75" thickBot="1" x14ac:dyDescent="0.3">
      <c r="A260" s="28"/>
      <c r="B260" s="25"/>
    </row>
    <row r="261" spans="1:2" ht="15.75" thickBot="1" x14ac:dyDescent="0.3">
      <c r="A261" s="28"/>
      <c r="B261" s="25"/>
    </row>
    <row r="262" spans="1:2" ht="15.75" thickBot="1" x14ac:dyDescent="0.3">
      <c r="A262" s="28"/>
      <c r="B262" s="25"/>
    </row>
    <row r="263" spans="1:2" ht="15.75" thickBot="1" x14ac:dyDescent="0.3">
      <c r="A263" s="28"/>
      <c r="B263" s="25"/>
    </row>
    <row r="264" spans="1:2" ht="15.75" thickBot="1" x14ac:dyDescent="0.3">
      <c r="A264" s="28"/>
      <c r="B264" s="25"/>
    </row>
    <row r="265" spans="1:2" ht="15.75" thickBot="1" x14ac:dyDescent="0.3">
      <c r="A265" s="28"/>
      <c r="B265" s="25"/>
    </row>
    <row r="266" spans="1:2" ht="15.75" thickBot="1" x14ac:dyDescent="0.3">
      <c r="A266" s="28"/>
      <c r="B266" s="25"/>
    </row>
    <row r="267" spans="1:2" ht="15.75" thickBot="1" x14ac:dyDescent="0.3">
      <c r="A267" s="28"/>
      <c r="B267" s="25"/>
    </row>
    <row r="268" spans="1:2" ht="15.75" thickBot="1" x14ac:dyDescent="0.3">
      <c r="A268" s="28"/>
      <c r="B268" s="25"/>
    </row>
    <row r="269" spans="1:2" ht="15.75" thickBot="1" x14ac:dyDescent="0.3">
      <c r="A269" s="28"/>
      <c r="B269" s="25"/>
    </row>
    <row r="270" spans="1:2" ht="15.75" thickBot="1" x14ac:dyDescent="0.3">
      <c r="A270" s="28"/>
      <c r="B270" s="25"/>
    </row>
    <row r="271" spans="1:2" ht="15.75" thickBot="1" x14ac:dyDescent="0.3">
      <c r="A271" s="28"/>
      <c r="B271" s="25"/>
    </row>
    <row r="272" spans="1:2" ht="15.75" thickBot="1" x14ac:dyDescent="0.3">
      <c r="A272" s="28"/>
      <c r="B272" s="25"/>
    </row>
    <row r="273" spans="1:2" ht="15.75" thickBot="1" x14ac:dyDescent="0.3">
      <c r="A273" s="28"/>
      <c r="B273" s="25"/>
    </row>
    <row r="274" spans="1:2" ht="15.75" thickBot="1" x14ac:dyDescent="0.3">
      <c r="A274" s="28"/>
      <c r="B274" s="25"/>
    </row>
    <row r="275" spans="1:2" ht="15.75" thickBot="1" x14ac:dyDescent="0.3">
      <c r="A275" s="28"/>
      <c r="B275" s="25"/>
    </row>
    <row r="276" spans="1:2" ht="15.75" thickBot="1" x14ac:dyDescent="0.3">
      <c r="A276" s="28"/>
      <c r="B276" s="25"/>
    </row>
    <row r="277" spans="1:2" ht="15.75" thickBot="1" x14ac:dyDescent="0.3">
      <c r="A277" s="28"/>
      <c r="B277" s="25"/>
    </row>
    <row r="278" spans="1:2" ht="15.75" thickBot="1" x14ac:dyDescent="0.3">
      <c r="A278" s="28"/>
      <c r="B278" s="25"/>
    </row>
    <row r="279" spans="1:2" ht="15.75" thickBot="1" x14ac:dyDescent="0.3">
      <c r="A279" s="28"/>
      <c r="B279" s="25"/>
    </row>
    <row r="280" spans="1:2" ht="15.75" thickBot="1" x14ac:dyDescent="0.3">
      <c r="A280" s="28"/>
      <c r="B280" s="25"/>
    </row>
    <row r="281" spans="1:2" ht="15.75" thickBot="1" x14ac:dyDescent="0.3">
      <c r="A281" s="28"/>
      <c r="B281" s="25"/>
    </row>
    <row r="282" spans="1:2" ht="15.75" thickBot="1" x14ac:dyDescent="0.3">
      <c r="A282" s="28"/>
      <c r="B282" s="25"/>
    </row>
    <row r="283" spans="1:2" ht="15.75" thickBot="1" x14ac:dyDescent="0.3">
      <c r="A283" s="28"/>
      <c r="B283" s="25"/>
    </row>
    <row r="284" spans="1:2" ht="15.75" thickBot="1" x14ac:dyDescent="0.3">
      <c r="A284" s="28"/>
      <c r="B284" s="25"/>
    </row>
    <row r="285" spans="1:2" ht="15.75" thickBot="1" x14ac:dyDescent="0.3">
      <c r="A285" s="28"/>
      <c r="B285" s="25"/>
    </row>
    <row r="286" spans="1:2" ht="15.75" thickBot="1" x14ac:dyDescent="0.3">
      <c r="A286" s="28"/>
      <c r="B286" s="25"/>
    </row>
    <row r="287" spans="1:2" ht="15.75" thickBot="1" x14ac:dyDescent="0.3">
      <c r="A287" s="28"/>
      <c r="B287" s="25"/>
    </row>
    <row r="288" spans="1:2" ht="15.75" thickBot="1" x14ac:dyDescent="0.3">
      <c r="A288" s="28"/>
      <c r="B288" s="25"/>
    </row>
    <row r="289" spans="1:2" ht="15.75" thickBot="1" x14ac:dyDescent="0.3">
      <c r="A289" s="28"/>
      <c r="B289" s="25"/>
    </row>
    <row r="290" spans="1:2" ht="15.75" thickBot="1" x14ac:dyDescent="0.3">
      <c r="A290" s="28"/>
      <c r="B290" s="25"/>
    </row>
    <row r="291" spans="1:2" ht="15.75" thickBot="1" x14ac:dyDescent="0.3">
      <c r="A291" s="28"/>
      <c r="B291" s="25"/>
    </row>
    <row r="292" spans="1:2" ht="15.75" thickBot="1" x14ac:dyDescent="0.3">
      <c r="A292" s="28"/>
      <c r="B292" s="25"/>
    </row>
    <row r="293" spans="1:2" ht="15.75" thickBot="1" x14ac:dyDescent="0.3">
      <c r="A293" s="28"/>
      <c r="B293" s="25"/>
    </row>
    <row r="294" spans="1:2" ht="15.75" thickBot="1" x14ac:dyDescent="0.3">
      <c r="A294" s="28"/>
      <c r="B294" s="25"/>
    </row>
    <row r="295" spans="1:2" ht="15.75" thickBot="1" x14ac:dyDescent="0.3">
      <c r="A295" s="28"/>
      <c r="B295" s="25"/>
    </row>
    <row r="296" spans="1:2" ht="15.75" thickBot="1" x14ac:dyDescent="0.3">
      <c r="A296" s="28"/>
      <c r="B296" s="25"/>
    </row>
    <row r="297" spans="1:2" ht="15.75" thickBot="1" x14ac:dyDescent="0.3">
      <c r="A297" s="28"/>
      <c r="B297" s="25"/>
    </row>
    <row r="298" spans="1:2" ht="15.75" thickBot="1" x14ac:dyDescent="0.3">
      <c r="A298" s="28"/>
      <c r="B298" s="25"/>
    </row>
    <row r="299" spans="1:2" ht="15.75" thickBot="1" x14ac:dyDescent="0.3">
      <c r="A299" s="28"/>
      <c r="B299" s="25"/>
    </row>
    <row r="300" spans="1:2" ht="15.75" thickBot="1" x14ac:dyDescent="0.3">
      <c r="A300" s="28"/>
      <c r="B300" s="25"/>
    </row>
    <row r="301" spans="1:2" ht="15.75" thickBot="1" x14ac:dyDescent="0.3">
      <c r="A301" s="28"/>
      <c r="B301" s="25"/>
    </row>
    <row r="302" spans="1:2" ht="15.75" thickBot="1" x14ac:dyDescent="0.3">
      <c r="A302" s="28"/>
      <c r="B302" s="25"/>
    </row>
    <row r="303" spans="1:2" ht="15.75" thickBot="1" x14ac:dyDescent="0.3">
      <c r="A303" s="28"/>
      <c r="B303" s="25"/>
    </row>
    <row r="304" spans="1:2" ht="15.75" thickBot="1" x14ac:dyDescent="0.3">
      <c r="A304" s="28"/>
      <c r="B304" s="25"/>
    </row>
    <row r="305" spans="1:2" ht="15.75" thickBot="1" x14ac:dyDescent="0.3">
      <c r="A305" s="28"/>
      <c r="B305" s="25"/>
    </row>
    <row r="306" spans="1:2" ht="15.75" thickBot="1" x14ac:dyDescent="0.3">
      <c r="A306" s="28"/>
      <c r="B306" s="25"/>
    </row>
    <row r="307" spans="1:2" ht="15.75" thickBot="1" x14ac:dyDescent="0.3">
      <c r="A307" s="28"/>
      <c r="B307" s="25"/>
    </row>
    <row r="308" spans="1:2" ht="15.75" thickBot="1" x14ac:dyDescent="0.3">
      <c r="A308" s="28"/>
      <c r="B308" s="25"/>
    </row>
    <row r="309" spans="1:2" ht="15.75" thickBot="1" x14ac:dyDescent="0.3">
      <c r="A309" s="28"/>
      <c r="B309" s="25"/>
    </row>
    <row r="310" spans="1:2" ht="15.75" thickBot="1" x14ac:dyDescent="0.3">
      <c r="A310" s="28"/>
      <c r="B310" s="25"/>
    </row>
    <row r="311" spans="1:2" ht="15.75" thickBot="1" x14ac:dyDescent="0.3">
      <c r="A311" s="28"/>
      <c r="B311" s="25"/>
    </row>
    <row r="312" spans="1:2" ht="15.75" thickBot="1" x14ac:dyDescent="0.3">
      <c r="A312" s="28"/>
      <c r="B312" s="25"/>
    </row>
    <row r="313" spans="1:2" ht="15.75" thickBot="1" x14ac:dyDescent="0.3">
      <c r="A313" s="28"/>
      <c r="B313" s="25"/>
    </row>
    <row r="314" spans="1:2" ht="15.75" thickBot="1" x14ac:dyDescent="0.3">
      <c r="A314" s="28"/>
      <c r="B314" s="25"/>
    </row>
    <row r="315" spans="1:2" ht="15.75" thickBot="1" x14ac:dyDescent="0.3">
      <c r="A315" s="28"/>
      <c r="B315" s="25"/>
    </row>
    <row r="316" spans="1:2" ht="15.75" thickBot="1" x14ac:dyDescent="0.3">
      <c r="A316" s="28"/>
      <c r="B316" s="25"/>
    </row>
    <row r="317" spans="1:2" ht="15.75" thickBot="1" x14ac:dyDescent="0.3">
      <c r="A317" s="28"/>
      <c r="B317" s="25"/>
    </row>
    <row r="318" spans="1:2" ht="15.75" thickBot="1" x14ac:dyDescent="0.3">
      <c r="A318" s="28"/>
      <c r="B318" s="25"/>
    </row>
    <row r="319" spans="1:2" ht="15.75" thickBot="1" x14ac:dyDescent="0.3">
      <c r="A319" s="28"/>
      <c r="B319" s="25"/>
    </row>
    <row r="320" spans="1:2" ht="15.75" thickBot="1" x14ac:dyDescent="0.3">
      <c r="A320" s="28"/>
      <c r="B320" s="25"/>
    </row>
    <row r="321" spans="1:2" ht="15.75" thickBot="1" x14ac:dyDescent="0.3">
      <c r="A321" s="28"/>
      <c r="B321" s="25"/>
    </row>
    <row r="322" spans="1:2" ht="15.75" thickBot="1" x14ac:dyDescent="0.3">
      <c r="A322" s="28"/>
      <c r="B322" s="25"/>
    </row>
    <row r="323" spans="1:2" ht="15.75" thickBot="1" x14ac:dyDescent="0.3">
      <c r="A323" s="28"/>
      <c r="B323" s="25"/>
    </row>
    <row r="324" spans="1:2" ht="15.75" thickBot="1" x14ac:dyDescent="0.3">
      <c r="A324" s="28"/>
      <c r="B324" s="25"/>
    </row>
    <row r="325" spans="1:2" ht="15.75" thickBot="1" x14ac:dyDescent="0.3">
      <c r="A325" s="28"/>
      <c r="B325" s="25"/>
    </row>
    <row r="326" spans="1:2" ht="15.75" thickBot="1" x14ac:dyDescent="0.3">
      <c r="A326" s="28"/>
      <c r="B326" s="25"/>
    </row>
    <row r="327" spans="1:2" ht="15.75" thickBot="1" x14ac:dyDescent="0.3">
      <c r="A327" s="28"/>
      <c r="B327" s="25"/>
    </row>
    <row r="328" spans="1:2" ht="15.75" thickBot="1" x14ac:dyDescent="0.3">
      <c r="A328" s="28"/>
      <c r="B328" s="25"/>
    </row>
    <row r="329" spans="1:2" ht="15.75" thickBot="1" x14ac:dyDescent="0.3">
      <c r="A329" s="28"/>
      <c r="B329" s="25"/>
    </row>
    <row r="330" spans="1:2" ht="15.75" thickBot="1" x14ac:dyDescent="0.3">
      <c r="A330" s="28"/>
      <c r="B330" s="25"/>
    </row>
    <row r="331" spans="1:2" ht="15.75" thickBot="1" x14ac:dyDescent="0.3">
      <c r="A331" s="28"/>
      <c r="B331" s="25"/>
    </row>
    <row r="332" spans="1:2" ht="15.75" thickBot="1" x14ac:dyDescent="0.3">
      <c r="A332" s="28"/>
      <c r="B332" s="25"/>
    </row>
    <row r="333" spans="1:2" ht="15.75" thickBot="1" x14ac:dyDescent="0.3">
      <c r="A333" s="28"/>
      <c r="B333" s="25"/>
    </row>
    <row r="334" spans="1:2" ht="15.75" thickBot="1" x14ac:dyDescent="0.3">
      <c r="A334" s="28"/>
      <c r="B334" s="25"/>
    </row>
    <row r="335" spans="1:2" ht="15.75" thickBot="1" x14ac:dyDescent="0.3">
      <c r="A335" s="28"/>
      <c r="B335" s="25"/>
    </row>
    <row r="336" spans="1:2" ht="15.75" thickBot="1" x14ac:dyDescent="0.3">
      <c r="A336" s="28"/>
      <c r="B336" s="25"/>
    </row>
    <row r="337" spans="1:2" ht="15.75" thickBot="1" x14ac:dyDescent="0.3">
      <c r="A337" s="28"/>
      <c r="B337" s="25"/>
    </row>
    <row r="338" spans="1:2" ht="15.75" thickBot="1" x14ac:dyDescent="0.3">
      <c r="A338" s="28"/>
      <c r="B338" s="25"/>
    </row>
    <row r="339" spans="1:2" ht="15.75" thickBot="1" x14ac:dyDescent="0.3">
      <c r="A339" s="28"/>
      <c r="B339" s="25"/>
    </row>
    <row r="340" spans="1:2" ht="15.75" thickBot="1" x14ac:dyDescent="0.3">
      <c r="A340" s="28"/>
      <c r="B340" s="25"/>
    </row>
    <row r="341" spans="1:2" ht="15.75" thickBot="1" x14ac:dyDescent="0.3">
      <c r="A341" s="28"/>
      <c r="B341" s="25"/>
    </row>
    <row r="342" spans="1:2" ht="15.75" thickBot="1" x14ac:dyDescent="0.3">
      <c r="A342" s="28"/>
      <c r="B342" s="25"/>
    </row>
    <row r="343" spans="1:2" ht="15.75" thickBot="1" x14ac:dyDescent="0.3">
      <c r="A343" s="28"/>
      <c r="B343" s="25"/>
    </row>
    <row r="344" spans="1:2" ht="15.75" thickBot="1" x14ac:dyDescent="0.3">
      <c r="A344" s="28"/>
      <c r="B344" s="25"/>
    </row>
    <row r="345" spans="1:2" ht="15.75" thickBot="1" x14ac:dyDescent="0.3">
      <c r="A345" s="28"/>
      <c r="B345" s="25"/>
    </row>
    <row r="346" spans="1:2" ht="15.75" thickBot="1" x14ac:dyDescent="0.3">
      <c r="A346" s="28"/>
      <c r="B346" s="25"/>
    </row>
    <row r="347" spans="1:2" ht="15.75" thickBot="1" x14ac:dyDescent="0.3">
      <c r="A347" s="28"/>
      <c r="B347" s="25"/>
    </row>
    <row r="348" spans="1:2" ht="15.75" thickBot="1" x14ac:dyDescent="0.3">
      <c r="A348" s="28"/>
      <c r="B348" s="25"/>
    </row>
    <row r="349" spans="1:2" ht="15.75" thickBot="1" x14ac:dyDescent="0.3">
      <c r="A349" s="28"/>
      <c r="B349" s="25"/>
    </row>
    <row r="350" spans="1:2" ht="15.75" thickBot="1" x14ac:dyDescent="0.3">
      <c r="A350" s="28"/>
      <c r="B350" s="25"/>
    </row>
    <row r="351" spans="1:2" ht="15.75" thickBot="1" x14ac:dyDescent="0.3">
      <c r="A351" s="28"/>
      <c r="B351" s="25"/>
    </row>
    <row r="352" spans="1:2" ht="15.75" thickBot="1" x14ac:dyDescent="0.3">
      <c r="A352" s="28"/>
      <c r="B352" s="25"/>
    </row>
    <row r="353" spans="1:2" ht="15.75" thickBot="1" x14ac:dyDescent="0.3">
      <c r="A353" s="28"/>
      <c r="B353" s="25"/>
    </row>
    <row r="354" spans="1:2" ht="15.75" thickBot="1" x14ac:dyDescent="0.3">
      <c r="A354" s="28"/>
      <c r="B354" s="25"/>
    </row>
    <row r="355" spans="1:2" ht="15.75" thickBot="1" x14ac:dyDescent="0.3">
      <c r="A355" s="28"/>
      <c r="B355" s="25"/>
    </row>
    <row r="356" spans="1:2" ht="15.75" thickBot="1" x14ac:dyDescent="0.3">
      <c r="A356" s="28"/>
      <c r="B356" s="25"/>
    </row>
    <row r="357" spans="1:2" ht="15.75" thickBot="1" x14ac:dyDescent="0.3">
      <c r="A357" s="28"/>
      <c r="B357" s="25"/>
    </row>
    <row r="358" spans="1:2" ht="15.75" thickBot="1" x14ac:dyDescent="0.3">
      <c r="A358" s="28"/>
      <c r="B358" s="25"/>
    </row>
    <row r="359" spans="1:2" ht="15.75" thickBot="1" x14ac:dyDescent="0.3">
      <c r="A359" s="28"/>
      <c r="B359" s="25"/>
    </row>
    <row r="360" spans="1:2" ht="15.75" thickBot="1" x14ac:dyDescent="0.3">
      <c r="A360" s="28"/>
      <c r="B360" s="25"/>
    </row>
    <row r="361" spans="1:2" ht="15.75" thickBot="1" x14ac:dyDescent="0.3">
      <c r="A361" s="28"/>
      <c r="B361" s="25"/>
    </row>
    <row r="362" spans="1:2" ht="15.75" thickBot="1" x14ac:dyDescent="0.3">
      <c r="A362" s="28"/>
      <c r="B362" s="25"/>
    </row>
    <row r="363" spans="1:2" ht="15.75" thickBot="1" x14ac:dyDescent="0.3">
      <c r="A363" s="28"/>
      <c r="B363" s="25"/>
    </row>
    <row r="364" spans="1:2" ht="15.75" thickBot="1" x14ac:dyDescent="0.3">
      <c r="A364" s="28"/>
      <c r="B364" s="25"/>
    </row>
    <row r="365" spans="1:2" ht="15.75" thickBot="1" x14ac:dyDescent="0.3">
      <c r="A365" s="28"/>
      <c r="B365" s="25"/>
    </row>
    <row r="366" spans="1:2" ht="15.75" thickBot="1" x14ac:dyDescent="0.3">
      <c r="A366" s="28"/>
      <c r="B366" s="25"/>
    </row>
    <row r="367" spans="1:2" ht="15.75" thickBot="1" x14ac:dyDescent="0.3">
      <c r="A367" s="28"/>
      <c r="B367" s="25"/>
    </row>
    <row r="368" spans="1:2" ht="15.75" thickBot="1" x14ac:dyDescent="0.3">
      <c r="A368" s="28"/>
      <c r="B368" s="25"/>
    </row>
    <row r="369" spans="1:2" ht="15.75" thickBot="1" x14ac:dyDescent="0.3">
      <c r="A369" s="28"/>
      <c r="B369" s="25"/>
    </row>
    <row r="370" spans="1:2" ht="15.75" thickBot="1" x14ac:dyDescent="0.3">
      <c r="A370" s="28"/>
      <c r="B370" s="25"/>
    </row>
    <row r="371" spans="1:2" ht="15.75" thickBot="1" x14ac:dyDescent="0.3">
      <c r="A371" s="28"/>
      <c r="B371" s="25"/>
    </row>
    <row r="372" spans="1:2" ht="15.75" thickBot="1" x14ac:dyDescent="0.3">
      <c r="A372" s="28"/>
      <c r="B372" s="25"/>
    </row>
    <row r="373" spans="1:2" ht="15.75" thickBot="1" x14ac:dyDescent="0.3">
      <c r="A373" s="28"/>
      <c r="B373" s="25"/>
    </row>
    <row r="374" spans="1:2" ht="15.75" thickBot="1" x14ac:dyDescent="0.3">
      <c r="A374" s="28"/>
      <c r="B374" s="25"/>
    </row>
    <row r="375" spans="1:2" ht="15.75" thickBot="1" x14ac:dyDescent="0.3">
      <c r="A375" s="28"/>
      <c r="B375" s="25"/>
    </row>
    <row r="376" spans="1:2" ht="15.75" thickBot="1" x14ac:dyDescent="0.3">
      <c r="A376" s="28"/>
      <c r="B376" s="25"/>
    </row>
    <row r="377" spans="1:2" ht="15.75" thickBot="1" x14ac:dyDescent="0.3">
      <c r="A377" s="28"/>
      <c r="B377" s="25"/>
    </row>
    <row r="378" spans="1:2" ht="15.75" thickBot="1" x14ac:dyDescent="0.3">
      <c r="A378" s="28"/>
      <c r="B378" s="25"/>
    </row>
    <row r="379" spans="1:2" ht="15.75" thickBot="1" x14ac:dyDescent="0.3">
      <c r="A379" s="28"/>
      <c r="B379" s="25"/>
    </row>
    <row r="380" spans="1:2" ht="15.75" thickBot="1" x14ac:dyDescent="0.3">
      <c r="A380" s="28"/>
      <c r="B380" s="25"/>
    </row>
    <row r="381" spans="1:2" ht="15.75" thickBot="1" x14ac:dyDescent="0.3">
      <c r="A381" s="28"/>
      <c r="B381" s="25"/>
    </row>
    <row r="382" spans="1:2" ht="15.75" thickBot="1" x14ac:dyDescent="0.3">
      <c r="A382" s="28"/>
      <c r="B382" s="25"/>
    </row>
    <row r="383" spans="1:2" ht="15.75" thickBot="1" x14ac:dyDescent="0.3">
      <c r="A383" s="28"/>
      <c r="B383" s="25"/>
    </row>
    <row r="384" spans="1:2" ht="15.75" thickBot="1" x14ac:dyDescent="0.3">
      <c r="A384" s="28"/>
      <c r="B384" s="25"/>
    </row>
    <row r="385" spans="1:2" ht="15.75" thickBot="1" x14ac:dyDescent="0.3">
      <c r="A385" s="28"/>
      <c r="B385" s="25"/>
    </row>
    <row r="386" spans="1:2" ht="15.75" thickBot="1" x14ac:dyDescent="0.3">
      <c r="A386" s="28"/>
      <c r="B386" s="25"/>
    </row>
    <row r="387" spans="1:2" ht="15.75" thickBot="1" x14ac:dyDescent="0.3">
      <c r="A387" s="28"/>
      <c r="B387" s="25"/>
    </row>
    <row r="388" spans="1:2" ht="15.75" thickBot="1" x14ac:dyDescent="0.3">
      <c r="A388" s="28"/>
      <c r="B388" s="25"/>
    </row>
    <row r="389" spans="1:2" ht="15.75" thickBot="1" x14ac:dyDescent="0.3">
      <c r="A389" s="28"/>
      <c r="B389" s="25"/>
    </row>
    <row r="390" spans="1:2" ht="15.75" thickBot="1" x14ac:dyDescent="0.3">
      <c r="A390" s="28"/>
      <c r="B390" s="25"/>
    </row>
    <row r="391" spans="1:2" ht="15.75" thickBot="1" x14ac:dyDescent="0.3">
      <c r="A391" s="28"/>
      <c r="B391" s="25"/>
    </row>
    <row r="392" spans="1:2" ht="15.75" thickBot="1" x14ac:dyDescent="0.3">
      <c r="A392" s="28"/>
      <c r="B392" s="25"/>
    </row>
    <row r="393" spans="1:2" ht="15.75" thickBot="1" x14ac:dyDescent="0.3">
      <c r="A393" s="28"/>
      <c r="B393" s="25"/>
    </row>
    <row r="394" spans="1:2" ht="15.75" thickBot="1" x14ac:dyDescent="0.3">
      <c r="A394" s="28"/>
      <c r="B394" s="25"/>
    </row>
    <row r="395" spans="1:2" ht="15.75" thickBot="1" x14ac:dyDescent="0.3">
      <c r="A395" s="28"/>
      <c r="B395" s="25"/>
    </row>
    <row r="396" spans="1:2" ht="15.75" thickBot="1" x14ac:dyDescent="0.3">
      <c r="A396" s="28"/>
      <c r="B396" s="25"/>
    </row>
    <row r="397" spans="1:2" ht="15.75" thickBot="1" x14ac:dyDescent="0.3">
      <c r="A397" s="28"/>
      <c r="B397" s="25"/>
    </row>
    <row r="398" spans="1:2" ht="15.75" thickBot="1" x14ac:dyDescent="0.3">
      <c r="A398" s="28"/>
      <c r="B398" s="25"/>
    </row>
    <row r="399" spans="1:2" ht="15.75" thickBot="1" x14ac:dyDescent="0.3">
      <c r="A399" s="28"/>
      <c r="B399" s="25"/>
    </row>
    <row r="400" spans="1:2" ht="15.75" thickBot="1" x14ac:dyDescent="0.3">
      <c r="A400" s="28"/>
      <c r="B400" s="25"/>
    </row>
    <row r="401" spans="1:2" ht="15.75" thickBot="1" x14ac:dyDescent="0.3">
      <c r="A401" s="28"/>
      <c r="B401" s="25"/>
    </row>
    <row r="402" spans="1:2" ht="15.75" thickBot="1" x14ac:dyDescent="0.3">
      <c r="A402" s="28"/>
      <c r="B402" s="25"/>
    </row>
    <row r="403" spans="1:2" ht="15.75" thickBot="1" x14ac:dyDescent="0.3">
      <c r="A403" s="28"/>
      <c r="B403" s="25"/>
    </row>
    <row r="404" spans="1:2" ht="15.75" thickBot="1" x14ac:dyDescent="0.3">
      <c r="A404" s="28"/>
      <c r="B404" s="25"/>
    </row>
    <row r="405" spans="1:2" ht="15.75" thickBot="1" x14ac:dyDescent="0.3">
      <c r="A405" s="28"/>
      <c r="B405" s="25"/>
    </row>
    <row r="406" spans="1:2" ht="15.75" thickBot="1" x14ac:dyDescent="0.3">
      <c r="A406" s="28"/>
      <c r="B406" s="25"/>
    </row>
    <row r="407" spans="1:2" ht="15.75" thickBot="1" x14ac:dyDescent="0.3">
      <c r="A407" s="28"/>
      <c r="B407" s="25"/>
    </row>
    <row r="408" spans="1:2" ht="15.75" thickBot="1" x14ac:dyDescent="0.3">
      <c r="A408" s="28"/>
      <c r="B408" s="25"/>
    </row>
    <row r="409" spans="1:2" ht="15.75" thickBot="1" x14ac:dyDescent="0.3">
      <c r="A409" s="28"/>
      <c r="B409" s="25"/>
    </row>
    <row r="410" spans="1:2" ht="15.75" thickBot="1" x14ac:dyDescent="0.3">
      <c r="A410" s="28"/>
      <c r="B410" s="25"/>
    </row>
    <row r="411" spans="1:2" ht="15.75" thickBot="1" x14ac:dyDescent="0.3">
      <c r="A411" s="28"/>
      <c r="B411" s="25"/>
    </row>
    <row r="412" spans="1:2" ht="15.75" thickBot="1" x14ac:dyDescent="0.3">
      <c r="A412" s="28"/>
      <c r="B412" s="25"/>
    </row>
    <row r="413" spans="1:2" ht="15.75" thickBot="1" x14ac:dyDescent="0.3">
      <c r="A413" s="28"/>
      <c r="B413" s="25"/>
    </row>
    <row r="414" spans="1:2" ht="15.75" thickBot="1" x14ac:dyDescent="0.3">
      <c r="A414" s="28"/>
      <c r="B414" s="25"/>
    </row>
    <row r="415" spans="1:2" ht="15.75" thickBot="1" x14ac:dyDescent="0.3">
      <c r="A415" s="28"/>
      <c r="B415" s="25"/>
    </row>
    <row r="416" spans="1:2" ht="15.75" thickBot="1" x14ac:dyDescent="0.3">
      <c r="A416" s="28"/>
      <c r="B416" s="25"/>
    </row>
    <row r="417" spans="1:2" ht="15.75" thickBot="1" x14ac:dyDescent="0.3">
      <c r="A417" s="28"/>
      <c r="B417" s="25"/>
    </row>
    <row r="418" spans="1:2" ht="15.75" thickBot="1" x14ac:dyDescent="0.3">
      <c r="A418" s="28"/>
      <c r="B418" s="25"/>
    </row>
    <row r="419" spans="1:2" ht="15.75" thickBot="1" x14ac:dyDescent="0.3">
      <c r="A419" s="28"/>
      <c r="B419" s="25"/>
    </row>
    <row r="420" spans="1:2" ht="15.75" thickBot="1" x14ac:dyDescent="0.3">
      <c r="A420" s="28"/>
      <c r="B420" s="25"/>
    </row>
    <row r="421" spans="1:2" ht="15.75" thickBot="1" x14ac:dyDescent="0.3">
      <c r="A421" s="28"/>
      <c r="B421" s="25"/>
    </row>
    <row r="422" spans="1:2" ht="15.75" thickBot="1" x14ac:dyDescent="0.3">
      <c r="A422" s="28"/>
      <c r="B422" s="25"/>
    </row>
    <row r="423" spans="1:2" ht="15.75" thickBot="1" x14ac:dyDescent="0.3">
      <c r="A423" s="28"/>
      <c r="B423" s="25"/>
    </row>
    <row r="424" spans="1:2" ht="15.75" thickBot="1" x14ac:dyDescent="0.3">
      <c r="A424" s="28"/>
      <c r="B424" s="25"/>
    </row>
    <row r="425" spans="1:2" ht="15.75" thickBot="1" x14ac:dyDescent="0.3">
      <c r="A425" s="28"/>
      <c r="B425" s="25"/>
    </row>
    <row r="426" spans="1:2" ht="15.75" thickBot="1" x14ac:dyDescent="0.3">
      <c r="A426" s="28"/>
      <c r="B426" s="25"/>
    </row>
    <row r="427" spans="1:2" ht="15.75" thickBot="1" x14ac:dyDescent="0.3">
      <c r="A427" s="28"/>
      <c r="B427" s="25"/>
    </row>
    <row r="428" spans="1:2" ht="15.75" thickBot="1" x14ac:dyDescent="0.3">
      <c r="A428" s="28"/>
      <c r="B428" s="25"/>
    </row>
    <row r="429" spans="1:2" ht="15.75" thickBot="1" x14ac:dyDescent="0.3">
      <c r="A429" s="28"/>
      <c r="B429" s="25"/>
    </row>
    <row r="430" spans="1:2" ht="15.75" thickBot="1" x14ac:dyDescent="0.3">
      <c r="A430" s="28"/>
      <c r="B430" s="25"/>
    </row>
    <row r="431" spans="1:2" ht="15.75" thickBot="1" x14ac:dyDescent="0.3">
      <c r="A431" s="28"/>
      <c r="B431" s="25"/>
    </row>
    <row r="432" spans="1:2" ht="15.75" thickBot="1" x14ac:dyDescent="0.3">
      <c r="A432" s="28"/>
      <c r="B432" s="25"/>
    </row>
    <row r="433" spans="1:2" ht="15.75" thickBot="1" x14ac:dyDescent="0.3">
      <c r="A433" s="28"/>
      <c r="B433" s="25"/>
    </row>
    <row r="434" spans="1:2" ht="15.75" thickBot="1" x14ac:dyDescent="0.3">
      <c r="A434" s="28"/>
      <c r="B434" s="25"/>
    </row>
    <row r="435" spans="1:2" ht="15.75" thickBot="1" x14ac:dyDescent="0.3">
      <c r="A435" s="28"/>
      <c r="B435" s="25"/>
    </row>
    <row r="436" spans="1:2" ht="15.75" thickBot="1" x14ac:dyDescent="0.3">
      <c r="A436" s="28"/>
      <c r="B436" s="25"/>
    </row>
    <row r="437" spans="1:2" ht="15.75" thickBot="1" x14ac:dyDescent="0.3">
      <c r="A437" s="28"/>
      <c r="B437" s="25"/>
    </row>
    <row r="438" spans="1:2" ht="15.75" thickBot="1" x14ac:dyDescent="0.3">
      <c r="A438" s="28"/>
      <c r="B438" s="25"/>
    </row>
    <row r="439" spans="1:2" ht="15.75" thickBot="1" x14ac:dyDescent="0.3">
      <c r="A439" s="28"/>
      <c r="B439" s="25"/>
    </row>
    <row r="440" spans="1:2" ht="15.75" thickBot="1" x14ac:dyDescent="0.3">
      <c r="A440" s="28"/>
      <c r="B440" s="25"/>
    </row>
    <row r="441" spans="1:2" ht="15.75" thickBot="1" x14ac:dyDescent="0.3">
      <c r="A441" s="28"/>
      <c r="B441" s="25"/>
    </row>
    <row r="442" spans="1:2" ht="15.75" thickBot="1" x14ac:dyDescent="0.3">
      <c r="A442" s="28"/>
      <c r="B442" s="25"/>
    </row>
    <row r="443" spans="1:2" ht="15.75" thickBot="1" x14ac:dyDescent="0.3">
      <c r="A443" s="28"/>
      <c r="B443" s="25"/>
    </row>
    <row r="444" spans="1:2" ht="15.75" thickBot="1" x14ac:dyDescent="0.3">
      <c r="A444" s="28"/>
      <c r="B444" s="25"/>
    </row>
    <row r="445" spans="1:2" ht="15.75" thickBot="1" x14ac:dyDescent="0.3">
      <c r="A445" s="28"/>
      <c r="B445" s="25"/>
    </row>
    <row r="446" spans="1:2" ht="15.75" thickBot="1" x14ac:dyDescent="0.3">
      <c r="A446" s="28"/>
      <c r="B446" s="25"/>
    </row>
    <row r="447" spans="1:2" ht="15.75" thickBot="1" x14ac:dyDescent="0.3">
      <c r="A447" s="28"/>
      <c r="B447" s="25"/>
    </row>
    <row r="448" spans="1:2" ht="15.75" thickBot="1" x14ac:dyDescent="0.3">
      <c r="A448" s="28"/>
      <c r="B448" s="25"/>
    </row>
    <row r="449" spans="1:2" ht="15.75" thickBot="1" x14ac:dyDescent="0.3">
      <c r="A449" s="28"/>
      <c r="B449" s="25"/>
    </row>
    <row r="450" spans="1:2" ht="15.75" thickBot="1" x14ac:dyDescent="0.3">
      <c r="A450" s="28"/>
      <c r="B450" s="25"/>
    </row>
    <row r="451" spans="1:2" ht="15.75" thickBot="1" x14ac:dyDescent="0.3">
      <c r="A451" s="28"/>
      <c r="B451" s="25"/>
    </row>
    <row r="452" spans="1:2" ht="15.75" thickBot="1" x14ac:dyDescent="0.3">
      <c r="A452" s="28"/>
      <c r="B452" s="25"/>
    </row>
    <row r="453" spans="1:2" ht="15.75" thickBot="1" x14ac:dyDescent="0.3">
      <c r="A453" s="28"/>
      <c r="B453" s="25"/>
    </row>
    <row r="454" spans="1:2" ht="15.75" thickBot="1" x14ac:dyDescent="0.3">
      <c r="A454" s="28"/>
      <c r="B454" s="25"/>
    </row>
    <row r="455" spans="1:2" ht="15.75" thickBot="1" x14ac:dyDescent="0.3">
      <c r="A455" s="28"/>
      <c r="B455" s="25"/>
    </row>
    <row r="456" spans="1:2" ht="15.75" thickBot="1" x14ac:dyDescent="0.3">
      <c r="A456" s="28"/>
      <c r="B456" s="25"/>
    </row>
    <row r="457" spans="1:2" ht="15.75" thickBot="1" x14ac:dyDescent="0.3">
      <c r="A457" s="28"/>
      <c r="B457" s="25"/>
    </row>
    <row r="458" spans="1:2" ht="15.75" thickBot="1" x14ac:dyDescent="0.3">
      <c r="A458" s="28"/>
      <c r="B458" s="25"/>
    </row>
    <row r="459" spans="1:2" ht="15.75" thickBot="1" x14ac:dyDescent="0.3">
      <c r="A459" s="28"/>
      <c r="B459" s="25"/>
    </row>
    <row r="460" spans="1:2" ht="15.75" thickBot="1" x14ac:dyDescent="0.3">
      <c r="A460" s="28"/>
      <c r="B460" s="25"/>
    </row>
    <row r="461" spans="1:2" ht="15.75" thickBot="1" x14ac:dyDescent="0.3">
      <c r="A461" s="28"/>
      <c r="B461" s="25"/>
    </row>
    <row r="462" spans="1:2" ht="15.75" thickBot="1" x14ac:dyDescent="0.3">
      <c r="A462" s="28"/>
      <c r="B462" s="25"/>
    </row>
    <row r="463" spans="1:2" ht="15.75" thickBot="1" x14ac:dyDescent="0.3">
      <c r="A463" s="28"/>
      <c r="B463" s="25"/>
    </row>
    <row r="464" spans="1:2" ht="15.75" thickBot="1" x14ac:dyDescent="0.3">
      <c r="A464" s="28"/>
      <c r="B464" s="25"/>
    </row>
    <row r="465" spans="1:2" ht="15.75" thickBot="1" x14ac:dyDescent="0.3">
      <c r="A465" s="28"/>
      <c r="B465" s="25"/>
    </row>
    <row r="466" spans="1:2" ht="15.75" thickBot="1" x14ac:dyDescent="0.3">
      <c r="A466" s="28"/>
      <c r="B466" s="25"/>
    </row>
    <row r="467" spans="1:2" ht="15.75" thickBot="1" x14ac:dyDescent="0.3">
      <c r="A467" s="28"/>
      <c r="B467" s="25"/>
    </row>
    <row r="468" spans="1:2" ht="15.75" thickBot="1" x14ac:dyDescent="0.3">
      <c r="A468" s="28"/>
      <c r="B468" s="25"/>
    </row>
    <row r="469" spans="1:2" ht="15.75" thickBot="1" x14ac:dyDescent="0.3">
      <c r="A469" s="28"/>
      <c r="B469" s="25"/>
    </row>
    <row r="470" spans="1:2" ht="15.75" thickBot="1" x14ac:dyDescent="0.3">
      <c r="A470" s="28"/>
      <c r="B470" s="25"/>
    </row>
    <row r="471" spans="1:2" ht="15.75" thickBot="1" x14ac:dyDescent="0.3">
      <c r="A471" s="28"/>
      <c r="B471" s="25"/>
    </row>
    <row r="472" spans="1:2" ht="15.75" thickBot="1" x14ac:dyDescent="0.3">
      <c r="A472" s="28"/>
      <c r="B472" s="25"/>
    </row>
    <row r="473" spans="1:2" ht="15.75" thickBot="1" x14ac:dyDescent="0.3">
      <c r="A473" s="28"/>
      <c r="B473" s="25"/>
    </row>
    <row r="474" spans="1:2" ht="15.75" thickBot="1" x14ac:dyDescent="0.3">
      <c r="A474" s="28"/>
      <c r="B474" s="25"/>
    </row>
    <row r="475" spans="1:2" ht="15.75" thickBot="1" x14ac:dyDescent="0.3">
      <c r="A475" s="28"/>
      <c r="B475" s="25"/>
    </row>
    <row r="476" spans="1:2" ht="15.75" thickBot="1" x14ac:dyDescent="0.3">
      <c r="A476" s="28"/>
      <c r="B476" s="25"/>
    </row>
    <row r="477" spans="1:2" ht="15.75" thickBot="1" x14ac:dyDescent="0.3">
      <c r="A477" s="28"/>
      <c r="B477" s="25"/>
    </row>
    <row r="478" spans="1:2" ht="15.75" thickBot="1" x14ac:dyDescent="0.3">
      <c r="A478" s="28"/>
      <c r="B478" s="25"/>
    </row>
    <row r="479" spans="1:2" ht="15.75" thickBot="1" x14ac:dyDescent="0.3">
      <c r="A479" s="28"/>
      <c r="B479" s="25"/>
    </row>
    <row r="480" spans="1:2" ht="15.75" thickBot="1" x14ac:dyDescent="0.3">
      <c r="A480" s="28"/>
      <c r="B480" s="25"/>
    </row>
    <row r="481" spans="1:2" ht="15.75" thickBot="1" x14ac:dyDescent="0.3">
      <c r="A481" s="28"/>
      <c r="B481" s="25"/>
    </row>
    <row r="482" spans="1:2" ht="15.75" thickBot="1" x14ac:dyDescent="0.3">
      <c r="A482" s="28"/>
      <c r="B482" s="25"/>
    </row>
    <row r="483" spans="1:2" ht="15.75" thickBot="1" x14ac:dyDescent="0.3">
      <c r="A483" s="28"/>
      <c r="B483" s="25"/>
    </row>
    <row r="484" spans="1:2" ht="15.75" thickBot="1" x14ac:dyDescent="0.3">
      <c r="A484" s="28"/>
      <c r="B484" s="25"/>
    </row>
    <row r="485" spans="1:2" ht="15.75" thickBot="1" x14ac:dyDescent="0.3">
      <c r="A485" s="28"/>
      <c r="B485" s="25"/>
    </row>
    <row r="486" spans="1:2" ht="15.75" thickBot="1" x14ac:dyDescent="0.3">
      <c r="A486" s="28"/>
      <c r="B486" s="25"/>
    </row>
    <row r="487" spans="1:2" ht="15.75" thickBot="1" x14ac:dyDescent="0.3">
      <c r="A487" s="28"/>
      <c r="B487" s="25"/>
    </row>
    <row r="488" spans="1:2" ht="15.75" thickBot="1" x14ac:dyDescent="0.3">
      <c r="A488" s="28"/>
      <c r="B488" s="25"/>
    </row>
    <row r="489" spans="1:2" ht="15.75" thickBot="1" x14ac:dyDescent="0.3">
      <c r="A489" s="28"/>
      <c r="B489" s="25"/>
    </row>
    <row r="490" spans="1:2" ht="15.75" thickBot="1" x14ac:dyDescent="0.3">
      <c r="A490" s="28"/>
      <c r="B490" s="25"/>
    </row>
    <row r="491" spans="1:2" ht="15.75" thickBot="1" x14ac:dyDescent="0.3">
      <c r="A491" s="28"/>
      <c r="B491" s="25"/>
    </row>
    <row r="492" spans="1:2" ht="15.75" thickBot="1" x14ac:dyDescent="0.3">
      <c r="A492" s="28"/>
      <c r="B492" s="25"/>
    </row>
    <row r="493" spans="1:2" ht="15.75" thickBot="1" x14ac:dyDescent="0.3">
      <c r="A493" s="28"/>
      <c r="B493" s="25"/>
    </row>
    <row r="494" spans="1:2" ht="15.75" thickBot="1" x14ac:dyDescent="0.3">
      <c r="A494" s="28"/>
      <c r="B494" s="25"/>
    </row>
    <row r="495" spans="1:2" ht="15.75" thickBot="1" x14ac:dyDescent="0.3">
      <c r="A495" s="28"/>
      <c r="B495" s="25"/>
    </row>
    <row r="496" spans="1:2" ht="15.75" thickBot="1" x14ac:dyDescent="0.3">
      <c r="A496" s="28"/>
      <c r="B496" s="25"/>
    </row>
    <row r="497" spans="1:2" ht="15.75" thickBot="1" x14ac:dyDescent="0.3">
      <c r="A497" s="28"/>
      <c r="B497" s="25"/>
    </row>
    <row r="498" spans="1:2" ht="15.75" thickBot="1" x14ac:dyDescent="0.3">
      <c r="A498" s="28"/>
      <c r="B498" s="25"/>
    </row>
    <row r="499" spans="1:2" ht="15.75" thickBot="1" x14ac:dyDescent="0.3">
      <c r="A499" s="28"/>
      <c r="B499" s="25"/>
    </row>
    <row r="500" spans="1:2" ht="15.75" thickBot="1" x14ac:dyDescent="0.3">
      <c r="A500" s="28"/>
      <c r="B500" s="25"/>
    </row>
    <row r="501" spans="1:2" ht="15.75" thickBot="1" x14ac:dyDescent="0.3">
      <c r="A501" s="28"/>
      <c r="B501" s="25"/>
    </row>
    <row r="502" spans="1:2" ht="15.75" thickBot="1" x14ac:dyDescent="0.3">
      <c r="A502" s="28"/>
      <c r="B502" s="25"/>
    </row>
    <row r="503" spans="1:2" ht="15.75" thickBot="1" x14ac:dyDescent="0.3">
      <c r="A503" s="28"/>
      <c r="B503" s="25"/>
    </row>
    <row r="504" spans="1:2" ht="15.75" thickBot="1" x14ac:dyDescent="0.3">
      <c r="A504" s="28"/>
      <c r="B504" s="25"/>
    </row>
    <row r="505" spans="1:2" ht="15.75" thickBot="1" x14ac:dyDescent="0.3">
      <c r="A505" s="28"/>
      <c r="B505" s="25"/>
    </row>
    <row r="506" spans="1:2" ht="15.75" thickBot="1" x14ac:dyDescent="0.3">
      <c r="A506" s="28"/>
      <c r="B506" s="25"/>
    </row>
    <row r="507" spans="1:2" ht="15.75" thickBot="1" x14ac:dyDescent="0.3">
      <c r="A507" s="28"/>
      <c r="B507" s="25"/>
    </row>
    <row r="508" spans="1:2" ht="15.75" thickBot="1" x14ac:dyDescent="0.3">
      <c r="A508" s="28"/>
      <c r="B508" s="25"/>
    </row>
    <row r="509" spans="1:2" ht="15.75" thickBot="1" x14ac:dyDescent="0.3">
      <c r="A509" s="28"/>
      <c r="B509" s="25"/>
    </row>
    <row r="510" spans="1:2" ht="15.75" thickBot="1" x14ac:dyDescent="0.3">
      <c r="A510" s="28"/>
      <c r="B510" s="25"/>
    </row>
    <row r="511" spans="1:2" ht="15.75" thickBot="1" x14ac:dyDescent="0.3">
      <c r="A511" s="28"/>
      <c r="B511" s="25"/>
    </row>
    <row r="512" spans="1:2" ht="15.75" thickBot="1" x14ac:dyDescent="0.3">
      <c r="A512" s="28"/>
      <c r="B512" s="25"/>
    </row>
    <row r="513" spans="1:2" ht="15.75" thickBot="1" x14ac:dyDescent="0.3">
      <c r="A513" s="28"/>
      <c r="B513" s="25"/>
    </row>
    <row r="514" spans="1:2" ht="15.75" thickBot="1" x14ac:dyDescent="0.3">
      <c r="A514" s="28"/>
      <c r="B514" s="25"/>
    </row>
    <row r="515" spans="1:2" ht="15.75" thickBot="1" x14ac:dyDescent="0.3">
      <c r="A515" s="28"/>
      <c r="B515" s="25"/>
    </row>
    <row r="516" spans="1:2" ht="15.75" thickBot="1" x14ac:dyDescent="0.3">
      <c r="A516" s="28"/>
      <c r="B516" s="25"/>
    </row>
    <row r="517" spans="1:2" ht="15.75" thickBot="1" x14ac:dyDescent="0.3">
      <c r="A517" s="28"/>
      <c r="B517" s="25"/>
    </row>
    <row r="518" spans="1:2" ht="15.75" thickBot="1" x14ac:dyDescent="0.3">
      <c r="A518" s="28"/>
      <c r="B518" s="25"/>
    </row>
    <row r="519" spans="1:2" ht="15.75" thickBot="1" x14ac:dyDescent="0.3">
      <c r="A519" s="28"/>
      <c r="B519" s="25"/>
    </row>
    <row r="520" spans="1:2" ht="15.75" thickBot="1" x14ac:dyDescent="0.3">
      <c r="A520" s="28"/>
      <c r="B520" s="25"/>
    </row>
    <row r="521" spans="1:2" ht="15.75" thickBot="1" x14ac:dyDescent="0.3">
      <c r="A521" s="28"/>
      <c r="B521" s="25"/>
    </row>
    <row r="522" spans="1:2" ht="15.75" thickBot="1" x14ac:dyDescent="0.3">
      <c r="A522" s="28"/>
      <c r="B522" s="25"/>
    </row>
    <row r="523" spans="1:2" ht="15.75" thickBot="1" x14ac:dyDescent="0.3">
      <c r="A523" s="28"/>
      <c r="B523" s="25"/>
    </row>
    <row r="524" spans="1:2" ht="15.75" thickBot="1" x14ac:dyDescent="0.3">
      <c r="A524" s="28"/>
      <c r="B524" s="25"/>
    </row>
    <row r="525" spans="1:2" ht="15.75" thickBot="1" x14ac:dyDescent="0.3">
      <c r="A525" s="28"/>
      <c r="B525" s="25"/>
    </row>
    <row r="526" spans="1:2" ht="15.75" thickBot="1" x14ac:dyDescent="0.3">
      <c r="A526" s="28"/>
      <c r="B526" s="25"/>
    </row>
    <row r="527" spans="1:2" ht="15.75" thickBot="1" x14ac:dyDescent="0.3">
      <c r="A527" s="28"/>
      <c r="B527" s="25"/>
    </row>
    <row r="528" spans="1:2" ht="15.75" thickBot="1" x14ac:dyDescent="0.3">
      <c r="A528" s="28"/>
      <c r="B528" s="25"/>
    </row>
    <row r="529" spans="1:2" ht="15.75" thickBot="1" x14ac:dyDescent="0.3">
      <c r="A529" s="28"/>
      <c r="B529" s="25"/>
    </row>
    <row r="530" spans="1:2" ht="15.75" thickBot="1" x14ac:dyDescent="0.3">
      <c r="A530" s="28"/>
      <c r="B530" s="25"/>
    </row>
    <row r="531" spans="1:2" ht="15.75" thickBot="1" x14ac:dyDescent="0.3">
      <c r="A531" s="28"/>
      <c r="B531" s="25"/>
    </row>
    <row r="532" spans="1:2" ht="15.75" thickBot="1" x14ac:dyDescent="0.3">
      <c r="A532" s="28"/>
      <c r="B532" s="25"/>
    </row>
    <row r="533" spans="1:2" ht="15.75" thickBot="1" x14ac:dyDescent="0.3">
      <c r="A533" s="28"/>
      <c r="B533" s="25"/>
    </row>
    <row r="534" spans="1:2" ht="15.75" thickBot="1" x14ac:dyDescent="0.3">
      <c r="A534" s="28"/>
      <c r="B534" s="25"/>
    </row>
    <row r="535" spans="1:2" ht="15.75" thickBot="1" x14ac:dyDescent="0.3">
      <c r="A535" s="28"/>
      <c r="B535" s="25"/>
    </row>
    <row r="536" spans="1:2" ht="15.75" thickBot="1" x14ac:dyDescent="0.3">
      <c r="A536" s="28"/>
      <c r="B536" s="25"/>
    </row>
    <row r="537" spans="1:2" ht="15.75" thickBot="1" x14ac:dyDescent="0.3">
      <c r="A537" s="28"/>
      <c r="B537" s="25"/>
    </row>
    <row r="538" spans="1:2" ht="15.75" thickBot="1" x14ac:dyDescent="0.3">
      <c r="A538" s="28"/>
      <c r="B538" s="25"/>
    </row>
    <row r="539" spans="1:2" ht="15.75" thickBot="1" x14ac:dyDescent="0.3">
      <c r="A539" s="28"/>
      <c r="B539" s="25"/>
    </row>
    <row r="540" spans="1:2" ht="15.75" thickBot="1" x14ac:dyDescent="0.3">
      <c r="A540" s="28"/>
      <c r="B540" s="25"/>
    </row>
    <row r="541" spans="1:2" ht="15.75" thickBot="1" x14ac:dyDescent="0.3">
      <c r="A541" s="28"/>
      <c r="B541" s="25"/>
    </row>
    <row r="542" spans="1:2" ht="15.75" thickBot="1" x14ac:dyDescent="0.3">
      <c r="A542" s="28"/>
      <c r="B542" s="25"/>
    </row>
    <row r="543" spans="1:2" ht="15.75" thickBot="1" x14ac:dyDescent="0.3">
      <c r="A543" s="28"/>
      <c r="B543" s="25"/>
    </row>
    <row r="544" spans="1:2" ht="15.75" thickBot="1" x14ac:dyDescent="0.3">
      <c r="A544" s="28"/>
      <c r="B544" s="25"/>
    </row>
    <row r="545" spans="1:2" ht="15.75" thickBot="1" x14ac:dyDescent="0.3">
      <c r="A545" s="28"/>
      <c r="B545" s="25"/>
    </row>
    <row r="546" spans="1:2" ht="15.75" thickBot="1" x14ac:dyDescent="0.3">
      <c r="A546" s="28"/>
      <c r="B546" s="25"/>
    </row>
    <row r="547" spans="1:2" ht="15.75" thickBot="1" x14ac:dyDescent="0.3">
      <c r="A547" s="28"/>
      <c r="B547" s="25"/>
    </row>
    <row r="548" spans="1:2" ht="15.75" thickBot="1" x14ac:dyDescent="0.3">
      <c r="A548" s="28"/>
      <c r="B548" s="25"/>
    </row>
    <row r="549" spans="1:2" ht="15.75" thickBot="1" x14ac:dyDescent="0.3">
      <c r="A549" s="28"/>
      <c r="B549" s="25"/>
    </row>
    <row r="550" spans="1:2" ht="15.75" thickBot="1" x14ac:dyDescent="0.3">
      <c r="A550" s="28"/>
      <c r="B550" s="25"/>
    </row>
    <row r="551" spans="1:2" ht="15.75" thickBot="1" x14ac:dyDescent="0.3">
      <c r="A551" s="28"/>
      <c r="B551" s="25"/>
    </row>
    <row r="552" spans="1:2" ht="15.75" thickBot="1" x14ac:dyDescent="0.3">
      <c r="A552" s="28"/>
      <c r="B552" s="25"/>
    </row>
    <row r="553" spans="1:2" ht="15.75" thickBot="1" x14ac:dyDescent="0.3">
      <c r="A553" s="28"/>
      <c r="B553" s="25"/>
    </row>
    <row r="554" spans="1:2" ht="15.75" thickBot="1" x14ac:dyDescent="0.3">
      <c r="A554" s="28"/>
      <c r="B554" s="25"/>
    </row>
    <row r="555" spans="1:2" ht="15.75" thickBot="1" x14ac:dyDescent="0.3">
      <c r="A555" s="28"/>
      <c r="B555" s="25"/>
    </row>
    <row r="556" spans="1:2" ht="15.75" thickBot="1" x14ac:dyDescent="0.3">
      <c r="A556" s="28"/>
      <c r="B556" s="25"/>
    </row>
    <row r="557" spans="1:2" ht="15.75" thickBot="1" x14ac:dyDescent="0.3">
      <c r="A557" s="28"/>
      <c r="B557" s="25"/>
    </row>
    <row r="558" spans="1:2" ht="15.75" thickBot="1" x14ac:dyDescent="0.3">
      <c r="A558" s="28"/>
      <c r="B558" s="25"/>
    </row>
    <row r="559" spans="1:2" ht="15.75" thickBot="1" x14ac:dyDescent="0.3">
      <c r="A559" s="28"/>
      <c r="B559" s="25"/>
    </row>
    <row r="560" spans="1:2" ht="15.75" thickBot="1" x14ac:dyDescent="0.3">
      <c r="A560" s="28"/>
      <c r="B560" s="25"/>
    </row>
    <row r="561" spans="1:2" ht="15.75" thickBot="1" x14ac:dyDescent="0.3">
      <c r="A561" s="28"/>
      <c r="B561" s="25"/>
    </row>
    <row r="562" spans="1:2" ht="15.75" thickBot="1" x14ac:dyDescent="0.3">
      <c r="A562" s="28"/>
      <c r="B562" s="25"/>
    </row>
    <row r="563" spans="1:2" ht="15.75" thickBot="1" x14ac:dyDescent="0.3">
      <c r="A563" s="28"/>
      <c r="B563" s="25"/>
    </row>
    <row r="564" spans="1:2" ht="15.75" thickBot="1" x14ac:dyDescent="0.3">
      <c r="A564" s="28"/>
      <c r="B564" s="25"/>
    </row>
    <row r="565" spans="1:2" ht="15.75" thickBot="1" x14ac:dyDescent="0.3">
      <c r="A565" s="28"/>
      <c r="B565" s="25"/>
    </row>
    <row r="566" spans="1:2" ht="15.75" thickBot="1" x14ac:dyDescent="0.3">
      <c r="A566" s="28"/>
      <c r="B566" s="25"/>
    </row>
    <row r="567" spans="1:2" ht="15.75" thickBot="1" x14ac:dyDescent="0.3">
      <c r="A567" s="28"/>
      <c r="B567" s="25"/>
    </row>
    <row r="568" spans="1:2" ht="15.75" thickBot="1" x14ac:dyDescent="0.3">
      <c r="A568" s="28"/>
      <c r="B568" s="25"/>
    </row>
    <row r="569" spans="1:2" ht="15.75" thickBot="1" x14ac:dyDescent="0.3">
      <c r="A569" s="28"/>
      <c r="B569" s="25"/>
    </row>
    <row r="570" spans="1:2" ht="15.75" thickBot="1" x14ac:dyDescent="0.3">
      <c r="A570" s="28"/>
      <c r="B570" s="25"/>
    </row>
    <row r="571" spans="1:2" ht="15.75" thickBot="1" x14ac:dyDescent="0.3">
      <c r="A571" s="28"/>
      <c r="B571" s="25"/>
    </row>
    <row r="572" spans="1:2" ht="15.75" thickBot="1" x14ac:dyDescent="0.3">
      <c r="A572" s="28"/>
      <c r="B572" s="25"/>
    </row>
    <row r="573" spans="1:2" ht="15.75" thickBot="1" x14ac:dyDescent="0.3">
      <c r="A573" s="28"/>
      <c r="B573" s="25"/>
    </row>
    <row r="574" spans="1:2" ht="15.75" thickBot="1" x14ac:dyDescent="0.3">
      <c r="A574" s="28"/>
      <c r="B574" s="25"/>
    </row>
    <row r="575" spans="1:2" ht="15.75" thickBot="1" x14ac:dyDescent="0.3">
      <c r="A575" s="28"/>
      <c r="B575" s="25"/>
    </row>
    <row r="576" spans="1:2" ht="15.75" thickBot="1" x14ac:dyDescent="0.3">
      <c r="A576" s="28"/>
      <c r="B576" s="25"/>
    </row>
    <row r="577" spans="1:2" ht="15.75" thickBot="1" x14ac:dyDescent="0.3">
      <c r="A577" s="28"/>
      <c r="B577" s="25"/>
    </row>
    <row r="578" spans="1:2" ht="15.75" thickBot="1" x14ac:dyDescent="0.3">
      <c r="A578" s="28"/>
      <c r="B578" s="25"/>
    </row>
    <row r="579" spans="1:2" ht="15.75" thickBot="1" x14ac:dyDescent="0.3">
      <c r="A579" s="28"/>
      <c r="B579" s="25"/>
    </row>
    <row r="580" spans="1:2" ht="15.75" thickBot="1" x14ac:dyDescent="0.3">
      <c r="A580" s="28"/>
      <c r="B580" s="25"/>
    </row>
    <row r="581" spans="1:2" ht="15.75" thickBot="1" x14ac:dyDescent="0.3">
      <c r="A581" s="28"/>
      <c r="B581" s="25"/>
    </row>
    <row r="582" spans="1:2" ht="15.75" thickBot="1" x14ac:dyDescent="0.3">
      <c r="A582" s="28"/>
      <c r="B582" s="25"/>
    </row>
    <row r="583" spans="1:2" ht="15.75" thickBot="1" x14ac:dyDescent="0.3">
      <c r="A583" s="28"/>
      <c r="B583" s="25"/>
    </row>
    <row r="584" spans="1:2" ht="15.75" thickBot="1" x14ac:dyDescent="0.3">
      <c r="A584" s="28"/>
      <c r="B584" s="25"/>
    </row>
    <row r="585" spans="1:2" ht="15.75" thickBot="1" x14ac:dyDescent="0.3">
      <c r="A585" s="28"/>
      <c r="B585" s="25"/>
    </row>
    <row r="586" spans="1:2" ht="15.75" thickBot="1" x14ac:dyDescent="0.3">
      <c r="A586" s="28"/>
      <c r="B586" s="25"/>
    </row>
    <row r="587" spans="1:2" ht="15.75" thickBot="1" x14ac:dyDescent="0.3">
      <c r="A587" s="28"/>
      <c r="B587" s="25"/>
    </row>
    <row r="588" spans="1:2" ht="15.75" thickBot="1" x14ac:dyDescent="0.3">
      <c r="A588" s="28"/>
      <c r="B588" s="25"/>
    </row>
    <row r="589" spans="1:2" ht="15.75" thickBot="1" x14ac:dyDescent="0.3">
      <c r="A589" s="28"/>
      <c r="B589" s="25"/>
    </row>
    <row r="590" spans="1:2" ht="15.75" thickBot="1" x14ac:dyDescent="0.3">
      <c r="A590" s="28"/>
      <c r="B590" s="25"/>
    </row>
    <row r="591" spans="1:2" ht="15.75" thickBot="1" x14ac:dyDescent="0.3">
      <c r="A591" s="28"/>
      <c r="B591" s="25"/>
    </row>
    <row r="592" spans="1:2" ht="15.75" thickBot="1" x14ac:dyDescent="0.3">
      <c r="A592" s="28"/>
      <c r="B592" s="25"/>
    </row>
    <row r="593" spans="1:2" ht="15.75" thickBot="1" x14ac:dyDescent="0.3">
      <c r="A593" s="28"/>
      <c r="B593" s="25"/>
    </row>
    <row r="594" spans="1:2" ht="15.75" thickBot="1" x14ac:dyDescent="0.3">
      <c r="A594" s="28"/>
      <c r="B594" s="25"/>
    </row>
    <row r="595" spans="1:2" ht="15.75" thickBot="1" x14ac:dyDescent="0.3">
      <c r="A595" s="28"/>
      <c r="B595" s="25"/>
    </row>
    <row r="596" spans="1:2" ht="15.75" thickBot="1" x14ac:dyDescent="0.3">
      <c r="A596" s="28"/>
      <c r="B596" s="25"/>
    </row>
    <row r="597" spans="1:2" ht="15.75" thickBot="1" x14ac:dyDescent="0.3">
      <c r="A597" s="28"/>
      <c r="B597" s="25"/>
    </row>
    <row r="598" spans="1:2" ht="15.75" thickBot="1" x14ac:dyDescent="0.3">
      <c r="A598" s="28"/>
      <c r="B598" s="25"/>
    </row>
    <row r="599" spans="1:2" ht="15.75" thickBot="1" x14ac:dyDescent="0.3">
      <c r="A599" s="28"/>
      <c r="B599" s="25"/>
    </row>
    <row r="600" spans="1:2" ht="15.75" thickBot="1" x14ac:dyDescent="0.3">
      <c r="A600" s="28"/>
      <c r="B600" s="25"/>
    </row>
    <row r="601" spans="1:2" ht="15.75" thickBot="1" x14ac:dyDescent="0.3">
      <c r="A601" s="28"/>
      <c r="B601" s="25"/>
    </row>
    <row r="602" spans="1:2" ht="15.75" thickBot="1" x14ac:dyDescent="0.3">
      <c r="A602" s="28"/>
      <c r="B602" s="25"/>
    </row>
    <row r="603" spans="1:2" ht="15.75" thickBot="1" x14ac:dyDescent="0.3">
      <c r="A603" s="28"/>
      <c r="B603" s="25"/>
    </row>
    <row r="604" spans="1:2" ht="15.75" thickBot="1" x14ac:dyDescent="0.3">
      <c r="A604" s="28"/>
      <c r="B604" s="25"/>
    </row>
    <row r="605" spans="1:2" ht="15.75" thickBot="1" x14ac:dyDescent="0.3">
      <c r="A605" s="28"/>
      <c r="B605" s="25"/>
    </row>
    <row r="606" spans="1:2" ht="15.75" thickBot="1" x14ac:dyDescent="0.3">
      <c r="A606" s="28"/>
      <c r="B606" s="25"/>
    </row>
    <row r="607" spans="1:2" ht="15.75" thickBot="1" x14ac:dyDescent="0.3">
      <c r="A607" s="28"/>
      <c r="B607" s="25"/>
    </row>
    <row r="608" spans="1:2" ht="15.75" thickBot="1" x14ac:dyDescent="0.3">
      <c r="A608" s="28"/>
      <c r="B608" s="25"/>
    </row>
    <row r="609" spans="1:2" ht="15.75" thickBot="1" x14ac:dyDescent="0.3">
      <c r="A609" s="28"/>
      <c r="B609" s="25"/>
    </row>
    <row r="610" spans="1:2" ht="15.75" thickBot="1" x14ac:dyDescent="0.3">
      <c r="A610" s="28"/>
      <c r="B610" s="25"/>
    </row>
    <row r="611" spans="1:2" ht="15.75" thickBot="1" x14ac:dyDescent="0.3">
      <c r="A611" s="28"/>
      <c r="B611" s="25"/>
    </row>
    <row r="612" spans="1:2" ht="15.75" thickBot="1" x14ac:dyDescent="0.3">
      <c r="A612" s="28"/>
      <c r="B612" s="25"/>
    </row>
    <row r="613" spans="1:2" ht="15.75" thickBot="1" x14ac:dyDescent="0.3">
      <c r="A613" s="28"/>
      <c r="B613" s="25"/>
    </row>
    <row r="614" spans="1:2" ht="15.75" thickBot="1" x14ac:dyDescent="0.3">
      <c r="A614" s="28"/>
      <c r="B614" s="25"/>
    </row>
    <row r="615" spans="1:2" ht="15.75" thickBot="1" x14ac:dyDescent="0.3">
      <c r="A615" s="28"/>
      <c r="B615" s="25"/>
    </row>
    <row r="616" spans="1:2" ht="15.75" thickBot="1" x14ac:dyDescent="0.3">
      <c r="A616" s="28"/>
      <c r="B616" s="25"/>
    </row>
    <row r="617" spans="1:2" ht="15.75" thickBot="1" x14ac:dyDescent="0.3">
      <c r="A617" s="28"/>
      <c r="B617" s="25"/>
    </row>
    <row r="618" spans="1:2" ht="15.75" thickBot="1" x14ac:dyDescent="0.3">
      <c r="A618" s="28"/>
      <c r="B618" s="25"/>
    </row>
    <row r="619" spans="1:2" ht="15.75" thickBot="1" x14ac:dyDescent="0.3">
      <c r="A619" s="28"/>
      <c r="B619" s="25"/>
    </row>
    <row r="620" spans="1:2" ht="15.75" thickBot="1" x14ac:dyDescent="0.3">
      <c r="A620" s="28"/>
      <c r="B620" s="25"/>
    </row>
    <row r="621" spans="1:2" ht="15.75" thickBot="1" x14ac:dyDescent="0.3">
      <c r="A621" s="28"/>
      <c r="B621" s="25"/>
    </row>
    <row r="622" spans="1:2" ht="15.75" thickBot="1" x14ac:dyDescent="0.3">
      <c r="A622" s="28"/>
      <c r="B622" s="25"/>
    </row>
    <row r="623" spans="1:2" ht="15.75" thickBot="1" x14ac:dyDescent="0.3">
      <c r="A623" s="28"/>
      <c r="B623" s="25"/>
    </row>
    <row r="624" spans="1:2" ht="15.75" thickBot="1" x14ac:dyDescent="0.3">
      <c r="A624" s="28"/>
      <c r="B624" s="25"/>
    </row>
    <row r="625" spans="1:2" ht="15.75" thickBot="1" x14ac:dyDescent="0.3">
      <c r="A625" s="28"/>
      <c r="B625" s="25"/>
    </row>
    <row r="626" spans="1:2" ht="15.75" thickBot="1" x14ac:dyDescent="0.3">
      <c r="A626" s="28"/>
      <c r="B626" s="25"/>
    </row>
    <row r="627" spans="1:2" ht="15.75" thickBot="1" x14ac:dyDescent="0.3">
      <c r="A627" s="28"/>
      <c r="B627" s="25"/>
    </row>
    <row r="628" spans="1:2" ht="15.75" thickBot="1" x14ac:dyDescent="0.3">
      <c r="A628" s="28"/>
      <c r="B628" s="25"/>
    </row>
    <row r="629" spans="1:2" ht="15.75" thickBot="1" x14ac:dyDescent="0.3">
      <c r="A629" s="28"/>
      <c r="B629" s="25"/>
    </row>
    <row r="630" spans="1:2" ht="15.75" thickBot="1" x14ac:dyDescent="0.3">
      <c r="A630" s="28"/>
      <c r="B630" s="25"/>
    </row>
    <row r="631" spans="1:2" ht="15.75" thickBot="1" x14ac:dyDescent="0.3">
      <c r="A631" s="28"/>
      <c r="B631" s="25"/>
    </row>
    <row r="632" spans="1:2" ht="15.75" thickBot="1" x14ac:dyDescent="0.3">
      <c r="A632" s="28"/>
      <c r="B632" s="25"/>
    </row>
    <row r="633" spans="1:2" ht="15.75" thickBot="1" x14ac:dyDescent="0.3">
      <c r="A633" s="28"/>
      <c r="B633" s="25"/>
    </row>
    <row r="634" spans="1:2" ht="15.75" thickBot="1" x14ac:dyDescent="0.3">
      <c r="A634" s="28"/>
      <c r="B634" s="25"/>
    </row>
    <row r="635" spans="1:2" ht="15.75" thickBot="1" x14ac:dyDescent="0.3">
      <c r="A635" s="28"/>
      <c r="B635" s="25"/>
    </row>
    <row r="636" spans="1:2" ht="15.75" thickBot="1" x14ac:dyDescent="0.3">
      <c r="A636" s="28"/>
      <c r="B636" s="25"/>
    </row>
    <row r="637" spans="1:2" ht="15.75" thickBot="1" x14ac:dyDescent="0.3">
      <c r="A637" s="28"/>
      <c r="B637" s="25"/>
    </row>
    <row r="638" spans="1:2" ht="15.75" thickBot="1" x14ac:dyDescent="0.3">
      <c r="A638" s="28"/>
      <c r="B638" s="25"/>
    </row>
    <row r="639" spans="1:2" ht="15.75" thickBot="1" x14ac:dyDescent="0.3">
      <c r="A639" s="28"/>
      <c r="B639" s="25"/>
    </row>
    <row r="640" spans="1:2" ht="15.75" thickBot="1" x14ac:dyDescent="0.3">
      <c r="A640" s="28"/>
      <c r="B640" s="25"/>
    </row>
    <row r="641" spans="1:2" ht="15.75" thickBot="1" x14ac:dyDescent="0.3">
      <c r="A641" s="28"/>
      <c r="B641" s="25"/>
    </row>
    <row r="642" spans="1:2" ht="15.75" thickBot="1" x14ac:dyDescent="0.3">
      <c r="A642" s="28"/>
      <c r="B642" s="25"/>
    </row>
    <row r="643" spans="1:2" ht="15.75" thickBot="1" x14ac:dyDescent="0.3">
      <c r="A643" s="28"/>
      <c r="B643" s="25"/>
    </row>
    <row r="644" spans="1:2" ht="15.75" thickBot="1" x14ac:dyDescent="0.3">
      <c r="A644" s="28"/>
      <c r="B644" s="25"/>
    </row>
    <row r="645" spans="1:2" ht="15.75" thickBot="1" x14ac:dyDescent="0.3">
      <c r="A645" s="28"/>
      <c r="B645" s="25"/>
    </row>
    <row r="646" spans="1:2" ht="15.75" thickBot="1" x14ac:dyDescent="0.3">
      <c r="A646" s="28"/>
      <c r="B646" s="25"/>
    </row>
    <row r="647" spans="1:2" ht="15.75" thickBot="1" x14ac:dyDescent="0.3">
      <c r="A647" s="28"/>
      <c r="B647" s="25"/>
    </row>
    <row r="648" spans="1:2" ht="15.75" thickBot="1" x14ac:dyDescent="0.3">
      <c r="A648" s="28"/>
      <c r="B648" s="25"/>
    </row>
    <row r="649" spans="1:2" ht="15.75" thickBot="1" x14ac:dyDescent="0.3">
      <c r="A649" s="28"/>
      <c r="B649" s="25"/>
    </row>
    <row r="650" spans="1:2" ht="15.75" thickBot="1" x14ac:dyDescent="0.3">
      <c r="A650" s="28"/>
      <c r="B650" s="25"/>
    </row>
    <row r="651" spans="1:2" ht="15.75" thickBot="1" x14ac:dyDescent="0.3">
      <c r="A651" s="28"/>
      <c r="B651" s="25"/>
    </row>
    <row r="652" spans="1:2" ht="15.75" thickBot="1" x14ac:dyDescent="0.3">
      <c r="A652" s="28"/>
      <c r="B652" s="25"/>
    </row>
    <row r="653" spans="1:2" ht="15.75" thickBot="1" x14ac:dyDescent="0.3">
      <c r="A653" s="28"/>
      <c r="B653" s="25"/>
    </row>
    <row r="654" spans="1:2" ht="15.75" thickBot="1" x14ac:dyDescent="0.3">
      <c r="A654" s="28"/>
      <c r="B654" s="25"/>
    </row>
    <row r="655" spans="1:2" ht="15.75" thickBot="1" x14ac:dyDescent="0.3">
      <c r="A655" s="28"/>
      <c r="B655" s="25"/>
    </row>
    <row r="656" spans="1:2" ht="15.75" thickBot="1" x14ac:dyDescent="0.3">
      <c r="A656" s="28"/>
      <c r="B656" s="25"/>
    </row>
    <row r="657" spans="1:2" ht="15.75" thickBot="1" x14ac:dyDescent="0.3">
      <c r="A657" s="28"/>
      <c r="B657" s="25"/>
    </row>
    <row r="658" spans="1:2" ht="15.75" thickBot="1" x14ac:dyDescent="0.3">
      <c r="A658" s="28"/>
      <c r="B658" s="25"/>
    </row>
    <row r="659" spans="1:2" ht="15.75" thickBot="1" x14ac:dyDescent="0.3">
      <c r="A659" s="28"/>
      <c r="B659" s="25"/>
    </row>
    <row r="660" spans="1:2" ht="15.75" thickBot="1" x14ac:dyDescent="0.3">
      <c r="A660" s="28"/>
      <c r="B660" s="25"/>
    </row>
    <row r="661" spans="1:2" ht="15.75" thickBot="1" x14ac:dyDescent="0.3">
      <c r="A661" s="28"/>
      <c r="B661" s="25"/>
    </row>
    <row r="662" spans="1:2" ht="15.75" thickBot="1" x14ac:dyDescent="0.3">
      <c r="A662" s="28"/>
      <c r="B662" s="25"/>
    </row>
    <row r="663" spans="1:2" ht="15.75" thickBot="1" x14ac:dyDescent="0.3">
      <c r="A663" s="28"/>
      <c r="B663" s="25"/>
    </row>
    <row r="664" spans="1:2" ht="15.75" thickBot="1" x14ac:dyDescent="0.3">
      <c r="A664" s="28"/>
      <c r="B664" s="25"/>
    </row>
    <row r="665" spans="1:2" ht="15.75" thickBot="1" x14ac:dyDescent="0.3">
      <c r="A665" s="28"/>
      <c r="B665" s="25"/>
    </row>
    <row r="666" spans="1:2" ht="15.75" thickBot="1" x14ac:dyDescent="0.3">
      <c r="A666" s="28"/>
      <c r="B666" s="25"/>
    </row>
    <row r="667" spans="1:2" ht="15.75" thickBot="1" x14ac:dyDescent="0.3">
      <c r="A667" s="28"/>
      <c r="B667" s="25"/>
    </row>
    <row r="668" spans="1:2" ht="15.75" thickBot="1" x14ac:dyDescent="0.3">
      <c r="A668" s="28"/>
      <c r="B668" s="25"/>
    </row>
    <row r="669" spans="1:2" ht="15.75" thickBot="1" x14ac:dyDescent="0.3">
      <c r="A669" s="28"/>
      <c r="B669" s="25"/>
    </row>
    <row r="670" spans="1:2" ht="15.75" thickBot="1" x14ac:dyDescent="0.3">
      <c r="A670" s="28"/>
      <c r="B670" s="25"/>
    </row>
    <row r="671" spans="1:2" ht="15.75" thickBot="1" x14ac:dyDescent="0.3">
      <c r="A671" s="28"/>
      <c r="B671" s="25"/>
    </row>
    <row r="672" spans="1:2" ht="15.75" thickBot="1" x14ac:dyDescent="0.3">
      <c r="A672" s="28"/>
      <c r="B672" s="25"/>
    </row>
    <row r="673" spans="1:2" ht="15.75" thickBot="1" x14ac:dyDescent="0.3">
      <c r="A673" s="28"/>
      <c r="B673" s="25"/>
    </row>
    <row r="674" spans="1:2" ht="15.75" thickBot="1" x14ac:dyDescent="0.3">
      <c r="A674" s="28"/>
      <c r="B674" s="25"/>
    </row>
    <row r="675" spans="1:2" ht="15.75" thickBot="1" x14ac:dyDescent="0.3">
      <c r="A675" s="28"/>
      <c r="B675" s="25"/>
    </row>
    <row r="676" spans="1:2" ht="15.75" thickBot="1" x14ac:dyDescent="0.3">
      <c r="A676" s="28"/>
      <c r="B676" s="25"/>
    </row>
    <row r="677" spans="1:2" ht="15.75" thickBot="1" x14ac:dyDescent="0.3">
      <c r="A677" s="28"/>
      <c r="B677" s="25"/>
    </row>
    <row r="678" spans="1:2" ht="15.75" thickBot="1" x14ac:dyDescent="0.3">
      <c r="A678" s="28"/>
      <c r="B678" s="25"/>
    </row>
    <row r="679" spans="1:2" ht="15.75" thickBot="1" x14ac:dyDescent="0.3">
      <c r="A679" s="28"/>
      <c r="B679" s="25"/>
    </row>
    <row r="680" spans="1:2" ht="15.75" thickBot="1" x14ac:dyDescent="0.3">
      <c r="A680" s="28"/>
      <c r="B680" s="25"/>
    </row>
    <row r="681" spans="1:2" ht="15.75" thickBot="1" x14ac:dyDescent="0.3">
      <c r="A681" s="28"/>
      <c r="B681" s="25"/>
    </row>
    <row r="682" spans="1:2" ht="15.75" thickBot="1" x14ac:dyDescent="0.3">
      <c r="A682" s="28"/>
      <c r="B682" s="25"/>
    </row>
    <row r="683" spans="1:2" ht="15.75" thickBot="1" x14ac:dyDescent="0.3">
      <c r="A683" s="28"/>
      <c r="B683" s="25"/>
    </row>
    <row r="684" spans="1:2" ht="15.75" thickBot="1" x14ac:dyDescent="0.3">
      <c r="A684" s="28"/>
      <c r="B684" s="25"/>
    </row>
    <row r="685" spans="1:2" ht="15.75" thickBot="1" x14ac:dyDescent="0.3">
      <c r="A685" s="28"/>
      <c r="B685" s="25"/>
    </row>
    <row r="686" spans="1:2" ht="15.75" thickBot="1" x14ac:dyDescent="0.3">
      <c r="A686" s="28"/>
      <c r="B686" s="25"/>
    </row>
    <row r="687" spans="1:2" ht="15.75" thickBot="1" x14ac:dyDescent="0.3">
      <c r="A687" s="28"/>
      <c r="B687" s="25"/>
    </row>
    <row r="688" spans="1:2" ht="15.75" thickBot="1" x14ac:dyDescent="0.3">
      <c r="A688" s="28"/>
      <c r="B688" s="25"/>
    </row>
    <row r="689" spans="1:2" ht="15.75" thickBot="1" x14ac:dyDescent="0.3">
      <c r="A689" s="28"/>
      <c r="B689" s="25"/>
    </row>
    <row r="690" spans="1:2" ht="15.75" thickBot="1" x14ac:dyDescent="0.3">
      <c r="A690" s="28"/>
      <c r="B690" s="25"/>
    </row>
    <row r="691" spans="1:2" ht="15.75" thickBot="1" x14ac:dyDescent="0.3">
      <c r="A691" s="28"/>
      <c r="B691" s="25"/>
    </row>
    <row r="692" spans="1:2" ht="15.75" thickBot="1" x14ac:dyDescent="0.3">
      <c r="A692" s="28"/>
      <c r="B692" s="25"/>
    </row>
    <row r="693" spans="1:2" ht="15.75" thickBot="1" x14ac:dyDescent="0.3">
      <c r="A693" s="28"/>
      <c r="B693" s="25"/>
    </row>
    <row r="694" spans="1:2" ht="15.75" thickBot="1" x14ac:dyDescent="0.3">
      <c r="A694" s="28"/>
      <c r="B694" s="25"/>
    </row>
    <row r="695" spans="1:2" ht="15.75" thickBot="1" x14ac:dyDescent="0.3">
      <c r="A695" s="28"/>
      <c r="B695" s="25"/>
    </row>
    <row r="696" spans="1:2" ht="15.75" thickBot="1" x14ac:dyDescent="0.3">
      <c r="A696" s="28"/>
      <c r="B696" s="25"/>
    </row>
    <row r="697" spans="1:2" ht="15.75" thickBot="1" x14ac:dyDescent="0.3">
      <c r="A697" s="28"/>
      <c r="B697" s="25"/>
    </row>
    <row r="698" spans="1:2" ht="15.75" thickBot="1" x14ac:dyDescent="0.3">
      <c r="A698" s="28"/>
      <c r="B698" s="25"/>
    </row>
    <row r="699" spans="1:2" ht="15.75" thickBot="1" x14ac:dyDescent="0.3">
      <c r="A699" s="28"/>
      <c r="B699" s="25"/>
    </row>
    <row r="700" spans="1:2" ht="15.75" thickBot="1" x14ac:dyDescent="0.3">
      <c r="A700" s="28"/>
      <c r="B700" s="25"/>
    </row>
    <row r="701" spans="1:2" ht="15.75" thickBot="1" x14ac:dyDescent="0.3">
      <c r="A701" s="28"/>
      <c r="B701" s="25"/>
    </row>
    <row r="702" spans="1:2" ht="15.75" thickBot="1" x14ac:dyDescent="0.3">
      <c r="A702" s="28"/>
      <c r="B702" s="25"/>
    </row>
    <row r="703" spans="1:2" ht="15.75" thickBot="1" x14ac:dyDescent="0.3">
      <c r="A703" s="28"/>
      <c r="B703" s="25"/>
    </row>
    <row r="704" spans="1:2" ht="15.75" thickBot="1" x14ac:dyDescent="0.3">
      <c r="A704" s="28"/>
      <c r="B704" s="25"/>
    </row>
    <row r="705" spans="1:2" ht="15.75" thickBot="1" x14ac:dyDescent="0.3">
      <c r="A705" s="28"/>
      <c r="B705" s="25"/>
    </row>
    <row r="706" spans="1:2" ht="15.75" thickBot="1" x14ac:dyDescent="0.3">
      <c r="A706" s="28"/>
      <c r="B706" s="25"/>
    </row>
    <row r="707" spans="1:2" ht="15.75" thickBot="1" x14ac:dyDescent="0.3">
      <c r="A707" s="28"/>
      <c r="B707" s="25"/>
    </row>
    <row r="708" spans="1:2" ht="15.75" thickBot="1" x14ac:dyDescent="0.3">
      <c r="A708" s="28"/>
      <c r="B708" s="25"/>
    </row>
    <row r="709" spans="1:2" ht="15.75" thickBot="1" x14ac:dyDescent="0.3">
      <c r="A709" s="28"/>
      <c r="B709" s="25"/>
    </row>
    <row r="710" spans="1:2" ht="15.75" thickBot="1" x14ac:dyDescent="0.3">
      <c r="A710" s="28"/>
      <c r="B710" s="25"/>
    </row>
    <row r="711" spans="1:2" ht="15.75" thickBot="1" x14ac:dyDescent="0.3">
      <c r="A711" s="28"/>
      <c r="B711" s="25"/>
    </row>
    <row r="712" spans="1:2" ht="15.75" thickBot="1" x14ac:dyDescent="0.3">
      <c r="A712" s="28"/>
      <c r="B712" s="25"/>
    </row>
    <row r="713" spans="1:2" ht="15.75" thickBot="1" x14ac:dyDescent="0.3">
      <c r="A713" s="28"/>
      <c r="B713" s="25"/>
    </row>
    <row r="714" spans="1:2" ht="15.75" thickBot="1" x14ac:dyDescent="0.3">
      <c r="A714" s="28"/>
      <c r="B714" s="25"/>
    </row>
    <row r="715" spans="1:2" ht="15.75" thickBot="1" x14ac:dyDescent="0.3">
      <c r="A715" s="28"/>
      <c r="B715" s="25"/>
    </row>
    <row r="716" spans="1:2" ht="15.75" thickBot="1" x14ac:dyDescent="0.3">
      <c r="A716" s="28"/>
      <c r="B716" s="25"/>
    </row>
    <row r="717" spans="1:2" ht="15.75" thickBot="1" x14ac:dyDescent="0.3">
      <c r="A717" s="28"/>
      <c r="B717" s="25"/>
    </row>
    <row r="718" spans="1:2" ht="15.75" thickBot="1" x14ac:dyDescent="0.3">
      <c r="A718" s="28"/>
      <c r="B718" s="25"/>
    </row>
    <row r="719" spans="1:2" ht="15.75" thickBot="1" x14ac:dyDescent="0.3">
      <c r="A719" s="28"/>
      <c r="B719" s="25"/>
    </row>
    <row r="720" spans="1:2" ht="15.75" thickBot="1" x14ac:dyDescent="0.3">
      <c r="A720" s="28"/>
      <c r="B720" s="25"/>
    </row>
    <row r="721" spans="1:2" ht="15.75" thickBot="1" x14ac:dyDescent="0.3">
      <c r="A721" s="28"/>
      <c r="B721" s="25"/>
    </row>
    <row r="722" spans="1:2" ht="15.75" thickBot="1" x14ac:dyDescent="0.3">
      <c r="A722" s="28"/>
      <c r="B722" s="25"/>
    </row>
    <row r="723" spans="1:2" ht="15.75" thickBot="1" x14ac:dyDescent="0.3">
      <c r="A723" s="28"/>
      <c r="B723" s="25"/>
    </row>
    <row r="724" spans="1:2" ht="15.75" thickBot="1" x14ac:dyDescent="0.3">
      <c r="A724" s="28"/>
      <c r="B724" s="25"/>
    </row>
    <row r="725" spans="1:2" ht="15.75" thickBot="1" x14ac:dyDescent="0.3">
      <c r="A725" s="28"/>
      <c r="B725" s="25"/>
    </row>
    <row r="726" spans="1:2" ht="15.75" thickBot="1" x14ac:dyDescent="0.3">
      <c r="A726" s="28"/>
      <c r="B726" s="25"/>
    </row>
    <row r="727" spans="1:2" ht="15.75" thickBot="1" x14ac:dyDescent="0.3">
      <c r="A727" s="28"/>
      <c r="B727" s="25"/>
    </row>
    <row r="728" spans="1:2" ht="15.75" thickBot="1" x14ac:dyDescent="0.3">
      <c r="A728" s="28"/>
      <c r="B728" s="25"/>
    </row>
    <row r="729" spans="1:2" ht="15.75" thickBot="1" x14ac:dyDescent="0.3">
      <c r="A729" s="28"/>
      <c r="B729" s="25"/>
    </row>
    <row r="730" spans="1:2" ht="15.75" thickBot="1" x14ac:dyDescent="0.3">
      <c r="A730" s="28"/>
      <c r="B730" s="25"/>
    </row>
    <row r="731" spans="1:2" ht="15.75" thickBot="1" x14ac:dyDescent="0.3">
      <c r="A731" s="28"/>
      <c r="B731" s="25"/>
    </row>
    <row r="732" spans="1:2" ht="15.75" thickBot="1" x14ac:dyDescent="0.3">
      <c r="A732" s="28"/>
      <c r="B732" s="25"/>
    </row>
    <row r="733" spans="1:2" ht="15.75" thickBot="1" x14ac:dyDescent="0.3">
      <c r="A733" s="28"/>
      <c r="B733" s="25"/>
    </row>
    <row r="734" spans="1:2" ht="15.75" thickBot="1" x14ac:dyDescent="0.3">
      <c r="A734" s="28"/>
      <c r="B734" s="25"/>
    </row>
    <row r="735" spans="1:2" ht="15.75" thickBot="1" x14ac:dyDescent="0.3">
      <c r="A735" s="28"/>
      <c r="B735" s="25"/>
    </row>
    <row r="736" spans="1:2" ht="15.75" thickBot="1" x14ac:dyDescent="0.3">
      <c r="A736" s="28"/>
      <c r="B736" s="25"/>
    </row>
    <row r="737" spans="1:2" ht="15.75" thickBot="1" x14ac:dyDescent="0.3">
      <c r="A737" s="28"/>
      <c r="B737" s="25"/>
    </row>
    <row r="738" spans="1:2" ht="15.75" thickBot="1" x14ac:dyDescent="0.3">
      <c r="A738" s="28"/>
      <c r="B738" s="25"/>
    </row>
    <row r="739" spans="1:2" ht="15.75" thickBot="1" x14ac:dyDescent="0.3">
      <c r="A739" s="28"/>
      <c r="B739" s="25"/>
    </row>
    <row r="740" spans="1:2" ht="15.75" thickBot="1" x14ac:dyDescent="0.3">
      <c r="A740" s="28"/>
      <c r="B740" s="25"/>
    </row>
    <row r="741" spans="1:2" ht="15.75" thickBot="1" x14ac:dyDescent="0.3">
      <c r="A741" s="28"/>
      <c r="B741" s="25"/>
    </row>
    <row r="742" spans="1:2" ht="15.75" thickBot="1" x14ac:dyDescent="0.3">
      <c r="A742" s="28"/>
      <c r="B742" s="25"/>
    </row>
    <row r="743" spans="1:2" ht="15.75" thickBot="1" x14ac:dyDescent="0.3">
      <c r="A743" s="28"/>
      <c r="B743" s="25"/>
    </row>
    <row r="744" spans="1:2" ht="15.75" thickBot="1" x14ac:dyDescent="0.3">
      <c r="A744" s="28"/>
      <c r="B744" s="25"/>
    </row>
    <row r="745" spans="1:2" ht="15.75" thickBot="1" x14ac:dyDescent="0.3">
      <c r="A745" s="28"/>
      <c r="B745" s="25"/>
    </row>
    <row r="746" spans="1:2" ht="15.75" thickBot="1" x14ac:dyDescent="0.3">
      <c r="A746" s="28"/>
      <c r="B746" s="25"/>
    </row>
    <row r="747" spans="1:2" ht="15.75" thickBot="1" x14ac:dyDescent="0.3">
      <c r="A747" s="28"/>
      <c r="B747" s="25"/>
    </row>
    <row r="748" spans="1:2" ht="15.75" thickBot="1" x14ac:dyDescent="0.3">
      <c r="A748" s="28"/>
      <c r="B748" s="25"/>
    </row>
    <row r="749" spans="1:2" ht="15.75" thickBot="1" x14ac:dyDescent="0.3">
      <c r="A749" s="28"/>
      <c r="B749" s="25"/>
    </row>
    <row r="750" spans="1:2" ht="15.75" thickBot="1" x14ac:dyDescent="0.3">
      <c r="A750" s="28"/>
      <c r="B750" s="25"/>
    </row>
    <row r="751" spans="1:2" ht="15.75" thickBot="1" x14ac:dyDescent="0.3">
      <c r="A751" s="28"/>
      <c r="B751" s="25"/>
    </row>
    <row r="752" spans="1:2" ht="15.75" thickBot="1" x14ac:dyDescent="0.3">
      <c r="A752" s="28"/>
      <c r="B752" s="25"/>
    </row>
    <row r="753" spans="1:2" ht="15.75" thickBot="1" x14ac:dyDescent="0.3">
      <c r="A753" s="28"/>
      <c r="B753" s="25"/>
    </row>
    <row r="754" spans="1:2" ht="15.75" thickBot="1" x14ac:dyDescent="0.3">
      <c r="A754" s="28"/>
      <c r="B754" s="25"/>
    </row>
    <row r="755" spans="1:2" ht="15.75" thickBot="1" x14ac:dyDescent="0.3">
      <c r="A755" s="28"/>
      <c r="B755" s="25"/>
    </row>
    <row r="756" spans="1:2" ht="15.75" thickBot="1" x14ac:dyDescent="0.3">
      <c r="A756" s="28"/>
      <c r="B756" s="25"/>
    </row>
    <row r="757" spans="1:2" ht="15.75" thickBot="1" x14ac:dyDescent="0.3">
      <c r="A757" s="28"/>
      <c r="B757" s="25"/>
    </row>
    <row r="758" spans="1:2" ht="15.75" thickBot="1" x14ac:dyDescent="0.3">
      <c r="A758" s="28"/>
      <c r="B758" s="25"/>
    </row>
    <row r="759" spans="1:2" ht="15.75" thickBot="1" x14ac:dyDescent="0.3">
      <c r="A759" s="28"/>
      <c r="B759" s="25"/>
    </row>
    <row r="760" spans="1:2" ht="15.75" thickBot="1" x14ac:dyDescent="0.3">
      <c r="A760" s="28"/>
      <c r="B760" s="25"/>
    </row>
    <row r="761" spans="1:2" ht="15.75" thickBot="1" x14ac:dyDescent="0.3">
      <c r="A761" s="28"/>
      <c r="B761" s="25"/>
    </row>
    <row r="762" spans="1:2" ht="15.75" thickBot="1" x14ac:dyDescent="0.3">
      <c r="A762" s="28"/>
      <c r="B762" s="25"/>
    </row>
    <row r="763" spans="1:2" ht="15.75" thickBot="1" x14ac:dyDescent="0.3">
      <c r="A763" s="28"/>
      <c r="B763" s="25"/>
    </row>
    <row r="764" spans="1:2" ht="15.75" thickBot="1" x14ac:dyDescent="0.3">
      <c r="A764" s="28"/>
      <c r="B764" s="25"/>
    </row>
    <row r="765" spans="1:2" ht="15.75" thickBot="1" x14ac:dyDescent="0.3">
      <c r="A765" s="28"/>
      <c r="B765" s="25"/>
    </row>
    <row r="766" spans="1:2" ht="15.75" thickBot="1" x14ac:dyDescent="0.3">
      <c r="A766" s="28"/>
      <c r="B766" s="25"/>
    </row>
    <row r="767" spans="1:2" ht="15.75" thickBot="1" x14ac:dyDescent="0.3">
      <c r="A767" s="28"/>
      <c r="B767" s="25"/>
    </row>
    <row r="768" spans="1:2" ht="15.75" thickBot="1" x14ac:dyDescent="0.3">
      <c r="A768" s="28"/>
      <c r="B768" s="25"/>
    </row>
    <row r="769" spans="1:2" ht="15.75" thickBot="1" x14ac:dyDescent="0.3">
      <c r="A769" s="28"/>
      <c r="B769" s="25"/>
    </row>
    <row r="770" spans="1:2" ht="15.75" thickBot="1" x14ac:dyDescent="0.3">
      <c r="A770" s="28"/>
      <c r="B770" s="25"/>
    </row>
    <row r="771" spans="1:2" ht="15.75" thickBot="1" x14ac:dyDescent="0.3">
      <c r="A771" s="28"/>
      <c r="B771" s="25"/>
    </row>
    <row r="772" spans="1:2" ht="15.75" thickBot="1" x14ac:dyDescent="0.3">
      <c r="A772" s="28"/>
      <c r="B772" s="25"/>
    </row>
    <row r="773" spans="1:2" ht="15.75" thickBot="1" x14ac:dyDescent="0.3">
      <c r="A773" s="28"/>
      <c r="B773" s="25"/>
    </row>
    <row r="774" spans="1:2" ht="15.75" thickBot="1" x14ac:dyDescent="0.3">
      <c r="A774" s="28"/>
      <c r="B774" s="25"/>
    </row>
    <row r="775" spans="1:2" ht="15.75" thickBot="1" x14ac:dyDescent="0.3">
      <c r="A775" s="28"/>
      <c r="B775" s="25"/>
    </row>
    <row r="776" spans="1:2" ht="15.75" thickBot="1" x14ac:dyDescent="0.3">
      <c r="A776" s="28"/>
      <c r="B776" s="25"/>
    </row>
    <row r="777" spans="1:2" ht="15.75" thickBot="1" x14ac:dyDescent="0.3">
      <c r="A777" s="28"/>
      <c r="B777" s="25"/>
    </row>
    <row r="778" spans="1:2" ht="15.75" thickBot="1" x14ac:dyDescent="0.3">
      <c r="A778" s="28"/>
      <c r="B778" s="25"/>
    </row>
    <row r="779" spans="1:2" ht="15.75" thickBot="1" x14ac:dyDescent="0.3">
      <c r="A779" s="28"/>
      <c r="B779" s="25"/>
    </row>
    <row r="780" spans="1:2" ht="15.75" thickBot="1" x14ac:dyDescent="0.3">
      <c r="A780" s="28"/>
      <c r="B780" s="25"/>
    </row>
    <row r="781" spans="1:2" ht="15.75" thickBot="1" x14ac:dyDescent="0.3">
      <c r="A781" s="28"/>
      <c r="B781" s="25"/>
    </row>
    <row r="782" spans="1:2" ht="15.75" thickBot="1" x14ac:dyDescent="0.3">
      <c r="A782" s="28"/>
      <c r="B782" s="25"/>
    </row>
    <row r="783" spans="1:2" ht="15.75" thickBot="1" x14ac:dyDescent="0.3">
      <c r="A783" s="28"/>
      <c r="B783" s="25"/>
    </row>
    <row r="784" spans="1:2" ht="15.75" thickBot="1" x14ac:dyDescent="0.3">
      <c r="A784" s="28"/>
      <c r="B784" s="25"/>
    </row>
    <row r="785" spans="1:2" ht="15.75" thickBot="1" x14ac:dyDescent="0.3">
      <c r="A785" s="28"/>
      <c r="B785" s="25"/>
    </row>
    <row r="786" spans="1:2" ht="15.75" thickBot="1" x14ac:dyDescent="0.3">
      <c r="A786" s="28"/>
      <c r="B786" s="25"/>
    </row>
    <row r="787" spans="1:2" ht="15.75" thickBot="1" x14ac:dyDescent="0.3">
      <c r="A787" s="28"/>
      <c r="B787" s="25"/>
    </row>
    <row r="788" spans="1:2" ht="15.75" thickBot="1" x14ac:dyDescent="0.3">
      <c r="A788" s="28"/>
      <c r="B788" s="25"/>
    </row>
    <row r="789" spans="1:2" ht="15.75" thickBot="1" x14ac:dyDescent="0.3">
      <c r="A789" s="28"/>
      <c r="B789" s="25"/>
    </row>
    <row r="790" spans="1:2" ht="15.75" thickBot="1" x14ac:dyDescent="0.3">
      <c r="A790" s="28"/>
      <c r="B790" s="25"/>
    </row>
    <row r="791" spans="1:2" ht="15.75" thickBot="1" x14ac:dyDescent="0.3">
      <c r="A791" s="28"/>
      <c r="B791" s="25"/>
    </row>
    <row r="792" spans="1:2" ht="15.75" thickBot="1" x14ac:dyDescent="0.3">
      <c r="A792" s="28"/>
      <c r="B792" s="25"/>
    </row>
    <row r="793" spans="1:2" ht="15.75" thickBot="1" x14ac:dyDescent="0.3">
      <c r="A793" s="28"/>
      <c r="B793" s="25"/>
    </row>
    <row r="794" spans="1:2" ht="15.75" thickBot="1" x14ac:dyDescent="0.3">
      <c r="A794" s="28"/>
      <c r="B794" s="25"/>
    </row>
    <row r="795" spans="1:2" ht="15.75" thickBot="1" x14ac:dyDescent="0.3">
      <c r="A795" s="28"/>
      <c r="B795" s="25"/>
    </row>
    <row r="796" spans="1:2" ht="15.75" thickBot="1" x14ac:dyDescent="0.3">
      <c r="A796" s="28"/>
      <c r="B796" s="25"/>
    </row>
    <row r="797" spans="1:2" ht="15.75" thickBot="1" x14ac:dyDescent="0.3">
      <c r="A797" s="28"/>
      <c r="B797" s="25"/>
    </row>
    <row r="798" spans="1:2" ht="15.75" thickBot="1" x14ac:dyDescent="0.3">
      <c r="A798" s="28"/>
      <c r="B798" s="25"/>
    </row>
    <row r="799" spans="1:2" ht="15.75" thickBot="1" x14ac:dyDescent="0.3">
      <c r="A799" s="28"/>
      <c r="B799" s="25"/>
    </row>
    <row r="800" spans="1:2" ht="15.75" thickBot="1" x14ac:dyDescent="0.3">
      <c r="A800" s="28"/>
      <c r="B800" s="25"/>
    </row>
    <row r="801" spans="1:2" ht="15.75" thickBot="1" x14ac:dyDescent="0.3">
      <c r="A801" s="28"/>
      <c r="B801" s="25"/>
    </row>
    <row r="802" spans="1:2" ht="15.75" thickBot="1" x14ac:dyDescent="0.3">
      <c r="A802" s="28"/>
      <c r="B802" s="25"/>
    </row>
    <row r="803" spans="1:2" ht="15.75" thickBot="1" x14ac:dyDescent="0.3">
      <c r="A803" s="28"/>
      <c r="B803" s="25"/>
    </row>
    <row r="804" spans="1:2" ht="15.75" thickBot="1" x14ac:dyDescent="0.3">
      <c r="A804" s="28"/>
      <c r="B804" s="25"/>
    </row>
    <row r="805" spans="1:2" ht="15.75" thickBot="1" x14ac:dyDescent="0.3">
      <c r="A805" s="28"/>
      <c r="B805" s="25"/>
    </row>
    <row r="806" spans="1:2" ht="15.75" thickBot="1" x14ac:dyDescent="0.3">
      <c r="A806" s="28"/>
      <c r="B806" s="25"/>
    </row>
    <row r="807" spans="1:2" ht="15.75" thickBot="1" x14ac:dyDescent="0.3">
      <c r="A807" s="28"/>
      <c r="B807" s="25"/>
    </row>
    <row r="808" spans="1:2" ht="15.75" thickBot="1" x14ac:dyDescent="0.3">
      <c r="A808" s="28"/>
      <c r="B808" s="25"/>
    </row>
    <row r="809" spans="1:2" ht="15.75" thickBot="1" x14ac:dyDescent="0.3">
      <c r="A809" s="28"/>
      <c r="B809" s="25"/>
    </row>
    <row r="810" spans="1:2" ht="15.75" thickBot="1" x14ac:dyDescent="0.3">
      <c r="A810" s="28"/>
      <c r="B810" s="25"/>
    </row>
    <row r="811" spans="1:2" ht="15.75" thickBot="1" x14ac:dyDescent="0.3">
      <c r="A811" s="28"/>
      <c r="B811" s="25"/>
    </row>
    <row r="812" spans="1:2" ht="15.75" thickBot="1" x14ac:dyDescent="0.3">
      <c r="A812" s="28"/>
      <c r="B812" s="25"/>
    </row>
    <row r="813" spans="1:2" ht="15.75" thickBot="1" x14ac:dyDescent="0.3">
      <c r="A813" s="28"/>
      <c r="B813" s="25"/>
    </row>
    <row r="814" spans="1:2" ht="15.75" thickBot="1" x14ac:dyDescent="0.3">
      <c r="A814" s="28"/>
      <c r="B814" s="25"/>
    </row>
    <row r="815" spans="1:2" ht="15.75" thickBot="1" x14ac:dyDescent="0.3">
      <c r="A815" s="28"/>
      <c r="B815" s="25"/>
    </row>
    <row r="816" spans="1:2" ht="15.75" thickBot="1" x14ac:dyDescent="0.3">
      <c r="A816" s="28"/>
      <c r="B816" s="25"/>
    </row>
    <row r="817" spans="1:2" ht="15.75" thickBot="1" x14ac:dyDescent="0.3">
      <c r="A817" s="28"/>
      <c r="B817" s="25"/>
    </row>
    <row r="818" spans="1:2" ht="15.75" thickBot="1" x14ac:dyDescent="0.3">
      <c r="A818" s="28"/>
      <c r="B818" s="25"/>
    </row>
    <row r="819" spans="1:2" ht="15.75" thickBot="1" x14ac:dyDescent="0.3">
      <c r="A819" s="28"/>
      <c r="B819" s="25"/>
    </row>
    <row r="820" spans="1:2" ht="15.75" thickBot="1" x14ac:dyDescent="0.3">
      <c r="A820" s="28"/>
      <c r="B820" s="25"/>
    </row>
    <row r="821" spans="1:2" ht="15.75" thickBot="1" x14ac:dyDescent="0.3">
      <c r="A821" s="28"/>
      <c r="B821" s="25"/>
    </row>
    <row r="822" spans="1:2" ht="15.75" thickBot="1" x14ac:dyDescent="0.3">
      <c r="A822" s="28"/>
      <c r="B822" s="25"/>
    </row>
    <row r="823" spans="1:2" ht="15.75" thickBot="1" x14ac:dyDescent="0.3">
      <c r="A823" s="28"/>
      <c r="B823" s="25"/>
    </row>
    <row r="824" spans="1:2" ht="15.75" thickBot="1" x14ac:dyDescent="0.3">
      <c r="A824" s="28"/>
      <c r="B824" s="25"/>
    </row>
    <row r="825" spans="1:2" ht="15.75" thickBot="1" x14ac:dyDescent="0.3">
      <c r="A825" s="28"/>
      <c r="B825" s="25"/>
    </row>
    <row r="826" spans="1:2" ht="15.75" thickBot="1" x14ac:dyDescent="0.3">
      <c r="A826" s="28"/>
      <c r="B826" s="25"/>
    </row>
    <row r="827" spans="1:2" ht="15.75" thickBot="1" x14ac:dyDescent="0.3">
      <c r="A827" s="28"/>
      <c r="B827" s="25"/>
    </row>
    <row r="828" spans="1:2" ht="15.75" thickBot="1" x14ac:dyDescent="0.3">
      <c r="A828" s="28"/>
      <c r="B828" s="25"/>
    </row>
    <row r="829" spans="1:2" ht="15.75" thickBot="1" x14ac:dyDescent="0.3">
      <c r="A829" s="28"/>
      <c r="B829" s="25"/>
    </row>
    <row r="830" spans="1:2" ht="15.75" thickBot="1" x14ac:dyDescent="0.3">
      <c r="A830" s="28"/>
      <c r="B830" s="25"/>
    </row>
    <row r="831" spans="1:2" ht="15.75" thickBot="1" x14ac:dyDescent="0.3">
      <c r="A831" s="28"/>
      <c r="B831" s="25"/>
    </row>
    <row r="832" spans="1:2" ht="15.75" thickBot="1" x14ac:dyDescent="0.3">
      <c r="A832" s="28"/>
      <c r="B832" s="25"/>
    </row>
    <row r="833" spans="1:2" ht="15.75" thickBot="1" x14ac:dyDescent="0.3">
      <c r="A833" s="28"/>
      <c r="B833" s="25"/>
    </row>
    <row r="834" spans="1:2" ht="15.75" thickBot="1" x14ac:dyDescent="0.3">
      <c r="A834" s="28"/>
      <c r="B834" s="25"/>
    </row>
    <row r="835" spans="1:2" ht="15.75" thickBot="1" x14ac:dyDescent="0.3">
      <c r="A835" s="28"/>
      <c r="B835" s="25"/>
    </row>
    <row r="836" spans="1:2" ht="15.75" thickBot="1" x14ac:dyDescent="0.3">
      <c r="A836" s="28"/>
      <c r="B836" s="25"/>
    </row>
    <row r="837" spans="1:2" ht="15.75" thickBot="1" x14ac:dyDescent="0.3">
      <c r="A837" s="28"/>
      <c r="B837" s="25"/>
    </row>
    <row r="838" spans="1:2" ht="15.75" thickBot="1" x14ac:dyDescent="0.3">
      <c r="A838" s="28"/>
      <c r="B838" s="25"/>
    </row>
    <row r="839" spans="1:2" ht="15.75" thickBot="1" x14ac:dyDescent="0.3">
      <c r="A839" s="28"/>
      <c r="B839" s="25"/>
    </row>
    <row r="840" spans="1:2" ht="15.75" thickBot="1" x14ac:dyDescent="0.3">
      <c r="A840" s="28"/>
      <c r="B840" s="25"/>
    </row>
    <row r="841" spans="1:2" ht="15.75" thickBot="1" x14ac:dyDescent="0.3">
      <c r="A841" s="28"/>
      <c r="B841" s="25"/>
    </row>
    <row r="842" spans="1:2" ht="15.75" thickBot="1" x14ac:dyDescent="0.3">
      <c r="A842" s="28"/>
      <c r="B842" s="25"/>
    </row>
    <row r="843" spans="1:2" ht="15.75" thickBot="1" x14ac:dyDescent="0.3">
      <c r="A843" s="28"/>
      <c r="B843" s="25"/>
    </row>
    <row r="844" spans="1:2" ht="15.75" thickBot="1" x14ac:dyDescent="0.3">
      <c r="A844" s="28"/>
      <c r="B844" s="25"/>
    </row>
    <row r="845" spans="1:2" ht="15.75" thickBot="1" x14ac:dyDescent="0.3">
      <c r="A845" s="28"/>
      <c r="B845" s="25"/>
    </row>
    <row r="846" spans="1:2" ht="15.75" thickBot="1" x14ac:dyDescent="0.3">
      <c r="A846" s="28"/>
      <c r="B846" s="25"/>
    </row>
    <row r="847" spans="1:2" ht="15.75" thickBot="1" x14ac:dyDescent="0.3">
      <c r="A847" s="28"/>
      <c r="B847" s="25"/>
    </row>
    <row r="848" spans="1:2" ht="15.75" thickBot="1" x14ac:dyDescent="0.3">
      <c r="A848" s="28"/>
      <c r="B848" s="25"/>
    </row>
    <row r="849" spans="1:2" ht="15.75" thickBot="1" x14ac:dyDescent="0.3">
      <c r="A849" s="28"/>
      <c r="B849" s="25"/>
    </row>
    <row r="850" spans="1:2" ht="15.75" thickBot="1" x14ac:dyDescent="0.3">
      <c r="A850" s="28"/>
      <c r="B850" s="25"/>
    </row>
    <row r="851" spans="1:2" ht="15.75" thickBot="1" x14ac:dyDescent="0.3">
      <c r="A851" s="28"/>
      <c r="B851" s="25"/>
    </row>
    <row r="852" spans="1:2" ht="15.75" thickBot="1" x14ac:dyDescent="0.3">
      <c r="A852" s="28"/>
      <c r="B852" s="25"/>
    </row>
    <row r="853" spans="1:2" ht="15.75" thickBot="1" x14ac:dyDescent="0.3">
      <c r="A853" s="28"/>
      <c r="B853" s="25"/>
    </row>
    <row r="854" spans="1:2" ht="15.75" thickBot="1" x14ac:dyDescent="0.3">
      <c r="A854" s="28"/>
      <c r="B854" s="25"/>
    </row>
    <row r="855" spans="1:2" ht="15.75" thickBot="1" x14ac:dyDescent="0.3">
      <c r="A855" s="28"/>
      <c r="B855" s="25"/>
    </row>
    <row r="856" spans="1:2" ht="15.75" thickBot="1" x14ac:dyDescent="0.3">
      <c r="A856" s="28"/>
      <c r="B856" s="25"/>
    </row>
    <row r="857" spans="1:2" ht="15.75" thickBot="1" x14ac:dyDescent="0.3">
      <c r="A857" s="28"/>
      <c r="B857" s="25"/>
    </row>
    <row r="858" spans="1:2" ht="15.75" thickBot="1" x14ac:dyDescent="0.3">
      <c r="A858" s="28"/>
      <c r="B858" s="25"/>
    </row>
    <row r="859" spans="1:2" ht="15.75" thickBot="1" x14ac:dyDescent="0.3">
      <c r="A859" s="28"/>
      <c r="B859" s="25"/>
    </row>
    <row r="860" spans="1:2" ht="15.75" thickBot="1" x14ac:dyDescent="0.3">
      <c r="A860" s="28"/>
      <c r="B860" s="25"/>
    </row>
    <row r="861" spans="1:2" ht="15.75" thickBot="1" x14ac:dyDescent="0.3">
      <c r="A861" s="28"/>
      <c r="B861" s="25"/>
    </row>
    <row r="862" spans="1:2" ht="15.75" thickBot="1" x14ac:dyDescent="0.3">
      <c r="A862" s="28"/>
      <c r="B862" s="25"/>
    </row>
    <row r="863" spans="1:2" ht="15.75" thickBot="1" x14ac:dyDescent="0.3">
      <c r="A863" s="28"/>
      <c r="B863" s="25"/>
    </row>
    <row r="864" spans="1:2" ht="15.75" thickBot="1" x14ac:dyDescent="0.3">
      <c r="A864" s="28"/>
      <c r="B864" s="25"/>
    </row>
    <row r="865" spans="1:2" ht="15.75" thickBot="1" x14ac:dyDescent="0.3">
      <c r="A865" s="28"/>
      <c r="B865" s="25"/>
    </row>
    <row r="866" spans="1:2" ht="15.75" thickBot="1" x14ac:dyDescent="0.3">
      <c r="A866" s="28"/>
      <c r="B866" s="25"/>
    </row>
    <row r="867" spans="1:2" ht="15.75" thickBot="1" x14ac:dyDescent="0.3">
      <c r="A867" s="28"/>
      <c r="B867" s="25"/>
    </row>
    <row r="868" spans="1:2" ht="15.75" thickBot="1" x14ac:dyDescent="0.3">
      <c r="A868" s="28"/>
      <c r="B868" s="25"/>
    </row>
    <row r="869" spans="1:2" ht="15.75" thickBot="1" x14ac:dyDescent="0.3">
      <c r="A869" s="28"/>
      <c r="B869" s="25"/>
    </row>
    <row r="870" spans="1:2" ht="15.75" thickBot="1" x14ac:dyDescent="0.3">
      <c r="A870" s="28"/>
      <c r="B870" s="25"/>
    </row>
    <row r="871" spans="1:2" ht="15.75" thickBot="1" x14ac:dyDescent="0.3">
      <c r="A871" s="28"/>
      <c r="B871" s="25"/>
    </row>
    <row r="872" spans="1:2" ht="15.75" thickBot="1" x14ac:dyDescent="0.3">
      <c r="A872" s="28"/>
      <c r="B872" s="25"/>
    </row>
    <row r="873" spans="1:2" ht="15.75" thickBot="1" x14ac:dyDescent="0.3">
      <c r="A873" s="28"/>
      <c r="B873" s="25"/>
    </row>
    <row r="874" spans="1:2" ht="15.75" thickBot="1" x14ac:dyDescent="0.3">
      <c r="A874" s="28"/>
      <c r="B874" s="25"/>
    </row>
    <row r="875" spans="1:2" ht="15.75" thickBot="1" x14ac:dyDescent="0.3">
      <c r="A875" s="28"/>
      <c r="B875" s="25"/>
    </row>
    <row r="876" spans="1:2" ht="15.75" thickBot="1" x14ac:dyDescent="0.3">
      <c r="A876" s="28"/>
      <c r="B876" s="25"/>
    </row>
    <row r="877" spans="1:2" ht="15.75" thickBot="1" x14ac:dyDescent="0.3">
      <c r="A877" s="28"/>
      <c r="B877" s="25"/>
    </row>
    <row r="878" spans="1:2" ht="15.75" thickBot="1" x14ac:dyDescent="0.3">
      <c r="A878" s="28"/>
      <c r="B878" s="25"/>
    </row>
    <row r="879" spans="1:2" ht="15.75" thickBot="1" x14ac:dyDescent="0.3">
      <c r="A879" s="28"/>
      <c r="B879" s="25"/>
    </row>
    <row r="880" spans="1:2" ht="15.75" thickBot="1" x14ac:dyDescent="0.3">
      <c r="A880" s="28"/>
      <c r="B880" s="25"/>
    </row>
    <row r="881" spans="1:2" ht="15.75" thickBot="1" x14ac:dyDescent="0.3">
      <c r="A881" s="28"/>
      <c r="B881" s="25"/>
    </row>
    <row r="882" spans="1:2" ht="15.75" thickBot="1" x14ac:dyDescent="0.3">
      <c r="A882" s="28"/>
      <c r="B882" s="25"/>
    </row>
    <row r="883" spans="1:2" ht="15.75" thickBot="1" x14ac:dyDescent="0.3">
      <c r="A883" s="28"/>
      <c r="B883" s="25"/>
    </row>
    <row r="884" spans="1:2" ht="15.75" thickBot="1" x14ac:dyDescent="0.3">
      <c r="A884" s="28"/>
      <c r="B884" s="25"/>
    </row>
    <row r="885" spans="1:2" ht="15.75" thickBot="1" x14ac:dyDescent="0.3">
      <c r="A885" s="28"/>
      <c r="B885" s="25"/>
    </row>
    <row r="886" spans="1:2" ht="15.75" thickBot="1" x14ac:dyDescent="0.3">
      <c r="A886" s="28"/>
      <c r="B886" s="25"/>
    </row>
    <row r="887" spans="1:2" ht="15.75" thickBot="1" x14ac:dyDescent="0.3">
      <c r="A887" s="28"/>
      <c r="B887" s="25"/>
    </row>
    <row r="888" spans="1:2" ht="15.75" thickBot="1" x14ac:dyDescent="0.3">
      <c r="A888" s="28"/>
      <c r="B888" s="25"/>
    </row>
    <row r="889" spans="1:2" ht="15.75" thickBot="1" x14ac:dyDescent="0.3">
      <c r="A889" s="28"/>
      <c r="B889" s="25"/>
    </row>
    <row r="890" spans="1:2" ht="15.75" thickBot="1" x14ac:dyDescent="0.3">
      <c r="A890" s="28"/>
      <c r="B890" s="25"/>
    </row>
    <row r="891" spans="1:2" ht="15.75" thickBot="1" x14ac:dyDescent="0.3">
      <c r="A891" s="28"/>
      <c r="B891" s="25"/>
    </row>
    <row r="892" spans="1:2" ht="15.75" thickBot="1" x14ac:dyDescent="0.3">
      <c r="A892" s="28"/>
      <c r="B892" s="25"/>
    </row>
    <row r="893" spans="1:2" ht="15.75" thickBot="1" x14ac:dyDescent="0.3">
      <c r="A893" s="28"/>
      <c r="B893" s="25"/>
    </row>
    <row r="894" spans="1:2" ht="15.75" thickBot="1" x14ac:dyDescent="0.3">
      <c r="A894" s="28"/>
      <c r="B894" s="25"/>
    </row>
    <row r="895" spans="1:2" ht="15.75" thickBot="1" x14ac:dyDescent="0.3">
      <c r="A895" s="28"/>
      <c r="B895" s="25"/>
    </row>
    <row r="896" spans="1:2" ht="15.75" thickBot="1" x14ac:dyDescent="0.3">
      <c r="A896" s="28"/>
      <c r="B896" s="25"/>
    </row>
    <row r="897" spans="1:2" ht="15.75" thickBot="1" x14ac:dyDescent="0.3">
      <c r="A897" s="28"/>
      <c r="B897" s="25"/>
    </row>
    <row r="898" spans="1:2" ht="15.75" thickBot="1" x14ac:dyDescent="0.3">
      <c r="A898" s="28"/>
      <c r="B898" s="25"/>
    </row>
    <row r="899" spans="1:2" ht="15.75" thickBot="1" x14ac:dyDescent="0.3">
      <c r="A899" s="28"/>
      <c r="B899" s="25"/>
    </row>
    <row r="900" spans="1:2" ht="15.75" thickBot="1" x14ac:dyDescent="0.3">
      <c r="A900" s="28"/>
      <c r="B900" s="25"/>
    </row>
    <row r="901" spans="1:2" ht="15.75" thickBot="1" x14ac:dyDescent="0.3">
      <c r="A901" s="28"/>
      <c r="B901" s="25"/>
    </row>
    <row r="902" spans="1:2" ht="15.75" thickBot="1" x14ac:dyDescent="0.3">
      <c r="A902" s="28"/>
      <c r="B902" s="25"/>
    </row>
    <row r="903" spans="1:2" ht="15.75" thickBot="1" x14ac:dyDescent="0.3">
      <c r="A903" s="28"/>
      <c r="B903" s="25"/>
    </row>
    <row r="904" spans="1:2" ht="15.75" thickBot="1" x14ac:dyDescent="0.3">
      <c r="A904" s="28"/>
      <c r="B904" s="25"/>
    </row>
    <row r="905" spans="1:2" ht="15.75" thickBot="1" x14ac:dyDescent="0.3">
      <c r="A905" s="28"/>
      <c r="B905" s="25"/>
    </row>
    <row r="906" spans="1:2" ht="15.75" thickBot="1" x14ac:dyDescent="0.3">
      <c r="A906" s="28"/>
      <c r="B906" s="25"/>
    </row>
    <row r="907" spans="1:2" ht="15.75" thickBot="1" x14ac:dyDescent="0.3">
      <c r="A907" s="28"/>
      <c r="B907" s="25"/>
    </row>
    <row r="908" spans="1:2" ht="15.75" thickBot="1" x14ac:dyDescent="0.3">
      <c r="A908" s="28"/>
      <c r="B908" s="25"/>
    </row>
    <row r="909" spans="1:2" ht="15.75" thickBot="1" x14ac:dyDescent="0.3">
      <c r="A909" s="28"/>
      <c r="B909" s="25"/>
    </row>
    <row r="910" spans="1:2" ht="15.75" thickBot="1" x14ac:dyDescent="0.3">
      <c r="A910" s="28"/>
      <c r="B910" s="25"/>
    </row>
    <row r="911" spans="1:2" ht="15.75" thickBot="1" x14ac:dyDescent="0.3">
      <c r="A911" s="28"/>
      <c r="B911" s="25"/>
    </row>
    <row r="912" spans="1:2" ht="15.75" thickBot="1" x14ac:dyDescent="0.3">
      <c r="A912" s="28"/>
      <c r="B912" s="25"/>
    </row>
    <row r="913" spans="1:2" ht="15.75" thickBot="1" x14ac:dyDescent="0.3">
      <c r="A913" s="28"/>
      <c r="B913" s="25"/>
    </row>
    <row r="914" spans="1:2" ht="15.75" thickBot="1" x14ac:dyDescent="0.3">
      <c r="A914" s="28"/>
      <c r="B914" s="25"/>
    </row>
    <row r="915" spans="1:2" ht="15.75" thickBot="1" x14ac:dyDescent="0.3">
      <c r="A915" s="28"/>
      <c r="B915" s="25"/>
    </row>
    <row r="916" spans="1:2" ht="15.75" thickBot="1" x14ac:dyDescent="0.3">
      <c r="A916" s="28"/>
      <c r="B916" s="25"/>
    </row>
    <row r="917" spans="1:2" ht="15.75" thickBot="1" x14ac:dyDescent="0.3">
      <c r="A917" s="28"/>
      <c r="B917" s="25"/>
    </row>
    <row r="918" spans="1:2" ht="15.75" thickBot="1" x14ac:dyDescent="0.3">
      <c r="A918" s="28"/>
      <c r="B918" s="25"/>
    </row>
    <row r="919" spans="1:2" ht="15.75" thickBot="1" x14ac:dyDescent="0.3">
      <c r="A919" s="28"/>
      <c r="B919" s="25"/>
    </row>
    <row r="920" spans="1:2" ht="15.75" thickBot="1" x14ac:dyDescent="0.3">
      <c r="A920" s="28"/>
      <c r="B920" s="25"/>
    </row>
    <row r="921" spans="1:2" ht="15.75" thickBot="1" x14ac:dyDescent="0.3">
      <c r="A921" s="28"/>
      <c r="B921" s="25"/>
    </row>
    <row r="922" spans="1:2" ht="15.75" thickBot="1" x14ac:dyDescent="0.3">
      <c r="A922" s="28"/>
      <c r="B922" s="25"/>
    </row>
    <row r="923" spans="1:2" ht="15.75" thickBot="1" x14ac:dyDescent="0.3">
      <c r="A923" s="28"/>
      <c r="B923" s="25"/>
    </row>
    <row r="924" spans="1:2" ht="15.75" thickBot="1" x14ac:dyDescent="0.3">
      <c r="A924" s="28"/>
      <c r="B924" s="25"/>
    </row>
    <row r="925" spans="1:2" ht="15.75" thickBot="1" x14ac:dyDescent="0.3">
      <c r="A925" s="28"/>
      <c r="B925" s="25"/>
    </row>
    <row r="926" spans="1:2" ht="15.75" thickBot="1" x14ac:dyDescent="0.3">
      <c r="A926" s="28"/>
      <c r="B926" s="25"/>
    </row>
    <row r="927" spans="1:2" ht="15.75" thickBot="1" x14ac:dyDescent="0.3">
      <c r="A927" s="28"/>
      <c r="B927" s="25"/>
    </row>
    <row r="928" spans="1:2" ht="15.75" thickBot="1" x14ac:dyDescent="0.3">
      <c r="A928" s="28"/>
      <c r="B928" s="25"/>
    </row>
    <row r="929" spans="1:2" ht="15.75" thickBot="1" x14ac:dyDescent="0.3">
      <c r="A929" s="28"/>
      <c r="B929" s="25"/>
    </row>
    <row r="930" spans="1:2" ht="15.75" thickBot="1" x14ac:dyDescent="0.3">
      <c r="A930" s="28"/>
      <c r="B930" s="25"/>
    </row>
    <row r="931" spans="1:2" ht="15.75" thickBot="1" x14ac:dyDescent="0.3">
      <c r="A931" s="28"/>
      <c r="B931" s="25"/>
    </row>
    <row r="932" spans="1:2" ht="15.75" thickBot="1" x14ac:dyDescent="0.3">
      <c r="A932" s="28"/>
      <c r="B932" s="25"/>
    </row>
    <row r="933" spans="1:2" ht="15.75" thickBot="1" x14ac:dyDescent="0.3">
      <c r="A933" s="28"/>
      <c r="B933" s="25"/>
    </row>
    <row r="934" spans="1:2" ht="15.75" thickBot="1" x14ac:dyDescent="0.3">
      <c r="A934" s="28"/>
      <c r="B934" s="25"/>
    </row>
    <row r="935" spans="1:2" ht="15.75" thickBot="1" x14ac:dyDescent="0.3">
      <c r="A935" s="28"/>
      <c r="B935" s="25"/>
    </row>
    <row r="936" spans="1:2" ht="15.75" thickBot="1" x14ac:dyDescent="0.3">
      <c r="A936" s="28"/>
      <c r="B936" s="25"/>
    </row>
    <row r="937" spans="1:2" ht="15.75" thickBot="1" x14ac:dyDescent="0.3">
      <c r="A937" s="28"/>
      <c r="B937" s="25"/>
    </row>
    <row r="938" spans="1:2" ht="15.75" thickBot="1" x14ac:dyDescent="0.3">
      <c r="A938" s="28"/>
      <c r="B938" s="25"/>
    </row>
    <row r="939" spans="1:2" ht="15.75" thickBot="1" x14ac:dyDescent="0.3">
      <c r="A939" s="28"/>
      <c r="B939" s="25"/>
    </row>
    <row r="940" spans="1:2" ht="15.75" thickBot="1" x14ac:dyDescent="0.3">
      <c r="A940" s="28"/>
      <c r="B940" s="25"/>
    </row>
    <row r="941" spans="1:2" ht="15.75" thickBot="1" x14ac:dyDescent="0.3">
      <c r="A941" s="28"/>
      <c r="B941" s="25"/>
    </row>
    <row r="942" spans="1:2" ht="15.75" thickBot="1" x14ac:dyDescent="0.3">
      <c r="A942" s="28"/>
      <c r="B942" s="25"/>
    </row>
    <row r="943" spans="1:2" ht="15.75" thickBot="1" x14ac:dyDescent="0.3">
      <c r="A943" s="28"/>
      <c r="B943" s="25"/>
    </row>
    <row r="944" spans="1:2" ht="15.75" thickBot="1" x14ac:dyDescent="0.3">
      <c r="A944" s="28"/>
      <c r="B944" s="25"/>
    </row>
    <row r="945" spans="1:2" ht="15.75" thickBot="1" x14ac:dyDescent="0.3">
      <c r="A945" s="28"/>
      <c r="B945" s="25"/>
    </row>
    <row r="946" spans="1:2" ht="15.75" thickBot="1" x14ac:dyDescent="0.3">
      <c r="A946" s="28"/>
      <c r="B946" s="25"/>
    </row>
    <row r="947" spans="1:2" ht="15.75" thickBot="1" x14ac:dyDescent="0.3">
      <c r="A947" s="28"/>
      <c r="B947" s="25"/>
    </row>
    <row r="948" spans="1:2" ht="15.75" thickBot="1" x14ac:dyDescent="0.3">
      <c r="A948" s="28"/>
      <c r="B948" s="25"/>
    </row>
    <row r="949" spans="1:2" ht="15.75" thickBot="1" x14ac:dyDescent="0.3">
      <c r="A949" s="28"/>
      <c r="B949" s="25"/>
    </row>
    <row r="950" spans="1:2" ht="15.75" thickBot="1" x14ac:dyDescent="0.3">
      <c r="A950" s="28"/>
      <c r="B950" s="25"/>
    </row>
    <row r="951" spans="1:2" ht="15.75" thickBot="1" x14ac:dyDescent="0.3">
      <c r="A951" s="28"/>
      <c r="B951" s="25"/>
    </row>
    <row r="952" spans="1:2" ht="15.75" thickBot="1" x14ac:dyDescent="0.3">
      <c r="A952" s="28"/>
      <c r="B952" s="25"/>
    </row>
    <row r="953" spans="1:2" ht="15.75" thickBot="1" x14ac:dyDescent="0.3">
      <c r="A953" s="28"/>
      <c r="B953" s="25"/>
    </row>
    <row r="954" spans="1:2" ht="15.75" thickBot="1" x14ac:dyDescent="0.3">
      <c r="A954" s="28"/>
      <c r="B954" s="25"/>
    </row>
    <row r="955" spans="1:2" ht="15.75" thickBot="1" x14ac:dyDescent="0.3">
      <c r="A955" s="28"/>
      <c r="B955" s="25"/>
    </row>
    <row r="956" spans="1:2" ht="15.75" thickBot="1" x14ac:dyDescent="0.3">
      <c r="A956" s="28"/>
      <c r="B956" s="25"/>
    </row>
    <row r="957" spans="1:2" ht="15.75" thickBot="1" x14ac:dyDescent="0.3">
      <c r="A957" s="28"/>
      <c r="B957" s="25"/>
    </row>
    <row r="958" spans="1:2" ht="15.75" thickBot="1" x14ac:dyDescent="0.3">
      <c r="A958" s="28"/>
      <c r="B958" s="25"/>
    </row>
    <row r="959" spans="1:2" ht="15.75" thickBot="1" x14ac:dyDescent="0.3">
      <c r="A959" s="28"/>
      <c r="B959" s="25"/>
    </row>
    <row r="960" spans="1:2" ht="15.75" thickBot="1" x14ac:dyDescent="0.3">
      <c r="A960" s="28"/>
      <c r="B960" s="25"/>
    </row>
    <row r="961" spans="1:2" ht="15.75" thickBot="1" x14ac:dyDescent="0.3">
      <c r="A961" s="28"/>
      <c r="B961" s="25"/>
    </row>
    <row r="962" spans="1:2" ht="15.75" thickBot="1" x14ac:dyDescent="0.3">
      <c r="A962" s="28"/>
      <c r="B962" s="25"/>
    </row>
    <row r="963" spans="1:2" ht="15.75" thickBot="1" x14ac:dyDescent="0.3">
      <c r="A963" s="28"/>
      <c r="B963" s="25"/>
    </row>
    <row r="964" spans="1:2" ht="15.75" thickBot="1" x14ac:dyDescent="0.3">
      <c r="A964" s="28"/>
      <c r="B964" s="25"/>
    </row>
    <row r="965" spans="1:2" ht="15.75" thickBot="1" x14ac:dyDescent="0.3">
      <c r="A965" s="28"/>
      <c r="B965" s="25"/>
    </row>
    <row r="966" spans="1:2" ht="15.75" thickBot="1" x14ac:dyDescent="0.3">
      <c r="A966" s="28"/>
      <c r="B966" s="25"/>
    </row>
    <row r="967" spans="1:2" ht="15.75" thickBot="1" x14ac:dyDescent="0.3">
      <c r="A967" s="28"/>
      <c r="B967" s="25"/>
    </row>
    <row r="968" spans="1:2" ht="15.75" thickBot="1" x14ac:dyDescent="0.3">
      <c r="A968" s="28"/>
      <c r="B968" s="25"/>
    </row>
    <row r="969" spans="1:2" ht="15.75" thickBot="1" x14ac:dyDescent="0.3">
      <c r="A969" s="28"/>
      <c r="B969" s="25"/>
    </row>
    <row r="970" spans="1:2" ht="15.75" thickBot="1" x14ac:dyDescent="0.3">
      <c r="A970" s="28"/>
      <c r="B970" s="25"/>
    </row>
    <row r="971" spans="1:2" ht="15.75" thickBot="1" x14ac:dyDescent="0.3">
      <c r="A971" s="28"/>
      <c r="B971" s="25"/>
    </row>
    <row r="972" spans="1:2" ht="15.75" thickBot="1" x14ac:dyDescent="0.3">
      <c r="A972" s="28"/>
      <c r="B972" s="25"/>
    </row>
    <row r="973" spans="1:2" ht="15.75" thickBot="1" x14ac:dyDescent="0.3">
      <c r="A973" s="28"/>
      <c r="B973" s="25"/>
    </row>
    <row r="974" spans="1:2" ht="15.75" thickBot="1" x14ac:dyDescent="0.3">
      <c r="A974" s="28"/>
      <c r="B974" s="25"/>
    </row>
    <row r="975" spans="1:2" ht="15.75" thickBot="1" x14ac:dyDescent="0.3">
      <c r="A975" s="28"/>
      <c r="B975" s="25"/>
    </row>
    <row r="976" spans="1:2" ht="15.75" thickBot="1" x14ac:dyDescent="0.3">
      <c r="A976" s="28"/>
      <c r="B976" s="25"/>
    </row>
    <row r="977" spans="1:2" ht="15.75" thickBot="1" x14ac:dyDescent="0.3">
      <c r="A977" s="28"/>
      <c r="B977" s="25"/>
    </row>
    <row r="978" spans="1:2" ht="15.75" thickBot="1" x14ac:dyDescent="0.3">
      <c r="A978" s="28"/>
      <c r="B978" s="25"/>
    </row>
    <row r="979" spans="1:2" ht="15.75" thickBot="1" x14ac:dyDescent="0.3">
      <c r="A979" s="28"/>
      <c r="B979" s="25"/>
    </row>
    <row r="980" spans="1:2" ht="15.75" thickBot="1" x14ac:dyDescent="0.3">
      <c r="A980" s="28"/>
      <c r="B980" s="25"/>
    </row>
    <row r="981" spans="1:2" ht="15.75" thickBot="1" x14ac:dyDescent="0.3">
      <c r="A981" s="28"/>
      <c r="B981" s="25"/>
    </row>
    <row r="982" spans="1:2" ht="15.75" thickBot="1" x14ac:dyDescent="0.3">
      <c r="A982" s="28"/>
      <c r="B982" s="25"/>
    </row>
    <row r="983" spans="1:2" ht="15.75" thickBot="1" x14ac:dyDescent="0.3">
      <c r="A983" s="28"/>
      <c r="B983" s="25"/>
    </row>
    <row r="984" spans="1:2" ht="15.75" thickBot="1" x14ac:dyDescent="0.3">
      <c r="A984" s="28"/>
      <c r="B984" s="25"/>
    </row>
    <row r="985" spans="1:2" ht="15.75" thickBot="1" x14ac:dyDescent="0.3">
      <c r="A985" s="28"/>
      <c r="B985" s="25"/>
    </row>
    <row r="986" spans="1:2" ht="15.75" thickBot="1" x14ac:dyDescent="0.3">
      <c r="A986" s="28"/>
      <c r="B986" s="25"/>
    </row>
    <row r="987" spans="1:2" ht="15.75" thickBot="1" x14ac:dyDescent="0.3">
      <c r="A987" s="28"/>
      <c r="B987" s="25"/>
    </row>
    <row r="988" spans="1:2" ht="15.75" thickBot="1" x14ac:dyDescent="0.3">
      <c r="A988" s="28"/>
      <c r="B988" s="25"/>
    </row>
    <row r="989" spans="1:2" ht="15.75" thickBot="1" x14ac:dyDescent="0.3">
      <c r="A989" s="28"/>
      <c r="B989" s="25"/>
    </row>
    <row r="990" spans="1:2" ht="15.75" thickBot="1" x14ac:dyDescent="0.3">
      <c r="A990" s="28"/>
      <c r="B990" s="25"/>
    </row>
    <row r="991" spans="1:2" ht="15.75" thickBot="1" x14ac:dyDescent="0.3">
      <c r="A991" s="28"/>
      <c r="B991" s="25"/>
    </row>
    <row r="992" spans="1:2" ht="15.75" thickBot="1" x14ac:dyDescent="0.3">
      <c r="A992" s="28"/>
      <c r="B992" s="25"/>
    </row>
    <row r="993" spans="1:2" ht="15.75" thickBot="1" x14ac:dyDescent="0.3">
      <c r="A993" s="28"/>
      <c r="B993" s="25"/>
    </row>
    <row r="994" spans="1:2" ht="15.75" thickBot="1" x14ac:dyDescent="0.3">
      <c r="A994" s="28"/>
      <c r="B994" s="25"/>
    </row>
    <row r="995" spans="1:2" ht="15.75" thickBot="1" x14ac:dyDescent="0.3">
      <c r="A995" s="28"/>
      <c r="B995" s="25"/>
    </row>
    <row r="996" spans="1:2" ht="15.75" thickBot="1" x14ac:dyDescent="0.3">
      <c r="A996" s="28"/>
      <c r="B996" s="25"/>
    </row>
    <row r="997" spans="1:2" ht="15.75" thickBot="1" x14ac:dyDescent="0.3">
      <c r="A997" s="28"/>
      <c r="B997" s="25"/>
    </row>
    <row r="998" spans="1:2" ht="15.75" thickBot="1" x14ac:dyDescent="0.3">
      <c r="A998" s="28"/>
      <c r="B998" s="25"/>
    </row>
    <row r="999" spans="1:2" ht="15.75" thickBot="1" x14ac:dyDescent="0.3">
      <c r="A999" s="28"/>
      <c r="B999" s="25"/>
    </row>
    <row r="1000" spans="1:2" ht="15.75" thickBot="1" x14ac:dyDescent="0.3">
      <c r="A1000" s="28"/>
      <c r="B1000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7C63-C015-4082-B870-D50330F91343}">
  <dimension ref="A1:J59"/>
  <sheetViews>
    <sheetView workbookViewId="0">
      <selection activeCell="E1" sqref="E1:F1048576"/>
    </sheetView>
  </sheetViews>
  <sheetFormatPr defaultRowHeight="15" x14ac:dyDescent="0.25"/>
  <cols>
    <col min="1" max="1" width="10.42578125" bestFit="1" customWidth="1"/>
    <col min="2" max="2" width="12" bestFit="1" customWidth="1"/>
    <col min="5" max="5" width="10.42578125" style="20" bestFit="1" customWidth="1"/>
  </cols>
  <sheetData>
    <row r="1" spans="1:10" x14ac:dyDescent="0.25">
      <c r="A1" t="s">
        <v>45</v>
      </c>
      <c r="B1" t="s">
        <v>46</v>
      </c>
      <c r="E1" s="20" t="s">
        <v>45</v>
      </c>
      <c r="F1" t="s">
        <v>46</v>
      </c>
      <c r="G1" t="s">
        <v>36</v>
      </c>
      <c r="H1" t="s">
        <v>49</v>
      </c>
      <c r="I1" t="s">
        <v>5</v>
      </c>
      <c r="J1" t="s">
        <v>6</v>
      </c>
    </row>
    <row r="2" spans="1:10" x14ac:dyDescent="0.25">
      <c r="A2" s="23">
        <v>45712</v>
      </c>
      <c r="B2">
        <v>172.37</v>
      </c>
      <c r="E2" s="20">
        <v>45712</v>
      </c>
      <c r="F2">
        <v>172.37</v>
      </c>
    </row>
    <row r="3" spans="1:10" x14ac:dyDescent="0.25">
      <c r="A3" s="23">
        <v>45719</v>
      </c>
      <c r="B3">
        <v>174.798</v>
      </c>
      <c r="E3" s="20">
        <v>45719</v>
      </c>
      <c r="F3">
        <v>174.798</v>
      </c>
    </row>
    <row r="4" spans="1:10" x14ac:dyDescent="0.25">
      <c r="A4" s="23">
        <v>45726</v>
      </c>
      <c r="B4">
        <v>170.86199999999999</v>
      </c>
      <c r="E4" s="20">
        <v>45726</v>
      </c>
      <c r="F4">
        <v>170.86199999999999</v>
      </c>
    </row>
    <row r="5" spans="1:10" x14ac:dyDescent="0.25">
      <c r="A5" s="23">
        <v>45733</v>
      </c>
      <c r="B5">
        <v>168.05600000000001</v>
      </c>
      <c r="E5" s="20">
        <v>45733</v>
      </c>
      <c r="F5">
        <v>168.05600000000001</v>
      </c>
    </row>
    <row r="6" spans="1:10" x14ac:dyDescent="0.25">
      <c r="A6" s="23">
        <v>45740</v>
      </c>
      <c r="B6">
        <v>166.364</v>
      </c>
      <c r="E6" s="20">
        <v>45740</v>
      </c>
      <c r="F6">
        <v>166.364</v>
      </c>
    </row>
    <row r="7" spans="1:10" x14ac:dyDescent="0.25">
      <c r="A7" s="23">
        <v>45747</v>
      </c>
      <c r="B7">
        <v>169.32399999999998</v>
      </c>
      <c r="E7" s="20">
        <v>45747</v>
      </c>
      <c r="F7">
        <v>169.32399999999998</v>
      </c>
    </row>
    <row r="8" spans="1:10" x14ac:dyDescent="0.25">
      <c r="A8" s="23">
        <v>45754</v>
      </c>
      <c r="B8">
        <v>162.28199999999998</v>
      </c>
      <c r="E8" s="20">
        <v>45754</v>
      </c>
      <c r="F8">
        <v>162.28199999999998</v>
      </c>
    </row>
    <row r="9" spans="1:10" x14ac:dyDescent="0.25">
      <c r="A9" s="23">
        <v>45761</v>
      </c>
      <c r="B9">
        <v>168.655</v>
      </c>
      <c r="E9" s="20">
        <v>45761</v>
      </c>
      <c r="F9">
        <v>168.655</v>
      </c>
    </row>
    <row r="10" spans="1:10" x14ac:dyDescent="0.25">
      <c r="A10" s="23">
        <v>45768</v>
      </c>
      <c r="B10">
        <v>163.982</v>
      </c>
      <c r="E10" s="20">
        <v>45768</v>
      </c>
      <c r="F10">
        <v>163.982</v>
      </c>
    </row>
    <row r="11" spans="1:10" x14ac:dyDescent="0.25">
      <c r="A11" s="23">
        <v>45775</v>
      </c>
      <c r="B11">
        <v>161.43600000000001</v>
      </c>
      <c r="E11" s="20">
        <v>45775</v>
      </c>
      <c r="F11">
        <v>161.43600000000001</v>
      </c>
    </row>
    <row r="12" spans="1:10" x14ac:dyDescent="0.25">
      <c r="A12" s="23">
        <v>45782</v>
      </c>
      <c r="B12">
        <v>158.73599999999999</v>
      </c>
      <c r="E12" s="20">
        <v>45782</v>
      </c>
      <c r="F12">
        <v>158.73599999999999</v>
      </c>
    </row>
    <row r="13" spans="1:10" x14ac:dyDescent="0.25">
      <c r="A13" s="23">
        <v>45789</v>
      </c>
      <c r="B13">
        <v>160.66800000000001</v>
      </c>
      <c r="E13" s="20">
        <v>45789</v>
      </c>
      <c r="F13">
        <v>160.66800000000001</v>
      </c>
    </row>
    <row r="14" spans="1:10" x14ac:dyDescent="0.25">
      <c r="A14" s="23">
        <v>45796</v>
      </c>
      <c r="B14">
        <v>165.346</v>
      </c>
      <c r="E14" s="20">
        <v>45796</v>
      </c>
      <c r="F14">
        <v>165.346</v>
      </c>
    </row>
    <row r="15" spans="1:10" x14ac:dyDescent="0.25">
      <c r="A15" s="23">
        <v>45803</v>
      </c>
      <c r="B15">
        <v>168.39249999999998</v>
      </c>
      <c r="E15" s="20">
        <v>45803</v>
      </c>
      <c r="F15">
        <v>168.39249999999998</v>
      </c>
    </row>
    <row r="16" spans="1:10" x14ac:dyDescent="0.25">
      <c r="A16" s="23">
        <v>45810</v>
      </c>
      <c r="B16">
        <v>165.48</v>
      </c>
      <c r="E16" s="20">
        <v>45810</v>
      </c>
      <c r="F16">
        <v>165.48</v>
      </c>
    </row>
    <row r="17" spans="1:6" x14ac:dyDescent="0.25">
      <c r="A17" s="23">
        <v>45817</v>
      </c>
      <c r="B17">
        <v>162.19400000000002</v>
      </c>
      <c r="E17" s="20">
        <v>45817</v>
      </c>
      <c r="F17">
        <v>162.19400000000002</v>
      </c>
    </row>
    <row r="18" spans="1:6" x14ac:dyDescent="0.25">
      <c r="A18" s="23">
        <v>45824</v>
      </c>
      <c r="B18">
        <v>159.125</v>
      </c>
      <c r="E18" s="20">
        <v>45824</v>
      </c>
      <c r="F18">
        <v>159.125</v>
      </c>
    </row>
    <row r="19" spans="1:6" x14ac:dyDescent="0.25">
      <c r="A19" s="23">
        <v>45831</v>
      </c>
      <c r="B19">
        <v>159.77000000000001</v>
      </c>
      <c r="E19" s="20">
        <v>45831</v>
      </c>
      <c r="F19">
        <v>159.77000000000001</v>
      </c>
    </row>
    <row r="20" spans="1:6" x14ac:dyDescent="0.25">
      <c r="A20" s="23">
        <v>45838</v>
      </c>
      <c r="B20">
        <v>160.64249999999998</v>
      </c>
      <c r="E20" s="20">
        <v>45838</v>
      </c>
      <c r="F20">
        <v>160.64249999999998</v>
      </c>
    </row>
    <row r="21" spans="1:6" x14ac:dyDescent="0.25">
      <c r="A21" s="23">
        <v>45845</v>
      </c>
      <c r="B21">
        <v>158.29</v>
      </c>
      <c r="E21" s="20">
        <v>45845</v>
      </c>
      <c r="F21">
        <v>158.29</v>
      </c>
    </row>
    <row r="22" spans="1:6" x14ac:dyDescent="0.25">
      <c r="A22" s="23">
        <v>45852</v>
      </c>
      <c r="B22">
        <v>154.178</v>
      </c>
      <c r="E22" s="20">
        <v>45852</v>
      </c>
      <c r="F22">
        <v>154.178</v>
      </c>
    </row>
    <row r="23" spans="1:6" x14ac:dyDescent="0.25">
      <c r="A23" s="23">
        <v>45859</v>
      </c>
      <c r="B23">
        <v>157.74799999999999</v>
      </c>
      <c r="E23" s="20">
        <v>45859</v>
      </c>
      <c r="F23">
        <v>157.74799999999999</v>
      </c>
    </row>
    <row r="24" spans="1:6" x14ac:dyDescent="0.25">
      <c r="A24" s="23">
        <v>45866</v>
      </c>
      <c r="B24">
        <v>153.54400000000001</v>
      </c>
      <c r="E24" s="20">
        <v>45866</v>
      </c>
      <c r="F24">
        <v>153.54400000000001</v>
      </c>
    </row>
    <row r="25" spans="1:6" x14ac:dyDescent="0.25">
      <c r="A25" s="23">
        <v>45873</v>
      </c>
      <c r="B25">
        <v>152.226</v>
      </c>
      <c r="E25" s="20">
        <v>45873</v>
      </c>
      <c r="F25">
        <v>152.226</v>
      </c>
    </row>
    <row r="26" spans="1:6" x14ac:dyDescent="0.25">
      <c r="A26" s="23">
        <v>45880</v>
      </c>
      <c r="B26">
        <v>154.71600000000001</v>
      </c>
      <c r="E26" s="20">
        <v>45880</v>
      </c>
      <c r="F26">
        <v>154.71600000000001</v>
      </c>
    </row>
    <row r="27" spans="1:6" x14ac:dyDescent="0.25">
      <c r="A27" s="23">
        <v>45887</v>
      </c>
      <c r="B27">
        <v>158.20599999999999</v>
      </c>
      <c r="E27" s="20">
        <v>45887</v>
      </c>
      <c r="F27">
        <v>158.20599999999999</v>
      </c>
    </row>
    <row r="28" spans="1:6" x14ac:dyDescent="0.25">
      <c r="A28" s="23">
        <v>45894</v>
      </c>
      <c r="B28">
        <v>156.35400000000001</v>
      </c>
      <c r="E28" s="20">
        <v>45894</v>
      </c>
      <c r="F28">
        <v>156.35400000000001</v>
      </c>
    </row>
    <row r="29" spans="1:6" x14ac:dyDescent="0.25">
      <c r="A29" s="23">
        <v>45901</v>
      </c>
      <c r="B29">
        <v>158.8425</v>
      </c>
      <c r="E29" s="20">
        <v>45901</v>
      </c>
      <c r="F29">
        <v>158.8425</v>
      </c>
    </row>
    <row r="30" spans="1:6" x14ac:dyDescent="0.25">
      <c r="A30" s="23">
        <v>45908</v>
      </c>
      <c r="B30">
        <v>158.47</v>
      </c>
      <c r="E30" s="20">
        <v>45908</v>
      </c>
      <c r="F30">
        <v>158.47</v>
      </c>
    </row>
    <row r="31" spans="1:6" x14ac:dyDescent="0.25">
      <c r="A31" s="23">
        <v>45915</v>
      </c>
      <c r="B31">
        <v>157.714</v>
      </c>
      <c r="E31" s="20">
        <v>45915</v>
      </c>
      <c r="F31">
        <v>157.714</v>
      </c>
    </row>
    <row r="32" spans="1:6" x14ac:dyDescent="0.25">
      <c r="A32" s="23">
        <v>45922</v>
      </c>
      <c r="B32">
        <v>152.52799999999999</v>
      </c>
      <c r="E32" s="20">
        <v>45922</v>
      </c>
      <c r="F32">
        <v>152.52799999999999</v>
      </c>
    </row>
    <row r="33" spans="1:6" x14ac:dyDescent="0.25">
      <c r="A33" s="23">
        <v>45929</v>
      </c>
      <c r="B33">
        <v>152.93600000000001</v>
      </c>
      <c r="E33" s="20">
        <v>45929</v>
      </c>
      <c r="F33">
        <v>152.93600000000001</v>
      </c>
    </row>
    <row r="34" spans="1:6" x14ac:dyDescent="0.25">
      <c r="A34" s="23">
        <v>45936</v>
      </c>
      <c r="B34">
        <v>150.78200000000001</v>
      </c>
      <c r="E34" s="20">
        <v>45936</v>
      </c>
      <c r="F34">
        <v>150.78200000000001</v>
      </c>
    </row>
    <row r="35" spans="1:6" x14ac:dyDescent="0.25">
      <c r="A35" s="23">
        <v>45943</v>
      </c>
      <c r="B35">
        <v>149.01400000000001</v>
      </c>
      <c r="E35" s="20">
        <v>45943</v>
      </c>
      <c r="F35">
        <v>149.01400000000001</v>
      </c>
    </row>
    <row r="36" spans="1:6" x14ac:dyDescent="0.25">
      <c r="A36" s="23">
        <v>45950</v>
      </c>
      <c r="B36">
        <v>152.096</v>
      </c>
      <c r="E36" s="20">
        <v>45950</v>
      </c>
      <c r="F36">
        <v>152.096</v>
      </c>
    </row>
    <row r="37" spans="1:6" x14ac:dyDescent="0.25">
      <c r="A37" s="23">
        <v>45957</v>
      </c>
      <c r="B37">
        <v>150.36600000000001</v>
      </c>
      <c r="E37" s="20">
        <v>45957</v>
      </c>
      <c r="F37">
        <v>150.36600000000001</v>
      </c>
    </row>
    <row r="38" spans="1:6" x14ac:dyDescent="0.25">
      <c r="A38" s="23">
        <v>45964</v>
      </c>
      <c r="B38">
        <v>146.81799999999998</v>
      </c>
      <c r="E38" s="20">
        <v>45964</v>
      </c>
      <c r="F38">
        <v>146.81799999999998</v>
      </c>
    </row>
    <row r="39" spans="1:6" x14ac:dyDescent="0.25">
      <c r="A39" s="23">
        <v>45971</v>
      </c>
      <c r="B39">
        <v>147.536</v>
      </c>
      <c r="E39" s="20">
        <v>45971</v>
      </c>
      <c r="F39">
        <v>147.536</v>
      </c>
    </row>
    <row r="40" spans="1:6" x14ac:dyDescent="0.25">
      <c r="A40" s="23">
        <v>45978</v>
      </c>
      <c r="B40">
        <v>147.78200000000001</v>
      </c>
      <c r="E40" s="20">
        <v>45978</v>
      </c>
      <c r="F40">
        <v>147.78200000000001</v>
      </c>
    </row>
    <row r="41" spans="1:6" x14ac:dyDescent="0.25">
      <c r="A41" s="23">
        <v>45985</v>
      </c>
      <c r="B41">
        <v>147.97</v>
      </c>
      <c r="E41" s="20">
        <v>45985</v>
      </c>
      <c r="F41">
        <v>147.97</v>
      </c>
    </row>
    <row r="42" spans="1:6" x14ac:dyDescent="0.25">
      <c r="A42" s="23">
        <v>45992</v>
      </c>
      <c r="B42">
        <v>145.76400000000001</v>
      </c>
      <c r="E42" s="20">
        <v>45992</v>
      </c>
      <c r="F42">
        <v>145.76400000000001</v>
      </c>
    </row>
    <row r="43" spans="1:6" x14ac:dyDescent="0.25">
      <c r="A43" s="23">
        <v>45999</v>
      </c>
      <c r="B43">
        <v>140.27799999999999</v>
      </c>
      <c r="E43" s="20">
        <v>45999</v>
      </c>
      <c r="F43">
        <v>140.27799999999999</v>
      </c>
    </row>
    <row r="44" spans="1:6" x14ac:dyDescent="0.25">
      <c r="A44" s="23">
        <v>46006</v>
      </c>
      <c r="B44">
        <v>145.626</v>
      </c>
      <c r="E44" s="20">
        <v>46006</v>
      </c>
      <c r="F44">
        <v>145.626</v>
      </c>
    </row>
    <row r="45" spans="1:6" x14ac:dyDescent="0.25">
      <c r="A45" s="23">
        <v>46013</v>
      </c>
      <c r="B45">
        <v>143.77500000000001</v>
      </c>
      <c r="E45" s="20">
        <v>46013</v>
      </c>
      <c r="F45">
        <v>143.77500000000001</v>
      </c>
    </row>
    <row r="46" spans="1:6" x14ac:dyDescent="0.25">
      <c r="A46" s="23">
        <v>46020</v>
      </c>
      <c r="B46">
        <v>143.43</v>
      </c>
      <c r="E46" s="20">
        <v>46020</v>
      </c>
      <c r="F46">
        <v>143.43</v>
      </c>
    </row>
    <row r="47" spans="1:6" x14ac:dyDescent="0.25">
      <c r="A47" s="23">
        <v>46027</v>
      </c>
      <c r="B47">
        <v>140.34399999999999</v>
      </c>
      <c r="E47" s="20">
        <v>46027</v>
      </c>
      <c r="F47">
        <v>140.34399999999999</v>
      </c>
    </row>
    <row r="48" spans="1:6" x14ac:dyDescent="0.25">
      <c r="A48" s="23">
        <v>46034</v>
      </c>
      <c r="B48">
        <v>144.642</v>
      </c>
      <c r="E48" s="20">
        <v>46034</v>
      </c>
      <c r="F48">
        <v>144.642</v>
      </c>
    </row>
    <row r="49" spans="1:10" x14ac:dyDescent="0.25">
      <c r="A49" s="23">
        <v>46041</v>
      </c>
      <c r="B49">
        <v>148.285</v>
      </c>
      <c r="E49" s="20">
        <v>46041</v>
      </c>
      <c r="F49">
        <v>148.285</v>
      </c>
    </row>
    <row r="50" spans="1:10" x14ac:dyDescent="0.25">
      <c r="A50" s="23">
        <v>46048</v>
      </c>
      <c r="B50">
        <v>149.36799999999999</v>
      </c>
      <c r="E50" s="20">
        <v>46048</v>
      </c>
      <c r="F50">
        <v>149.36799999999999</v>
      </c>
    </row>
    <row r="51" spans="1:10" x14ac:dyDescent="0.25">
      <c r="A51" s="23">
        <v>46055</v>
      </c>
      <c r="B51">
        <v>156.63200000000001</v>
      </c>
      <c r="E51" s="20">
        <v>46055</v>
      </c>
      <c r="F51">
        <v>156.63200000000001</v>
      </c>
    </row>
    <row r="52" spans="1:10" x14ac:dyDescent="0.25">
      <c r="A52" s="23">
        <v>46062</v>
      </c>
      <c r="B52">
        <v>159.53800000000001</v>
      </c>
      <c r="E52" s="20">
        <v>46062</v>
      </c>
      <c r="F52">
        <v>159.53800000000001</v>
      </c>
    </row>
    <row r="53" spans="1:10" x14ac:dyDescent="0.25">
      <c r="A53" s="23">
        <v>46069</v>
      </c>
      <c r="B53">
        <v>158.9375</v>
      </c>
      <c r="E53" s="20">
        <v>46069</v>
      </c>
      <c r="F53">
        <v>158.9375</v>
      </c>
    </row>
    <row r="54" spans="1:10" x14ac:dyDescent="0.25">
      <c r="A54" s="23">
        <v>46076</v>
      </c>
      <c r="B54">
        <v>164.61333333333332</v>
      </c>
      <c r="E54" s="20">
        <v>46076</v>
      </c>
      <c r="F54">
        <v>164.61333333333332</v>
      </c>
    </row>
    <row r="55" spans="1:10" x14ac:dyDescent="0.25">
      <c r="E55" s="20">
        <v>46083</v>
      </c>
      <c r="G55">
        <f>_xlfn.FORECAST.ETS(E55,F2:F54,E2:E54,1,1,1)</f>
        <v>147.48215351649787</v>
      </c>
      <c r="H55">
        <f>_xlfn.FORECAST.ETS.CONFINT(E55,F2:F54,E2:E54,0.95,1,1,1)</f>
        <v>10.549276119193545</v>
      </c>
      <c r="I55">
        <f>G55-H55</f>
        <v>136.93287739730434</v>
      </c>
      <c r="J55">
        <f>G55+H55</f>
        <v>158.03142963569141</v>
      </c>
    </row>
    <row r="56" spans="1:10" x14ac:dyDescent="0.25">
      <c r="E56" s="20">
        <v>46090</v>
      </c>
      <c r="G56">
        <f t="shared" ref="G56:G59" si="0">_xlfn.FORECAST.ETS(E56,F3:F55,E3:E55,1,1,1)</f>
        <v>148.40660184214821</v>
      </c>
      <c r="H56">
        <f t="shared" ref="H56:H59" si="1">_xlfn.FORECAST.ETS.CONFINT(E56,F3:F55,E3:E55,0.95,1,1,1)</f>
        <v>10.765736690788778</v>
      </c>
      <c r="I56">
        <f t="shared" ref="I56:I59" si="2">G56-H56</f>
        <v>137.64086515135944</v>
      </c>
      <c r="J56">
        <f t="shared" ref="J56:J59" si="3">G56+H56</f>
        <v>159.17233853293698</v>
      </c>
    </row>
    <row r="57" spans="1:10" x14ac:dyDescent="0.25">
      <c r="E57" s="20">
        <v>46097</v>
      </c>
      <c r="G57">
        <f t="shared" si="0"/>
        <v>146.92373020168509</v>
      </c>
      <c r="H57">
        <f t="shared" si="1"/>
        <v>10.682314740125786</v>
      </c>
      <c r="I57">
        <f t="shared" si="2"/>
        <v>136.24141546155931</v>
      </c>
      <c r="J57">
        <f t="shared" si="3"/>
        <v>157.60604494181086</v>
      </c>
    </row>
    <row r="58" spans="1:10" x14ac:dyDescent="0.25">
      <c r="E58" s="20">
        <v>46104</v>
      </c>
      <c r="G58">
        <f t="shared" si="0"/>
        <v>163.06882881152455</v>
      </c>
      <c r="H58">
        <f t="shared" si="1"/>
        <v>12.972648214243859</v>
      </c>
      <c r="I58">
        <f t="shared" si="2"/>
        <v>150.09618059728069</v>
      </c>
      <c r="J58">
        <f t="shared" si="3"/>
        <v>176.04147702576842</v>
      </c>
    </row>
    <row r="59" spans="1:10" x14ac:dyDescent="0.25">
      <c r="E59" s="20">
        <v>46111</v>
      </c>
      <c r="G59">
        <f t="shared" si="0"/>
        <v>162.7209662414966</v>
      </c>
      <c r="H59">
        <f t="shared" si="1"/>
        <v>14.417529469736959</v>
      </c>
      <c r="I59">
        <f t="shared" si="2"/>
        <v>148.30343677175964</v>
      </c>
      <c r="J59">
        <f t="shared" si="3"/>
        <v>177.13849571123356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CFA0-FF1A-40B7-AB7E-B1DD44D68431}">
  <dimension ref="A1:B252"/>
  <sheetViews>
    <sheetView workbookViewId="0">
      <selection sqref="A1:B252"/>
    </sheetView>
  </sheetViews>
  <sheetFormatPr defaultRowHeight="15" x14ac:dyDescent="0.25"/>
  <cols>
    <col min="1" max="1" width="13.28515625" style="20" customWidth="1"/>
    <col min="2" max="2" width="10.5703125" bestFit="1" customWidth="1"/>
  </cols>
  <sheetData>
    <row r="1" spans="1:2" x14ac:dyDescent="0.25">
      <c r="A1" s="19" t="s">
        <v>45</v>
      </c>
      <c r="B1" s="4" t="s">
        <v>43</v>
      </c>
    </row>
    <row r="2" spans="1:2" x14ac:dyDescent="0.25">
      <c r="A2" s="20">
        <v>45712</v>
      </c>
      <c r="B2" vm="2">
        <v>171.3</v>
      </c>
    </row>
    <row r="3" spans="1:2" x14ac:dyDescent="0.25">
      <c r="A3" s="20">
        <v>45712</v>
      </c>
      <c r="B3" vm="5">
        <v>171.97</v>
      </c>
    </row>
    <row r="4" spans="1:2" x14ac:dyDescent="0.25">
      <c r="A4" s="20">
        <v>45712</v>
      </c>
      <c r="B4" vm="8">
        <v>173.84</v>
      </c>
    </row>
    <row r="5" spans="1:2" x14ac:dyDescent="0.25">
      <c r="A5" s="20">
        <v>45719</v>
      </c>
      <c r="B5" vm="11">
        <v>175.59</v>
      </c>
    </row>
    <row r="6" spans="1:2" x14ac:dyDescent="0.25">
      <c r="A6" s="20">
        <v>45719</v>
      </c>
      <c r="B6" vm="14">
        <v>173.18</v>
      </c>
    </row>
    <row r="7" spans="1:2" x14ac:dyDescent="0.25">
      <c r="A7" s="20">
        <v>45719</v>
      </c>
      <c r="B7" vm="17">
        <v>174.61</v>
      </c>
    </row>
    <row r="8" spans="1:2" x14ac:dyDescent="0.25">
      <c r="A8" s="20">
        <v>45719</v>
      </c>
      <c r="B8" vm="20">
        <v>174.66</v>
      </c>
    </row>
    <row r="9" spans="1:2" x14ac:dyDescent="0.25">
      <c r="A9" s="20">
        <v>45719</v>
      </c>
      <c r="B9" vm="23">
        <v>175.95</v>
      </c>
    </row>
    <row r="10" spans="1:2" x14ac:dyDescent="0.25">
      <c r="A10" s="20">
        <v>45726</v>
      </c>
      <c r="B10" vm="26">
        <v>176.26</v>
      </c>
    </row>
    <row r="11" spans="1:2" x14ac:dyDescent="0.25">
      <c r="A11" s="20">
        <v>45726</v>
      </c>
      <c r="B11" vm="29">
        <v>173.12</v>
      </c>
    </row>
    <row r="12" spans="1:2" x14ac:dyDescent="0.25">
      <c r="A12" s="20">
        <v>45726</v>
      </c>
      <c r="B12" vm="32">
        <v>168.37</v>
      </c>
    </row>
    <row r="13" spans="1:2" x14ac:dyDescent="0.25">
      <c r="A13" s="20">
        <v>45726</v>
      </c>
      <c r="B13" vm="35">
        <v>168.59</v>
      </c>
    </row>
    <row r="14" spans="1:2" x14ac:dyDescent="0.25">
      <c r="A14" s="20">
        <v>45726</v>
      </c>
      <c r="B14" vm="38">
        <v>167.97</v>
      </c>
    </row>
    <row r="15" spans="1:2" x14ac:dyDescent="0.25">
      <c r="A15" s="20">
        <v>45733</v>
      </c>
      <c r="B15" vm="41">
        <v>169.76</v>
      </c>
    </row>
    <row r="16" spans="1:2" x14ac:dyDescent="0.25">
      <c r="A16" s="20">
        <v>45733</v>
      </c>
      <c r="B16" vm="44">
        <v>167.71</v>
      </c>
    </row>
    <row r="17" spans="1:2" x14ac:dyDescent="0.25">
      <c r="A17" s="20">
        <v>45733</v>
      </c>
      <c r="B17" vm="47">
        <v>168.57</v>
      </c>
    </row>
    <row r="18" spans="1:2" x14ac:dyDescent="0.25">
      <c r="A18" s="20">
        <v>45733</v>
      </c>
      <c r="B18" vm="50">
        <v>167.55</v>
      </c>
    </row>
    <row r="19" spans="1:2" x14ac:dyDescent="0.25">
      <c r="A19" s="20">
        <v>45733</v>
      </c>
      <c r="B19" vm="53">
        <v>166.69</v>
      </c>
    </row>
    <row r="20" spans="1:2" x14ac:dyDescent="0.25">
      <c r="A20" s="20">
        <v>45740</v>
      </c>
      <c r="B20" vm="56">
        <v>165.65</v>
      </c>
    </row>
    <row r="21" spans="1:2" x14ac:dyDescent="0.25">
      <c r="A21" s="20">
        <v>45740</v>
      </c>
      <c r="B21" vm="59">
        <v>162.85</v>
      </c>
    </row>
    <row r="22" spans="1:2" x14ac:dyDescent="0.25">
      <c r="A22" s="20">
        <v>45740</v>
      </c>
      <c r="B22" vm="62">
        <v>166.58</v>
      </c>
    </row>
    <row r="23" spans="1:2" x14ac:dyDescent="0.25">
      <c r="A23" s="20">
        <v>45740</v>
      </c>
      <c r="B23" vm="65">
        <v>168.71</v>
      </c>
    </row>
    <row r="24" spans="1:2" x14ac:dyDescent="0.25">
      <c r="A24" s="20">
        <v>45740</v>
      </c>
      <c r="B24" vm="68">
        <v>168.03</v>
      </c>
    </row>
    <row r="25" spans="1:2" x14ac:dyDescent="0.25">
      <c r="A25" s="20">
        <v>45747</v>
      </c>
      <c r="B25" vm="71">
        <v>170.42</v>
      </c>
    </row>
    <row r="26" spans="1:2" x14ac:dyDescent="0.25">
      <c r="A26" s="20">
        <v>45747</v>
      </c>
      <c r="B26" vm="74">
        <v>170.56</v>
      </c>
    </row>
    <row r="27" spans="1:2" x14ac:dyDescent="0.25">
      <c r="A27" s="20">
        <v>45747</v>
      </c>
      <c r="B27" vm="77">
        <v>169.5</v>
      </c>
    </row>
    <row r="28" spans="1:2" x14ac:dyDescent="0.25">
      <c r="A28" s="20">
        <v>45747</v>
      </c>
      <c r="B28" vm="80">
        <v>172.39</v>
      </c>
    </row>
    <row r="29" spans="1:2" x14ac:dyDescent="0.25">
      <c r="A29" s="20">
        <v>45747</v>
      </c>
      <c r="B29" vm="83">
        <v>163.75</v>
      </c>
    </row>
    <row r="30" spans="1:2" x14ac:dyDescent="0.25">
      <c r="A30" s="20">
        <v>45754</v>
      </c>
      <c r="B30" vm="86">
        <v>160.22999999999999</v>
      </c>
    </row>
    <row r="31" spans="1:2" x14ac:dyDescent="0.25">
      <c r="A31" s="20">
        <v>45754</v>
      </c>
      <c r="B31" vm="89">
        <v>158.38999999999999</v>
      </c>
    </row>
    <row r="32" spans="1:2" x14ac:dyDescent="0.25">
      <c r="A32" s="20">
        <v>45754</v>
      </c>
      <c r="B32" vm="92">
        <v>162.32</v>
      </c>
    </row>
    <row r="33" spans="1:2" x14ac:dyDescent="0.25">
      <c r="A33" s="20">
        <v>45754</v>
      </c>
      <c r="B33" vm="95">
        <v>163.56</v>
      </c>
    </row>
    <row r="34" spans="1:2" x14ac:dyDescent="0.25">
      <c r="A34" s="20">
        <v>45754</v>
      </c>
      <c r="B34" vm="98">
        <v>166.91</v>
      </c>
    </row>
    <row r="35" spans="1:2" x14ac:dyDescent="0.25">
      <c r="A35" s="20">
        <v>45761</v>
      </c>
      <c r="B35" vm="101">
        <v>169.13</v>
      </c>
    </row>
    <row r="36" spans="1:2" x14ac:dyDescent="0.25">
      <c r="A36" s="20">
        <v>45761</v>
      </c>
      <c r="B36" vm="104">
        <v>168.47</v>
      </c>
    </row>
    <row r="37" spans="1:2" x14ac:dyDescent="0.25">
      <c r="A37" s="20">
        <v>45761</v>
      </c>
      <c r="B37" vm="107">
        <v>166.39</v>
      </c>
    </row>
    <row r="38" spans="1:2" x14ac:dyDescent="0.25">
      <c r="A38" s="20">
        <v>45761</v>
      </c>
      <c r="B38" vm="110">
        <v>170.63</v>
      </c>
    </row>
    <row r="39" spans="1:2" x14ac:dyDescent="0.25">
      <c r="A39" s="20">
        <v>45768</v>
      </c>
      <c r="B39" vm="113">
        <v>165.75</v>
      </c>
    </row>
    <row r="40" spans="1:2" x14ac:dyDescent="0.25">
      <c r="A40" s="20">
        <v>45768</v>
      </c>
      <c r="B40" vm="116">
        <v>167.88</v>
      </c>
    </row>
    <row r="41" spans="1:2" x14ac:dyDescent="0.25">
      <c r="A41" s="20">
        <v>45768</v>
      </c>
      <c r="B41" vm="119">
        <v>165.73</v>
      </c>
    </row>
    <row r="42" spans="1:2" x14ac:dyDescent="0.25">
      <c r="A42" s="20">
        <v>45768</v>
      </c>
      <c r="B42" vm="122">
        <v>159.53</v>
      </c>
    </row>
    <row r="43" spans="1:2" x14ac:dyDescent="0.25">
      <c r="A43" s="20">
        <v>45768</v>
      </c>
      <c r="B43" vm="125">
        <v>161.02000000000001</v>
      </c>
    </row>
    <row r="44" spans="1:2" x14ac:dyDescent="0.25">
      <c r="A44" s="20">
        <v>45775</v>
      </c>
      <c r="B44" vm="128">
        <v>161.85</v>
      </c>
    </row>
    <row r="45" spans="1:2" x14ac:dyDescent="0.25">
      <c r="A45" s="20">
        <v>45775</v>
      </c>
      <c r="B45" vm="131">
        <v>162.26</v>
      </c>
    </row>
    <row r="46" spans="1:2" x14ac:dyDescent="0.25">
      <c r="A46" s="20">
        <v>45775</v>
      </c>
      <c r="B46" vm="134">
        <v>162.57</v>
      </c>
    </row>
    <row r="47" spans="1:2" x14ac:dyDescent="0.25">
      <c r="A47" s="20">
        <v>45775</v>
      </c>
      <c r="B47" vm="137">
        <v>159.97999999999999</v>
      </c>
    </row>
    <row r="48" spans="1:2" x14ac:dyDescent="0.25">
      <c r="A48" s="20">
        <v>45775</v>
      </c>
      <c r="B48" vm="140">
        <v>160.52000000000001</v>
      </c>
    </row>
    <row r="49" spans="1:2" x14ac:dyDescent="0.25">
      <c r="A49" s="20">
        <v>45782</v>
      </c>
      <c r="B49" vm="143">
        <v>158.83000000000001</v>
      </c>
    </row>
    <row r="50" spans="1:2" x14ac:dyDescent="0.25">
      <c r="A50" s="20">
        <v>45782</v>
      </c>
      <c r="B50" vm="146">
        <v>159.25</v>
      </c>
    </row>
    <row r="51" spans="1:2" x14ac:dyDescent="0.25">
      <c r="A51" s="20">
        <v>45782</v>
      </c>
      <c r="B51" vm="149">
        <v>159.29</v>
      </c>
    </row>
    <row r="52" spans="1:2" x14ac:dyDescent="0.25">
      <c r="A52" s="20">
        <v>45782</v>
      </c>
      <c r="B52" vm="152">
        <v>158.65</v>
      </c>
    </row>
    <row r="53" spans="1:2" x14ac:dyDescent="0.25">
      <c r="A53" s="20">
        <v>45782</v>
      </c>
      <c r="B53" vm="155">
        <v>157.66</v>
      </c>
    </row>
    <row r="54" spans="1:2" x14ac:dyDescent="0.25">
      <c r="A54" s="20">
        <v>45789</v>
      </c>
      <c r="B54" vm="158">
        <v>160.9</v>
      </c>
    </row>
    <row r="55" spans="1:2" x14ac:dyDescent="0.25">
      <c r="A55" s="20">
        <v>45789</v>
      </c>
      <c r="B55" vm="161">
        <v>158.72999999999999</v>
      </c>
    </row>
    <row r="56" spans="1:2" x14ac:dyDescent="0.25">
      <c r="A56" s="20">
        <v>45789</v>
      </c>
      <c r="B56" vm="164">
        <v>158.02000000000001</v>
      </c>
    </row>
    <row r="57" spans="1:2" x14ac:dyDescent="0.25">
      <c r="A57" s="20">
        <v>45789</v>
      </c>
      <c r="B57" vm="167">
        <v>162.41</v>
      </c>
    </row>
    <row r="58" spans="1:2" x14ac:dyDescent="0.25">
      <c r="A58" s="20">
        <v>45789</v>
      </c>
      <c r="B58" vm="170">
        <v>163.28</v>
      </c>
    </row>
    <row r="59" spans="1:2" x14ac:dyDescent="0.25">
      <c r="A59" s="20">
        <v>45796</v>
      </c>
      <c r="B59" vm="173">
        <v>164.77</v>
      </c>
    </row>
    <row r="60" spans="1:2" x14ac:dyDescent="0.25">
      <c r="A60" s="20">
        <v>45796</v>
      </c>
      <c r="B60" vm="176">
        <v>165.64</v>
      </c>
    </row>
    <row r="61" spans="1:2" x14ac:dyDescent="0.25">
      <c r="A61" s="20">
        <v>45796</v>
      </c>
      <c r="B61" vm="179">
        <v>165.43</v>
      </c>
    </row>
    <row r="62" spans="1:2" x14ac:dyDescent="0.25">
      <c r="A62" s="20">
        <v>45796</v>
      </c>
      <c r="B62" vm="182">
        <v>165.03</v>
      </c>
    </row>
    <row r="63" spans="1:2" x14ac:dyDescent="0.25">
      <c r="A63" s="20">
        <v>45796</v>
      </c>
      <c r="B63" vm="185">
        <v>165.86</v>
      </c>
    </row>
    <row r="64" spans="1:2" x14ac:dyDescent="0.25">
      <c r="A64" s="20">
        <v>45803</v>
      </c>
      <c r="B64" vm="188">
        <v>167.76</v>
      </c>
    </row>
    <row r="65" spans="1:2" x14ac:dyDescent="0.25">
      <c r="A65" s="20">
        <v>45803</v>
      </c>
      <c r="B65" vm="191">
        <v>167.36</v>
      </c>
    </row>
    <row r="66" spans="1:2" x14ac:dyDescent="0.25">
      <c r="A66" s="20">
        <v>45803</v>
      </c>
      <c r="B66" vm="194">
        <v>168.56</v>
      </c>
    </row>
    <row r="67" spans="1:2" x14ac:dyDescent="0.25">
      <c r="A67" s="20">
        <v>45803</v>
      </c>
      <c r="B67" vm="197">
        <v>169.89</v>
      </c>
    </row>
    <row r="68" spans="1:2" x14ac:dyDescent="0.25">
      <c r="A68" s="20">
        <v>45810</v>
      </c>
      <c r="B68" vm="200">
        <v>167.78</v>
      </c>
    </row>
    <row r="69" spans="1:2" x14ac:dyDescent="0.25">
      <c r="A69" s="20">
        <v>45810</v>
      </c>
      <c r="B69" vm="203">
        <v>166.85</v>
      </c>
    </row>
    <row r="70" spans="1:2" x14ac:dyDescent="0.25">
      <c r="A70" s="20">
        <v>45810</v>
      </c>
      <c r="B70" vm="206">
        <v>165.95</v>
      </c>
    </row>
    <row r="71" spans="1:2" x14ac:dyDescent="0.25">
      <c r="A71" s="20">
        <v>45810</v>
      </c>
      <c r="B71" vm="209">
        <v>162.80000000000001</v>
      </c>
    </row>
    <row r="72" spans="1:2" x14ac:dyDescent="0.25">
      <c r="A72" s="20">
        <v>45810</v>
      </c>
      <c r="B72" vm="212">
        <v>164.02</v>
      </c>
    </row>
    <row r="73" spans="1:2" x14ac:dyDescent="0.25">
      <c r="A73" s="20">
        <v>45817</v>
      </c>
      <c r="B73" vm="215">
        <v>162.56</v>
      </c>
    </row>
    <row r="74" spans="1:2" x14ac:dyDescent="0.25">
      <c r="A74" s="20">
        <v>45817</v>
      </c>
      <c r="B74" vm="218">
        <v>162.84</v>
      </c>
    </row>
    <row r="75" spans="1:2" x14ac:dyDescent="0.25">
      <c r="A75" s="20">
        <v>45817</v>
      </c>
      <c r="B75" vm="221">
        <v>162.11000000000001</v>
      </c>
    </row>
    <row r="76" spans="1:2" x14ac:dyDescent="0.25">
      <c r="A76" s="20">
        <v>45817</v>
      </c>
      <c r="B76" vm="224">
        <v>163.18</v>
      </c>
    </row>
    <row r="77" spans="1:2" x14ac:dyDescent="0.25">
      <c r="A77" s="20">
        <v>45817</v>
      </c>
      <c r="B77" vm="227">
        <v>160.28</v>
      </c>
    </row>
    <row r="78" spans="1:2" x14ac:dyDescent="0.25">
      <c r="A78" s="20">
        <v>45824</v>
      </c>
      <c r="B78" vm="230">
        <v>160.88</v>
      </c>
    </row>
    <row r="79" spans="1:2" x14ac:dyDescent="0.25">
      <c r="A79" s="20">
        <v>45824</v>
      </c>
      <c r="B79" vm="233">
        <v>158.52000000000001</v>
      </c>
    </row>
    <row r="80" spans="1:2" x14ac:dyDescent="0.25">
      <c r="A80" s="20">
        <v>45824</v>
      </c>
      <c r="B80" vm="164">
        <v>158.02000000000001</v>
      </c>
    </row>
    <row r="81" spans="1:2" x14ac:dyDescent="0.25">
      <c r="A81" s="20">
        <v>45824</v>
      </c>
      <c r="B81" vm="238">
        <v>159.08000000000001</v>
      </c>
    </row>
    <row r="82" spans="1:2" x14ac:dyDescent="0.25">
      <c r="A82" s="20">
        <v>45831</v>
      </c>
      <c r="B82" vm="241">
        <v>161.03</v>
      </c>
    </row>
    <row r="83" spans="1:2" x14ac:dyDescent="0.25">
      <c r="A83" s="20">
        <v>45831</v>
      </c>
      <c r="B83" vm="244">
        <v>160.36000000000001</v>
      </c>
    </row>
    <row r="84" spans="1:2" x14ac:dyDescent="0.25">
      <c r="A84" s="20">
        <v>45831</v>
      </c>
      <c r="B84" vm="247">
        <v>158.97</v>
      </c>
    </row>
    <row r="85" spans="1:2" x14ac:dyDescent="0.25">
      <c r="A85" s="20">
        <v>45831</v>
      </c>
      <c r="B85" vm="250">
        <v>158.63</v>
      </c>
    </row>
    <row r="86" spans="1:2" x14ac:dyDescent="0.25">
      <c r="A86" s="20">
        <v>45831</v>
      </c>
      <c r="B86" vm="253">
        <v>159.86000000000001</v>
      </c>
    </row>
    <row r="87" spans="1:2" x14ac:dyDescent="0.25">
      <c r="A87" s="20">
        <v>45838</v>
      </c>
      <c r="B87" vm="256">
        <v>159.32</v>
      </c>
    </row>
    <row r="88" spans="1:2" x14ac:dyDescent="0.25">
      <c r="A88" s="20">
        <v>45838</v>
      </c>
      <c r="B88" vm="259">
        <v>161.22</v>
      </c>
    </row>
    <row r="89" spans="1:2" x14ac:dyDescent="0.25">
      <c r="A89" s="20">
        <v>45838</v>
      </c>
      <c r="B89" vm="262">
        <v>161.19999999999999</v>
      </c>
    </row>
    <row r="90" spans="1:2" x14ac:dyDescent="0.25">
      <c r="A90" s="20">
        <v>45838</v>
      </c>
      <c r="B90" vm="265">
        <v>160.83000000000001</v>
      </c>
    </row>
    <row r="91" spans="1:2" x14ac:dyDescent="0.25">
      <c r="A91" s="20">
        <v>45845</v>
      </c>
      <c r="B91" vm="268">
        <v>160.5</v>
      </c>
    </row>
    <row r="92" spans="1:2" x14ac:dyDescent="0.25">
      <c r="A92" s="20">
        <v>45845</v>
      </c>
      <c r="B92" vm="271">
        <v>157.88999999999999</v>
      </c>
    </row>
    <row r="93" spans="1:2" x14ac:dyDescent="0.25">
      <c r="A93" s="20">
        <v>45845</v>
      </c>
      <c r="B93" vm="274">
        <v>157.52000000000001</v>
      </c>
    </row>
    <row r="94" spans="1:2" x14ac:dyDescent="0.25">
      <c r="A94" s="20">
        <v>45845</v>
      </c>
      <c r="B94" vm="277">
        <v>158.49</v>
      </c>
    </row>
    <row r="95" spans="1:2" x14ac:dyDescent="0.25">
      <c r="A95" s="20">
        <v>45845</v>
      </c>
      <c r="B95" vm="280">
        <v>157.05000000000001</v>
      </c>
    </row>
    <row r="96" spans="1:2" x14ac:dyDescent="0.25">
      <c r="A96" s="20">
        <v>45852</v>
      </c>
      <c r="B96" vm="283">
        <v>153.76</v>
      </c>
    </row>
    <row r="97" spans="1:2" x14ac:dyDescent="0.25">
      <c r="A97" s="20">
        <v>45852</v>
      </c>
      <c r="B97" vm="286">
        <v>152.68</v>
      </c>
    </row>
    <row r="98" spans="1:2" x14ac:dyDescent="0.25">
      <c r="A98" s="20">
        <v>45852</v>
      </c>
      <c r="B98" vm="289">
        <v>153.72999999999999</v>
      </c>
    </row>
    <row r="99" spans="1:2" x14ac:dyDescent="0.25">
      <c r="A99" s="20">
        <v>45852</v>
      </c>
      <c r="B99" vm="292">
        <v>155.62</v>
      </c>
    </row>
    <row r="100" spans="1:2" x14ac:dyDescent="0.25">
      <c r="A100" s="20">
        <v>45852</v>
      </c>
      <c r="B100" vm="295">
        <v>155.1</v>
      </c>
    </row>
    <row r="101" spans="1:2" x14ac:dyDescent="0.25">
      <c r="A101" s="20">
        <v>45859</v>
      </c>
      <c r="B101" vm="298">
        <v>155.03</v>
      </c>
    </row>
    <row r="102" spans="1:2" x14ac:dyDescent="0.25">
      <c r="A102" s="20">
        <v>45859</v>
      </c>
      <c r="B102" vm="301">
        <v>158.32</v>
      </c>
    </row>
    <row r="103" spans="1:2" x14ac:dyDescent="0.25">
      <c r="A103" s="20">
        <v>45859</v>
      </c>
      <c r="B103" vm="304">
        <v>158.28</v>
      </c>
    </row>
    <row r="104" spans="1:2" x14ac:dyDescent="0.25">
      <c r="A104" s="20">
        <v>45859</v>
      </c>
      <c r="B104" vm="307">
        <v>158.81</v>
      </c>
    </row>
    <row r="105" spans="1:2" x14ac:dyDescent="0.25">
      <c r="A105" s="20">
        <v>45859</v>
      </c>
      <c r="B105" vm="310">
        <v>158.30000000000001</v>
      </c>
    </row>
    <row r="106" spans="1:2" x14ac:dyDescent="0.25">
      <c r="A106" s="20">
        <v>45866</v>
      </c>
      <c r="B106" vm="313">
        <v>157.11000000000001</v>
      </c>
    </row>
    <row r="107" spans="1:2" x14ac:dyDescent="0.25">
      <c r="A107" s="20">
        <v>45866</v>
      </c>
      <c r="B107" vm="316">
        <v>156.61000000000001</v>
      </c>
    </row>
    <row r="108" spans="1:2" x14ac:dyDescent="0.25">
      <c r="A108" s="20">
        <v>45866</v>
      </c>
      <c r="B108" vm="319">
        <v>152.88</v>
      </c>
    </row>
    <row r="109" spans="1:2" x14ac:dyDescent="0.25">
      <c r="A109" s="20">
        <v>45866</v>
      </c>
      <c r="B109" vm="322">
        <v>150.47</v>
      </c>
    </row>
    <row r="110" spans="1:2" x14ac:dyDescent="0.25">
      <c r="A110" s="20">
        <v>45866</v>
      </c>
      <c r="B110" vm="325">
        <v>150.65</v>
      </c>
    </row>
    <row r="111" spans="1:2" x14ac:dyDescent="0.25">
      <c r="A111" s="20">
        <v>45873</v>
      </c>
      <c r="B111" vm="328">
        <v>150.76</v>
      </c>
    </row>
    <row r="112" spans="1:2" x14ac:dyDescent="0.25">
      <c r="A112" s="20">
        <v>45873</v>
      </c>
      <c r="B112" vm="331">
        <v>150.51</v>
      </c>
    </row>
    <row r="113" spans="1:2" x14ac:dyDescent="0.25">
      <c r="A113" s="20">
        <v>45873</v>
      </c>
      <c r="B113" vm="334">
        <v>152.86000000000001</v>
      </c>
    </row>
    <row r="114" spans="1:2" x14ac:dyDescent="0.25">
      <c r="A114" s="20">
        <v>45873</v>
      </c>
      <c r="B114" vm="337">
        <v>153.49</v>
      </c>
    </row>
    <row r="115" spans="1:2" x14ac:dyDescent="0.25">
      <c r="A115" s="20">
        <v>45873</v>
      </c>
      <c r="B115" vm="340">
        <v>153.51</v>
      </c>
    </row>
    <row r="116" spans="1:2" x14ac:dyDescent="0.25">
      <c r="A116" s="20">
        <v>45880</v>
      </c>
      <c r="B116" vm="343">
        <v>154.97999999999999</v>
      </c>
    </row>
    <row r="117" spans="1:2" x14ac:dyDescent="0.25">
      <c r="A117" s="20">
        <v>45880</v>
      </c>
      <c r="B117" vm="346">
        <v>155.09</v>
      </c>
    </row>
    <row r="118" spans="1:2" x14ac:dyDescent="0.25">
      <c r="A118" s="20">
        <v>45880</v>
      </c>
      <c r="B118" vm="349">
        <v>155.41</v>
      </c>
    </row>
    <row r="119" spans="1:2" x14ac:dyDescent="0.25">
      <c r="A119" s="20">
        <v>45880</v>
      </c>
      <c r="B119" vm="352">
        <v>153.74</v>
      </c>
    </row>
    <row r="120" spans="1:2" x14ac:dyDescent="0.25">
      <c r="A120" s="20">
        <v>45880</v>
      </c>
      <c r="B120" vm="355">
        <v>154.36000000000001</v>
      </c>
    </row>
    <row r="121" spans="1:2" x14ac:dyDescent="0.25">
      <c r="A121" s="20">
        <v>45887</v>
      </c>
      <c r="B121" vm="358">
        <v>155.72</v>
      </c>
    </row>
    <row r="122" spans="1:2" x14ac:dyDescent="0.25">
      <c r="A122" s="20">
        <v>45887</v>
      </c>
      <c r="B122" vm="361">
        <v>158.4</v>
      </c>
    </row>
    <row r="123" spans="1:2" x14ac:dyDescent="0.25">
      <c r="A123" s="20">
        <v>45887</v>
      </c>
      <c r="B123" vm="364">
        <v>159.51</v>
      </c>
    </row>
    <row r="124" spans="1:2" x14ac:dyDescent="0.25">
      <c r="A124" s="20">
        <v>45887</v>
      </c>
      <c r="B124" vm="161">
        <v>158.72999999999999</v>
      </c>
    </row>
    <row r="125" spans="1:2" x14ac:dyDescent="0.25">
      <c r="A125" s="20">
        <v>45887</v>
      </c>
      <c r="B125" vm="369">
        <v>158.66999999999999</v>
      </c>
    </row>
    <row r="126" spans="1:2" x14ac:dyDescent="0.25">
      <c r="A126" s="20">
        <v>45894</v>
      </c>
      <c r="B126" vm="372">
        <v>156.15</v>
      </c>
    </row>
    <row r="127" spans="1:2" x14ac:dyDescent="0.25">
      <c r="A127" s="20">
        <v>45894</v>
      </c>
      <c r="B127" vm="375">
        <v>155.97</v>
      </c>
    </row>
    <row r="128" spans="1:2" x14ac:dyDescent="0.25">
      <c r="A128" s="20">
        <v>45894</v>
      </c>
      <c r="B128" vm="378">
        <v>156.96</v>
      </c>
    </row>
    <row r="129" spans="1:2" x14ac:dyDescent="0.25">
      <c r="A129" s="20">
        <v>45894</v>
      </c>
      <c r="B129" vm="381">
        <v>155.65</v>
      </c>
    </row>
    <row r="130" spans="1:2" x14ac:dyDescent="0.25">
      <c r="A130" s="20">
        <v>45894</v>
      </c>
      <c r="B130" vm="384">
        <v>157.04</v>
      </c>
    </row>
    <row r="131" spans="1:2" x14ac:dyDescent="0.25">
      <c r="A131" s="20">
        <v>45901</v>
      </c>
      <c r="B131" vm="387">
        <v>157.99</v>
      </c>
    </row>
    <row r="132" spans="1:2" x14ac:dyDescent="0.25">
      <c r="A132" s="20">
        <v>45901</v>
      </c>
      <c r="B132" vm="390">
        <v>158.16999999999999</v>
      </c>
    </row>
    <row r="133" spans="1:2" x14ac:dyDescent="0.25">
      <c r="A133" s="20">
        <v>45901</v>
      </c>
      <c r="B133" vm="393">
        <v>159.19</v>
      </c>
    </row>
    <row r="134" spans="1:2" x14ac:dyDescent="0.25">
      <c r="A134" s="20">
        <v>45901</v>
      </c>
      <c r="B134" vm="396">
        <v>160.02000000000001</v>
      </c>
    </row>
    <row r="135" spans="1:2" x14ac:dyDescent="0.25">
      <c r="A135" s="20">
        <v>45908</v>
      </c>
      <c r="B135" vm="399">
        <v>159.01</v>
      </c>
    </row>
    <row r="136" spans="1:2" x14ac:dyDescent="0.25">
      <c r="A136" s="20">
        <v>45908</v>
      </c>
      <c r="B136" vm="402">
        <v>159.46</v>
      </c>
    </row>
    <row r="137" spans="1:2" x14ac:dyDescent="0.25">
      <c r="A137" s="20">
        <v>45908</v>
      </c>
      <c r="B137" vm="405">
        <v>157.35</v>
      </c>
    </row>
    <row r="138" spans="1:2" x14ac:dyDescent="0.25">
      <c r="A138" s="20">
        <v>45908</v>
      </c>
      <c r="B138" vm="250">
        <v>158.63</v>
      </c>
    </row>
    <row r="139" spans="1:2" x14ac:dyDescent="0.25">
      <c r="A139" s="20">
        <v>45908</v>
      </c>
      <c r="B139" vm="410">
        <v>157.9</v>
      </c>
    </row>
    <row r="140" spans="1:2" x14ac:dyDescent="0.25">
      <c r="A140" s="20">
        <v>45915</v>
      </c>
      <c r="B140" vm="413">
        <v>156.83000000000001</v>
      </c>
    </row>
    <row r="141" spans="1:2" x14ac:dyDescent="0.25">
      <c r="A141" s="20">
        <v>45915</v>
      </c>
      <c r="B141" vm="416">
        <v>158.05000000000001</v>
      </c>
    </row>
    <row r="142" spans="1:2" x14ac:dyDescent="0.25">
      <c r="A142" s="20">
        <v>45915</v>
      </c>
      <c r="B142" vm="419">
        <v>160.33000000000001</v>
      </c>
    </row>
    <row r="143" spans="1:2" x14ac:dyDescent="0.25">
      <c r="A143" s="20">
        <v>45915</v>
      </c>
      <c r="B143" vm="422">
        <v>157.32</v>
      </c>
    </row>
    <row r="144" spans="1:2" x14ac:dyDescent="0.25">
      <c r="A144" s="20">
        <v>45915</v>
      </c>
      <c r="B144" vm="425">
        <v>156.04</v>
      </c>
    </row>
    <row r="145" spans="1:2" x14ac:dyDescent="0.25">
      <c r="A145" s="20">
        <v>45922</v>
      </c>
      <c r="B145" vm="428">
        <v>153.07</v>
      </c>
    </row>
    <row r="146" spans="1:2" x14ac:dyDescent="0.25">
      <c r="A146" s="20">
        <v>45922</v>
      </c>
      <c r="B146" vm="431">
        <v>152.5</v>
      </c>
    </row>
    <row r="147" spans="1:2" x14ac:dyDescent="0.25">
      <c r="A147" s="20">
        <v>45922</v>
      </c>
      <c r="B147" vm="434">
        <v>152.41999999999999</v>
      </c>
    </row>
    <row r="148" spans="1:2" x14ac:dyDescent="0.25">
      <c r="A148" s="20">
        <v>45922</v>
      </c>
      <c r="B148" vm="437">
        <v>152.15</v>
      </c>
    </row>
    <row r="149" spans="1:2" x14ac:dyDescent="0.25">
      <c r="A149" s="20">
        <v>45922</v>
      </c>
      <c r="B149" vm="431">
        <v>152.5</v>
      </c>
    </row>
    <row r="150" spans="1:2" x14ac:dyDescent="0.25">
      <c r="A150" s="20">
        <v>45929</v>
      </c>
      <c r="B150" vm="442">
        <v>153.53</v>
      </c>
    </row>
    <row r="151" spans="1:2" x14ac:dyDescent="0.25">
      <c r="A151" s="20">
        <v>45929</v>
      </c>
      <c r="B151" vm="445">
        <v>153.65</v>
      </c>
    </row>
    <row r="152" spans="1:2" x14ac:dyDescent="0.25">
      <c r="A152" s="20">
        <v>45929</v>
      </c>
      <c r="B152" vm="448">
        <v>153.18</v>
      </c>
    </row>
    <row r="153" spans="1:2" x14ac:dyDescent="0.25">
      <c r="A153" s="20">
        <v>45929</v>
      </c>
      <c r="B153" vm="451">
        <v>152.05000000000001</v>
      </c>
    </row>
    <row r="154" spans="1:2" x14ac:dyDescent="0.25">
      <c r="A154" s="20">
        <v>45929</v>
      </c>
      <c r="B154" vm="454">
        <v>152.27000000000001</v>
      </c>
    </row>
    <row r="155" spans="1:2" x14ac:dyDescent="0.25">
      <c r="A155" s="20">
        <v>45936</v>
      </c>
      <c r="B155" vm="457">
        <v>150.41</v>
      </c>
    </row>
    <row r="156" spans="1:2" x14ac:dyDescent="0.25">
      <c r="A156" s="20">
        <v>45936</v>
      </c>
      <c r="B156" vm="460">
        <v>152.54</v>
      </c>
    </row>
    <row r="157" spans="1:2" x14ac:dyDescent="0.25">
      <c r="A157" s="20">
        <v>45936</v>
      </c>
      <c r="B157" vm="463">
        <v>150.69</v>
      </c>
    </row>
    <row r="158" spans="1:2" x14ac:dyDescent="0.25">
      <c r="A158" s="20">
        <v>45936</v>
      </c>
      <c r="B158" vm="466">
        <v>150.58000000000001</v>
      </c>
    </row>
    <row r="159" spans="1:2" x14ac:dyDescent="0.25">
      <c r="A159" s="20">
        <v>45936</v>
      </c>
      <c r="B159" vm="469">
        <v>149.69</v>
      </c>
    </row>
    <row r="160" spans="1:2" x14ac:dyDescent="0.25">
      <c r="A160" s="20">
        <v>45943</v>
      </c>
      <c r="B160" vm="472">
        <v>147.49</v>
      </c>
    </row>
    <row r="161" spans="1:2" x14ac:dyDescent="0.25">
      <c r="A161" s="20">
        <v>45943</v>
      </c>
      <c r="B161" vm="475">
        <v>149.16</v>
      </c>
    </row>
    <row r="162" spans="1:2" x14ac:dyDescent="0.25">
      <c r="A162" s="20">
        <v>45943</v>
      </c>
      <c r="B162" vm="478">
        <v>147.41999999999999</v>
      </c>
    </row>
    <row r="163" spans="1:2" x14ac:dyDescent="0.25">
      <c r="A163" s="20">
        <v>45943</v>
      </c>
      <c r="B163" vm="481">
        <v>149.6</v>
      </c>
    </row>
    <row r="164" spans="1:2" x14ac:dyDescent="0.25">
      <c r="A164" s="20">
        <v>45943</v>
      </c>
      <c r="B164" vm="484">
        <v>151.4</v>
      </c>
    </row>
    <row r="165" spans="1:2" x14ac:dyDescent="0.25">
      <c r="A165" s="20">
        <v>45950</v>
      </c>
      <c r="B165" vm="487">
        <v>151.96</v>
      </c>
    </row>
    <row r="166" spans="1:2" x14ac:dyDescent="0.25">
      <c r="A166" s="20">
        <v>45950</v>
      </c>
      <c r="B166" vm="490">
        <v>151.62</v>
      </c>
    </row>
    <row r="167" spans="1:2" x14ac:dyDescent="0.25">
      <c r="A167" s="20">
        <v>45950</v>
      </c>
      <c r="B167" vm="493">
        <v>152.19999999999999</v>
      </c>
    </row>
    <row r="168" spans="1:2" x14ac:dyDescent="0.25">
      <c r="A168" s="20">
        <v>45950</v>
      </c>
      <c r="B168" vm="496">
        <v>152.21</v>
      </c>
    </row>
    <row r="169" spans="1:2" x14ac:dyDescent="0.25">
      <c r="A169" s="20">
        <v>45950</v>
      </c>
      <c r="B169" vm="499">
        <v>152.49</v>
      </c>
    </row>
    <row r="170" spans="1:2" x14ac:dyDescent="0.25">
      <c r="A170" s="20">
        <v>45957</v>
      </c>
      <c r="B170" vm="502">
        <v>151.74</v>
      </c>
    </row>
    <row r="171" spans="1:2" x14ac:dyDescent="0.25">
      <c r="A171" s="20">
        <v>45957</v>
      </c>
      <c r="B171" vm="505">
        <v>151.37</v>
      </c>
    </row>
    <row r="172" spans="1:2" x14ac:dyDescent="0.25">
      <c r="A172" s="20">
        <v>45957</v>
      </c>
      <c r="B172" vm="508">
        <v>148.77000000000001</v>
      </c>
    </row>
    <row r="173" spans="1:2" x14ac:dyDescent="0.25">
      <c r="A173" s="20">
        <v>45957</v>
      </c>
      <c r="B173" vm="511">
        <v>149.58000000000001</v>
      </c>
    </row>
    <row r="174" spans="1:2" x14ac:dyDescent="0.25">
      <c r="A174" s="20">
        <v>45957</v>
      </c>
      <c r="B174" vm="514">
        <v>150.37</v>
      </c>
    </row>
    <row r="175" spans="1:2" x14ac:dyDescent="0.25">
      <c r="A175" s="20">
        <v>45964</v>
      </c>
      <c r="B175" vm="517">
        <v>148.02000000000001</v>
      </c>
    </row>
    <row r="176" spans="1:2" x14ac:dyDescent="0.25">
      <c r="A176" s="20">
        <v>45964</v>
      </c>
      <c r="B176" vm="520">
        <v>147.16999999999999</v>
      </c>
    </row>
    <row r="177" spans="1:2" x14ac:dyDescent="0.25">
      <c r="A177" s="20">
        <v>45964</v>
      </c>
      <c r="B177" vm="523">
        <v>145.79</v>
      </c>
    </row>
    <row r="178" spans="1:2" x14ac:dyDescent="0.25">
      <c r="A178" s="20">
        <v>45964</v>
      </c>
      <c r="B178" vm="526">
        <v>146.13</v>
      </c>
    </row>
    <row r="179" spans="1:2" x14ac:dyDescent="0.25">
      <c r="A179" s="20">
        <v>45964</v>
      </c>
      <c r="B179" vm="529">
        <v>146.97999999999999</v>
      </c>
    </row>
    <row r="180" spans="1:2" x14ac:dyDescent="0.25">
      <c r="A180" s="20">
        <v>45971</v>
      </c>
      <c r="B180" vm="532">
        <v>145.5</v>
      </c>
    </row>
    <row r="181" spans="1:2" x14ac:dyDescent="0.25">
      <c r="A181" s="20">
        <v>45971</v>
      </c>
      <c r="B181" vm="535">
        <v>148.54</v>
      </c>
    </row>
    <row r="182" spans="1:2" x14ac:dyDescent="0.25">
      <c r="A182" s="20">
        <v>45971</v>
      </c>
      <c r="B182" vm="538">
        <v>148.01</v>
      </c>
    </row>
    <row r="183" spans="1:2" x14ac:dyDescent="0.25">
      <c r="A183" s="20">
        <v>45971</v>
      </c>
      <c r="B183" vm="541">
        <v>147.96</v>
      </c>
    </row>
    <row r="184" spans="1:2" x14ac:dyDescent="0.25">
      <c r="A184" s="20">
        <v>45971</v>
      </c>
      <c r="B184" vm="544">
        <v>147.66999999999999</v>
      </c>
    </row>
    <row r="185" spans="1:2" x14ac:dyDescent="0.25">
      <c r="A185" s="20">
        <v>45978</v>
      </c>
      <c r="B185" vm="547">
        <v>145.82</v>
      </c>
    </row>
    <row r="186" spans="1:2" x14ac:dyDescent="0.25">
      <c r="A186" s="20">
        <v>45978</v>
      </c>
      <c r="B186" vm="550">
        <v>146.99</v>
      </c>
    </row>
    <row r="187" spans="1:2" x14ac:dyDescent="0.25">
      <c r="A187" s="20">
        <v>45978</v>
      </c>
      <c r="B187" vm="550">
        <v>146.99</v>
      </c>
    </row>
    <row r="188" spans="1:2" x14ac:dyDescent="0.25">
      <c r="A188" s="20">
        <v>45978</v>
      </c>
      <c r="B188" vm="555">
        <v>148.19</v>
      </c>
    </row>
    <row r="189" spans="1:2" x14ac:dyDescent="0.25">
      <c r="A189" s="20">
        <v>45978</v>
      </c>
      <c r="B189" vm="558">
        <v>150.91999999999999</v>
      </c>
    </row>
    <row r="190" spans="1:2" x14ac:dyDescent="0.25">
      <c r="A190" s="20">
        <v>45985</v>
      </c>
      <c r="B190" vm="529">
        <v>146.97999999999999</v>
      </c>
    </row>
    <row r="191" spans="1:2" x14ac:dyDescent="0.25">
      <c r="A191" s="20">
        <v>45985</v>
      </c>
      <c r="B191" vm="563">
        <v>148.49</v>
      </c>
    </row>
    <row r="192" spans="1:2" x14ac:dyDescent="0.25">
      <c r="A192" s="20">
        <v>45985</v>
      </c>
      <c r="B192" vm="566">
        <v>148.25</v>
      </c>
    </row>
    <row r="193" spans="1:2" x14ac:dyDescent="0.25">
      <c r="A193" s="20">
        <v>45985</v>
      </c>
      <c r="B193" vm="569">
        <v>148.16</v>
      </c>
    </row>
    <row r="194" spans="1:2" x14ac:dyDescent="0.25">
      <c r="A194" s="20">
        <v>45992</v>
      </c>
      <c r="B194" vm="572">
        <v>147.44</v>
      </c>
    </row>
    <row r="195" spans="1:2" x14ac:dyDescent="0.25">
      <c r="A195" s="20">
        <v>45992</v>
      </c>
      <c r="B195" vm="575">
        <v>145.86000000000001</v>
      </c>
    </row>
    <row r="196" spans="1:2" x14ac:dyDescent="0.25">
      <c r="A196" s="20">
        <v>45992</v>
      </c>
      <c r="B196" vm="578">
        <v>146.71</v>
      </c>
    </row>
    <row r="197" spans="1:2" x14ac:dyDescent="0.25">
      <c r="A197" s="20">
        <v>45992</v>
      </c>
      <c r="B197" vm="581">
        <v>145.36000000000001</v>
      </c>
    </row>
    <row r="198" spans="1:2" x14ac:dyDescent="0.25">
      <c r="A198" s="20">
        <v>45992</v>
      </c>
      <c r="B198" vm="584">
        <v>143.44999999999999</v>
      </c>
    </row>
    <row r="199" spans="1:2" x14ac:dyDescent="0.25">
      <c r="A199" s="20">
        <v>45999</v>
      </c>
      <c r="B199" vm="587">
        <v>138.34</v>
      </c>
    </row>
    <row r="200" spans="1:2" x14ac:dyDescent="0.25">
      <c r="A200" s="20">
        <v>45999</v>
      </c>
      <c r="B200" vm="590">
        <v>139.63</v>
      </c>
    </row>
    <row r="201" spans="1:2" x14ac:dyDescent="0.25">
      <c r="A201" s="20">
        <v>45999</v>
      </c>
      <c r="B201" vm="593">
        <v>139.82</v>
      </c>
    </row>
    <row r="202" spans="1:2" x14ac:dyDescent="0.25">
      <c r="A202" s="20">
        <v>45999</v>
      </c>
      <c r="B202" vm="596">
        <v>140.76</v>
      </c>
    </row>
    <row r="203" spans="1:2" x14ac:dyDescent="0.25">
      <c r="A203" s="20">
        <v>45999</v>
      </c>
      <c r="B203" vm="599">
        <v>142.84</v>
      </c>
    </row>
    <row r="204" spans="1:2" x14ac:dyDescent="0.25">
      <c r="A204" s="20">
        <v>46006</v>
      </c>
      <c r="B204" vm="602">
        <v>145.13</v>
      </c>
    </row>
    <row r="205" spans="1:2" x14ac:dyDescent="0.25">
      <c r="A205" s="20">
        <v>46006</v>
      </c>
      <c r="B205" vm="605">
        <v>145.21</v>
      </c>
    </row>
    <row r="206" spans="1:2" x14ac:dyDescent="0.25">
      <c r="A206" s="20">
        <v>46006</v>
      </c>
      <c r="B206" vm="608">
        <v>147.81</v>
      </c>
    </row>
    <row r="207" spans="1:2" x14ac:dyDescent="0.25">
      <c r="A207" s="20">
        <v>46006</v>
      </c>
      <c r="B207" vm="611">
        <v>145.52000000000001</v>
      </c>
    </row>
    <row r="208" spans="1:2" x14ac:dyDescent="0.25">
      <c r="A208" s="20">
        <v>46006</v>
      </c>
      <c r="B208" vm="614">
        <v>144.46</v>
      </c>
    </row>
    <row r="209" spans="1:2" x14ac:dyDescent="0.25">
      <c r="A209" s="20">
        <v>46013</v>
      </c>
      <c r="B209" vm="617">
        <v>142.69</v>
      </c>
    </row>
    <row r="210" spans="1:2" x14ac:dyDescent="0.25">
      <c r="A210" s="20">
        <v>46013</v>
      </c>
      <c r="B210" vm="620">
        <v>143.18</v>
      </c>
    </row>
    <row r="211" spans="1:2" x14ac:dyDescent="0.25">
      <c r="A211" s="20">
        <v>46013</v>
      </c>
      <c r="B211" vm="623">
        <v>144.49</v>
      </c>
    </row>
    <row r="212" spans="1:2" x14ac:dyDescent="0.25">
      <c r="A212" s="20">
        <v>46013</v>
      </c>
      <c r="B212" vm="626">
        <v>144.74</v>
      </c>
    </row>
    <row r="213" spans="1:2" x14ac:dyDescent="0.25">
      <c r="A213" s="20">
        <v>46020</v>
      </c>
      <c r="B213" vm="629">
        <v>144.57</v>
      </c>
    </row>
    <row r="214" spans="1:2" x14ac:dyDescent="0.25">
      <c r="A214" s="20">
        <v>46020</v>
      </c>
      <c r="B214" vm="632">
        <v>144.05000000000001</v>
      </c>
    </row>
    <row r="215" spans="1:2" x14ac:dyDescent="0.25">
      <c r="A215" s="20">
        <v>46020</v>
      </c>
      <c r="B215" vm="635">
        <v>143.31</v>
      </c>
    </row>
    <row r="216" spans="1:2" x14ac:dyDescent="0.25">
      <c r="A216" s="20">
        <v>46020</v>
      </c>
      <c r="B216" vm="638">
        <v>141.79</v>
      </c>
    </row>
    <row r="217" spans="1:2" x14ac:dyDescent="0.25">
      <c r="A217" s="20">
        <v>46027</v>
      </c>
      <c r="B217" vm="641">
        <v>140.37</v>
      </c>
    </row>
    <row r="218" spans="1:2" x14ac:dyDescent="0.25">
      <c r="A218" s="20">
        <v>46027</v>
      </c>
      <c r="B218" vm="644">
        <v>139.91</v>
      </c>
    </row>
    <row r="219" spans="1:2" x14ac:dyDescent="0.25">
      <c r="A219" s="20">
        <v>46027</v>
      </c>
      <c r="B219" vm="647">
        <v>138.04</v>
      </c>
    </row>
    <row r="220" spans="1:2" x14ac:dyDescent="0.25">
      <c r="A220" s="20">
        <v>46027</v>
      </c>
      <c r="B220" vm="650">
        <v>141.53</v>
      </c>
    </row>
    <row r="221" spans="1:2" x14ac:dyDescent="0.25">
      <c r="A221" s="20">
        <v>46027</v>
      </c>
      <c r="B221" vm="653">
        <v>141.87</v>
      </c>
    </row>
    <row r="222" spans="1:2" x14ac:dyDescent="0.25">
      <c r="A222" s="20">
        <v>46034</v>
      </c>
      <c r="B222" vm="656">
        <v>143.46</v>
      </c>
    </row>
    <row r="223" spans="1:2" x14ac:dyDescent="0.25">
      <c r="A223" s="20">
        <v>46034</v>
      </c>
      <c r="B223" vm="659">
        <v>144.24</v>
      </c>
    </row>
    <row r="224" spans="1:2" x14ac:dyDescent="0.25">
      <c r="A224" s="20">
        <v>46034</v>
      </c>
      <c r="B224" vm="662">
        <v>146.35</v>
      </c>
    </row>
    <row r="225" spans="1:2" x14ac:dyDescent="0.25">
      <c r="A225" s="20">
        <v>46034</v>
      </c>
      <c r="B225" vm="665">
        <v>144.63</v>
      </c>
    </row>
    <row r="226" spans="1:2" x14ac:dyDescent="0.25">
      <c r="A226" s="20">
        <v>46034</v>
      </c>
      <c r="B226" vm="668">
        <v>144.53</v>
      </c>
    </row>
    <row r="227" spans="1:2" x14ac:dyDescent="0.25">
      <c r="A227" s="20">
        <v>46041</v>
      </c>
      <c r="B227" vm="671">
        <v>147</v>
      </c>
    </row>
    <row r="228" spans="1:2" x14ac:dyDescent="0.25">
      <c r="A228" s="20">
        <v>46041</v>
      </c>
      <c r="B228" vm="674">
        <v>146.06</v>
      </c>
    </row>
    <row r="229" spans="1:2" x14ac:dyDescent="0.25">
      <c r="A229" s="20">
        <v>46041</v>
      </c>
      <c r="B229" vm="677">
        <v>149.93</v>
      </c>
    </row>
    <row r="230" spans="1:2" x14ac:dyDescent="0.25">
      <c r="A230" s="20">
        <v>46041</v>
      </c>
      <c r="B230" vm="680">
        <v>150.15</v>
      </c>
    </row>
    <row r="231" spans="1:2" x14ac:dyDescent="0.25">
      <c r="A231" s="20">
        <v>46048</v>
      </c>
      <c r="B231" vm="683">
        <v>149.49</v>
      </c>
    </row>
    <row r="232" spans="1:2" x14ac:dyDescent="0.25">
      <c r="A232" s="20">
        <v>46048</v>
      </c>
      <c r="B232" vm="686">
        <v>148.34</v>
      </c>
    </row>
    <row r="233" spans="1:2" x14ac:dyDescent="0.25">
      <c r="A233" s="20">
        <v>46048</v>
      </c>
      <c r="B233" vm="689">
        <v>147.34</v>
      </c>
    </row>
    <row r="234" spans="1:2" x14ac:dyDescent="0.25">
      <c r="A234" s="20">
        <v>46048</v>
      </c>
      <c r="B234" vm="692">
        <v>149.9</v>
      </c>
    </row>
    <row r="235" spans="1:2" x14ac:dyDescent="0.25">
      <c r="A235" s="20">
        <v>46048</v>
      </c>
      <c r="B235" vm="695">
        <v>151.77000000000001</v>
      </c>
    </row>
    <row r="236" spans="1:2" x14ac:dyDescent="0.25">
      <c r="A236" s="20">
        <v>46055</v>
      </c>
      <c r="B236" vm="698">
        <v>153.19</v>
      </c>
    </row>
    <row r="237" spans="1:2" x14ac:dyDescent="0.25">
      <c r="A237" s="20">
        <v>46055</v>
      </c>
      <c r="B237" vm="701">
        <v>155.32</v>
      </c>
    </row>
    <row r="238" spans="1:2" x14ac:dyDescent="0.25">
      <c r="A238" s="20">
        <v>46055</v>
      </c>
      <c r="B238" vm="704">
        <v>156.87</v>
      </c>
    </row>
    <row r="239" spans="1:2" x14ac:dyDescent="0.25">
      <c r="A239" s="20">
        <v>46055</v>
      </c>
      <c r="B239" vm="707">
        <v>158.61000000000001</v>
      </c>
    </row>
    <row r="240" spans="1:2" x14ac:dyDescent="0.25">
      <c r="A240" s="20">
        <v>46055</v>
      </c>
      <c r="B240" vm="710">
        <v>159.16999999999999</v>
      </c>
    </row>
    <row r="241" spans="1:2" x14ac:dyDescent="0.25">
      <c r="A241" s="20">
        <v>46062</v>
      </c>
      <c r="B241" vm="713">
        <v>157.33000000000001</v>
      </c>
    </row>
    <row r="242" spans="1:2" x14ac:dyDescent="0.25">
      <c r="A242" s="20">
        <v>46062</v>
      </c>
      <c r="B242" vm="238">
        <v>159.08000000000001</v>
      </c>
    </row>
    <row r="243" spans="1:2" x14ac:dyDescent="0.25">
      <c r="A243" s="20">
        <v>46062</v>
      </c>
      <c r="B243" vm="718">
        <v>160</v>
      </c>
    </row>
    <row r="244" spans="1:2" x14ac:dyDescent="0.25">
      <c r="A244" s="20">
        <v>46062</v>
      </c>
      <c r="B244" vm="721">
        <v>161.21</v>
      </c>
    </row>
    <row r="245" spans="1:2" x14ac:dyDescent="0.25">
      <c r="A245" s="20">
        <v>46062</v>
      </c>
      <c r="B245" vm="724">
        <v>160.07</v>
      </c>
    </row>
    <row r="246" spans="1:2" x14ac:dyDescent="0.25">
      <c r="A246" s="20">
        <v>46069</v>
      </c>
      <c r="B246" vm="727">
        <v>159.55000000000001</v>
      </c>
    </row>
    <row r="247" spans="1:2" x14ac:dyDescent="0.25">
      <c r="A247" s="20">
        <v>46069</v>
      </c>
      <c r="B247" vm="730">
        <v>156.86000000000001</v>
      </c>
    </row>
    <row r="248" spans="1:2" x14ac:dyDescent="0.25">
      <c r="A248" s="20">
        <v>46069</v>
      </c>
      <c r="B248" vm="733">
        <v>158.56</v>
      </c>
    </row>
    <row r="249" spans="1:2" x14ac:dyDescent="0.25">
      <c r="A249" s="20">
        <v>46069</v>
      </c>
      <c r="B249" vm="736">
        <v>160.78</v>
      </c>
    </row>
    <row r="250" spans="1:2" x14ac:dyDescent="0.25">
      <c r="A250" s="20">
        <v>46076</v>
      </c>
      <c r="B250" vm="739">
        <v>165.17</v>
      </c>
    </row>
    <row r="251" spans="1:2" x14ac:dyDescent="0.25">
      <c r="A251" s="20">
        <v>46076</v>
      </c>
      <c r="B251" vm="742">
        <v>165.28</v>
      </c>
    </row>
    <row r="252" spans="1:2" x14ac:dyDescent="0.25">
      <c r="A252" s="20">
        <v>46076</v>
      </c>
      <c r="B252" vm="745">
        <v>163.38999999999999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Dashboard</vt:lpstr>
      <vt:lpstr>Data</vt:lpstr>
      <vt:lpstr>Dividends</vt:lpstr>
      <vt:lpstr>Forecast</vt:lpstr>
      <vt:lpstr>Weekly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2026-02-27T00:42:44Z</dcterms:modified>
</cp:coreProperties>
</file>